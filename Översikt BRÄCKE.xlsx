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45571</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45571</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45571</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45571</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45571</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45571</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45571</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45571</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45571</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45571</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45571</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45571</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45571</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45571</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45571</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45571</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45571</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45571</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45571</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45571</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45571</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45571</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45571</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45571</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45571</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45571</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45571</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45571</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45571</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45571</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45571</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45571</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45571</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45571</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45571</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45571</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45571</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45571</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45571</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45571</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45571</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45571</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45571</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45571</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45571</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45571</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45571</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45571</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45571</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45571</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45571</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45571</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45571</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45571</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45571</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45571</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45571</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45571</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45571</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45571</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45571</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45571</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45571</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45571</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45571</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45571</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45571</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45571</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45571</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45571</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45571</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45571</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45571</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45571</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45571</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45571</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45571</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45571</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45571</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45571</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45571</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45571</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45571</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45571</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45571</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45571</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45571</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45571</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45571</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45571</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45571</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45571</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45571</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45571</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45571</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45571</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45571</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45571</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45571</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45571</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45571</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45571</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45571</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45571</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45571</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45571</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45571</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45571</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45571</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45571</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45571</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45571</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45571</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45571</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45571</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45571</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45571</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45571</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45571</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45571</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45571</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45571</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45571</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45571</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45571</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45571</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45571</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45571</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45571</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45571</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45571</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45571</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45571</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45571</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45571</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45571</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45571</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45571</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45571</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45571</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45571</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45571</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45571</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45571</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45571</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45571</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45571</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45571</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45571</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45571</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45571</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45571</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45571</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45571</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45571</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45571</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45571</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45571</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45571</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45571</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45571</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45571</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45571</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45571</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45571</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45571</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45571</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45571</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45571</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45571</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45571</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45571</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45571</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45571</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45571</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45571</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45571</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45571</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45571</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45571</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45571</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45571</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45571</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45571</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45571</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45571</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45571</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45571</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45571</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45571</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45571</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45571</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45571</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45571</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45571</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45571</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45571</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45571</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45571</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45571</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45571</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45571</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45571</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45571</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45571</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45571</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45571</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45571</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45571</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45571</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45571</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45571</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45571</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45571</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45571</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45571</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45571</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45571</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45571</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45571</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45571</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45571</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45571</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45571</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45571</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45571</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45571</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45571</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45571</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45571</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45571</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45571</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45571</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45571</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45571</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45571</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45571</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45571</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45571</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45571</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45571</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45571</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45571</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45571</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45571</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45571</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45571</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45571</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45571</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45571</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45571</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45571</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45571</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45571</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45571</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45571</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45571</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45571</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45571</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45571</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45571</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45571</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45571</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45571</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45571</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45571</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45571</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45571</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45571</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45571</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45571</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45571</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45571</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45571</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45571</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45571</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45571</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45571</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45571</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45571</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45571</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40869-2024</t>
        </is>
      </c>
      <c r="B285" s="1" t="n">
        <v>45558</v>
      </c>
      <c r="C285" s="1" t="n">
        <v>45571</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40818-2024</t>
        </is>
      </c>
      <c r="B286" s="1" t="n">
        <v>45558</v>
      </c>
      <c r="C286" s="1" t="n">
        <v>45571</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Skrovlig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41486-2024</t>
        </is>
      </c>
      <c r="B287" s="1" t="n">
        <v>45560</v>
      </c>
      <c r="C287" s="1" t="n">
        <v>45571</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42015-2024</t>
        </is>
      </c>
      <c r="B288" s="1" t="n">
        <v>45561</v>
      </c>
      <c r="C288" s="1" t="n">
        <v>45571</v>
      </c>
      <c r="D288" t="inlineStr">
        <is>
          <t>JÄMTLANDS LÄN</t>
        </is>
      </c>
      <c r="E288" t="inlineStr">
        <is>
          <t>BRÄCKE</t>
        </is>
      </c>
      <c r="F288" t="inlineStr">
        <is>
          <t>SCA</t>
        </is>
      </c>
      <c r="G288" t="n">
        <v>1.4</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42015-2024 artfynd.xlsx", "A 42015-2024")</f>
        <v/>
      </c>
      <c r="T288">
        <f>HYPERLINK("https://klasma.github.io/Logging_2305/kartor/A 42015-2024 karta.png", "A 42015-2024")</f>
        <v/>
      </c>
      <c r="V288">
        <f>HYPERLINK("https://klasma.github.io/Logging_2305/klagomål/A 42015-2024 FSC-klagomål.docx", "A 42015-2024")</f>
        <v/>
      </c>
      <c r="W288">
        <f>HYPERLINK("https://klasma.github.io/Logging_2305/klagomålsmail/A 42015-2024 FSC-klagomål mail.docx", "A 42015-2024")</f>
        <v/>
      </c>
      <c r="X288">
        <f>HYPERLINK("https://klasma.github.io/Logging_2305/tillsyn/A 42015-2024 tillsynsbegäran.docx", "A 42015-2024")</f>
        <v/>
      </c>
      <c r="Y288">
        <f>HYPERLINK("https://klasma.github.io/Logging_2305/tillsynsmail/A 42015-2024 tillsynsbegäran mail.docx", "A 42015-2024")</f>
        <v/>
      </c>
    </row>
    <row r="289" ht="15" customHeight="1">
      <c r="A289" t="inlineStr">
        <is>
          <t>A 41906-2024</t>
        </is>
      </c>
      <c r="B289" s="1" t="n">
        <v>45561</v>
      </c>
      <c r="C289" s="1" t="n">
        <v>45571</v>
      </c>
      <c r="D289" t="inlineStr">
        <is>
          <t>JÄMTLANDS LÄN</t>
        </is>
      </c>
      <c r="E289" t="inlineStr">
        <is>
          <t>BRÄCKE</t>
        </is>
      </c>
      <c r="F289" t="inlineStr">
        <is>
          <t>SCA</t>
        </is>
      </c>
      <c r="G289" t="n">
        <v>7.9</v>
      </c>
      <c r="H289" t="n">
        <v>0</v>
      </c>
      <c r="I289" t="n">
        <v>0</v>
      </c>
      <c r="J289" t="n">
        <v>1</v>
      </c>
      <c r="K289" t="n">
        <v>0</v>
      </c>
      <c r="L289" t="n">
        <v>0</v>
      </c>
      <c r="M289" t="n">
        <v>0</v>
      </c>
      <c r="N289" t="n">
        <v>0</v>
      </c>
      <c r="O289" t="n">
        <v>1</v>
      </c>
      <c r="P289" t="n">
        <v>0</v>
      </c>
      <c r="Q289" t="n">
        <v>1</v>
      </c>
      <c r="R289" s="2" t="inlineStr">
        <is>
          <t>Blågrå svartspik</t>
        </is>
      </c>
      <c r="S289">
        <f>HYPERLINK("https://klasma.github.io/Logging_2305/artfynd/A 41906-2024 artfynd.xlsx", "A 41906-2024")</f>
        <v/>
      </c>
      <c r="T289">
        <f>HYPERLINK("https://klasma.github.io/Logging_2305/kartor/A 41906-2024 karta.png", "A 41906-2024")</f>
        <v/>
      </c>
      <c r="V289">
        <f>HYPERLINK("https://klasma.github.io/Logging_2305/klagomål/A 41906-2024 FSC-klagomål.docx", "A 41906-2024")</f>
        <v/>
      </c>
      <c r="W289">
        <f>HYPERLINK("https://klasma.github.io/Logging_2305/klagomålsmail/A 41906-2024 FSC-klagomål mail.docx", "A 41906-2024")</f>
        <v/>
      </c>
      <c r="X289">
        <f>HYPERLINK("https://klasma.github.io/Logging_2305/tillsyn/A 41906-2024 tillsynsbegäran.docx", "A 41906-2024")</f>
        <v/>
      </c>
      <c r="Y289">
        <f>HYPERLINK("https://klasma.github.io/Logging_2305/tillsynsmail/A 41906-2024 tillsynsbegäran mail.docx", "A 41906-2024")</f>
        <v/>
      </c>
    </row>
    <row r="290" ht="15" customHeight="1">
      <c r="A290" t="inlineStr">
        <is>
          <t>A 17852-2019</t>
        </is>
      </c>
      <c r="B290" s="1" t="n">
        <v>43556</v>
      </c>
      <c r="C290" s="1" t="n">
        <v>45571</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45571</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45571</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45571</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45571</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45571</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45571</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45571</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45571</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45571</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45571</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45571</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45571</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45571</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45571</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45571</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45571</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45571</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45571</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45571</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45571</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45571</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45571</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45571</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45571</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45571</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45571</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45571</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45571</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45571</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45571</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45571</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45571</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45571</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45571</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45571</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45571</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45571</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45571</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45571</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45571</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45571</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45571</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45571</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45571</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45571</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45571</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45571</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45571</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45571</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45571</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45571</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45571</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45571</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45571</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45571</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45571</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45571</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45571</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45571</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45571</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45571</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45571</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45571</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45571</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45571</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45571</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45571</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45571</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45571</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45571</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45571</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45571</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45571</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45571</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45571</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45571</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45571</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45571</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45571</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45571</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45571</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45571</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45571</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45571</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45571</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45571</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45571</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45571</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45571</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45571</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45571</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45571</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45571</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45571</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45571</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45571</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45571</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45571</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45571</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45571</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45571</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45571</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45571</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45571</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45571</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45571</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45571</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45571</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45571</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45571</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45571</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45571</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45571</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45571</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45571</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45571</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45571</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45571</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45571</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45571</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45571</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45571</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45571</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45571</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45571</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45571</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45571</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45571</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45571</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45571</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45571</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45571</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45571</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45571</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45571</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45571</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45571</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45571</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45571</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45571</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45571</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45571</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45571</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45571</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45571</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45571</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45571</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45571</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45571</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45571</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45571</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45571</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45571</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45571</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45571</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45571</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45571</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45571</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45571</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45571</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45571</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45571</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45571</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45571</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45571</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45571</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45571</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45571</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45571</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45571</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45571</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45571</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45571</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45571</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45571</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45571</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45571</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45571</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45571</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45571</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45571</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45571</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45571</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45571</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45571</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45571</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45571</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45571</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45571</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45571</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45571</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45571</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45571</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45571</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45571</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45571</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45571</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45571</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45571</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45571</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45571</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45571</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45571</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45571</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45571</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45571</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45571</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45571</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45571</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45571</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45571</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45571</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45571</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45571</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45571</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45571</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45571</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45571</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45571</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45571</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45571</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45571</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45571</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45571</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45571</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45571</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45571</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45571</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45571</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45571</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45571</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45571</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45571</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45571</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45571</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45571</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45571</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45571</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45571</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45571</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45571</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45571</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45571</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45571</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45571</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45571</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45571</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45571</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45571</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45571</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45571</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45571</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45571</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45571</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45571</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45571</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45571</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45571</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45571</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45571</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45571</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45571</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45571</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45571</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45571</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45571</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45571</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45571</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45571</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45571</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45571</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45571</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45571</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45571</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45571</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45571</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45571</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45571</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45571</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45571</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45571</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45571</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45571</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45571</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45571</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45571</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45571</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45571</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45571</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45571</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45571</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45571</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45571</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45571</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45571</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45571</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45571</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45571</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45571</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45571</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45571</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45571</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45571</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45571</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45571</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45571</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45571</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45571</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45571</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45571</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45571</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45571</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45571</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45571</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45571</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45571</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45571</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45571</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45571</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45571</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45571</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45571</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45571</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45571</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45571</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45571</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45571</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45571</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45571</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45571</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45571</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45571</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45571</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45571</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45571</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45571</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45571</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45571</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45571</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45571</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45571</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45571</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45571</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45571</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45571</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45571</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45571</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45571</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45571</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45571</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45571</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45571</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45571</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45571</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45571</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45571</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45571</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45571</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45571</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45571</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45571</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45571</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45571</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45571</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45571</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45571</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45571</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45571</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45571</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45571</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45571</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45571</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45571</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45571</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45571</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45571</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45571</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45571</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45571</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45571</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45571</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45571</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45571</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45571</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45571</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45571</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45571</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45571</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45571</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45571</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45571</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45571</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45571</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45571</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45571</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45571</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45571</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45571</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45571</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45571</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45571</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45571</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45571</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45571</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45571</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45571</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45571</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45571</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45571</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45571</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45571</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45571</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45571</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45571</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45571</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45571</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45571</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45571</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45571</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45571</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45571</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45571</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45571</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45571</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45571</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45571</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45571</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45571</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45571</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45571</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45571</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45571</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45571</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45571</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45571</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45571</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45571</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45571</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45571</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45571</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45571</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45571</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45571</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45571</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45571</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45571</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45571</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45571</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45571</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45571</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45571</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45571</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45571</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45571</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45571</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45571</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45571</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45571</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45571</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45571</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45571</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45571</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45571</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45571</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45571</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45571</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45571</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45571</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45571</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45571</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45571</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45571</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45571</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45571</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45571</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45571</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45571</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45571</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45571</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45571</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45571</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45571</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45571</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45571</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45571</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45571</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45571</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45571</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45571</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45571</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45571</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45571</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45571</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45571</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45571</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45571</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45571</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45571</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45571</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45571</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45571</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45571</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45571</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45571</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45571</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45571</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45571</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45571</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45571</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45571</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45571</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45571</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45571</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45571</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45571</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45571</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45571</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45571</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45571</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45571</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45571</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45571</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45571</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45571</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45571</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45571</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45571</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45571</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45571</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45571</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45571</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45571</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45571</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45571</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45571</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45571</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45571</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45571</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45571</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45571</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45571</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45571</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45571</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45571</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45571</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45571</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45571</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45571</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45571</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45571</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45571</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45571</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45571</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45571</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45571</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45571</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45571</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45571</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45571</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45571</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45571</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45571</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45571</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45571</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45571</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45571</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45571</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45571</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45571</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45571</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45571</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45571</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45571</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45571</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45571</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45571</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45571</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45571</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45571</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45571</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45571</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45571</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45571</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45571</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45571</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45571</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45571</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45571</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45571</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45571</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45571</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45571</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45571</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45571</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45571</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45571</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45571</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45571</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45571</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45571</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45571</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45571</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45571</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45571</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45571</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45571</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45571</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45571</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45571</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45571</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45571</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45571</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45571</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45571</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45571</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45571</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45571</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45571</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45571</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45571</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45571</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45571</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45571</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45571</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45571</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45571</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45571</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45571</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45571</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45571</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45571</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45571</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45571</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45571</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45571</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45571</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45571</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45571</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45571</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45571</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45571</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45571</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45571</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45571</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45571</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45571</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45571</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45571</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45571</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45571</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45571</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45571</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45571</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45571</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45571</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45571</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45571</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45571</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45571</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45571</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45571</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45571</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45571</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45571</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45571</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45571</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45571</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45571</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45571</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45571</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45571</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45571</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45571</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45571</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45571</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45571</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45571</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45571</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45571</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45571</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45571</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45571</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45571</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45571</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45571</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45571</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45571</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45571</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45571</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45571</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45571</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45571</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45571</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45571</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45571</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45571</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45571</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45571</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45571</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45571</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45571</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45571</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45571</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45571</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45571</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45571</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45571</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45571</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45571</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45571</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45571</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45571</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45571</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45571</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45571</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45571</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45571</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45571</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45571</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45571</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45571</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45571</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45571</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45571</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45571</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45571</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45571</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45571</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45571</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45571</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45571</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45571</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45571</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45571</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45571</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45571</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45571</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45571</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45571</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45571</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45571</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45571</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45571</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45571</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45571</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45571</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45571</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45571</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45571</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45571</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45571</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45571</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45571</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45571</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45571</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45571</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45571</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45571</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45571</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45571</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45571</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45571</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45571</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45571</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45571</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45571</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45571</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45571</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45571</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45571</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45571</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45571</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45571</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45571</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45571</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45571</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45571</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45571</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45571</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45571</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45571</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45571</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45571</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45571</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45571</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45571</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45571</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45571</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45571</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45571</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45571</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45571</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45571</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45571</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45571</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45571</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45571</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45571</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45571</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45571</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45571</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45571</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45571</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45571</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45571</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45571</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45571</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45571</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45571</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45571</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45571</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45571</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45571</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45571</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45571</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45571</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45571</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45571</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45571</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45571</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45571</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45571</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45571</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45571</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45571</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45571</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45571</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45571</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45571</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45571</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45571</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45571</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45571</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45571</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45571</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45571</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45571</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45571</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45571</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45571</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45571</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45571</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45571</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45571</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45571</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45571</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45571</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45571</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45571</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45571</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45571</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45571</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45571</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45571</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45571</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45571</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45571</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45571</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45571</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45571</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45571</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45571</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45571</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45571</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45571</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45571</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45571</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45571</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45571</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45571</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45571</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45571</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45571</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45571</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45571</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45571</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45571</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45571</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45571</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45571</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45571</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45571</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45571</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45571</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45571</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45571</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45571</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45571</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45571</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45571</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45571</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45571</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45571</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45571</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45571</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45571</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45571</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45571</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45571</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45571</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45571</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45571</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45571</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45571</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45571</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45571</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45571</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45571</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45571</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45571</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45571</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45571</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45571</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45571</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45571</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45571</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45571</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45571</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45571</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45571</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45571</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45571</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45571</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45571</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45571</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45571</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45571</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45571</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45571</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45571</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45571</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45571</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45571</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45571</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45571</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45571</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45571</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45571</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45571</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45571</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45571</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45571</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45571</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45571</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45571</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45571</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45571</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45571</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45571</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45571</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45571</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45571</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45571</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45571</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45571</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45571</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45571</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45571</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45571</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45571</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45571</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45571</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45571</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45571</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45571</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45571</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45571</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45571</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45571</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45571</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45571</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45571</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45571</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45571</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45571</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45571</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45571</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45571</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45571</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45571</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45571</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45571</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45571</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45571</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45571</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45571</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45571</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45571</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45571</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45571</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45571</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45571</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45571</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45571</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45571</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45571</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45571</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45571</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45571</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45571</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45571</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45571</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45571</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45571</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45571</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45571</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45571</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45571</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45571</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45571</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45571</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45571</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45571</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45571</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45571</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45571</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45571</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45571</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45571</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45571</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45571</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45571</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45571</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45571</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45571</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45571</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45571</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45571</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45571</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45571</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45571</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45571</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45571</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45571</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45571</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45571</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45571</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45571</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45571</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45571</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45571</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45571</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45571</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45571</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45571</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45571</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45571</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45571</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45571</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45571</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45571</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45571</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45571</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45571</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45571</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45571</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45571</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45571</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45571</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45571</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45571</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45571</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45571</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45571</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45571</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45571</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45571</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45571</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45571</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45571</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45571</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45571</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45571</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45571</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45571</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45571</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45571</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45571</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45571</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45571</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45571</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45571</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45571</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45571</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45571</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45571</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45571</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45571</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45571</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45571</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45571</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45571</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45571</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45571</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45571</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45571</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45571</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45571</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45571</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45571</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45571</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45571</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45571</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45571</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45571</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45571</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45571</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45571</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45571</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45571</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45571</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45571</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45571</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45571</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45571</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45571</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45571</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45571</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45571</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45571</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45571</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45571</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45571</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45571</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45571</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45571</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45571</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45571</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45571</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45571</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45571</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45571</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45571</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45571</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45571</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45571</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45571</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45571</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45571</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45571</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45571</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45571</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45571</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45571</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45571</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45571</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45571</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45571</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45571</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45571</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45571</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45571</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45571</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45571</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45571</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45571</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45571</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45571</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45571</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45571</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45571</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45571</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45571</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45571</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45571</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45571</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45571</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45571</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45571</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45571</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45571</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45571</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45571</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45571</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45571</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45571</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45571</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45571</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45571</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45571</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45571</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45571</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45571</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45571</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45571</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45571</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45571</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45571</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45571</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45571</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45571</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45571</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45571</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45571</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45571</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45571</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45571</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45571</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45571</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45571</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45571</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45571</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45571</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45571</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45571</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45571</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45571</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45571</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45571</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45571</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45571</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45571</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45571</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45571</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45571</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45571</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45571</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45571</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45571</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45571</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45571</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45571</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45571</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45571</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45571</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45571</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45571</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45571</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45571</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45571</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45571</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45571</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45571</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45571</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45571</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45571</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45571</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45571</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45571</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45571</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45571</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45571</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45571</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45571</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45571</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45571</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45571</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45571</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45571</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45571</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45571</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45571</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45571</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45571</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45571</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45571</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45571</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45571</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45571</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45571</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45571</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45571</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45571</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45571</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45571</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45571</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45571</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45571</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45571</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45571</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45571</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45571</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45571</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45571</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45571</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45571</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45571</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45571</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45571</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45571</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45571</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45571</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45571</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45571</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45571</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45571</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45571</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45571</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45571</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45571</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45571</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45571</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45571</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45571</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45571</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45571</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45571</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45571</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45571</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45571</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45571</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45571</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45571</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45571</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45571</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45571</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45571</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45571</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45571</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45571</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45571</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45571</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45571</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45571</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45571</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45571</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45571</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45571</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45571</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45571</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45571</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45571</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45571</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45571</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45571</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45571</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45571</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45571</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45571</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45571</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45571</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45571</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45571</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45571</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45571</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45571</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45571</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45571</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45571</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45571</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45571</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45571</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45571</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45571</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45571</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45571</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45571</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45571</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45571</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45571</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45571</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45571</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45571</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45571</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45571</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45571</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45571</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45571</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45571</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45571</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45571</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45571</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45571</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45571</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45571</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45571</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45571</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45571</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45571</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45571</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45571</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45571</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45571</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45571</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45571</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45571</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45571</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45571</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45571</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45571</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45571</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45571</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45571</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45571</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45571</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45571</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45571</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45571</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45571</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45571</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45571</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45571</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45571</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45571</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45571</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45571</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45571</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45571</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45571</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45571</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45571</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45571</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45571</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45571</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45571</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45571</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45571</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45571</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45571</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45571</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45571</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45571</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45571</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45571</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45571</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45571</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45571</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45571</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45571</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45571</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45571</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45571</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45571</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45571</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45571</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45571</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45571</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45571</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45571</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45571</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45571</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45571</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45571</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45571</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45571</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45571</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45571</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45571</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45571</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45571</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45571</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45571</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45571</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45571</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45571</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45571</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45571</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45571</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45571</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45571</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45571</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45571</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45571</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45571</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45571</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45571</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45571</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45571</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45571</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45571</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45571</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45571</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45571</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45571</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45571</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45571</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45571</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45571</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45571</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45571</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45571</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45571</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45571</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45571</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45571</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45571</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45571</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45571</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45571</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45571</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45571</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45571</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45571</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45571</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45571</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45571</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45571</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45571</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45571</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45571</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45571</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45571</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45571</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45571</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45571</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45571</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45571</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45571</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45571</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45571</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45571</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45571</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45571</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45571</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45571</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45571</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45571</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45571</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45571</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45571</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45571</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45571</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45571</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45571</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45571</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45571</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45571</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45571</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45571</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45571</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45571</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45571</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45571</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45571</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45571</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45571</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45571</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45571</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45571</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45571</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45571</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45571</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45571</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45571</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45571</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45571</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45571</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45571</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45571</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45571</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45571</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45571</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45571</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45571</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45571</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45571</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45571</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45571</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45571</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45571</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45571</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45571</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45571</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45571</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45571</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45571</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45571</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45571</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45571</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45571</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45571</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45571</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45571</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45571</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45571</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45571</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45571</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45571</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45571</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45571</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45571</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45571</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45571</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45571</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45571</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45571</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45571</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45571</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45571</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45571</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45571</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45571</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45571</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45571</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45571</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45571</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45571</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45571</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45571</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45571</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45571</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45571</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45571</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45571</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45571</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45571</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45571</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45571</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45571</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45571</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45571</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45571</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45571</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45571</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45571</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45571</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45571</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45571</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45571</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45571</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45571</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45571</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45571</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45571</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45571</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45571</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45571</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45571</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45571</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45571</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45571</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45571</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45571</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45571</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45571</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45571</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45571</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45571</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45571</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45571</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45571</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45571</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45571</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45571</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45571</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45571</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45571</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45571</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45571</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45571</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45571</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45571</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45571</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45571</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45571</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45571</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45571</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45571</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45571</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45571</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45571</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45571</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45571</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45571</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45571</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45571</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45571</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45571</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45571</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45571</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45571</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45571</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45571</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45571</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45571</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45571</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45571</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45571</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45571</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45571</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45571</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45571</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45571</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45571</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45571</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45571</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45571</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45571</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45571</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45571</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45571</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45571</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45571</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45571</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45571</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45571</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45571</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45571</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45571</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45571</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45571</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45571</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45571</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45571</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45571</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45571</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45571</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45571</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45571</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45571</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45571</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45571</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45571</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45571</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45571</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45571</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45571</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45571</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45571</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45571</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45571</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45571</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45571</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45571</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45571</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45571</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45571</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45571</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45571</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45571</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45571</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45571</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45571</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45571</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45571</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45571</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45571</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45571</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45571</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45571</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45571</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45571</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45571</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45571</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45571</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45571</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45571</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45571</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45571</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45571</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45571</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45571</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45571</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45571</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45571</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45571</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45571</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45571</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45571</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45571</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45571</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45571</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45571</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45571</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45571</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45571</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45571</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45571</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45571</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45571</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45571</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45571</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45571</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45571</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45571</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45571</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45571</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45571</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45571</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45571</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45571</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45571</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45571</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45571</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45571</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45571</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45571</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45571</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45571</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45571</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45571</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45571</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45571</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45571</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45571</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45571</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45571</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45571</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45571</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45571</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45571</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45571</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45571</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45571</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45571</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45571</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45571</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45571</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45571</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45571</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45571</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45571</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45571</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45571</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45571</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45571</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45571</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45571</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45571</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45571</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45571</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45571</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45571</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45571</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45571</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45571</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45571</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45571</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45571</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45571</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45571</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45571</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45571</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45571</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45571</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37960-2024</t>
        </is>
      </c>
      <c r="B2116" s="1" t="n">
        <v>45544</v>
      </c>
      <c r="C2116" s="1" t="n">
        <v>45571</v>
      </c>
      <c r="D2116" t="inlineStr">
        <is>
          <t>JÄMTLANDS LÄN</t>
        </is>
      </c>
      <c r="E2116" t="inlineStr">
        <is>
          <t>BRÄCKE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37883-2024</t>
        </is>
      </c>
      <c r="B2117" s="1" t="n">
        <v>45544</v>
      </c>
      <c r="C2117" s="1" t="n">
        <v>45571</v>
      </c>
      <c r="D2117" t="inlineStr">
        <is>
          <t>JÄMTLANDS LÄN</t>
        </is>
      </c>
      <c r="E2117" t="inlineStr">
        <is>
          <t>BRÄCKE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37959-2024</t>
        </is>
      </c>
      <c r="B2118" s="1" t="n">
        <v>45544</v>
      </c>
      <c r="C2118" s="1" t="n">
        <v>45571</v>
      </c>
      <c r="D2118" t="inlineStr">
        <is>
          <t>JÄMTLANDS LÄN</t>
        </is>
      </c>
      <c r="E2118" t="inlineStr">
        <is>
          <t>BRÄCKE</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38007-2024</t>
        </is>
      </c>
      <c r="B2119" s="1" t="n">
        <v>45544</v>
      </c>
      <c r="C2119" s="1" t="n">
        <v>45571</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38162-2024</t>
        </is>
      </c>
      <c r="B2120" s="1" t="n">
        <v>45545</v>
      </c>
      <c r="C2120" s="1" t="n">
        <v>45571</v>
      </c>
      <c r="D2120" t="inlineStr">
        <is>
          <t>JÄMTLANDS LÄN</t>
        </is>
      </c>
      <c r="E2120" t="inlineStr">
        <is>
          <t>BRÄCKE</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38105-2024</t>
        </is>
      </c>
      <c r="B2121" s="1" t="n">
        <v>45545</v>
      </c>
      <c r="C2121" s="1" t="n">
        <v>45571</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45571</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38302-2024</t>
        </is>
      </c>
      <c r="B2123" s="1" t="n">
        <v>45545</v>
      </c>
      <c r="C2123" s="1" t="n">
        <v>45571</v>
      </c>
      <c r="D2123" t="inlineStr">
        <is>
          <t>JÄMTLANDS LÄN</t>
        </is>
      </c>
      <c r="E2123" t="inlineStr">
        <is>
          <t>BRÄCKE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38321-2024</t>
        </is>
      </c>
      <c r="B2124" s="1" t="n">
        <v>45545</v>
      </c>
      <c r="C2124" s="1" t="n">
        <v>45571</v>
      </c>
      <c r="D2124" t="inlineStr">
        <is>
          <t>JÄMTLANDS LÄN</t>
        </is>
      </c>
      <c r="E2124" t="inlineStr">
        <is>
          <t>BRÄCKE</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45571</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45571</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38404-2024</t>
        </is>
      </c>
      <c r="B2127" s="1" t="n">
        <v>45546</v>
      </c>
      <c r="C2127" s="1" t="n">
        <v>45571</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45571</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38865-2024</t>
        </is>
      </c>
      <c r="B2129" s="1" t="n">
        <v>45547</v>
      </c>
      <c r="C2129" s="1" t="n">
        <v>45571</v>
      </c>
      <c r="D2129" t="inlineStr">
        <is>
          <t>JÄMTLANDS LÄN</t>
        </is>
      </c>
      <c r="E2129" t="inlineStr">
        <is>
          <t>BRÄCKE</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38862-2024</t>
        </is>
      </c>
      <c r="B2130" s="1" t="n">
        <v>45547</v>
      </c>
      <c r="C2130" s="1" t="n">
        <v>45571</v>
      </c>
      <c r="D2130" t="inlineStr">
        <is>
          <t>JÄMTLANDS LÄN</t>
        </is>
      </c>
      <c r="E2130" t="inlineStr">
        <is>
          <t>BRÄCKE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38817-2024</t>
        </is>
      </c>
      <c r="B2131" s="1" t="n">
        <v>45547</v>
      </c>
      <c r="C2131" s="1" t="n">
        <v>45571</v>
      </c>
      <c r="D2131" t="inlineStr">
        <is>
          <t>JÄMTLANDS LÄN</t>
        </is>
      </c>
      <c r="E2131" t="inlineStr">
        <is>
          <t>BRÄCKE</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45571</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39192-2024</t>
        </is>
      </c>
      <c r="B2133" s="1" t="n">
        <v>45548</v>
      </c>
      <c r="C2133" s="1" t="n">
        <v>45571</v>
      </c>
      <c r="D2133" t="inlineStr">
        <is>
          <t>JÄMTLANDS LÄN</t>
        </is>
      </c>
      <c r="E2133" t="inlineStr">
        <is>
          <t>BRÄCKE</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39122-2024</t>
        </is>
      </c>
      <c r="B2134" s="1" t="n">
        <v>45548</v>
      </c>
      <c r="C2134" s="1" t="n">
        <v>45571</v>
      </c>
      <c r="D2134" t="inlineStr">
        <is>
          <t>JÄMTLANDS LÄN</t>
        </is>
      </c>
      <c r="E2134" t="inlineStr">
        <is>
          <t>BRÄCKE</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39281-2024</t>
        </is>
      </c>
      <c r="B2135" s="1" t="n">
        <v>45551</v>
      </c>
      <c r="C2135" s="1" t="n">
        <v>45571</v>
      </c>
      <c r="D2135" t="inlineStr">
        <is>
          <t>JÄMTLANDS LÄN</t>
        </is>
      </c>
      <c r="E2135" t="inlineStr">
        <is>
          <t>BRÄCKE</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39326-2024</t>
        </is>
      </c>
      <c r="B2136" s="1" t="n">
        <v>45551</v>
      </c>
      <c r="C2136" s="1" t="n">
        <v>45571</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45571</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45571</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39884-2024</t>
        </is>
      </c>
      <c r="B2139" s="1" t="n">
        <v>45553</v>
      </c>
      <c r="C2139" s="1" t="n">
        <v>45571</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39883-2024</t>
        </is>
      </c>
      <c r="B2140" s="1" t="n">
        <v>45553</v>
      </c>
      <c r="C2140" s="1" t="n">
        <v>45571</v>
      </c>
      <c r="D2140" t="inlineStr">
        <is>
          <t>JÄMTLANDS LÄN</t>
        </is>
      </c>
      <c r="E2140" t="inlineStr">
        <is>
          <t>BRÄCKE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39945-2024</t>
        </is>
      </c>
      <c r="B2141" s="1" t="n">
        <v>45553</v>
      </c>
      <c r="C2141" s="1" t="n">
        <v>45571</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39996-2024</t>
        </is>
      </c>
      <c r="B2142" s="1" t="n">
        <v>45553</v>
      </c>
      <c r="C2142" s="1" t="n">
        <v>45571</v>
      </c>
      <c r="D2142" t="inlineStr">
        <is>
          <t>JÄMTLANDS LÄN</t>
        </is>
      </c>
      <c r="E2142" t="inlineStr">
        <is>
          <t>BRÄCKE</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39885-2024</t>
        </is>
      </c>
      <c r="B2143" s="1" t="n">
        <v>45553</v>
      </c>
      <c r="C2143" s="1" t="n">
        <v>45571</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45571</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40343-2024</t>
        </is>
      </c>
      <c r="B2145" s="1" t="n">
        <v>45555</v>
      </c>
      <c r="C2145" s="1" t="n">
        <v>45571</v>
      </c>
      <c r="D2145" t="inlineStr">
        <is>
          <t>JÄMTLANDS LÄN</t>
        </is>
      </c>
      <c r="E2145" t="inlineStr">
        <is>
          <t>BRÄCKE</t>
        </is>
      </c>
      <c r="F2145" t="inlineStr">
        <is>
          <t>SCA</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40387-2024</t>
        </is>
      </c>
      <c r="B2146" s="1" t="n">
        <v>45555</v>
      </c>
      <c r="C2146" s="1" t="n">
        <v>45571</v>
      </c>
      <c r="D2146" t="inlineStr">
        <is>
          <t>JÄMTLANDS LÄN</t>
        </is>
      </c>
      <c r="E2146" t="inlineStr">
        <is>
          <t>BRÄCKE</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45571</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40791-2024</t>
        </is>
      </c>
      <c r="B2148" s="1" t="n">
        <v>45558</v>
      </c>
      <c r="C2148" s="1" t="n">
        <v>45571</v>
      </c>
      <c r="D2148" t="inlineStr">
        <is>
          <t>JÄMTLANDS LÄN</t>
        </is>
      </c>
      <c r="E2148" t="inlineStr">
        <is>
          <t>BRÄCKE</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40792-2024</t>
        </is>
      </c>
      <c r="B2149" s="1" t="n">
        <v>45558</v>
      </c>
      <c r="C2149" s="1" t="n">
        <v>45571</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40951-2024</t>
        </is>
      </c>
      <c r="B2150" s="1" t="n">
        <v>45558</v>
      </c>
      <c r="C2150" s="1" t="n">
        <v>45571</v>
      </c>
      <c r="D2150" t="inlineStr">
        <is>
          <t>JÄMTLANDS LÄN</t>
        </is>
      </c>
      <c r="E2150" t="inlineStr">
        <is>
          <t>BRÄCKE</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40693-2024</t>
        </is>
      </c>
      <c r="B2151" s="1" t="n">
        <v>45558</v>
      </c>
      <c r="C2151" s="1" t="n">
        <v>45571</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45571</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45571</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45571</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41314-2024</t>
        </is>
      </c>
      <c r="B2155" s="1" t="n">
        <v>45559</v>
      </c>
      <c r="C2155" s="1" t="n">
        <v>45571</v>
      </c>
      <c r="D2155" t="inlineStr">
        <is>
          <t>JÄMTLANDS LÄN</t>
        </is>
      </c>
      <c r="E2155" t="inlineStr">
        <is>
          <t>BRÄCKE</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41313-2024</t>
        </is>
      </c>
      <c r="B2156" s="1" t="n">
        <v>45559</v>
      </c>
      <c r="C2156" s="1" t="n">
        <v>45571</v>
      </c>
      <c r="D2156" t="inlineStr">
        <is>
          <t>JÄMTLANDS LÄN</t>
        </is>
      </c>
      <c r="E2156" t="inlineStr">
        <is>
          <t>BRÄCKE</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45571</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45571</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41424-2024</t>
        </is>
      </c>
      <c r="B2159" s="1" t="n">
        <v>45560</v>
      </c>
      <c r="C2159" s="1" t="n">
        <v>45571</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41450-2024</t>
        </is>
      </c>
      <c r="B2160" s="1" t="n">
        <v>45560</v>
      </c>
      <c r="C2160" s="1" t="n">
        <v>45571</v>
      </c>
      <c r="D2160" t="inlineStr">
        <is>
          <t>JÄMTLANDS LÄN</t>
        </is>
      </c>
      <c r="E2160" t="inlineStr">
        <is>
          <t>BRÄCKE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41418-2024</t>
        </is>
      </c>
      <c r="B2161" s="1" t="n">
        <v>45560</v>
      </c>
      <c r="C2161" s="1" t="n">
        <v>45571</v>
      </c>
      <c r="D2161" t="inlineStr">
        <is>
          <t>JÄMTLANDS LÄN</t>
        </is>
      </c>
      <c r="E2161" t="inlineStr">
        <is>
          <t>BRÄCKE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41423-2024</t>
        </is>
      </c>
      <c r="B2162" s="1" t="n">
        <v>45560</v>
      </c>
      <c r="C2162" s="1" t="n">
        <v>45571</v>
      </c>
      <c r="D2162" t="inlineStr">
        <is>
          <t>JÄMTLANDS LÄN</t>
        </is>
      </c>
      <c r="E2162" t="inlineStr">
        <is>
          <t>BRÄCKE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45571</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45571</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41773-2024</t>
        </is>
      </c>
      <c r="B2165" s="1" t="n">
        <v>45561</v>
      </c>
      <c r="C2165" s="1" t="n">
        <v>45571</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41831-2024</t>
        </is>
      </c>
      <c r="B2166" s="1" t="n">
        <v>45561</v>
      </c>
      <c r="C2166" s="1" t="n">
        <v>45571</v>
      </c>
      <c r="D2166" t="inlineStr">
        <is>
          <t>JÄMTLANDS LÄN</t>
        </is>
      </c>
      <c r="E2166" t="inlineStr">
        <is>
          <t>BRÄCKE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41763-2024</t>
        </is>
      </c>
      <c r="B2167" s="1" t="n">
        <v>45561</v>
      </c>
      <c r="C2167" s="1" t="n">
        <v>45571</v>
      </c>
      <c r="D2167" t="inlineStr">
        <is>
          <t>JÄMTLANDS LÄN</t>
        </is>
      </c>
      <c r="E2167" t="inlineStr">
        <is>
          <t>BRÄCKE</t>
        </is>
      </c>
      <c r="F2167" t="inlineStr">
        <is>
          <t>SCA</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45571</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41829-2024</t>
        </is>
      </c>
      <c r="B2169" s="1" t="n">
        <v>45561</v>
      </c>
      <c r="C2169" s="1" t="n">
        <v>45571</v>
      </c>
      <c r="D2169" t="inlineStr">
        <is>
          <t>JÄMTLANDS LÄN</t>
        </is>
      </c>
      <c r="E2169" t="inlineStr">
        <is>
          <t>BRÄCKE</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41869-2024</t>
        </is>
      </c>
      <c r="B2170" s="1" t="n">
        <v>45561</v>
      </c>
      <c r="C2170" s="1" t="n">
        <v>45571</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45571</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42306-2024</t>
        </is>
      </c>
      <c r="B2172" s="1" t="n">
        <v>45562</v>
      </c>
      <c r="C2172" s="1" t="n">
        <v>45571</v>
      </c>
      <c r="D2172" t="inlineStr">
        <is>
          <t>JÄMTLANDS LÄN</t>
        </is>
      </c>
      <c r="E2172" t="inlineStr">
        <is>
          <t>BRÄCKE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42105-2024</t>
        </is>
      </c>
      <c r="B2173" s="1" t="n">
        <v>45562</v>
      </c>
      <c r="C2173" s="1" t="n">
        <v>45571</v>
      </c>
      <c r="D2173" t="inlineStr">
        <is>
          <t>JÄMTLANDS LÄN</t>
        </is>
      </c>
      <c r="E2173" t="inlineStr">
        <is>
          <t>BRÄCKE</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45571</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42719-2024</t>
        </is>
      </c>
      <c r="B2175" s="1" t="n">
        <v>45566</v>
      </c>
      <c r="C2175" s="1" t="n">
        <v>45571</v>
      </c>
      <c r="D2175" t="inlineStr">
        <is>
          <t>JÄMTLANDS LÄN</t>
        </is>
      </c>
      <c r="E2175" t="inlineStr">
        <is>
          <t>BRÄCKE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42716-2024</t>
        </is>
      </c>
      <c r="B2176" s="1" t="n">
        <v>45566</v>
      </c>
      <c r="C2176" s="1" t="n">
        <v>45571</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42959-2024</t>
        </is>
      </c>
      <c r="B2177" s="1" t="n">
        <v>45567</v>
      </c>
      <c r="C2177" s="1" t="n">
        <v>45571</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42952-2024</t>
        </is>
      </c>
      <c r="B2178" s="1" t="n">
        <v>45567</v>
      </c>
      <c r="C2178" s="1" t="n">
        <v>45571</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42956-2024</t>
        </is>
      </c>
      <c r="B2179" s="1" t="n">
        <v>45567</v>
      </c>
      <c r="C2179" s="1" t="n">
        <v>45571</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43381-2024</t>
        </is>
      </c>
      <c r="B2180" s="1" t="n">
        <v>45568</v>
      </c>
      <c r="C2180" s="1" t="n">
        <v>45571</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43382-2024</t>
        </is>
      </c>
      <c r="B2181" s="1" t="n">
        <v>45568</v>
      </c>
      <c r="C2181" s="1" t="n">
        <v>45571</v>
      </c>
      <c r="D2181" t="inlineStr">
        <is>
          <t>JÄMTLANDS LÄN</t>
        </is>
      </c>
      <c r="E2181" t="inlineStr">
        <is>
          <t>BRÄCKE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43463-2024</t>
        </is>
      </c>
      <c r="B2182" s="1" t="n">
        <v>45568</v>
      </c>
      <c r="C2182" s="1" t="n">
        <v>45571</v>
      </c>
      <c r="D2182" t="inlineStr">
        <is>
          <t>JÄMTLANDS LÄN</t>
        </is>
      </c>
      <c r="E2182" t="inlineStr">
        <is>
          <t>BRÄCKE</t>
        </is>
      </c>
      <c r="G2182" t="n">
        <v>6.8</v>
      </c>
      <c r="H2182" t="n">
        <v>0</v>
      </c>
      <c r="I2182" t="n">
        <v>0</v>
      </c>
      <c r="J2182" t="n">
        <v>0</v>
      </c>
      <c r="K2182" t="n">
        <v>0</v>
      </c>
      <c r="L2182" t="n">
        <v>0</v>
      </c>
      <c r="M2182" t="n">
        <v>0</v>
      </c>
      <c r="N2182" t="n">
        <v>0</v>
      </c>
      <c r="O2182" t="n">
        <v>0</v>
      </c>
      <c r="P2182" t="n">
        <v>0</v>
      </c>
      <c r="Q2182" t="n">
        <v>0</v>
      </c>
      <c r="R2182" s="2" t="inlineStr"/>
    </row>
    <row r="2183">
      <c r="A2183" t="inlineStr">
        <is>
          <t>A 43380-2024</t>
        </is>
      </c>
      <c r="B2183" s="1" t="n">
        <v>45568</v>
      </c>
      <c r="C2183" s="1" t="n">
        <v>45571</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2024-10-06T11:59:01Z</dcterms:created>
  <dcterms:modified xmlns:dcterms="http://purl.org/dc/terms/" xmlns:xsi="http://www.w3.org/2001/XMLSchema-instance" xsi:type="dcterms:W3CDTF">2024-10-06T11:59:03Z</dcterms:modified>
</cp:coreProperties>
</file>