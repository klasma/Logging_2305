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45666</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45666</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45666</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45666</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45666</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45666</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45666</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45666</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45666</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45666</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45666</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45666</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45666</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45666</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45666</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45666</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45666</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45666</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45666</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45666</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45666</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45666</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45666</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45666</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45666</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45666</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45666</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45666</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45666</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45666</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45666</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45666</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45666</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45666</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45666</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45666</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45666</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45666</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45666</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45666</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45666</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45666</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45666</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45666</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45666</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45666</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45666</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45666</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45666</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45666</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45666</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45666</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45666</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45666</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45666</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45666</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45666</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45666</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45666</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45666</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45666</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45666</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45666</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45666</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45666</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45666</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45666</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45666</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45666</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45666</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45666</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45666</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45666</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45666</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45666</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45666</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45666</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45666</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45666</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45666</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45666</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45666</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45666</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45666</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45666</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45666</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45666</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45666</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45666</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45666</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45666</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45666</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45666</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45666</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45666</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45666</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45666</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45666</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45666</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45666</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45666</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45666</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45666</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45666</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45666</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45666</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45666</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45666</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45666</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45666</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45666</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45666</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45666</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45666</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45666</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45666</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45666</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45666</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45666</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45666</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45666</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45666</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45666</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45666</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45666</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45666</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45666</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45666</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45666</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45666</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60610-2024</t>
        </is>
      </c>
      <c r="B171" s="1" t="n">
        <v>45644</v>
      </c>
      <c r="C171" s="1" t="n">
        <v>45666</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60613-2024</t>
        </is>
      </c>
      <c r="B172" s="1" t="n">
        <v>45644</v>
      </c>
      <c r="C172" s="1" t="n">
        <v>45666</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28341-2019</t>
        </is>
      </c>
      <c r="B173" s="1" t="n">
        <v>43623</v>
      </c>
      <c r="C173" s="1" t="n">
        <v>45666</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45666</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45666</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45666</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45666</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45666</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45666</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45666</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45666</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45666</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45666</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45666</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45666</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45666</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45666</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45666</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45666</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45666</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45666</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45666</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45666</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45666</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45666</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45666</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45666</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45666</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45666</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45666</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45666</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45666</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45666</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45666</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45666</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45666</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45666</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45666</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45666</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45666</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45666</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45666</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45666</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45666</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45666</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45666</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45666</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45666</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45666</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45666</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45666</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45666</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45666</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45666</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45666</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45666</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45666</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45666</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45666</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45666</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45666</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45666</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45666</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45666</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45666</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45666</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45666</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45666</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45666</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45666</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45666</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45666</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45666</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45666</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45666</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45666</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45666</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45666</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45666</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45666</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45666</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45666</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45666</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45666</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45666</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45666</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45666</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45666</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45666</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45666</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45666</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45666</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45666</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45666</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45666</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45666</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45666</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45666</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45666</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45666</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45666</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45666</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45666</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45666</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45666</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45666</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45666</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45666</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45666</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45666</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45666</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45666</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45666</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45666</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45666</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45666</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45666</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45666</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45666</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45666</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45666</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45666</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45666</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45666</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45666</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45666</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45666</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45666</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45666</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45666</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45666</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45666</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45666</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45666</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45666</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45666</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5269-2024</t>
        </is>
      </c>
      <c r="B307" s="1" t="n">
        <v>45331</v>
      </c>
      <c r="C307" s="1" t="n">
        <v>45666</v>
      </c>
      <c r="D307" t="inlineStr">
        <is>
          <t>JÄMTLANDS LÄN</t>
        </is>
      </c>
      <c r="E307" t="inlineStr">
        <is>
          <t>BRÄCKE</t>
        </is>
      </c>
      <c r="F307" t="inlineStr">
        <is>
          <t>SCA</t>
        </is>
      </c>
      <c r="G307" t="n">
        <v>8.300000000000001</v>
      </c>
      <c r="H307" t="n">
        <v>0</v>
      </c>
      <c r="I307" t="n">
        <v>0</v>
      </c>
      <c r="J307" t="n">
        <v>1</v>
      </c>
      <c r="K307" t="n">
        <v>0</v>
      </c>
      <c r="L307" t="n">
        <v>0</v>
      </c>
      <c r="M307" t="n">
        <v>0</v>
      </c>
      <c r="N307" t="n">
        <v>0</v>
      </c>
      <c r="O307" t="n">
        <v>1</v>
      </c>
      <c r="P307" t="n">
        <v>0</v>
      </c>
      <c r="Q307" t="n">
        <v>1</v>
      </c>
      <c r="R307" s="2" t="inlineStr">
        <is>
          <t>Granticka</t>
        </is>
      </c>
      <c r="S307">
        <f>HYPERLINK("https://klasma.github.io/Logging_2305/artfynd/A 5269-2024 artfynd.xlsx", "A 5269-2024")</f>
        <v/>
      </c>
      <c r="T307">
        <f>HYPERLINK("https://klasma.github.io/Logging_2305/kartor/A 5269-2024 karta.png", "A 5269-2024")</f>
        <v/>
      </c>
      <c r="V307">
        <f>HYPERLINK("https://klasma.github.io/Logging_2305/klagomål/A 5269-2024 FSC-klagomål.docx", "A 5269-2024")</f>
        <v/>
      </c>
      <c r="W307">
        <f>HYPERLINK("https://klasma.github.io/Logging_2305/klagomålsmail/A 5269-2024 FSC-klagomål mail.docx", "A 5269-2024")</f>
        <v/>
      </c>
      <c r="X307">
        <f>HYPERLINK("https://klasma.github.io/Logging_2305/tillsyn/A 5269-2024 tillsynsbegäran.docx", "A 5269-2024")</f>
        <v/>
      </c>
      <c r="Y307">
        <f>HYPERLINK("https://klasma.github.io/Logging_2305/tillsynsmail/A 5269-2024 tillsynsbegäran mail.docx", "A 5269-2024")</f>
        <v/>
      </c>
    </row>
    <row r="308" ht="15" customHeight="1">
      <c r="A308" t="inlineStr">
        <is>
          <t>A 5439-2024</t>
        </is>
      </c>
      <c r="B308" s="1" t="n">
        <v>45331</v>
      </c>
      <c r="C308" s="1" t="n">
        <v>45666</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HYPERLINK("https://klasma.github.io/Logging_2305/artfynd/A 5439-2024 artfynd.xlsx", "A 5439-2024")</f>
        <v/>
      </c>
      <c r="T308">
        <f>HYPERLINK("https://klasma.github.io/Logging_2305/kartor/A 5439-2024 karta.png", "A 5439-2024")</f>
        <v/>
      </c>
      <c r="V308">
        <f>HYPERLINK("https://klasma.github.io/Logging_2305/klagomål/A 5439-2024 FSC-klagomål.docx", "A 5439-2024")</f>
        <v/>
      </c>
      <c r="W308">
        <f>HYPERLINK("https://klasma.github.io/Logging_2305/klagomålsmail/A 5439-2024 FSC-klagomål mail.docx", "A 5439-2024")</f>
        <v/>
      </c>
      <c r="X308">
        <f>HYPERLINK("https://klasma.github.io/Logging_2305/tillsyn/A 5439-2024 tillsynsbegäran.docx", "A 5439-2024")</f>
        <v/>
      </c>
      <c r="Y308">
        <f>HYPERLINK("https://klasma.github.io/Logging_2305/tillsynsmail/A 5439-2024 tillsynsbegäran mail.docx", "A 5439-2024")</f>
        <v/>
      </c>
    </row>
    <row r="309" ht="15" customHeight="1">
      <c r="A309" t="inlineStr">
        <is>
          <t>A 10039-2024</t>
        </is>
      </c>
      <c r="B309" s="1" t="n">
        <v>45364</v>
      </c>
      <c r="C309" s="1" t="n">
        <v>45666</v>
      </c>
      <c r="D309" t="inlineStr">
        <is>
          <t>JÄMTLANDS LÄN</t>
        </is>
      </c>
      <c r="E309" t="inlineStr">
        <is>
          <t>BRÄCKE</t>
        </is>
      </c>
      <c r="F309" t="inlineStr">
        <is>
          <t>SCA</t>
        </is>
      </c>
      <c r="G309" t="n">
        <v>3.7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10039-2024 artfynd.xlsx", "A 10039-2024")</f>
        <v/>
      </c>
      <c r="T309">
        <f>HYPERLINK("https://klasma.github.io/Logging_2305/kartor/A 10039-2024 karta.png", "A 10039-2024")</f>
        <v/>
      </c>
      <c r="V309">
        <f>HYPERLINK("https://klasma.github.io/Logging_2305/klagomål/A 10039-2024 FSC-klagomål.docx", "A 10039-2024")</f>
        <v/>
      </c>
      <c r="W309">
        <f>HYPERLINK("https://klasma.github.io/Logging_2305/klagomålsmail/A 10039-2024 FSC-klagomål mail.docx", "A 10039-2024")</f>
        <v/>
      </c>
      <c r="X309">
        <f>HYPERLINK("https://klasma.github.io/Logging_2305/tillsyn/A 10039-2024 tillsynsbegäran.docx", "A 10039-2024")</f>
        <v/>
      </c>
      <c r="Y309">
        <f>HYPERLINK("https://klasma.github.io/Logging_2305/tillsynsmail/A 10039-2024 tillsynsbegäran mail.docx", "A 10039-2024")</f>
        <v/>
      </c>
    </row>
    <row r="310" ht="15" customHeight="1">
      <c r="A310" t="inlineStr">
        <is>
          <t>A 10862-2024</t>
        </is>
      </c>
      <c r="B310" s="1" t="n">
        <v>45370</v>
      </c>
      <c r="C310" s="1" t="n">
        <v>45666</v>
      </c>
      <c r="D310" t="inlineStr">
        <is>
          <t>JÄMTLANDS LÄN</t>
        </is>
      </c>
      <c r="E310" t="inlineStr">
        <is>
          <t>BRÄCKE</t>
        </is>
      </c>
      <c r="F310" t="inlineStr">
        <is>
          <t>SCA</t>
        </is>
      </c>
      <c r="G310" t="n">
        <v>9.800000000000001</v>
      </c>
      <c r="H310" t="n">
        <v>1</v>
      </c>
      <c r="I310" t="n">
        <v>0</v>
      </c>
      <c r="J310" t="n">
        <v>0</v>
      </c>
      <c r="K310" t="n">
        <v>0</v>
      </c>
      <c r="L310" t="n">
        <v>0</v>
      </c>
      <c r="M310" t="n">
        <v>0</v>
      </c>
      <c r="N310" t="n">
        <v>0</v>
      </c>
      <c r="O310" t="n">
        <v>0</v>
      </c>
      <c r="P310" t="n">
        <v>0</v>
      </c>
      <c r="Q310" t="n">
        <v>1</v>
      </c>
      <c r="R310" s="2" t="inlineStr">
        <is>
          <t>Revlummer</t>
        </is>
      </c>
      <c r="S310">
        <f>HYPERLINK("https://klasma.github.io/Logging_2305/artfynd/A 10862-2024 artfynd.xlsx", "A 10862-2024")</f>
        <v/>
      </c>
      <c r="T310">
        <f>HYPERLINK("https://klasma.github.io/Logging_2305/kartor/A 10862-2024 karta.png", "A 10862-2024")</f>
        <v/>
      </c>
      <c r="V310">
        <f>HYPERLINK("https://klasma.github.io/Logging_2305/klagomål/A 10862-2024 FSC-klagomål.docx", "A 10862-2024")</f>
        <v/>
      </c>
      <c r="W310">
        <f>HYPERLINK("https://klasma.github.io/Logging_2305/klagomålsmail/A 10862-2024 FSC-klagomål mail.docx", "A 10862-2024")</f>
        <v/>
      </c>
      <c r="X310">
        <f>HYPERLINK("https://klasma.github.io/Logging_2305/tillsyn/A 10862-2024 tillsynsbegäran.docx", "A 10862-2024")</f>
        <v/>
      </c>
      <c r="Y310">
        <f>HYPERLINK("https://klasma.github.io/Logging_2305/tillsynsmail/A 10862-2024 tillsynsbegäran mail.docx", "A 10862-2024")</f>
        <v/>
      </c>
    </row>
    <row r="311" ht="15" customHeight="1">
      <c r="A311" t="inlineStr">
        <is>
          <t>A 11614-2024</t>
        </is>
      </c>
      <c r="B311" s="1" t="n">
        <v>45373</v>
      </c>
      <c r="C311" s="1" t="n">
        <v>45666</v>
      </c>
      <c r="D311" t="inlineStr">
        <is>
          <t>JÄMTLANDS LÄN</t>
        </is>
      </c>
      <c r="E311" t="inlineStr">
        <is>
          <t>BRÄCKE</t>
        </is>
      </c>
      <c r="G311" t="n">
        <v>4.3</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11614-2024 artfynd.xlsx", "A 11614-2024")</f>
        <v/>
      </c>
      <c r="T311">
        <f>HYPERLINK("https://klasma.github.io/Logging_2305/kartor/A 11614-2024 karta.png", "A 11614-2024")</f>
        <v/>
      </c>
      <c r="V311">
        <f>HYPERLINK("https://klasma.github.io/Logging_2305/klagomål/A 11614-2024 FSC-klagomål.docx", "A 11614-2024")</f>
        <v/>
      </c>
      <c r="W311">
        <f>HYPERLINK("https://klasma.github.io/Logging_2305/klagomålsmail/A 11614-2024 FSC-klagomål mail.docx", "A 11614-2024")</f>
        <v/>
      </c>
      <c r="X311">
        <f>HYPERLINK("https://klasma.github.io/Logging_2305/tillsyn/A 11614-2024 tillsynsbegäran.docx", "A 11614-2024")</f>
        <v/>
      </c>
      <c r="Y311">
        <f>HYPERLINK("https://klasma.github.io/Logging_2305/tillsynsmail/A 11614-2024 tillsynsbegäran mail.docx", "A 11614-2024")</f>
        <v/>
      </c>
    </row>
    <row r="312" ht="15" customHeight="1">
      <c r="A312" t="inlineStr">
        <is>
          <t>A 12185-2024</t>
        </is>
      </c>
      <c r="B312" s="1" t="n">
        <v>45377</v>
      </c>
      <c r="C312" s="1" t="n">
        <v>45666</v>
      </c>
      <c r="D312" t="inlineStr">
        <is>
          <t>JÄMTLANDS LÄN</t>
        </is>
      </c>
      <c r="E312" t="inlineStr">
        <is>
          <t>BRÄCKE</t>
        </is>
      </c>
      <c r="F312" t="inlineStr">
        <is>
          <t>SCA</t>
        </is>
      </c>
      <c r="G312" t="n">
        <v>2.5</v>
      </c>
      <c r="H312" t="n">
        <v>0</v>
      </c>
      <c r="I312" t="n">
        <v>0</v>
      </c>
      <c r="J312" t="n">
        <v>1</v>
      </c>
      <c r="K312" t="n">
        <v>0</v>
      </c>
      <c r="L312" t="n">
        <v>0</v>
      </c>
      <c r="M312" t="n">
        <v>0</v>
      </c>
      <c r="N312" t="n">
        <v>0</v>
      </c>
      <c r="O312" t="n">
        <v>1</v>
      </c>
      <c r="P312" t="n">
        <v>0</v>
      </c>
      <c r="Q312" t="n">
        <v>1</v>
      </c>
      <c r="R312" s="2" t="inlineStr">
        <is>
          <t>Lunglav</t>
        </is>
      </c>
      <c r="S312">
        <f>HYPERLINK("https://klasma.github.io/Logging_2305/artfynd/A 12185-2024 artfynd.xlsx", "A 12185-2024")</f>
        <v/>
      </c>
      <c r="T312">
        <f>HYPERLINK("https://klasma.github.io/Logging_2305/kartor/A 12185-2024 karta.png", "A 12185-2024")</f>
        <v/>
      </c>
      <c r="V312">
        <f>HYPERLINK("https://klasma.github.io/Logging_2305/klagomål/A 12185-2024 FSC-klagomål.docx", "A 12185-2024")</f>
        <v/>
      </c>
      <c r="W312">
        <f>HYPERLINK("https://klasma.github.io/Logging_2305/klagomålsmail/A 12185-2024 FSC-klagomål mail.docx", "A 12185-2024")</f>
        <v/>
      </c>
      <c r="X312">
        <f>HYPERLINK("https://klasma.github.io/Logging_2305/tillsyn/A 12185-2024 tillsynsbegäran.docx", "A 12185-2024")</f>
        <v/>
      </c>
      <c r="Y312">
        <f>HYPERLINK("https://klasma.github.io/Logging_2305/tillsynsmail/A 12185-2024 tillsynsbegäran mail.docx", "A 12185-2024")</f>
        <v/>
      </c>
    </row>
    <row r="313" ht="15" customHeight="1">
      <c r="A313" t="inlineStr">
        <is>
          <t>A 14374-2024</t>
        </is>
      </c>
      <c r="B313" s="1" t="n">
        <v>45393</v>
      </c>
      <c r="C313" s="1" t="n">
        <v>45666</v>
      </c>
      <c r="D313" t="inlineStr">
        <is>
          <t>JÄMTLANDS LÄN</t>
        </is>
      </c>
      <c r="E313" t="inlineStr">
        <is>
          <t>BRÄCKE</t>
        </is>
      </c>
      <c r="F313" t="inlineStr">
        <is>
          <t>SCA</t>
        </is>
      </c>
      <c r="G313" t="n">
        <v>0.8</v>
      </c>
      <c r="H313" t="n">
        <v>1</v>
      </c>
      <c r="I313" t="n">
        <v>0</v>
      </c>
      <c r="J313" t="n">
        <v>1</v>
      </c>
      <c r="K313" t="n">
        <v>0</v>
      </c>
      <c r="L313" t="n">
        <v>0</v>
      </c>
      <c r="M313" t="n">
        <v>0</v>
      </c>
      <c r="N313" t="n">
        <v>0</v>
      </c>
      <c r="O313" t="n">
        <v>1</v>
      </c>
      <c r="P313" t="n">
        <v>0</v>
      </c>
      <c r="Q313" t="n">
        <v>1</v>
      </c>
      <c r="R313" s="2" t="inlineStr">
        <is>
          <t>Kungsörn</t>
        </is>
      </c>
      <c r="S313">
        <f>HYPERLINK("https://klasma.github.io/Logging_2305/artfynd/A 14374-2024 artfynd.xlsx", "A 14374-2024")</f>
        <v/>
      </c>
      <c r="T313">
        <f>HYPERLINK("https://klasma.github.io/Logging_2305/kartor/A 14374-2024 karta.png", "A 14374-2024")</f>
        <v/>
      </c>
      <c r="V313">
        <f>HYPERLINK("https://klasma.github.io/Logging_2305/klagomål/A 14374-2024 FSC-klagomål.docx", "A 14374-2024")</f>
        <v/>
      </c>
      <c r="W313">
        <f>HYPERLINK("https://klasma.github.io/Logging_2305/klagomålsmail/A 14374-2024 FSC-klagomål mail.docx", "A 14374-2024")</f>
        <v/>
      </c>
      <c r="X313">
        <f>HYPERLINK("https://klasma.github.io/Logging_2305/tillsyn/A 14374-2024 tillsynsbegäran.docx", "A 14374-2024")</f>
        <v/>
      </c>
      <c r="Y313">
        <f>HYPERLINK("https://klasma.github.io/Logging_2305/tillsynsmail/A 14374-2024 tillsynsbegäran mail.docx", "A 14374-2024")</f>
        <v/>
      </c>
      <c r="Z313">
        <f>HYPERLINK("https://klasma.github.io/Logging_2305/fåglar/A 14374-2024 prioriterade fågelarter.docx", "A 14374-2024")</f>
        <v/>
      </c>
    </row>
    <row r="314" ht="15" customHeight="1">
      <c r="A314" t="inlineStr">
        <is>
          <t>A 14980-2024</t>
        </is>
      </c>
      <c r="B314" s="1" t="n">
        <v>45399</v>
      </c>
      <c r="C314" s="1" t="n">
        <v>45666</v>
      </c>
      <c r="D314" t="inlineStr">
        <is>
          <t>JÄMTLANDS LÄN</t>
        </is>
      </c>
      <c r="E314" t="inlineStr">
        <is>
          <t>BRÄCKE</t>
        </is>
      </c>
      <c r="F314" t="inlineStr">
        <is>
          <t>SCA</t>
        </is>
      </c>
      <c r="G314" t="n">
        <v>2</v>
      </c>
      <c r="H314" t="n">
        <v>1</v>
      </c>
      <c r="I314" t="n">
        <v>0</v>
      </c>
      <c r="J314" t="n">
        <v>0</v>
      </c>
      <c r="K314" t="n">
        <v>1</v>
      </c>
      <c r="L314" t="n">
        <v>0</v>
      </c>
      <c r="M314" t="n">
        <v>0</v>
      </c>
      <c r="N314" t="n">
        <v>0</v>
      </c>
      <c r="O314" t="n">
        <v>1</v>
      </c>
      <c r="P314" t="n">
        <v>1</v>
      </c>
      <c r="Q314" t="n">
        <v>1</v>
      </c>
      <c r="R314" s="2" t="inlineStr">
        <is>
          <t>Doftticka</t>
        </is>
      </c>
      <c r="S314">
        <f>HYPERLINK("https://klasma.github.io/Logging_2305/artfynd/A 14980-2024 artfynd.xlsx", "A 14980-2024")</f>
        <v/>
      </c>
      <c r="T314">
        <f>HYPERLINK("https://klasma.github.io/Logging_2305/kartor/A 14980-2024 karta.png", "A 14980-2024")</f>
        <v/>
      </c>
      <c r="V314">
        <f>HYPERLINK("https://klasma.github.io/Logging_2305/klagomål/A 14980-2024 FSC-klagomål.docx", "A 14980-2024")</f>
        <v/>
      </c>
      <c r="W314">
        <f>HYPERLINK("https://klasma.github.io/Logging_2305/klagomålsmail/A 14980-2024 FSC-klagomål mail.docx", "A 14980-2024")</f>
        <v/>
      </c>
      <c r="X314">
        <f>HYPERLINK("https://klasma.github.io/Logging_2305/tillsyn/A 14980-2024 tillsynsbegäran.docx", "A 14980-2024")</f>
        <v/>
      </c>
      <c r="Y314">
        <f>HYPERLINK("https://klasma.github.io/Logging_2305/tillsynsmail/A 14980-2024 tillsynsbegäran mail.docx", "A 14980-2024")</f>
        <v/>
      </c>
    </row>
    <row r="315" ht="15" customHeight="1">
      <c r="A315" t="inlineStr">
        <is>
          <t>A 16714-2024</t>
        </is>
      </c>
      <c r="B315" s="1" t="n">
        <v>45409</v>
      </c>
      <c r="C315" s="1" t="n">
        <v>45666</v>
      </c>
      <c r="D315" t="inlineStr">
        <is>
          <t>JÄMTLANDS LÄN</t>
        </is>
      </c>
      <c r="E315" t="inlineStr">
        <is>
          <t>BRÄCKE</t>
        </is>
      </c>
      <c r="F315" t="inlineStr">
        <is>
          <t>SCA</t>
        </is>
      </c>
      <c r="G315" t="n">
        <v>19.9</v>
      </c>
      <c r="H315" t="n">
        <v>0</v>
      </c>
      <c r="I315" t="n">
        <v>0</v>
      </c>
      <c r="J315" t="n">
        <v>1</v>
      </c>
      <c r="K315" t="n">
        <v>0</v>
      </c>
      <c r="L315" t="n">
        <v>0</v>
      </c>
      <c r="M315" t="n">
        <v>0</v>
      </c>
      <c r="N315" t="n">
        <v>0</v>
      </c>
      <c r="O315" t="n">
        <v>1</v>
      </c>
      <c r="P315" t="n">
        <v>0</v>
      </c>
      <c r="Q315" t="n">
        <v>1</v>
      </c>
      <c r="R315" s="2" t="inlineStr">
        <is>
          <t>Kolflarnlav</t>
        </is>
      </c>
      <c r="S315">
        <f>HYPERLINK("https://klasma.github.io/Logging_2305/artfynd/A 16714-2024 artfynd.xlsx", "A 16714-2024")</f>
        <v/>
      </c>
      <c r="T315">
        <f>HYPERLINK("https://klasma.github.io/Logging_2305/kartor/A 16714-2024 karta.png", "A 16714-2024")</f>
        <v/>
      </c>
      <c r="V315">
        <f>HYPERLINK("https://klasma.github.io/Logging_2305/klagomål/A 16714-2024 FSC-klagomål.docx", "A 16714-2024")</f>
        <v/>
      </c>
      <c r="W315">
        <f>HYPERLINK("https://klasma.github.io/Logging_2305/klagomålsmail/A 16714-2024 FSC-klagomål mail.docx", "A 16714-2024")</f>
        <v/>
      </c>
      <c r="X315">
        <f>HYPERLINK("https://klasma.github.io/Logging_2305/tillsyn/A 16714-2024 tillsynsbegäran.docx", "A 16714-2024")</f>
        <v/>
      </c>
      <c r="Y315">
        <f>HYPERLINK("https://klasma.github.io/Logging_2305/tillsynsmail/A 16714-2024 tillsynsbegäran mail.docx", "A 16714-2024")</f>
        <v/>
      </c>
    </row>
    <row r="316" ht="15" customHeight="1">
      <c r="A316" t="inlineStr">
        <is>
          <t>A 16715-2024</t>
        </is>
      </c>
      <c r="B316" s="1" t="n">
        <v>45409</v>
      </c>
      <c r="C316" s="1" t="n">
        <v>45666</v>
      </c>
      <c r="D316" t="inlineStr">
        <is>
          <t>JÄMTLANDS LÄN</t>
        </is>
      </c>
      <c r="E316" t="inlineStr">
        <is>
          <t>BRÄCKE</t>
        </is>
      </c>
      <c r="G316" t="n">
        <v>8</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16715-2024 artfynd.xlsx", "A 16715-2024")</f>
        <v/>
      </c>
      <c r="T316">
        <f>HYPERLINK("https://klasma.github.io/Logging_2305/kartor/A 16715-2024 karta.png", "A 16715-2024")</f>
        <v/>
      </c>
      <c r="V316">
        <f>HYPERLINK("https://klasma.github.io/Logging_2305/klagomål/A 16715-2024 FSC-klagomål.docx", "A 16715-2024")</f>
        <v/>
      </c>
      <c r="W316">
        <f>HYPERLINK("https://klasma.github.io/Logging_2305/klagomålsmail/A 16715-2024 FSC-klagomål mail.docx", "A 16715-2024")</f>
        <v/>
      </c>
      <c r="X316">
        <f>HYPERLINK("https://klasma.github.io/Logging_2305/tillsyn/A 16715-2024 tillsynsbegäran.docx", "A 16715-2024")</f>
        <v/>
      </c>
      <c r="Y316">
        <f>HYPERLINK("https://klasma.github.io/Logging_2305/tillsynsmail/A 16715-2024 tillsynsbegäran mail.docx", "A 16715-2024")</f>
        <v/>
      </c>
    </row>
    <row r="317" ht="15" customHeight="1">
      <c r="A317" t="inlineStr">
        <is>
          <t>A 17588-2024</t>
        </is>
      </c>
      <c r="B317" s="1" t="n">
        <v>45416</v>
      </c>
      <c r="C317" s="1" t="n">
        <v>45666</v>
      </c>
      <c r="D317" t="inlineStr">
        <is>
          <t>JÄMTLANDS LÄN</t>
        </is>
      </c>
      <c r="E317" t="inlineStr">
        <is>
          <t>BRÄCKE</t>
        </is>
      </c>
      <c r="F317" t="inlineStr">
        <is>
          <t>SCA</t>
        </is>
      </c>
      <c r="G317" t="n">
        <v>1.8</v>
      </c>
      <c r="H317" t="n">
        <v>0</v>
      </c>
      <c r="I317" t="n">
        <v>0</v>
      </c>
      <c r="J317" t="n">
        <v>1</v>
      </c>
      <c r="K317" t="n">
        <v>0</v>
      </c>
      <c r="L317" t="n">
        <v>0</v>
      </c>
      <c r="M317" t="n">
        <v>0</v>
      </c>
      <c r="N317" t="n">
        <v>0</v>
      </c>
      <c r="O317" t="n">
        <v>1</v>
      </c>
      <c r="P317" t="n">
        <v>0</v>
      </c>
      <c r="Q317" t="n">
        <v>1</v>
      </c>
      <c r="R317" s="2" t="inlineStr">
        <is>
          <t>Rosenticka</t>
        </is>
      </c>
      <c r="S317">
        <f>HYPERLINK("https://klasma.github.io/Logging_2305/artfynd/A 17588-2024 artfynd.xlsx", "A 17588-2024")</f>
        <v/>
      </c>
      <c r="T317">
        <f>HYPERLINK("https://klasma.github.io/Logging_2305/kartor/A 17588-2024 karta.png", "A 17588-2024")</f>
        <v/>
      </c>
      <c r="V317">
        <f>HYPERLINK("https://klasma.github.io/Logging_2305/klagomål/A 17588-2024 FSC-klagomål.docx", "A 17588-2024")</f>
        <v/>
      </c>
      <c r="W317">
        <f>HYPERLINK("https://klasma.github.io/Logging_2305/klagomålsmail/A 17588-2024 FSC-klagomål mail.docx", "A 17588-2024")</f>
        <v/>
      </c>
      <c r="X317">
        <f>HYPERLINK("https://klasma.github.io/Logging_2305/tillsyn/A 17588-2024 tillsynsbegäran.docx", "A 17588-2024")</f>
        <v/>
      </c>
      <c r="Y317">
        <f>HYPERLINK("https://klasma.github.io/Logging_2305/tillsynsmail/A 17588-2024 tillsynsbegäran mail.docx", "A 17588-2024")</f>
        <v/>
      </c>
    </row>
    <row r="318" ht="15" customHeight="1">
      <c r="A318" t="inlineStr">
        <is>
          <t>A 20768-2024</t>
        </is>
      </c>
      <c r="B318" s="1" t="n">
        <v>45437</v>
      </c>
      <c r="C318" s="1" t="n">
        <v>45666</v>
      </c>
      <c r="D318" t="inlineStr">
        <is>
          <t>JÄMTLANDS LÄN</t>
        </is>
      </c>
      <c r="E318" t="inlineStr">
        <is>
          <t>BRÄCKE</t>
        </is>
      </c>
      <c r="F318" t="inlineStr">
        <is>
          <t>SCA</t>
        </is>
      </c>
      <c r="G318" t="n">
        <v>12.6</v>
      </c>
      <c r="H318" t="n">
        <v>1</v>
      </c>
      <c r="I318" t="n">
        <v>0</v>
      </c>
      <c r="J318" t="n">
        <v>0</v>
      </c>
      <c r="K318" t="n">
        <v>1</v>
      </c>
      <c r="L318" t="n">
        <v>0</v>
      </c>
      <c r="M318" t="n">
        <v>0</v>
      </c>
      <c r="N318" t="n">
        <v>0</v>
      </c>
      <c r="O318" t="n">
        <v>1</v>
      </c>
      <c r="P318" t="n">
        <v>1</v>
      </c>
      <c r="Q318" t="n">
        <v>1</v>
      </c>
      <c r="R318" s="2" t="inlineStr">
        <is>
          <t>Doftticka</t>
        </is>
      </c>
      <c r="S318">
        <f>HYPERLINK("https://klasma.github.io/Logging_2305/artfynd/A 20768-2024 artfynd.xlsx", "A 20768-2024")</f>
        <v/>
      </c>
      <c r="T318">
        <f>HYPERLINK("https://klasma.github.io/Logging_2305/kartor/A 20768-2024 karta.png", "A 20768-2024")</f>
        <v/>
      </c>
      <c r="V318">
        <f>HYPERLINK("https://klasma.github.io/Logging_2305/klagomål/A 20768-2024 FSC-klagomål.docx", "A 20768-2024")</f>
        <v/>
      </c>
      <c r="W318">
        <f>HYPERLINK("https://klasma.github.io/Logging_2305/klagomålsmail/A 20768-2024 FSC-klagomål mail.docx", "A 20768-2024")</f>
        <v/>
      </c>
      <c r="X318">
        <f>HYPERLINK("https://klasma.github.io/Logging_2305/tillsyn/A 20768-2024 tillsynsbegäran.docx", "A 20768-2024")</f>
        <v/>
      </c>
      <c r="Y318">
        <f>HYPERLINK("https://klasma.github.io/Logging_2305/tillsynsmail/A 20768-2024 tillsynsbegäran mail.docx", "A 20768-2024")</f>
        <v/>
      </c>
    </row>
    <row r="319" ht="15" customHeight="1">
      <c r="A319" t="inlineStr">
        <is>
          <t>A 21366-2024</t>
        </is>
      </c>
      <c r="B319" s="1" t="n">
        <v>45441</v>
      </c>
      <c r="C319" s="1" t="n">
        <v>45666</v>
      </c>
      <c r="D319" t="inlineStr">
        <is>
          <t>JÄMTLANDS LÄN</t>
        </is>
      </c>
      <c r="E319" t="inlineStr">
        <is>
          <t>BRÄCKE</t>
        </is>
      </c>
      <c r="F319" t="inlineStr">
        <is>
          <t>SCA</t>
        </is>
      </c>
      <c r="G319" t="n">
        <v>4.8</v>
      </c>
      <c r="H319" t="n">
        <v>0</v>
      </c>
      <c r="I319" t="n">
        <v>1</v>
      </c>
      <c r="J319" t="n">
        <v>0</v>
      </c>
      <c r="K319" t="n">
        <v>0</v>
      </c>
      <c r="L319" t="n">
        <v>0</v>
      </c>
      <c r="M319" t="n">
        <v>0</v>
      </c>
      <c r="N319" t="n">
        <v>0</v>
      </c>
      <c r="O319" t="n">
        <v>0</v>
      </c>
      <c r="P319" t="n">
        <v>0</v>
      </c>
      <c r="Q319" t="n">
        <v>1</v>
      </c>
      <c r="R319" s="2" t="inlineStr">
        <is>
          <t>Skinnlav</t>
        </is>
      </c>
      <c r="S319">
        <f>HYPERLINK("https://klasma.github.io/Logging_2305/artfynd/A 21366-2024 artfynd.xlsx", "A 21366-2024")</f>
        <v/>
      </c>
      <c r="T319">
        <f>HYPERLINK("https://klasma.github.io/Logging_2305/kartor/A 21366-2024 karta.png", "A 21366-2024")</f>
        <v/>
      </c>
      <c r="V319">
        <f>HYPERLINK("https://klasma.github.io/Logging_2305/klagomål/A 21366-2024 FSC-klagomål.docx", "A 21366-2024")</f>
        <v/>
      </c>
      <c r="W319">
        <f>HYPERLINK("https://klasma.github.io/Logging_2305/klagomålsmail/A 21366-2024 FSC-klagomål mail.docx", "A 21366-2024")</f>
        <v/>
      </c>
      <c r="X319">
        <f>HYPERLINK("https://klasma.github.io/Logging_2305/tillsyn/A 21366-2024 tillsynsbegäran.docx", "A 21366-2024")</f>
        <v/>
      </c>
      <c r="Y319">
        <f>HYPERLINK("https://klasma.github.io/Logging_2305/tillsynsmail/A 21366-2024 tillsynsbegäran mail.docx", "A 21366-2024")</f>
        <v/>
      </c>
    </row>
    <row r="320" ht="15" customHeight="1">
      <c r="A320" t="inlineStr">
        <is>
          <t>A 21376-2024</t>
        </is>
      </c>
      <c r="B320" s="1" t="n">
        <v>45441</v>
      </c>
      <c r="C320" s="1" t="n">
        <v>45666</v>
      </c>
      <c r="D320" t="inlineStr">
        <is>
          <t>JÄMTLANDS LÄN</t>
        </is>
      </c>
      <c r="E320" t="inlineStr">
        <is>
          <t>BRÄCKE</t>
        </is>
      </c>
      <c r="F320" t="inlineStr">
        <is>
          <t>SCA</t>
        </is>
      </c>
      <c r="G320" t="n">
        <v>17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21376-2024 artfynd.xlsx", "A 21376-2024")</f>
        <v/>
      </c>
      <c r="T320">
        <f>HYPERLINK("https://klasma.github.io/Logging_2305/kartor/A 21376-2024 karta.png", "A 21376-2024")</f>
        <v/>
      </c>
      <c r="V320">
        <f>HYPERLINK("https://klasma.github.io/Logging_2305/klagomål/A 21376-2024 FSC-klagomål.docx", "A 21376-2024")</f>
        <v/>
      </c>
      <c r="W320">
        <f>HYPERLINK("https://klasma.github.io/Logging_2305/klagomålsmail/A 21376-2024 FSC-klagomål mail.docx", "A 21376-2024")</f>
        <v/>
      </c>
      <c r="X320">
        <f>HYPERLINK("https://klasma.github.io/Logging_2305/tillsyn/A 21376-2024 tillsynsbegäran.docx", "A 21376-2024")</f>
        <v/>
      </c>
      <c r="Y320">
        <f>HYPERLINK("https://klasma.github.io/Logging_2305/tillsynsmail/A 21376-2024 tillsynsbegäran mail.docx", "A 21376-2024")</f>
        <v/>
      </c>
    </row>
    <row r="321" ht="15" customHeight="1">
      <c r="A321" t="inlineStr">
        <is>
          <t>A 22101-2024</t>
        </is>
      </c>
      <c r="B321" s="1" t="n">
        <v>45444</v>
      </c>
      <c r="C321" s="1" t="n">
        <v>45666</v>
      </c>
      <c r="D321" t="inlineStr">
        <is>
          <t>JÄMTLANDS LÄN</t>
        </is>
      </c>
      <c r="E321" t="inlineStr">
        <is>
          <t>BRÄCKE</t>
        </is>
      </c>
      <c r="F321" t="inlineStr">
        <is>
          <t>SCA</t>
        </is>
      </c>
      <c r="G321" t="n">
        <v>3.5</v>
      </c>
      <c r="H321" t="n">
        <v>0</v>
      </c>
      <c r="I321" t="n">
        <v>0</v>
      </c>
      <c r="J321" t="n">
        <v>1</v>
      </c>
      <c r="K321" t="n">
        <v>0</v>
      </c>
      <c r="L321" t="n">
        <v>0</v>
      </c>
      <c r="M321" t="n">
        <v>0</v>
      </c>
      <c r="N321" t="n">
        <v>0</v>
      </c>
      <c r="O321" t="n">
        <v>1</v>
      </c>
      <c r="P321" t="n">
        <v>0</v>
      </c>
      <c r="Q321" t="n">
        <v>1</v>
      </c>
      <c r="R321" s="2" t="inlineStr">
        <is>
          <t>Garnlav</t>
        </is>
      </c>
      <c r="S321">
        <f>HYPERLINK("https://klasma.github.io/Logging_2305/artfynd/A 22101-2024 artfynd.xlsx", "A 22101-2024")</f>
        <v/>
      </c>
      <c r="T321">
        <f>HYPERLINK("https://klasma.github.io/Logging_2305/kartor/A 22101-2024 karta.png", "A 22101-2024")</f>
        <v/>
      </c>
      <c r="V321">
        <f>HYPERLINK("https://klasma.github.io/Logging_2305/klagomål/A 22101-2024 FSC-klagomål.docx", "A 22101-2024")</f>
        <v/>
      </c>
      <c r="W321">
        <f>HYPERLINK("https://klasma.github.io/Logging_2305/klagomålsmail/A 22101-2024 FSC-klagomål mail.docx", "A 22101-2024")</f>
        <v/>
      </c>
      <c r="X321">
        <f>HYPERLINK("https://klasma.github.io/Logging_2305/tillsyn/A 22101-2024 tillsynsbegäran.docx", "A 22101-2024")</f>
        <v/>
      </c>
      <c r="Y321">
        <f>HYPERLINK("https://klasma.github.io/Logging_2305/tillsynsmail/A 22101-2024 tillsynsbegäran mail.docx", "A 22101-2024")</f>
        <v/>
      </c>
    </row>
    <row r="322" ht="15" customHeight="1">
      <c r="A322" t="inlineStr">
        <is>
          <t>A 27843-2024</t>
        </is>
      </c>
      <c r="B322" s="1" t="n">
        <v>45475</v>
      </c>
      <c r="C322" s="1" t="n">
        <v>45666</v>
      </c>
      <c r="D322" t="inlineStr">
        <is>
          <t>JÄMTLANDS LÄN</t>
        </is>
      </c>
      <c r="E322" t="inlineStr">
        <is>
          <t>BRÄCKE</t>
        </is>
      </c>
      <c r="F322" t="inlineStr">
        <is>
          <t>Sveaskog</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HYPERLINK("https://klasma.github.io/Logging_2305/artfynd/A 27843-2024 artfynd.xlsx", "A 27843-2024")</f>
        <v/>
      </c>
      <c r="T322">
        <f>HYPERLINK("https://klasma.github.io/Logging_2305/kartor/A 27843-2024 karta.png", "A 27843-2024")</f>
        <v/>
      </c>
      <c r="V322">
        <f>HYPERLINK("https://klasma.github.io/Logging_2305/klagomål/A 27843-2024 FSC-klagomål.docx", "A 27843-2024")</f>
        <v/>
      </c>
      <c r="W322">
        <f>HYPERLINK("https://klasma.github.io/Logging_2305/klagomålsmail/A 27843-2024 FSC-klagomål mail.docx", "A 27843-2024")</f>
        <v/>
      </c>
      <c r="X322">
        <f>HYPERLINK("https://klasma.github.io/Logging_2305/tillsyn/A 27843-2024 tillsynsbegäran.docx", "A 27843-2024")</f>
        <v/>
      </c>
      <c r="Y322">
        <f>HYPERLINK("https://klasma.github.io/Logging_2305/tillsynsmail/A 27843-2024 tillsynsbegäran mail.docx", "A 27843-2024")</f>
        <v/>
      </c>
    </row>
    <row r="323" ht="15" customHeight="1">
      <c r="A323" t="inlineStr">
        <is>
          <t>A 29215-2024</t>
        </is>
      </c>
      <c r="B323" s="1" t="n">
        <v>45482</v>
      </c>
      <c r="C323" s="1" t="n">
        <v>45666</v>
      </c>
      <c r="D323" t="inlineStr">
        <is>
          <t>JÄMTLANDS LÄN</t>
        </is>
      </c>
      <c r="E323" t="inlineStr">
        <is>
          <t>BRÄCKE</t>
        </is>
      </c>
      <c r="F323" t="inlineStr">
        <is>
          <t>Övriga Aktiebolag</t>
        </is>
      </c>
      <c r="G323" t="n">
        <v>7.3</v>
      </c>
      <c r="H323" t="n">
        <v>1</v>
      </c>
      <c r="I323" t="n">
        <v>0</v>
      </c>
      <c r="J323" t="n">
        <v>0</v>
      </c>
      <c r="K323" t="n">
        <v>0</v>
      </c>
      <c r="L323" t="n">
        <v>0</v>
      </c>
      <c r="M323" t="n">
        <v>0</v>
      </c>
      <c r="N323" t="n">
        <v>0</v>
      </c>
      <c r="O323" t="n">
        <v>0</v>
      </c>
      <c r="P323" t="n">
        <v>0</v>
      </c>
      <c r="Q323" t="n">
        <v>1</v>
      </c>
      <c r="R323" s="2" t="inlineStr">
        <is>
          <t>Sparvuggla</t>
        </is>
      </c>
      <c r="S323">
        <f>HYPERLINK("https://klasma.github.io/Logging_2305/artfynd/A 29215-2024 artfynd.xlsx", "A 29215-2024")</f>
        <v/>
      </c>
      <c r="T323">
        <f>HYPERLINK("https://klasma.github.io/Logging_2305/kartor/A 29215-2024 karta.png", "A 29215-2024")</f>
        <v/>
      </c>
      <c r="V323">
        <f>HYPERLINK("https://klasma.github.io/Logging_2305/klagomål/A 29215-2024 FSC-klagomål.docx", "A 29215-2024")</f>
        <v/>
      </c>
      <c r="W323">
        <f>HYPERLINK("https://klasma.github.io/Logging_2305/klagomålsmail/A 29215-2024 FSC-klagomål mail.docx", "A 29215-2024")</f>
        <v/>
      </c>
      <c r="X323">
        <f>HYPERLINK("https://klasma.github.io/Logging_2305/tillsyn/A 29215-2024 tillsynsbegäran.docx", "A 29215-2024")</f>
        <v/>
      </c>
      <c r="Y323">
        <f>HYPERLINK("https://klasma.github.io/Logging_2305/tillsynsmail/A 29215-2024 tillsynsbegäran mail.docx", "A 29215-2024")</f>
        <v/>
      </c>
      <c r="Z323">
        <f>HYPERLINK("https://klasma.github.io/Logging_2305/fåglar/A 29215-2024 prioriterade fågelarter.docx", "A 29215-2024")</f>
        <v/>
      </c>
    </row>
    <row r="324" ht="15" customHeight="1">
      <c r="A324" t="inlineStr">
        <is>
          <t>A 30336-2024</t>
        </is>
      </c>
      <c r="B324" s="1" t="n">
        <v>45491</v>
      </c>
      <c r="C324" s="1" t="n">
        <v>45666</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31479-2024</t>
        </is>
      </c>
      <c r="B325" s="1" t="n">
        <v>45506</v>
      </c>
      <c r="C325" s="1" t="n">
        <v>45666</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Violettgrå tagellav</t>
        </is>
      </c>
      <c r="S325">
        <f>HYPERLINK("https://klasma.github.io/Logging_2305/artfynd/A 31479-2024 artfynd.xlsx", "A 31479-2024")</f>
        <v/>
      </c>
      <c r="T325">
        <f>HYPERLINK("https://klasma.github.io/Logging_2305/kartor/A 31479-2024 karta.png", "A 31479-2024")</f>
        <v/>
      </c>
      <c r="V325">
        <f>HYPERLINK("https://klasma.github.io/Logging_2305/klagomål/A 31479-2024 FSC-klagomål.docx", "A 31479-2024")</f>
        <v/>
      </c>
      <c r="W325">
        <f>HYPERLINK("https://klasma.github.io/Logging_2305/klagomålsmail/A 31479-2024 FSC-klagomål mail.docx", "A 31479-2024")</f>
        <v/>
      </c>
      <c r="X325">
        <f>HYPERLINK("https://klasma.github.io/Logging_2305/tillsyn/A 31479-2024 tillsynsbegäran.docx", "A 31479-2024")</f>
        <v/>
      </c>
      <c r="Y325">
        <f>HYPERLINK("https://klasma.github.io/Logging_2305/tillsynsmail/A 31479-2024 tillsynsbegäran mail.docx", "A 31479-2024")</f>
        <v/>
      </c>
    </row>
    <row r="326" ht="15" customHeight="1">
      <c r="A326" t="inlineStr">
        <is>
          <t>A 33479-2024</t>
        </is>
      </c>
      <c r="B326" s="1" t="n">
        <v>45519</v>
      </c>
      <c r="C326" s="1" t="n">
        <v>45666</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34823-2024</t>
        </is>
      </c>
      <c r="B327" s="1" t="n">
        <v>45526</v>
      </c>
      <c r="C327" s="1" t="n">
        <v>45666</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34823-2024 artfynd.xlsx", "A 34823-2024")</f>
        <v/>
      </c>
      <c r="T327">
        <f>HYPERLINK("https://klasma.github.io/Logging_2305/kartor/A 34823-2024 karta.png", "A 34823-2024")</f>
        <v/>
      </c>
      <c r="V327">
        <f>HYPERLINK("https://klasma.github.io/Logging_2305/klagomål/A 34823-2024 FSC-klagomål.docx", "A 34823-2024")</f>
        <v/>
      </c>
      <c r="W327">
        <f>HYPERLINK("https://klasma.github.io/Logging_2305/klagomålsmail/A 34823-2024 FSC-klagomål mail.docx", "A 34823-2024")</f>
        <v/>
      </c>
      <c r="X327">
        <f>HYPERLINK("https://klasma.github.io/Logging_2305/tillsyn/A 34823-2024 tillsynsbegäran.docx", "A 34823-2024")</f>
        <v/>
      </c>
      <c r="Y327">
        <f>HYPERLINK("https://klasma.github.io/Logging_2305/tillsynsmail/A 34823-2024 tillsynsbegäran mail.docx", "A 34823-2024")</f>
        <v/>
      </c>
    </row>
    <row r="328" ht="15" customHeight="1">
      <c r="A328" t="inlineStr">
        <is>
          <t>A 36312-2024</t>
        </is>
      </c>
      <c r="B328" s="1" t="n">
        <v>45534</v>
      </c>
      <c r="C328" s="1" t="n">
        <v>45666</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36312-2024 artfynd.xlsx", "A 36312-2024")</f>
        <v/>
      </c>
      <c r="T328">
        <f>HYPERLINK("https://klasma.github.io/Logging_2305/kartor/A 36312-2024 karta.png", "A 36312-2024")</f>
        <v/>
      </c>
      <c r="V328">
        <f>HYPERLINK("https://klasma.github.io/Logging_2305/klagomål/A 36312-2024 FSC-klagomål.docx", "A 36312-2024")</f>
        <v/>
      </c>
      <c r="W328">
        <f>HYPERLINK("https://klasma.github.io/Logging_2305/klagomålsmail/A 36312-2024 FSC-klagomål mail.docx", "A 36312-2024")</f>
        <v/>
      </c>
      <c r="X328">
        <f>HYPERLINK("https://klasma.github.io/Logging_2305/tillsyn/A 36312-2024 tillsynsbegäran.docx", "A 36312-2024")</f>
        <v/>
      </c>
      <c r="Y328">
        <f>HYPERLINK("https://klasma.github.io/Logging_2305/tillsynsmail/A 36312-2024 tillsynsbegäran mail.docx", "A 36312-2024")</f>
        <v/>
      </c>
    </row>
    <row r="329" ht="15" customHeight="1">
      <c r="A329" t="inlineStr">
        <is>
          <t>A 40401-2024</t>
        </is>
      </c>
      <c r="B329" s="1" t="n">
        <v>45555</v>
      </c>
      <c r="C329" s="1" t="n">
        <v>45666</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40401-2024 artfynd.xlsx", "A 40401-2024")</f>
        <v/>
      </c>
      <c r="T329">
        <f>HYPERLINK("https://klasma.github.io/Logging_2305/kartor/A 40401-2024 karta.png", "A 40401-2024")</f>
        <v/>
      </c>
      <c r="V329">
        <f>HYPERLINK("https://klasma.github.io/Logging_2305/klagomål/A 40401-2024 FSC-klagomål.docx", "A 40401-2024")</f>
        <v/>
      </c>
      <c r="W329">
        <f>HYPERLINK("https://klasma.github.io/Logging_2305/klagomålsmail/A 40401-2024 FSC-klagomål mail.docx", "A 40401-2024")</f>
        <v/>
      </c>
      <c r="X329">
        <f>HYPERLINK("https://klasma.github.io/Logging_2305/tillsyn/A 40401-2024 tillsynsbegäran.docx", "A 40401-2024")</f>
        <v/>
      </c>
      <c r="Y329">
        <f>HYPERLINK("https://klasma.github.io/Logging_2305/tillsynsmail/A 40401-2024 tillsynsbegäran mail.docx", "A 40401-2024")</f>
        <v/>
      </c>
    </row>
    <row r="330" ht="15" customHeight="1">
      <c r="A330" t="inlineStr">
        <is>
          <t>A 40869-2024</t>
        </is>
      </c>
      <c r="B330" s="1" t="n">
        <v>45558</v>
      </c>
      <c r="C330" s="1" t="n">
        <v>45666</v>
      </c>
      <c r="D330" t="inlineStr">
        <is>
          <t>JÄMTLANDS LÄN</t>
        </is>
      </c>
      <c r="E330" t="inlineStr">
        <is>
          <t>BRÄCKE</t>
        </is>
      </c>
      <c r="F330" t="inlineStr">
        <is>
          <t>Naturvårdsverket</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HYPERLINK("https://klasma.github.io/Logging_2305/artfynd/A 40869-2024 artfynd.xlsx", "A 40869-2024")</f>
        <v/>
      </c>
      <c r="T330">
        <f>HYPERLINK("https://klasma.github.io/Logging_2305/kartor/A 40869-2024 karta.png", "A 40869-2024")</f>
        <v/>
      </c>
      <c r="V330">
        <f>HYPERLINK("https://klasma.github.io/Logging_2305/klagomål/A 40869-2024 FSC-klagomål.docx", "A 40869-2024")</f>
        <v/>
      </c>
      <c r="W330">
        <f>HYPERLINK("https://klasma.github.io/Logging_2305/klagomålsmail/A 40869-2024 FSC-klagomål mail.docx", "A 40869-2024")</f>
        <v/>
      </c>
      <c r="X330">
        <f>HYPERLINK("https://klasma.github.io/Logging_2305/tillsyn/A 40869-2024 tillsynsbegäran.docx", "A 40869-2024")</f>
        <v/>
      </c>
      <c r="Y330">
        <f>HYPERLINK("https://klasma.github.io/Logging_2305/tillsynsmail/A 40869-2024 tillsynsbegäran mail.docx", "A 40869-2024")</f>
        <v/>
      </c>
    </row>
    <row r="331" ht="15" customHeight="1">
      <c r="A331" t="inlineStr">
        <is>
          <t>A 41486-2024</t>
        </is>
      </c>
      <c r="B331" s="1" t="n">
        <v>45560</v>
      </c>
      <c r="C331" s="1" t="n">
        <v>45666</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Lunglav</t>
        </is>
      </c>
      <c r="S331">
        <f>HYPERLINK("https://klasma.github.io/Logging_2305/artfynd/A 41486-2024 artfynd.xlsx", "A 41486-2024")</f>
        <v/>
      </c>
      <c r="T331">
        <f>HYPERLINK("https://klasma.github.io/Logging_2305/kartor/A 41486-2024 karta.png", "A 41486-2024")</f>
        <v/>
      </c>
      <c r="V331">
        <f>HYPERLINK("https://klasma.github.io/Logging_2305/klagomål/A 41486-2024 FSC-klagomål.docx", "A 41486-2024")</f>
        <v/>
      </c>
      <c r="W331">
        <f>HYPERLINK("https://klasma.github.io/Logging_2305/klagomålsmail/A 41486-2024 FSC-klagomål mail.docx", "A 41486-2024")</f>
        <v/>
      </c>
      <c r="X331">
        <f>HYPERLINK("https://klasma.github.io/Logging_2305/tillsyn/A 41486-2024 tillsynsbegäran.docx", "A 41486-2024")</f>
        <v/>
      </c>
      <c r="Y331">
        <f>HYPERLINK("https://klasma.github.io/Logging_2305/tillsynsmail/A 41486-2024 tillsynsbegäran mail.docx", "A 41486-2024")</f>
        <v/>
      </c>
    </row>
    <row r="332" ht="15" customHeight="1">
      <c r="A332" t="inlineStr">
        <is>
          <t>A 41906-2024</t>
        </is>
      </c>
      <c r="B332" s="1" t="n">
        <v>45561</v>
      </c>
      <c r="C332" s="1" t="n">
        <v>45666</v>
      </c>
      <c r="D332" t="inlineStr">
        <is>
          <t>JÄMTLANDS LÄN</t>
        </is>
      </c>
      <c r="E332" t="inlineStr">
        <is>
          <t>BRÄCKE</t>
        </is>
      </c>
      <c r="F332" t="inlineStr">
        <is>
          <t>SCA</t>
        </is>
      </c>
      <c r="G332" t="n">
        <v>7.9</v>
      </c>
      <c r="H332" t="n">
        <v>0</v>
      </c>
      <c r="I332" t="n">
        <v>0</v>
      </c>
      <c r="J332" t="n">
        <v>1</v>
      </c>
      <c r="K332" t="n">
        <v>0</v>
      </c>
      <c r="L332" t="n">
        <v>0</v>
      </c>
      <c r="M332" t="n">
        <v>0</v>
      </c>
      <c r="N332" t="n">
        <v>0</v>
      </c>
      <c r="O332" t="n">
        <v>1</v>
      </c>
      <c r="P332" t="n">
        <v>0</v>
      </c>
      <c r="Q332" t="n">
        <v>1</v>
      </c>
      <c r="R332" s="2" t="inlineStr">
        <is>
          <t>Blågrå svartspik</t>
        </is>
      </c>
      <c r="S332">
        <f>HYPERLINK("https://klasma.github.io/Logging_2305/artfynd/A 41906-2024 artfynd.xlsx", "A 41906-2024")</f>
        <v/>
      </c>
      <c r="T332">
        <f>HYPERLINK("https://klasma.github.io/Logging_2305/kartor/A 41906-2024 karta.png", "A 41906-2024")</f>
        <v/>
      </c>
      <c r="V332">
        <f>HYPERLINK("https://klasma.github.io/Logging_2305/klagomål/A 41906-2024 FSC-klagomål.docx", "A 41906-2024")</f>
        <v/>
      </c>
      <c r="W332">
        <f>HYPERLINK("https://klasma.github.io/Logging_2305/klagomålsmail/A 41906-2024 FSC-klagomål mail.docx", "A 41906-2024")</f>
        <v/>
      </c>
      <c r="X332">
        <f>HYPERLINK("https://klasma.github.io/Logging_2305/tillsyn/A 41906-2024 tillsynsbegäran.docx", "A 41906-2024")</f>
        <v/>
      </c>
      <c r="Y332">
        <f>HYPERLINK("https://klasma.github.io/Logging_2305/tillsynsmail/A 41906-2024 tillsynsbegäran mail.docx", "A 41906-2024")</f>
        <v/>
      </c>
    </row>
    <row r="333" ht="15" customHeight="1">
      <c r="A333" t="inlineStr">
        <is>
          <t>A 42015-2024</t>
        </is>
      </c>
      <c r="B333" s="1" t="n">
        <v>45561</v>
      </c>
      <c r="C333" s="1" t="n">
        <v>45666</v>
      </c>
      <c r="D333" t="inlineStr">
        <is>
          <t>JÄMTLANDS LÄN</t>
        </is>
      </c>
      <c r="E333" t="inlineStr">
        <is>
          <t>BRÄCKE</t>
        </is>
      </c>
      <c r="F333" t="inlineStr">
        <is>
          <t>SCA</t>
        </is>
      </c>
      <c r="G333" t="n">
        <v>1.4</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42015-2024 artfynd.xlsx", "A 42015-2024")</f>
        <v/>
      </c>
      <c r="T333">
        <f>HYPERLINK("https://klasma.github.io/Logging_2305/kartor/A 42015-2024 karta.png", "A 42015-2024")</f>
        <v/>
      </c>
      <c r="V333">
        <f>HYPERLINK("https://klasma.github.io/Logging_2305/klagomål/A 42015-2024 FSC-klagomål.docx", "A 42015-2024")</f>
        <v/>
      </c>
      <c r="W333">
        <f>HYPERLINK("https://klasma.github.io/Logging_2305/klagomålsmail/A 42015-2024 FSC-klagomål mail.docx", "A 42015-2024")</f>
        <v/>
      </c>
      <c r="X333">
        <f>HYPERLINK("https://klasma.github.io/Logging_2305/tillsyn/A 42015-2024 tillsynsbegäran.docx", "A 42015-2024")</f>
        <v/>
      </c>
      <c r="Y333">
        <f>HYPERLINK("https://klasma.github.io/Logging_2305/tillsynsmail/A 42015-2024 tillsynsbegäran mail.docx", "A 42015-2024")</f>
        <v/>
      </c>
    </row>
    <row r="334" ht="15" customHeight="1">
      <c r="A334" t="inlineStr">
        <is>
          <t>A 45800-2024</t>
        </is>
      </c>
      <c r="B334" s="1" t="n">
        <v>45579</v>
      </c>
      <c r="C334" s="1" t="n">
        <v>45666</v>
      </c>
      <c r="D334" t="inlineStr">
        <is>
          <t>JÄMTLANDS LÄN</t>
        </is>
      </c>
      <c r="E334" t="inlineStr">
        <is>
          <t>BRÄCKE</t>
        </is>
      </c>
      <c r="F334" t="inlineStr">
        <is>
          <t>SCA</t>
        </is>
      </c>
      <c r="G334" t="n">
        <v>5.3</v>
      </c>
      <c r="H334" t="n">
        <v>0</v>
      </c>
      <c r="I334" t="n">
        <v>0</v>
      </c>
      <c r="J334" t="n">
        <v>1</v>
      </c>
      <c r="K334" t="n">
        <v>0</v>
      </c>
      <c r="L334" t="n">
        <v>0</v>
      </c>
      <c r="M334" t="n">
        <v>0</v>
      </c>
      <c r="N334" t="n">
        <v>0</v>
      </c>
      <c r="O334" t="n">
        <v>1</v>
      </c>
      <c r="P334" t="n">
        <v>0</v>
      </c>
      <c r="Q334" t="n">
        <v>1</v>
      </c>
      <c r="R334" s="2" t="inlineStr">
        <is>
          <t>Garnlav</t>
        </is>
      </c>
      <c r="S334">
        <f>HYPERLINK("https://klasma.github.io/Logging_2305/artfynd/A 45800-2024 artfynd.xlsx", "A 45800-2024")</f>
        <v/>
      </c>
      <c r="T334">
        <f>HYPERLINK("https://klasma.github.io/Logging_2305/kartor/A 45800-2024 karta.png", "A 45800-2024")</f>
        <v/>
      </c>
      <c r="V334">
        <f>HYPERLINK("https://klasma.github.io/Logging_2305/klagomål/A 45800-2024 FSC-klagomål.docx", "A 45800-2024")</f>
        <v/>
      </c>
      <c r="W334">
        <f>HYPERLINK("https://klasma.github.io/Logging_2305/klagomålsmail/A 45800-2024 FSC-klagomål mail.docx", "A 45800-2024")</f>
        <v/>
      </c>
      <c r="X334">
        <f>HYPERLINK("https://klasma.github.io/Logging_2305/tillsyn/A 45800-2024 tillsynsbegäran.docx", "A 45800-2024")</f>
        <v/>
      </c>
      <c r="Y334">
        <f>HYPERLINK("https://klasma.github.io/Logging_2305/tillsynsmail/A 45800-2024 tillsynsbegäran mail.docx", "A 45800-2024")</f>
        <v/>
      </c>
    </row>
    <row r="335" ht="15" customHeight="1">
      <c r="A335" t="inlineStr">
        <is>
          <t>A 47787-2024</t>
        </is>
      </c>
      <c r="B335" s="1" t="n">
        <v>45588</v>
      </c>
      <c r="C335" s="1" t="n">
        <v>45666</v>
      </c>
      <c r="D335" t="inlineStr">
        <is>
          <t>JÄMTLANDS LÄN</t>
        </is>
      </c>
      <c r="E335" t="inlineStr">
        <is>
          <t>BRÄCKE</t>
        </is>
      </c>
      <c r="F335" t="inlineStr">
        <is>
          <t>SCA</t>
        </is>
      </c>
      <c r="G335" t="n">
        <v>25.2</v>
      </c>
      <c r="H335" t="n">
        <v>0</v>
      </c>
      <c r="I335" t="n">
        <v>0</v>
      </c>
      <c r="J335" t="n">
        <v>1</v>
      </c>
      <c r="K335" t="n">
        <v>0</v>
      </c>
      <c r="L335" t="n">
        <v>0</v>
      </c>
      <c r="M335" t="n">
        <v>0</v>
      </c>
      <c r="N335" t="n">
        <v>0</v>
      </c>
      <c r="O335" t="n">
        <v>1</v>
      </c>
      <c r="P335" t="n">
        <v>0</v>
      </c>
      <c r="Q335" t="n">
        <v>1</v>
      </c>
      <c r="R335" s="2" t="inlineStr">
        <is>
          <t>Lunglav</t>
        </is>
      </c>
      <c r="S335">
        <f>HYPERLINK("https://klasma.github.io/Logging_2305/artfynd/A 47787-2024 artfynd.xlsx", "A 47787-2024")</f>
        <v/>
      </c>
      <c r="T335">
        <f>HYPERLINK("https://klasma.github.io/Logging_2305/kartor/A 47787-2024 karta.png", "A 47787-2024")</f>
        <v/>
      </c>
      <c r="U335">
        <f>HYPERLINK("https://klasma.github.io/Logging_2305/knärot/A 47787-2024 karta knärot.png", "A 47787-2024")</f>
        <v/>
      </c>
      <c r="V335">
        <f>HYPERLINK("https://klasma.github.io/Logging_2305/klagomål/A 47787-2024 FSC-klagomål.docx", "A 47787-2024")</f>
        <v/>
      </c>
      <c r="W335">
        <f>HYPERLINK("https://klasma.github.io/Logging_2305/klagomålsmail/A 47787-2024 FSC-klagomål mail.docx", "A 47787-2024")</f>
        <v/>
      </c>
      <c r="X335">
        <f>HYPERLINK("https://klasma.github.io/Logging_2305/tillsyn/A 47787-2024 tillsynsbegäran.docx", "A 47787-2024")</f>
        <v/>
      </c>
      <c r="Y335">
        <f>HYPERLINK("https://klasma.github.io/Logging_2305/tillsynsmail/A 47787-2024 tillsynsbegäran mail.docx", "A 47787-2024")</f>
        <v/>
      </c>
    </row>
    <row r="336" ht="15" customHeight="1">
      <c r="A336" t="inlineStr">
        <is>
          <t>A 51910-2024</t>
        </is>
      </c>
      <c r="B336" s="1" t="n">
        <v>45607</v>
      </c>
      <c r="C336" s="1" t="n">
        <v>45666</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Slåtterfibbla</t>
        </is>
      </c>
      <c r="S336">
        <f>HYPERLINK("https://klasma.github.io/Logging_2305/artfynd/A 51910-2024 artfynd.xlsx", "A 51910-2024")</f>
        <v/>
      </c>
      <c r="T336">
        <f>HYPERLINK("https://klasma.github.io/Logging_2305/kartor/A 51910-2024 karta.png", "A 51910-2024")</f>
        <v/>
      </c>
      <c r="V336">
        <f>HYPERLINK("https://klasma.github.io/Logging_2305/klagomål/A 51910-2024 FSC-klagomål.docx", "A 51910-2024")</f>
        <v/>
      </c>
      <c r="W336">
        <f>HYPERLINK("https://klasma.github.io/Logging_2305/klagomålsmail/A 51910-2024 FSC-klagomål mail.docx", "A 51910-2024")</f>
        <v/>
      </c>
      <c r="X336">
        <f>HYPERLINK("https://klasma.github.io/Logging_2305/tillsyn/A 51910-2024 tillsynsbegäran.docx", "A 51910-2024")</f>
        <v/>
      </c>
      <c r="Y336">
        <f>HYPERLINK("https://klasma.github.io/Logging_2305/tillsynsmail/A 51910-2024 tillsynsbegäran mail.docx", "A 51910-2024")</f>
        <v/>
      </c>
    </row>
    <row r="337" ht="15" customHeight="1">
      <c r="A337" t="inlineStr">
        <is>
          <t>A 51834-2024</t>
        </is>
      </c>
      <c r="B337" s="1" t="n">
        <v>45607</v>
      </c>
      <c r="C337" s="1" t="n">
        <v>45666</v>
      </c>
      <c r="D337" t="inlineStr">
        <is>
          <t>JÄMTLANDS LÄN</t>
        </is>
      </c>
      <c r="E337" t="inlineStr">
        <is>
          <t>BRÄCKE</t>
        </is>
      </c>
      <c r="G337" t="n">
        <v>4.9</v>
      </c>
      <c r="H337" t="n">
        <v>1</v>
      </c>
      <c r="I337" t="n">
        <v>0</v>
      </c>
      <c r="J337" t="n">
        <v>0</v>
      </c>
      <c r="K337" t="n">
        <v>1</v>
      </c>
      <c r="L337" t="n">
        <v>0</v>
      </c>
      <c r="M337" t="n">
        <v>0</v>
      </c>
      <c r="N337" t="n">
        <v>0</v>
      </c>
      <c r="O337" t="n">
        <v>1</v>
      </c>
      <c r="P337" t="n">
        <v>1</v>
      </c>
      <c r="Q337" t="n">
        <v>1</v>
      </c>
      <c r="R337" s="2" t="inlineStr">
        <is>
          <t>Knärot</t>
        </is>
      </c>
      <c r="S337">
        <f>HYPERLINK("https://klasma.github.io/Logging_2305/artfynd/A 51834-2024 artfynd.xlsx", "A 51834-2024")</f>
        <v/>
      </c>
      <c r="T337">
        <f>HYPERLINK("https://klasma.github.io/Logging_2305/kartor/A 51834-2024 karta.png", "A 51834-2024")</f>
        <v/>
      </c>
      <c r="U337">
        <f>HYPERLINK("https://klasma.github.io/Logging_2305/knärot/A 51834-2024 karta knärot.png", "A 51834-2024")</f>
        <v/>
      </c>
      <c r="V337">
        <f>HYPERLINK("https://klasma.github.io/Logging_2305/klagomål/A 51834-2024 FSC-klagomål.docx", "A 51834-2024")</f>
        <v/>
      </c>
      <c r="W337">
        <f>HYPERLINK("https://klasma.github.io/Logging_2305/klagomålsmail/A 51834-2024 FSC-klagomål mail.docx", "A 51834-2024")</f>
        <v/>
      </c>
      <c r="X337">
        <f>HYPERLINK("https://klasma.github.io/Logging_2305/tillsyn/A 51834-2024 tillsynsbegäran.docx", "A 51834-2024")</f>
        <v/>
      </c>
      <c r="Y337">
        <f>HYPERLINK("https://klasma.github.io/Logging_2305/tillsynsmail/A 51834-2024 tillsynsbegäran mail.docx", "A 51834-2024")</f>
        <v/>
      </c>
    </row>
    <row r="338" ht="15" customHeight="1">
      <c r="A338" t="inlineStr">
        <is>
          <t>A 53832-2024</t>
        </is>
      </c>
      <c r="B338" s="1" t="n">
        <v>45615</v>
      </c>
      <c r="C338" s="1" t="n">
        <v>45666</v>
      </c>
      <c r="D338" t="inlineStr">
        <is>
          <t>JÄMTLANDS LÄN</t>
        </is>
      </c>
      <c r="E338" t="inlineStr">
        <is>
          <t>BRÄCKE</t>
        </is>
      </c>
      <c r="F338" t="inlineStr">
        <is>
          <t>SCA</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53832-2024 artfynd.xlsx", "A 53832-2024")</f>
        <v/>
      </c>
      <c r="T338">
        <f>HYPERLINK("https://klasma.github.io/Logging_2305/kartor/A 53832-2024 karta.png", "A 53832-2024")</f>
        <v/>
      </c>
      <c r="V338">
        <f>HYPERLINK("https://klasma.github.io/Logging_2305/klagomål/A 53832-2024 FSC-klagomål.docx", "A 53832-2024")</f>
        <v/>
      </c>
      <c r="W338">
        <f>HYPERLINK("https://klasma.github.io/Logging_2305/klagomålsmail/A 53832-2024 FSC-klagomål mail.docx", "A 53832-2024")</f>
        <v/>
      </c>
      <c r="X338">
        <f>HYPERLINK("https://klasma.github.io/Logging_2305/tillsyn/A 53832-2024 tillsynsbegäran.docx", "A 53832-2024")</f>
        <v/>
      </c>
      <c r="Y338">
        <f>HYPERLINK("https://klasma.github.io/Logging_2305/tillsynsmail/A 53832-2024 tillsynsbegäran mail.docx", "A 53832-2024")</f>
        <v/>
      </c>
    </row>
    <row r="339" ht="15" customHeight="1">
      <c r="A339" t="inlineStr">
        <is>
          <t>A 55802-2024</t>
        </is>
      </c>
      <c r="B339" s="1" t="n">
        <v>45623</v>
      </c>
      <c r="C339" s="1" t="n">
        <v>45666</v>
      </c>
      <c r="D339" t="inlineStr">
        <is>
          <t>JÄMTLANDS LÄN</t>
        </is>
      </c>
      <c r="E339" t="inlineStr">
        <is>
          <t>BRÄCKE</t>
        </is>
      </c>
      <c r="F339" t="inlineStr">
        <is>
          <t>SCA</t>
        </is>
      </c>
      <c r="G339" t="n">
        <v>2.1</v>
      </c>
      <c r="H339" t="n">
        <v>0</v>
      </c>
      <c r="I339" t="n">
        <v>0</v>
      </c>
      <c r="J339" t="n">
        <v>1</v>
      </c>
      <c r="K339" t="n">
        <v>0</v>
      </c>
      <c r="L339" t="n">
        <v>0</v>
      </c>
      <c r="M339" t="n">
        <v>0</v>
      </c>
      <c r="N339" t="n">
        <v>0</v>
      </c>
      <c r="O339" t="n">
        <v>1</v>
      </c>
      <c r="P339" t="n">
        <v>0</v>
      </c>
      <c r="Q339" t="n">
        <v>1</v>
      </c>
      <c r="R339" s="2" t="inlineStr">
        <is>
          <t>Granticka</t>
        </is>
      </c>
      <c r="S339">
        <f>HYPERLINK("https://klasma.github.io/Logging_2305/artfynd/A 55802-2024 artfynd.xlsx", "A 55802-2024")</f>
        <v/>
      </c>
      <c r="T339">
        <f>HYPERLINK("https://klasma.github.io/Logging_2305/kartor/A 55802-2024 karta.png", "A 55802-2024")</f>
        <v/>
      </c>
      <c r="V339">
        <f>HYPERLINK("https://klasma.github.io/Logging_2305/klagomål/A 55802-2024 FSC-klagomål.docx", "A 55802-2024")</f>
        <v/>
      </c>
      <c r="W339">
        <f>HYPERLINK("https://klasma.github.io/Logging_2305/klagomålsmail/A 55802-2024 FSC-klagomål mail.docx", "A 55802-2024")</f>
        <v/>
      </c>
      <c r="X339">
        <f>HYPERLINK("https://klasma.github.io/Logging_2305/tillsyn/A 55802-2024 tillsynsbegäran.docx", "A 55802-2024")</f>
        <v/>
      </c>
      <c r="Y339">
        <f>HYPERLINK("https://klasma.github.io/Logging_2305/tillsynsmail/A 55802-2024 tillsynsbegäran mail.docx", "A 55802-2024")</f>
        <v/>
      </c>
    </row>
    <row r="340" ht="15" customHeight="1">
      <c r="A340" t="inlineStr">
        <is>
          <t>A 56156-2024</t>
        </is>
      </c>
      <c r="B340" s="1" t="n">
        <v>45624</v>
      </c>
      <c r="C340" s="1" t="n">
        <v>45666</v>
      </c>
      <c r="D340" t="inlineStr">
        <is>
          <t>JÄMTLANDS LÄN</t>
        </is>
      </c>
      <c r="E340" t="inlineStr">
        <is>
          <t>BRÄCKE</t>
        </is>
      </c>
      <c r="F340" t="inlineStr">
        <is>
          <t>SCA</t>
        </is>
      </c>
      <c r="G340" t="n">
        <v>4.4</v>
      </c>
      <c r="H340" t="n">
        <v>0</v>
      </c>
      <c r="I340" t="n">
        <v>0</v>
      </c>
      <c r="J340" t="n">
        <v>1</v>
      </c>
      <c r="K340" t="n">
        <v>0</v>
      </c>
      <c r="L340" t="n">
        <v>0</v>
      </c>
      <c r="M340" t="n">
        <v>0</v>
      </c>
      <c r="N340" t="n">
        <v>0</v>
      </c>
      <c r="O340" t="n">
        <v>1</v>
      </c>
      <c r="P340" t="n">
        <v>0</v>
      </c>
      <c r="Q340" t="n">
        <v>1</v>
      </c>
      <c r="R340" s="2" t="inlineStr">
        <is>
          <t>Flattoppad klubbsvamp</t>
        </is>
      </c>
      <c r="S340">
        <f>HYPERLINK("https://klasma.github.io/Logging_2305/artfynd/A 56156-2024 artfynd.xlsx", "A 56156-2024")</f>
        <v/>
      </c>
      <c r="T340">
        <f>HYPERLINK("https://klasma.github.io/Logging_2305/kartor/A 56156-2024 karta.png", "A 56156-2024")</f>
        <v/>
      </c>
      <c r="V340">
        <f>HYPERLINK("https://klasma.github.io/Logging_2305/klagomål/A 56156-2024 FSC-klagomål.docx", "A 56156-2024")</f>
        <v/>
      </c>
      <c r="W340">
        <f>HYPERLINK("https://klasma.github.io/Logging_2305/klagomålsmail/A 56156-2024 FSC-klagomål mail.docx", "A 56156-2024")</f>
        <v/>
      </c>
      <c r="X340">
        <f>HYPERLINK("https://klasma.github.io/Logging_2305/tillsyn/A 56156-2024 tillsynsbegäran.docx", "A 56156-2024")</f>
        <v/>
      </c>
      <c r="Y340">
        <f>HYPERLINK("https://klasma.github.io/Logging_2305/tillsynsmail/A 56156-2024 tillsynsbegäran mail.docx", "A 56156-2024")</f>
        <v/>
      </c>
    </row>
    <row r="341" ht="15" customHeight="1">
      <c r="A341" t="inlineStr">
        <is>
          <t>A 57095-2024</t>
        </is>
      </c>
      <c r="B341" s="1" t="n">
        <v>45629</v>
      </c>
      <c r="C341" s="1" t="n">
        <v>45666</v>
      </c>
      <c r="D341" t="inlineStr">
        <is>
          <t>JÄMTLANDS LÄN</t>
        </is>
      </c>
      <c r="E341" t="inlineStr">
        <is>
          <t>BRÄCKE</t>
        </is>
      </c>
      <c r="F341" t="inlineStr">
        <is>
          <t>SCA</t>
        </is>
      </c>
      <c r="G341" t="n">
        <v>6.3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57095-2024 artfynd.xlsx", "A 57095-2024")</f>
        <v/>
      </c>
      <c r="T341">
        <f>HYPERLINK("https://klasma.github.io/Logging_2305/kartor/A 57095-2024 karta.png", "A 57095-2024")</f>
        <v/>
      </c>
      <c r="V341">
        <f>HYPERLINK("https://klasma.github.io/Logging_2305/klagomål/A 57095-2024 FSC-klagomål.docx", "A 57095-2024")</f>
        <v/>
      </c>
      <c r="W341">
        <f>HYPERLINK("https://klasma.github.io/Logging_2305/klagomålsmail/A 57095-2024 FSC-klagomål mail.docx", "A 57095-2024")</f>
        <v/>
      </c>
      <c r="X341">
        <f>HYPERLINK("https://klasma.github.io/Logging_2305/tillsyn/A 57095-2024 tillsynsbegäran.docx", "A 57095-2024")</f>
        <v/>
      </c>
      <c r="Y341">
        <f>HYPERLINK("https://klasma.github.io/Logging_2305/tillsynsmail/A 57095-2024 tillsynsbegäran mail.docx", "A 57095-2024")</f>
        <v/>
      </c>
    </row>
    <row r="342" ht="15" customHeight="1">
      <c r="A342" t="inlineStr">
        <is>
          <t>A 57553-2024</t>
        </is>
      </c>
      <c r="B342" s="1" t="n">
        <v>45630</v>
      </c>
      <c r="C342" s="1" t="n">
        <v>45666</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59431-2024</t>
        </is>
      </c>
      <c r="B343" s="1" t="n">
        <v>45638</v>
      </c>
      <c r="C343" s="1" t="n">
        <v>45666</v>
      </c>
      <c r="D343" t="inlineStr">
        <is>
          <t>JÄMTLANDS LÄN</t>
        </is>
      </c>
      <c r="E343" t="inlineStr">
        <is>
          <t>BRÄCKE</t>
        </is>
      </c>
      <c r="F343" t="inlineStr">
        <is>
          <t>SCA</t>
        </is>
      </c>
      <c r="G343" t="n">
        <v>3.9</v>
      </c>
      <c r="H343" t="n">
        <v>0</v>
      </c>
      <c r="I343" t="n">
        <v>1</v>
      </c>
      <c r="J343" t="n">
        <v>0</v>
      </c>
      <c r="K343" t="n">
        <v>0</v>
      </c>
      <c r="L343" t="n">
        <v>0</v>
      </c>
      <c r="M343" t="n">
        <v>0</v>
      </c>
      <c r="N343" t="n">
        <v>0</v>
      </c>
      <c r="O343" t="n">
        <v>0</v>
      </c>
      <c r="P343" t="n">
        <v>0</v>
      </c>
      <c r="Q343" t="n">
        <v>1</v>
      </c>
      <c r="R343" s="2" t="inlineStr">
        <is>
          <t>Vedticka</t>
        </is>
      </c>
      <c r="S343">
        <f>HYPERLINK("https://klasma.github.io/Logging_2305/artfynd/A 59431-2024 artfynd.xlsx", "A 59431-2024")</f>
        <v/>
      </c>
      <c r="T343">
        <f>HYPERLINK("https://klasma.github.io/Logging_2305/kartor/A 59431-2024 karta.png", "A 59431-2024")</f>
        <v/>
      </c>
      <c r="V343">
        <f>HYPERLINK("https://klasma.github.io/Logging_2305/klagomål/A 59431-2024 FSC-klagomål.docx", "A 59431-2024")</f>
        <v/>
      </c>
      <c r="W343">
        <f>HYPERLINK("https://klasma.github.io/Logging_2305/klagomålsmail/A 59431-2024 FSC-klagomål mail.docx", "A 59431-2024")</f>
        <v/>
      </c>
      <c r="X343">
        <f>HYPERLINK("https://klasma.github.io/Logging_2305/tillsyn/A 59431-2024 tillsynsbegäran.docx", "A 59431-2024")</f>
        <v/>
      </c>
      <c r="Y343">
        <f>HYPERLINK("https://klasma.github.io/Logging_2305/tillsynsmail/A 59431-2024 tillsynsbegäran mail.docx", "A 59431-2024")</f>
        <v/>
      </c>
    </row>
    <row r="344" ht="15" customHeight="1">
      <c r="A344" t="inlineStr">
        <is>
          <t>A 60693-2024</t>
        </is>
      </c>
      <c r="B344" s="1" t="n">
        <v>45644</v>
      </c>
      <c r="C344" s="1" t="n">
        <v>45666</v>
      </c>
      <c r="D344" t="inlineStr">
        <is>
          <t>JÄMTLANDS LÄN</t>
        </is>
      </c>
      <c r="E344" t="inlineStr">
        <is>
          <t>BRÄCKE</t>
        </is>
      </c>
      <c r="G344" t="n">
        <v>13.5</v>
      </c>
      <c r="H344" t="n">
        <v>1</v>
      </c>
      <c r="I344" t="n">
        <v>0</v>
      </c>
      <c r="J344" t="n">
        <v>0</v>
      </c>
      <c r="K344" t="n">
        <v>1</v>
      </c>
      <c r="L344" t="n">
        <v>0</v>
      </c>
      <c r="M344" t="n">
        <v>0</v>
      </c>
      <c r="N344" t="n">
        <v>0</v>
      </c>
      <c r="O344" t="n">
        <v>1</v>
      </c>
      <c r="P344" t="n">
        <v>1</v>
      </c>
      <c r="Q344" t="n">
        <v>1</v>
      </c>
      <c r="R344" s="2" t="inlineStr">
        <is>
          <t>Knärot</t>
        </is>
      </c>
      <c r="S344">
        <f>HYPERLINK("https://klasma.github.io/Logging_2305/artfynd/A 60693-2024 artfynd.xlsx", "A 60693-2024")</f>
        <v/>
      </c>
      <c r="T344">
        <f>HYPERLINK("https://klasma.github.io/Logging_2305/kartor/A 60693-2024 karta.png", "A 60693-2024")</f>
        <v/>
      </c>
      <c r="U344">
        <f>HYPERLINK("https://klasma.github.io/Logging_2305/knärot/A 60693-2024 karta knärot.png", "A 60693-2024")</f>
        <v/>
      </c>
      <c r="V344">
        <f>HYPERLINK("https://klasma.github.io/Logging_2305/klagomål/A 60693-2024 FSC-klagomål.docx", "A 60693-2024")</f>
        <v/>
      </c>
      <c r="W344">
        <f>HYPERLINK("https://klasma.github.io/Logging_2305/klagomålsmail/A 60693-2024 FSC-klagomål mail.docx", "A 60693-2024")</f>
        <v/>
      </c>
      <c r="X344">
        <f>HYPERLINK("https://klasma.github.io/Logging_2305/tillsyn/A 60693-2024 tillsynsbegäran.docx", "A 60693-2024")</f>
        <v/>
      </c>
      <c r="Y344">
        <f>HYPERLINK("https://klasma.github.io/Logging_2305/tillsynsmail/A 60693-2024 tillsynsbegäran mail.docx", "A 60693-2024")</f>
        <v/>
      </c>
    </row>
    <row r="345" ht="15" customHeight="1">
      <c r="A345" t="inlineStr">
        <is>
          <t>A 698-2025</t>
        </is>
      </c>
      <c r="B345" s="1" t="n">
        <v>45665</v>
      </c>
      <c r="C345" s="1" t="n">
        <v>45666</v>
      </c>
      <c r="D345" t="inlineStr">
        <is>
          <t>JÄMTLANDS LÄN</t>
        </is>
      </c>
      <c r="E345" t="inlineStr">
        <is>
          <t>BRÄCKE</t>
        </is>
      </c>
      <c r="F345" t="inlineStr">
        <is>
          <t>SCA</t>
        </is>
      </c>
      <c r="G345" t="n">
        <v>4.6</v>
      </c>
      <c r="H345" t="n">
        <v>0</v>
      </c>
      <c r="I345" t="n">
        <v>0</v>
      </c>
      <c r="J345" t="n">
        <v>1</v>
      </c>
      <c r="K345" t="n">
        <v>0</v>
      </c>
      <c r="L345" t="n">
        <v>0</v>
      </c>
      <c r="M345" t="n">
        <v>0</v>
      </c>
      <c r="N345" t="n">
        <v>0</v>
      </c>
      <c r="O345" t="n">
        <v>1</v>
      </c>
      <c r="P345" t="n">
        <v>0</v>
      </c>
      <c r="Q345" t="n">
        <v>1</v>
      </c>
      <c r="R345" s="2" t="inlineStr">
        <is>
          <t>Lunglav</t>
        </is>
      </c>
      <c r="S345">
        <f>HYPERLINK("https://klasma.github.io/Logging_2305/artfynd/A 698-2025 artfynd.xlsx", "A 698-2025")</f>
        <v/>
      </c>
      <c r="T345">
        <f>HYPERLINK("https://klasma.github.io/Logging_2305/kartor/A 698-2025 karta.png", "A 698-2025")</f>
        <v/>
      </c>
      <c r="V345">
        <f>HYPERLINK("https://klasma.github.io/Logging_2305/klagomål/A 698-2025 FSC-klagomål.docx", "A 698-2025")</f>
        <v/>
      </c>
      <c r="W345">
        <f>HYPERLINK("https://klasma.github.io/Logging_2305/klagomålsmail/A 698-2025 FSC-klagomål mail.docx", "A 698-2025")</f>
        <v/>
      </c>
      <c r="X345">
        <f>HYPERLINK("https://klasma.github.io/Logging_2305/tillsyn/A 698-2025 tillsynsbegäran.docx", "A 698-2025")</f>
        <v/>
      </c>
      <c r="Y345">
        <f>HYPERLINK("https://klasma.github.io/Logging_2305/tillsynsmail/A 698-2025 tillsynsbegäran mail.docx", "A 698-2025")</f>
        <v/>
      </c>
    </row>
    <row r="346" ht="15" customHeight="1">
      <c r="A346" t="inlineStr">
        <is>
          <t>A 789-2025</t>
        </is>
      </c>
      <c r="B346" s="1" t="n">
        <v>45665</v>
      </c>
      <c r="C346" s="1" t="n">
        <v>45666</v>
      </c>
      <c r="D346" t="inlineStr">
        <is>
          <t>JÄMTLANDS LÄN</t>
        </is>
      </c>
      <c r="E346" t="inlineStr">
        <is>
          <t>BRÄCKE</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HYPERLINK("https://klasma.github.io/Logging_2305/artfynd/A 789-2025 artfynd.xlsx", "A 789-2025")</f>
        <v/>
      </c>
      <c r="T346">
        <f>HYPERLINK("https://klasma.github.io/Logging_2305/kartor/A 789-2025 karta.png", "A 789-2025")</f>
        <v/>
      </c>
      <c r="V346">
        <f>HYPERLINK("https://klasma.github.io/Logging_2305/klagomål/A 789-2025 FSC-klagomål.docx", "A 789-2025")</f>
        <v/>
      </c>
      <c r="W346">
        <f>HYPERLINK("https://klasma.github.io/Logging_2305/klagomålsmail/A 789-2025 FSC-klagomål mail.docx", "A 789-2025")</f>
        <v/>
      </c>
      <c r="X346">
        <f>HYPERLINK("https://klasma.github.io/Logging_2305/tillsyn/A 789-2025 tillsynsbegäran.docx", "A 789-2025")</f>
        <v/>
      </c>
      <c r="Y346">
        <f>HYPERLINK("https://klasma.github.io/Logging_2305/tillsynsmail/A 789-2025 tillsynsbegäran mail.docx", "A 789-2025")</f>
        <v/>
      </c>
    </row>
    <row r="347" ht="15" customHeight="1">
      <c r="A347" t="inlineStr">
        <is>
          <t>A 17852-2019</t>
        </is>
      </c>
      <c r="B347" s="1" t="n">
        <v>43556</v>
      </c>
      <c r="C347" s="1" t="n">
        <v>45666</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19559-2019</t>
        </is>
      </c>
      <c r="B348" s="1" t="n">
        <v>43565</v>
      </c>
      <c r="C348" s="1" t="n">
        <v>45666</v>
      </c>
      <c r="D348" t="inlineStr">
        <is>
          <t>JÄMTLANDS LÄN</t>
        </is>
      </c>
      <c r="E348" t="inlineStr">
        <is>
          <t>BRÄCKE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19925-2019</t>
        </is>
      </c>
      <c r="B349" s="1" t="n">
        <v>43567</v>
      </c>
      <c r="C349" s="1" t="n">
        <v>45666</v>
      </c>
      <c r="D349" t="inlineStr">
        <is>
          <t>JÄMTLANDS LÄN</t>
        </is>
      </c>
      <c r="E349" t="inlineStr">
        <is>
          <t>BRÄCKE</t>
        </is>
      </c>
      <c r="F349" t="inlineStr">
        <is>
          <t>SCA</t>
        </is>
      </c>
      <c r="G349" t="n">
        <v>20</v>
      </c>
      <c r="H349" t="n">
        <v>0</v>
      </c>
      <c r="I349" t="n">
        <v>0</v>
      </c>
      <c r="J349" t="n">
        <v>0</v>
      </c>
      <c r="K349" t="n">
        <v>0</v>
      </c>
      <c r="L349" t="n">
        <v>0</v>
      </c>
      <c r="M349" t="n">
        <v>0</v>
      </c>
      <c r="N349" t="n">
        <v>0</v>
      </c>
      <c r="O349" t="n">
        <v>0</v>
      </c>
      <c r="P349" t="n">
        <v>0</v>
      </c>
      <c r="Q349" t="n">
        <v>0</v>
      </c>
      <c r="R349" s="2" t="inlineStr"/>
    </row>
    <row r="350" ht="15" customHeight="1">
      <c r="A350" t="inlineStr">
        <is>
          <t>A 19927-2019</t>
        </is>
      </c>
      <c r="B350" s="1" t="n">
        <v>43567</v>
      </c>
      <c r="C350" s="1" t="n">
        <v>45666</v>
      </c>
      <c r="D350" t="inlineStr">
        <is>
          <t>JÄMTLANDS LÄN</t>
        </is>
      </c>
      <c r="E350" t="inlineStr">
        <is>
          <t>BRÄCKE</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19926-2019</t>
        </is>
      </c>
      <c r="B351" s="1" t="n">
        <v>43567</v>
      </c>
      <c r="C351" s="1" t="n">
        <v>45666</v>
      </c>
      <c r="D351" t="inlineStr">
        <is>
          <t>JÄMTLANDS LÄN</t>
        </is>
      </c>
      <c r="E351" t="inlineStr">
        <is>
          <t>BRÄCKE</t>
        </is>
      </c>
      <c r="F351" t="inlineStr">
        <is>
          <t>SCA</t>
        </is>
      </c>
      <c r="G351" t="n">
        <v>18.6</v>
      </c>
      <c r="H351" t="n">
        <v>0</v>
      </c>
      <c r="I351" t="n">
        <v>0</v>
      </c>
      <c r="J351" t="n">
        <v>0</v>
      </c>
      <c r="K351" t="n">
        <v>0</v>
      </c>
      <c r="L351" t="n">
        <v>0</v>
      </c>
      <c r="M351" t="n">
        <v>0</v>
      </c>
      <c r="N351" t="n">
        <v>0</v>
      </c>
      <c r="O351" t="n">
        <v>0</v>
      </c>
      <c r="P351" t="n">
        <v>0</v>
      </c>
      <c r="Q351" t="n">
        <v>0</v>
      </c>
      <c r="R351" s="2" t="inlineStr"/>
    </row>
    <row r="352" ht="15" customHeight="1">
      <c r="A352" t="inlineStr">
        <is>
          <t>A 20186-2019</t>
        </is>
      </c>
      <c r="B352" s="1" t="n">
        <v>43570</v>
      </c>
      <c r="C352" s="1" t="n">
        <v>45666</v>
      </c>
      <c r="D352" t="inlineStr">
        <is>
          <t>JÄMTLANDS LÄN</t>
        </is>
      </c>
      <c r="E352" t="inlineStr">
        <is>
          <t>BRÄCKE</t>
        </is>
      </c>
      <c r="G352" t="n">
        <v>2.1</v>
      </c>
      <c r="H352" t="n">
        <v>0</v>
      </c>
      <c r="I352" t="n">
        <v>0</v>
      </c>
      <c r="J352" t="n">
        <v>0</v>
      </c>
      <c r="K352" t="n">
        <v>0</v>
      </c>
      <c r="L352" t="n">
        <v>0</v>
      </c>
      <c r="M352" t="n">
        <v>0</v>
      </c>
      <c r="N352" t="n">
        <v>0</v>
      </c>
      <c r="O352" t="n">
        <v>0</v>
      </c>
      <c r="P352" t="n">
        <v>0</v>
      </c>
      <c r="Q352" t="n">
        <v>0</v>
      </c>
      <c r="R352" s="2" t="inlineStr"/>
    </row>
    <row r="353" ht="15" customHeight="1">
      <c r="A353" t="inlineStr">
        <is>
          <t>A 20390-2019</t>
        </is>
      </c>
      <c r="B353" s="1" t="n">
        <v>43571</v>
      </c>
      <c r="C353" s="1" t="n">
        <v>45666</v>
      </c>
      <c r="D353" t="inlineStr">
        <is>
          <t>JÄMTLANDS LÄN</t>
        </is>
      </c>
      <c r="E353" t="inlineStr">
        <is>
          <t>BRÄCKE</t>
        </is>
      </c>
      <c r="G353" t="n">
        <v>3</v>
      </c>
      <c r="H353" t="n">
        <v>0</v>
      </c>
      <c r="I353" t="n">
        <v>0</v>
      </c>
      <c r="J353" t="n">
        <v>0</v>
      </c>
      <c r="K353" t="n">
        <v>0</v>
      </c>
      <c r="L353" t="n">
        <v>0</v>
      </c>
      <c r="M353" t="n">
        <v>0</v>
      </c>
      <c r="N353" t="n">
        <v>0</v>
      </c>
      <c r="O353" t="n">
        <v>0</v>
      </c>
      <c r="P353" t="n">
        <v>0</v>
      </c>
      <c r="Q353" t="n">
        <v>0</v>
      </c>
      <c r="R353" s="2" t="inlineStr"/>
    </row>
    <row r="354" ht="15" customHeight="1">
      <c r="A354" t="inlineStr">
        <is>
          <t>A 20448-2019</t>
        </is>
      </c>
      <c r="B354" s="1" t="n">
        <v>43571</v>
      </c>
      <c r="C354" s="1" t="n">
        <v>45666</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20539-2019</t>
        </is>
      </c>
      <c r="B355" s="1" t="n">
        <v>43572</v>
      </c>
      <c r="C355" s="1" t="n">
        <v>45666</v>
      </c>
      <c r="D355" t="inlineStr">
        <is>
          <t>JÄMTLANDS LÄN</t>
        </is>
      </c>
      <c r="E355" t="inlineStr">
        <is>
          <t>BRÄCKE</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20535-2019</t>
        </is>
      </c>
      <c r="B356" s="1" t="n">
        <v>43572</v>
      </c>
      <c r="C356" s="1" t="n">
        <v>45666</v>
      </c>
      <c r="D356" t="inlineStr">
        <is>
          <t>JÄMTLANDS LÄN</t>
        </is>
      </c>
      <c r="E356" t="inlineStr">
        <is>
          <t>BRÄCKE</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20827-2019</t>
        </is>
      </c>
      <c r="B357" s="1" t="n">
        <v>43573</v>
      </c>
      <c r="C357" s="1" t="n">
        <v>45666</v>
      </c>
      <c r="D357" t="inlineStr">
        <is>
          <t>JÄMTLANDS LÄN</t>
        </is>
      </c>
      <c r="E357" t="inlineStr">
        <is>
          <t>BRÄCKE</t>
        </is>
      </c>
      <c r="F357" t="inlineStr">
        <is>
          <t>SCA</t>
        </is>
      </c>
      <c r="G357" t="n">
        <v>40.9</v>
      </c>
      <c r="H357" t="n">
        <v>0</v>
      </c>
      <c r="I357" t="n">
        <v>0</v>
      </c>
      <c r="J357" t="n">
        <v>0</v>
      </c>
      <c r="K357" t="n">
        <v>0</v>
      </c>
      <c r="L357" t="n">
        <v>0</v>
      </c>
      <c r="M357" t="n">
        <v>0</v>
      </c>
      <c r="N357" t="n">
        <v>0</v>
      </c>
      <c r="O357" t="n">
        <v>0</v>
      </c>
      <c r="P357" t="n">
        <v>0</v>
      </c>
      <c r="Q357" t="n">
        <v>0</v>
      </c>
      <c r="R357" s="2" t="inlineStr"/>
    </row>
    <row r="358" ht="15" customHeight="1">
      <c r="A358" t="inlineStr">
        <is>
          <t>A 20926-2019</t>
        </is>
      </c>
      <c r="B358" s="1" t="n">
        <v>43578</v>
      </c>
      <c r="C358" s="1" t="n">
        <v>45666</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21116-2019</t>
        </is>
      </c>
      <c r="B359" s="1" t="n">
        <v>43578</v>
      </c>
      <c r="C359" s="1" t="n">
        <v>45666</v>
      </c>
      <c r="D359" t="inlineStr">
        <is>
          <t>JÄMTLANDS LÄN</t>
        </is>
      </c>
      <c r="E359" t="inlineStr">
        <is>
          <t>BRÄCKE</t>
        </is>
      </c>
      <c r="F359" t="inlineStr">
        <is>
          <t>SCA</t>
        </is>
      </c>
      <c r="G359" t="n">
        <v>70</v>
      </c>
      <c r="H359" t="n">
        <v>0</v>
      </c>
      <c r="I359" t="n">
        <v>0</v>
      </c>
      <c r="J359" t="n">
        <v>0</v>
      </c>
      <c r="K359" t="n">
        <v>0</v>
      </c>
      <c r="L359" t="n">
        <v>0</v>
      </c>
      <c r="M359" t="n">
        <v>0</v>
      </c>
      <c r="N359" t="n">
        <v>0</v>
      </c>
      <c r="O359" t="n">
        <v>0</v>
      </c>
      <c r="P359" t="n">
        <v>0</v>
      </c>
      <c r="Q359" t="n">
        <v>0</v>
      </c>
      <c r="R359" s="2" t="inlineStr"/>
    </row>
    <row r="360" ht="15" customHeight="1">
      <c r="A360" t="inlineStr">
        <is>
          <t>A 21454-2019</t>
        </is>
      </c>
      <c r="B360" s="1" t="n">
        <v>43580</v>
      </c>
      <c r="C360" s="1" t="n">
        <v>45666</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21438-2019</t>
        </is>
      </c>
      <c r="B361" s="1" t="n">
        <v>43580</v>
      </c>
      <c r="C361" s="1" t="n">
        <v>45666</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21428-2019</t>
        </is>
      </c>
      <c r="B362" s="1" t="n">
        <v>43580</v>
      </c>
      <c r="C362" s="1" t="n">
        <v>45666</v>
      </c>
      <c r="D362" t="inlineStr">
        <is>
          <t>JÄMTLANDS LÄN</t>
        </is>
      </c>
      <c r="E362" t="inlineStr">
        <is>
          <t>BRÄCKE</t>
        </is>
      </c>
      <c r="G362" t="n">
        <v>4.5</v>
      </c>
      <c r="H362" t="n">
        <v>0</v>
      </c>
      <c r="I362" t="n">
        <v>0</v>
      </c>
      <c r="J362" t="n">
        <v>0</v>
      </c>
      <c r="K362" t="n">
        <v>0</v>
      </c>
      <c r="L362" t="n">
        <v>0</v>
      </c>
      <c r="M362" t="n">
        <v>0</v>
      </c>
      <c r="N362" t="n">
        <v>0</v>
      </c>
      <c r="O362" t="n">
        <v>0</v>
      </c>
      <c r="P362" t="n">
        <v>0</v>
      </c>
      <c r="Q362" t="n">
        <v>0</v>
      </c>
      <c r="R362" s="2" t="inlineStr"/>
    </row>
    <row r="363" ht="15" customHeight="1">
      <c r="A363" t="inlineStr">
        <is>
          <t>A 21792-2019</t>
        </is>
      </c>
      <c r="B363" s="1" t="n">
        <v>43581</v>
      </c>
      <c r="C363" s="1" t="n">
        <v>45666</v>
      </c>
      <c r="D363" t="inlineStr">
        <is>
          <t>JÄMTLANDS LÄN</t>
        </is>
      </c>
      <c r="E363" t="inlineStr">
        <is>
          <t>BRÄCKE</t>
        </is>
      </c>
      <c r="G363" t="n">
        <v>1</v>
      </c>
      <c r="H363" t="n">
        <v>0</v>
      </c>
      <c r="I363" t="n">
        <v>0</v>
      </c>
      <c r="J363" t="n">
        <v>0</v>
      </c>
      <c r="K363" t="n">
        <v>0</v>
      </c>
      <c r="L363" t="n">
        <v>0</v>
      </c>
      <c r="M363" t="n">
        <v>0</v>
      </c>
      <c r="N363" t="n">
        <v>0</v>
      </c>
      <c r="O363" t="n">
        <v>0</v>
      </c>
      <c r="P363" t="n">
        <v>0</v>
      </c>
      <c r="Q363" t="n">
        <v>0</v>
      </c>
      <c r="R363" s="2" t="inlineStr"/>
    </row>
    <row r="364" ht="15" customHeight="1">
      <c r="A364" t="inlineStr">
        <is>
          <t>A 21798-2019</t>
        </is>
      </c>
      <c r="B364" s="1" t="n">
        <v>43581</v>
      </c>
      <c r="C364" s="1" t="n">
        <v>45666</v>
      </c>
      <c r="D364" t="inlineStr">
        <is>
          <t>JÄMTLANDS LÄN</t>
        </is>
      </c>
      <c r="E364" t="inlineStr">
        <is>
          <t>BRÄCKE</t>
        </is>
      </c>
      <c r="F364" t="inlineStr">
        <is>
          <t>SCA</t>
        </is>
      </c>
      <c r="G364" t="n">
        <v>7.3</v>
      </c>
      <c r="H364" t="n">
        <v>0</v>
      </c>
      <c r="I364" t="n">
        <v>0</v>
      </c>
      <c r="J364" t="n">
        <v>0</v>
      </c>
      <c r="K364" t="n">
        <v>0</v>
      </c>
      <c r="L364" t="n">
        <v>0</v>
      </c>
      <c r="M364" t="n">
        <v>0</v>
      </c>
      <c r="N364" t="n">
        <v>0</v>
      </c>
      <c r="O364" t="n">
        <v>0</v>
      </c>
      <c r="P364" t="n">
        <v>0</v>
      </c>
      <c r="Q364" t="n">
        <v>0</v>
      </c>
      <c r="R364" s="2" t="inlineStr"/>
      <c r="U364">
        <f>HYPERLINK("https://klasma.github.io/Logging_2305/knärot/A 21798-2019 karta knärot.png", "A 21798-2019")</f>
        <v/>
      </c>
      <c r="V364">
        <f>HYPERLINK("https://klasma.github.io/Logging_2305/klagomål/A 21798-2019 FSC-klagomål.docx", "A 21798-2019")</f>
        <v/>
      </c>
      <c r="W364">
        <f>HYPERLINK("https://klasma.github.io/Logging_2305/klagomålsmail/A 21798-2019 FSC-klagomål mail.docx", "A 21798-2019")</f>
        <v/>
      </c>
      <c r="X364">
        <f>HYPERLINK("https://klasma.github.io/Logging_2305/tillsyn/A 21798-2019 tillsynsbegäran.docx", "A 21798-2019")</f>
        <v/>
      </c>
      <c r="Y364">
        <f>HYPERLINK("https://klasma.github.io/Logging_2305/tillsynsmail/A 21798-2019 tillsynsbegäran mail.docx", "A 21798-2019")</f>
        <v/>
      </c>
    </row>
    <row r="365" ht="15" customHeight="1">
      <c r="A365" t="inlineStr">
        <is>
          <t>A 22299-2019</t>
        </is>
      </c>
      <c r="B365" s="1" t="n">
        <v>43585</v>
      </c>
      <c r="C365" s="1" t="n">
        <v>45666</v>
      </c>
      <c r="D365" t="inlineStr">
        <is>
          <t>JÄMTLANDS LÄN</t>
        </is>
      </c>
      <c r="E365" t="inlineStr">
        <is>
          <t>BRÄCKE</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22778-2019</t>
        </is>
      </c>
      <c r="B366" s="1" t="n">
        <v>43589</v>
      </c>
      <c r="C366" s="1" t="n">
        <v>45666</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23480-2019</t>
        </is>
      </c>
      <c r="B367" s="1" t="n">
        <v>43593</v>
      </c>
      <c r="C367" s="1" t="n">
        <v>45666</v>
      </c>
      <c r="D367" t="inlineStr">
        <is>
          <t>JÄMTLANDS LÄN</t>
        </is>
      </c>
      <c r="E367" t="inlineStr">
        <is>
          <t>BRÄCKE</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23743-2019</t>
        </is>
      </c>
      <c r="B368" s="1" t="n">
        <v>43594</v>
      </c>
      <c r="C368" s="1" t="n">
        <v>45666</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23736-2019</t>
        </is>
      </c>
      <c r="B369" s="1" t="n">
        <v>43594</v>
      </c>
      <c r="C369" s="1" t="n">
        <v>45666</v>
      </c>
      <c r="D369" t="inlineStr">
        <is>
          <t>JÄMTLANDS LÄN</t>
        </is>
      </c>
      <c r="E369" t="inlineStr">
        <is>
          <t>BRÄCKE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24122-2019</t>
        </is>
      </c>
      <c r="B370" s="1" t="n">
        <v>43598</v>
      </c>
      <c r="C370" s="1" t="n">
        <v>45666</v>
      </c>
      <c r="D370" t="inlineStr">
        <is>
          <t>JÄMTLANDS LÄN</t>
        </is>
      </c>
      <c r="E370" t="inlineStr">
        <is>
          <t>BRÄCKE</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25018-2019</t>
        </is>
      </c>
      <c r="B371" s="1" t="n">
        <v>43602</v>
      </c>
      <c r="C371" s="1" t="n">
        <v>45666</v>
      </c>
      <c r="D371" t="inlineStr">
        <is>
          <t>JÄMTLANDS LÄN</t>
        </is>
      </c>
      <c r="E371" t="inlineStr">
        <is>
          <t>BRÄCKE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26001-2019</t>
        </is>
      </c>
      <c r="B372" s="1" t="n">
        <v>43608</v>
      </c>
      <c r="C372" s="1" t="n">
        <v>45666</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26237-2019</t>
        </is>
      </c>
      <c r="B373" s="1" t="n">
        <v>43609</v>
      </c>
      <c r="C373" s="1" t="n">
        <v>45666</v>
      </c>
      <c r="D373" t="inlineStr">
        <is>
          <t>JÄMTLANDS LÄN</t>
        </is>
      </c>
      <c r="E373" t="inlineStr">
        <is>
          <t>BRÄCKE</t>
        </is>
      </c>
      <c r="G373" t="n">
        <v>22.7</v>
      </c>
      <c r="H373" t="n">
        <v>0</v>
      </c>
      <c r="I373" t="n">
        <v>0</v>
      </c>
      <c r="J373" t="n">
        <v>0</v>
      </c>
      <c r="K373" t="n">
        <v>0</v>
      </c>
      <c r="L373" t="n">
        <v>0</v>
      </c>
      <c r="M373" t="n">
        <v>0</v>
      </c>
      <c r="N373" t="n">
        <v>0</v>
      </c>
      <c r="O373" t="n">
        <v>0</v>
      </c>
      <c r="P373" t="n">
        <v>0</v>
      </c>
      <c r="Q373" t="n">
        <v>0</v>
      </c>
      <c r="R373" s="2" t="inlineStr"/>
    </row>
    <row r="374" ht="15" customHeight="1">
      <c r="A374" t="inlineStr">
        <is>
          <t>A 26638-2019</t>
        </is>
      </c>
      <c r="B374" s="1" t="n">
        <v>43612</v>
      </c>
      <c r="C374" s="1" t="n">
        <v>45666</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27229-2019</t>
        </is>
      </c>
      <c r="B375" s="1" t="n">
        <v>43614</v>
      </c>
      <c r="C375" s="1" t="n">
        <v>45666</v>
      </c>
      <c r="D375" t="inlineStr">
        <is>
          <t>JÄMTLANDS LÄN</t>
        </is>
      </c>
      <c r="E375" t="inlineStr">
        <is>
          <t>BRÄCKE</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28950-2019</t>
        </is>
      </c>
      <c r="B376" s="1" t="n">
        <v>43628</v>
      </c>
      <c r="C376" s="1" t="n">
        <v>45666</v>
      </c>
      <c r="D376" t="inlineStr">
        <is>
          <t>JÄMTLANDS LÄN</t>
        </is>
      </c>
      <c r="E376" t="inlineStr">
        <is>
          <t>BRÄCKE</t>
        </is>
      </c>
      <c r="G376" t="n">
        <v>2.3</v>
      </c>
      <c r="H376" t="n">
        <v>0</v>
      </c>
      <c r="I376" t="n">
        <v>0</v>
      </c>
      <c r="J376" t="n">
        <v>0</v>
      </c>
      <c r="K376" t="n">
        <v>0</v>
      </c>
      <c r="L376" t="n">
        <v>0</v>
      </c>
      <c r="M376" t="n">
        <v>0</v>
      </c>
      <c r="N376" t="n">
        <v>0</v>
      </c>
      <c r="O376" t="n">
        <v>0</v>
      </c>
      <c r="P376" t="n">
        <v>0</v>
      </c>
      <c r="Q376" t="n">
        <v>0</v>
      </c>
      <c r="R376" s="2" t="inlineStr"/>
    </row>
    <row r="377" ht="15" customHeight="1">
      <c r="A377" t="inlineStr">
        <is>
          <t>A 29476-2019</t>
        </is>
      </c>
      <c r="B377" s="1" t="n">
        <v>43629</v>
      </c>
      <c r="C377" s="1" t="n">
        <v>45666</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30076-2019</t>
        </is>
      </c>
      <c r="B378" s="1" t="n">
        <v>43633</v>
      </c>
      <c r="C378" s="1" t="n">
        <v>45666</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30072-2019</t>
        </is>
      </c>
      <c r="B379" s="1" t="n">
        <v>43633</v>
      </c>
      <c r="C379" s="1" t="n">
        <v>45666</v>
      </c>
      <c r="D379" t="inlineStr">
        <is>
          <t>JÄMTLANDS LÄN</t>
        </is>
      </c>
      <c r="E379" t="inlineStr">
        <is>
          <t>BRÄCKE</t>
        </is>
      </c>
      <c r="F379" t="inlineStr">
        <is>
          <t>Naturvårdsverket</t>
        </is>
      </c>
      <c r="G379" t="n">
        <v>39</v>
      </c>
      <c r="H379" t="n">
        <v>0</v>
      </c>
      <c r="I379" t="n">
        <v>0</v>
      </c>
      <c r="J379" t="n">
        <v>0</v>
      </c>
      <c r="K379" t="n">
        <v>0</v>
      </c>
      <c r="L379" t="n">
        <v>0</v>
      </c>
      <c r="M379" t="n">
        <v>0</v>
      </c>
      <c r="N379" t="n">
        <v>0</v>
      </c>
      <c r="O379" t="n">
        <v>0</v>
      </c>
      <c r="P379" t="n">
        <v>0</v>
      </c>
      <c r="Q379" t="n">
        <v>0</v>
      </c>
      <c r="R379" s="2" t="inlineStr"/>
    </row>
    <row r="380" ht="15" customHeight="1">
      <c r="A380" t="inlineStr">
        <is>
          <t>A 30071-2019</t>
        </is>
      </c>
      <c r="B380" s="1" t="n">
        <v>43633</v>
      </c>
      <c r="C380" s="1" t="n">
        <v>45666</v>
      </c>
      <c r="D380" t="inlineStr">
        <is>
          <t>JÄMTLANDS LÄN</t>
        </is>
      </c>
      <c r="E380" t="inlineStr">
        <is>
          <t>BRÄCKE</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30625-2019</t>
        </is>
      </c>
      <c r="B381" s="1" t="n">
        <v>43635</v>
      </c>
      <c r="C381" s="1" t="n">
        <v>45666</v>
      </c>
      <c r="D381" t="inlineStr">
        <is>
          <t>JÄMTLANDS LÄN</t>
        </is>
      </c>
      <c r="E381" t="inlineStr">
        <is>
          <t>BRÄCKE</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30627-2019</t>
        </is>
      </c>
      <c r="B382" s="1" t="n">
        <v>43635</v>
      </c>
      <c r="C382" s="1" t="n">
        <v>45666</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30678-2019</t>
        </is>
      </c>
      <c r="B383" s="1" t="n">
        <v>43636</v>
      </c>
      <c r="C383" s="1" t="n">
        <v>45666</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30935-2019</t>
        </is>
      </c>
      <c r="B384" s="1" t="n">
        <v>43636</v>
      </c>
      <c r="C384" s="1" t="n">
        <v>45666</v>
      </c>
      <c r="D384" t="inlineStr">
        <is>
          <t>JÄMTLANDS LÄN</t>
        </is>
      </c>
      <c r="E384" t="inlineStr">
        <is>
          <t>BRÄCKE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31292-2019</t>
        </is>
      </c>
      <c r="B385" s="1" t="n">
        <v>43640</v>
      </c>
      <c r="C385" s="1" t="n">
        <v>45666</v>
      </c>
      <c r="D385" t="inlineStr">
        <is>
          <t>JÄMTLANDS LÄN</t>
        </is>
      </c>
      <c r="E385" t="inlineStr">
        <is>
          <t>BRÄCKE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31291-2019</t>
        </is>
      </c>
      <c r="B386" s="1" t="n">
        <v>43640</v>
      </c>
      <c r="C386" s="1" t="n">
        <v>45666</v>
      </c>
      <c r="D386" t="inlineStr">
        <is>
          <t>JÄMTLANDS LÄN</t>
        </is>
      </c>
      <c r="E386" t="inlineStr">
        <is>
          <t>BRÄCKE</t>
        </is>
      </c>
      <c r="F386" t="inlineStr">
        <is>
          <t>SCA</t>
        </is>
      </c>
      <c r="G386" t="n">
        <v>18.7</v>
      </c>
      <c r="H386" t="n">
        <v>0</v>
      </c>
      <c r="I386" t="n">
        <v>0</v>
      </c>
      <c r="J386" t="n">
        <v>0</v>
      </c>
      <c r="K386" t="n">
        <v>0</v>
      </c>
      <c r="L386" t="n">
        <v>0</v>
      </c>
      <c r="M386" t="n">
        <v>0</v>
      </c>
      <c r="N386" t="n">
        <v>0</v>
      </c>
      <c r="O386" t="n">
        <v>0</v>
      </c>
      <c r="P386" t="n">
        <v>0</v>
      </c>
      <c r="Q386" t="n">
        <v>0</v>
      </c>
      <c r="R386" s="2" t="inlineStr"/>
    </row>
    <row r="387" ht="15" customHeight="1">
      <c r="A387" t="inlineStr">
        <is>
          <t>A 32572-2019</t>
        </is>
      </c>
      <c r="B387" s="1" t="n">
        <v>43647</v>
      </c>
      <c r="C387" s="1" t="n">
        <v>45666</v>
      </c>
      <c r="D387" t="inlineStr">
        <is>
          <t>JÄMTLANDS LÄN</t>
        </is>
      </c>
      <c r="E387" t="inlineStr">
        <is>
          <t>BRÄCKE</t>
        </is>
      </c>
      <c r="F387" t="inlineStr">
        <is>
          <t>Övriga Aktiebolag</t>
        </is>
      </c>
      <c r="G387" t="n">
        <v>6.8</v>
      </c>
      <c r="H387" t="n">
        <v>0</v>
      </c>
      <c r="I387" t="n">
        <v>0</v>
      </c>
      <c r="J387" t="n">
        <v>0</v>
      </c>
      <c r="K387" t="n">
        <v>0</v>
      </c>
      <c r="L387" t="n">
        <v>0</v>
      </c>
      <c r="M387" t="n">
        <v>0</v>
      </c>
      <c r="N387" t="n">
        <v>0</v>
      </c>
      <c r="O387" t="n">
        <v>0</v>
      </c>
      <c r="P387" t="n">
        <v>0</v>
      </c>
      <c r="Q387" t="n">
        <v>0</v>
      </c>
      <c r="R387" s="2" t="inlineStr"/>
    </row>
    <row r="388" ht="15" customHeight="1">
      <c r="A388" t="inlineStr">
        <is>
          <t>A 34658-2019</t>
        </is>
      </c>
      <c r="B388" s="1" t="n">
        <v>43648</v>
      </c>
      <c r="C388" s="1" t="n">
        <v>45666</v>
      </c>
      <c r="D388" t="inlineStr">
        <is>
          <t>JÄMTLANDS LÄN</t>
        </is>
      </c>
      <c r="E388" t="inlineStr">
        <is>
          <t>BRÄCKE</t>
        </is>
      </c>
      <c r="G388" t="n">
        <v>1.2</v>
      </c>
      <c r="H388" t="n">
        <v>0</v>
      </c>
      <c r="I388" t="n">
        <v>0</v>
      </c>
      <c r="J388" t="n">
        <v>0</v>
      </c>
      <c r="K388" t="n">
        <v>0</v>
      </c>
      <c r="L388" t="n">
        <v>0</v>
      </c>
      <c r="M388" t="n">
        <v>0</v>
      </c>
      <c r="N388" t="n">
        <v>0</v>
      </c>
      <c r="O388" t="n">
        <v>0</v>
      </c>
      <c r="P388" t="n">
        <v>0</v>
      </c>
      <c r="Q388" t="n">
        <v>0</v>
      </c>
      <c r="R388" s="2" t="inlineStr"/>
    </row>
    <row r="389" ht="15" customHeight="1">
      <c r="A389" t="inlineStr">
        <is>
          <t>A 33222-2019</t>
        </is>
      </c>
      <c r="B389" s="1" t="n">
        <v>43649</v>
      </c>
      <c r="C389" s="1" t="n">
        <v>45666</v>
      </c>
      <c r="D389" t="inlineStr">
        <is>
          <t>JÄMTLANDS LÄN</t>
        </is>
      </c>
      <c r="E389" t="inlineStr">
        <is>
          <t>BRÄCKE</t>
        </is>
      </c>
      <c r="F389" t="inlineStr">
        <is>
          <t>SCA</t>
        </is>
      </c>
      <c r="G389" t="n">
        <v>7.2</v>
      </c>
      <c r="H389" t="n">
        <v>0</v>
      </c>
      <c r="I389" t="n">
        <v>0</v>
      </c>
      <c r="J389" t="n">
        <v>0</v>
      </c>
      <c r="K389" t="n">
        <v>0</v>
      </c>
      <c r="L389" t="n">
        <v>0</v>
      </c>
      <c r="M389" t="n">
        <v>0</v>
      </c>
      <c r="N389" t="n">
        <v>0</v>
      </c>
      <c r="O389" t="n">
        <v>0</v>
      </c>
      <c r="P389" t="n">
        <v>0</v>
      </c>
      <c r="Q389" t="n">
        <v>0</v>
      </c>
      <c r="R389" s="2" t="inlineStr"/>
    </row>
    <row r="390" ht="15" customHeight="1">
      <c r="A390" t="inlineStr">
        <is>
          <t>A 33379-2019</t>
        </is>
      </c>
      <c r="B390" s="1" t="n">
        <v>43650</v>
      </c>
      <c r="C390" s="1" t="n">
        <v>45666</v>
      </c>
      <c r="D390" t="inlineStr">
        <is>
          <t>JÄMTLANDS LÄN</t>
        </is>
      </c>
      <c r="E390" t="inlineStr">
        <is>
          <t>BRÄCKE</t>
        </is>
      </c>
      <c r="F390" t="inlineStr">
        <is>
          <t>Övriga Aktiebolag</t>
        </is>
      </c>
      <c r="G390" t="n">
        <v>32.7</v>
      </c>
      <c r="H390" t="n">
        <v>0</v>
      </c>
      <c r="I390" t="n">
        <v>0</v>
      </c>
      <c r="J390" t="n">
        <v>0</v>
      </c>
      <c r="K390" t="n">
        <v>0</v>
      </c>
      <c r="L390" t="n">
        <v>0</v>
      </c>
      <c r="M390" t="n">
        <v>0</v>
      </c>
      <c r="N390" t="n">
        <v>0</v>
      </c>
      <c r="O390" t="n">
        <v>0</v>
      </c>
      <c r="P390" t="n">
        <v>0</v>
      </c>
      <c r="Q390" t="n">
        <v>0</v>
      </c>
      <c r="R390" s="2" t="inlineStr"/>
    </row>
    <row r="391" ht="15" customHeight="1">
      <c r="A391" t="inlineStr">
        <is>
          <t>A 33830-2019</t>
        </is>
      </c>
      <c r="B391" s="1" t="n">
        <v>43651</v>
      </c>
      <c r="C391" s="1" t="n">
        <v>45666</v>
      </c>
      <c r="D391" t="inlineStr">
        <is>
          <t>JÄMTLANDS LÄN</t>
        </is>
      </c>
      <c r="E391" t="inlineStr">
        <is>
          <t>BRÄCKE</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34103-2019</t>
        </is>
      </c>
      <c r="B392" s="1" t="n">
        <v>43654</v>
      </c>
      <c r="C392" s="1" t="n">
        <v>45666</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34987-2019</t>
        </is>
      </c>
      <c r="B393" s="1" t="n">
        <v>43659</v>
      </c>
      <c r="C393" s="1" t="n">
        <v>45666</v>
      </c>
      <c r="D393" t="inlineStr">
        <is>
          <t>JÄMTLANDS LÄN</t>
        </is>
      </c>
      <c r="E393" t="inlineStr">
        <is>
          <t>BRÄCKE</t>
        </is>
      </c>
      <c r="G393" t="n">
        <v>0.5</v>
      </c>
      <c r="H393" t="n">
        <v>0</v>
      </c>
      <c r="I393" t="n">
        <v>0</v>
      </c>
      <c r="J393" t="n">
        <v>0</v>
      </c>
      <c r="K393" t="n">
        <v>0</v>
      </c>
      <c r="L393" t="n">
        <v>0</v>
      </c>
      <c r="M393" t="n">
        <v>0</v>
      </c>
      <c r="N393" t="n">
        <v>0</v>
      </c>
      <c r="O393" t="n">
        <v>0</v>
      </c>
      <c r="P393" t="n">
        <v>0</v>
      </c>
      <c r="Q393" t="n">
        <v>0</v>
      </c>
      <c r="R393" s="2" t="inlineStr"/>
    </row>
    <row r="394" ht="15" customHeight="1">
      <c r="A394" t="inlineStr">
        <is>
          <t>A 36451-2019</t>
        </is>
      </c>
      <c r="B394" s="1" t="n">
        <v>43664</v>
      </c>
      <c r="C394" s="1" t="n">
        <v>45666</v>
      </c>
      <c r="D394" t="inlineStr">
        <is>
          <t>JÄMTLANDS LÄN</t>
        </is>
      </c>
      <c r="E394" t="inlineStr">
        <is>
          <t>BRÄCKE</t>
        </is>
      </c>
      <c r="G394" t="n">
        <v>4.3</v>
      </c>
      <c r="H394" t="n">
        <v>0</v>
      </c>
      <c r="I394" t="n">
        <v>0</v>
      </c>
      <c r="J394" t="n">
        <v>0</v>
      </c>
      <c r="K394" t="n">
        <v>0</v>
      </c>
      <c r="L394" t="n">
        <v>0</v>
      </c>
      <c r="M394" t="n">
        <v>0</v>
      </c>
      <c r="N394" t="n">
        <v>0</v>
      </c>
      <c r="O394" t="n">
        <v>0</v>
      </c>
      <c r="P394" t="n">
        <v>0</v>
      </c>
      <c r="Q394" t="n">
        <v>0</v>
      </c>
      <c r="R394" s="2" t="inlineStr"/>
    </row>
    <row r="395" ht="15" customHeight="1">
      <c r="A395" t="inlineStr">
        <is>
          <t>A 35713-2019</t>
        </is>
      </c>
      <c r="B395" s="1" t="n">
        <v>43664</v>
      </c>
      <c r="C395" s="1" t="n">
        <v>45666</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36182-2019</t>
        </is>
      </c>
      <c r="B396" s="1" t="n">
        <v>43668</v>
      </c>
      <c r="C396" s="1" t="n">
        <v>45666</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36953-2019</t>
        </is>
      </c>
      <c r="B397" s="1" t="n">
        <v>43675</v>
      </c>
      <c r="C397" s="1" t="n">
        <v>45666</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37133-2019</t>
        </is>
      </c>
      <c r="B398" s="1" t="n">
        <v>43676</v>
      </c>
      <c r="C398" s="1" t="n">
        <v>45666</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37129-2019</t>
        </is>
      </c>
      <c r="B399" s="1" t="n">
        <v>43676</v>
      </c>
      <c r="C399" s="1" t="n">
        <v>45666</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37295-2019</t>
        </is>
      </c>
      <c r="B400" s="1" t="n">
        <v>43677</v>
      </c>
      <c r="C400" s="1" t="n">
        <v>45666</v>
      </c>
      <c r="D400" t="inlineStr">
        <is>
          <t>JÄMTLANDS LÄN</t>
        </is>
      </c>
      <c r="E400" t="inlineStr">
        <is>
          <t>BRÄCKE</t>
        </is>
      </c>
      <c r="G400" t="n">
        <v>1</v>
      </c>
      <c r="H400" t="n">
        <v>0</v>
      </c>
      <c r="I400" t="n">
        <v>0</v>
      </c>
      <c r="J400" t="n">
        <v>0</v>
      </c>
      <c r="K400" t="n">
        <v>0</v>
      </c>
      <c r="L400" t="n">
        <v>0</v>
      </c>
      <c r="M400" t="n">
        <v>0</v>
      </c>
      <c r="N400" t="n">
        <v>0</v>
      </c>
      <c r="O400" t="n">
        <v>0</v>
      </c>
      <c r="P400" t="n">
        <v>0</v>
      </c>
      <c r="Q400" t="n">
        <v>0</v>
      </c>
      <c r="R400" s="2" t="inlineStr"/>
    </row>
    <row r="401" ht="15" customHeight="1">
      <c r="A401" t="inlineStr">
        <is>
          <t>A 38320-2019</t>
        </is>
      </c>
      <c r="B401" s="1" t="n">
        <v>43685</v>
      </c>
      <c r="C401" s="1" t="n">
        <v>45666</v>
      </c>
      <c r="D401" t="inlineStr">
        <is>
          <t>JÄMTLANDS LÄN</t>
        </is>
      </c>
      <c r="E401" t="inlineStr">
        <is>
          <t>BRÄCKE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38777-2019</t>
        </is>
      </c>
      <c r="B402" s="1" t="n">
        <v>43686</v>
      </c>
      <c r="C402" s="1" t="n">
        <v>45666</v>
      </c>
      <c r="D402" t="inlineStr">
        <is>
          <t>JÄMTLANDS LÄN</t>
        </is>
      </c>
      <c r="E402" t="inlineStr">
        <is>
          <t>BRÄCKE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39111-2019</t>
        </is>
      </c>
      <c r="B403" s="1" t="n">
        <v>43689</v>
      </c>
      <c r="C403" s="1" t="n">
        <v>45666</v>
      </c>
      <c r="D403" t="inlineStr">
        <is>
          <t>JÄMTLANDS LÄN</t>
        </is>
      </c>
      <c r="E403" t="inlineStr">
        <is>
          <t>BRÄCKE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39113-2019</t>
        </is>
      </c>
      <c r="B404" s="1" t="n">
        <v>43690</v>
      </c>
      <c r="C404" s="1" t="n">
        <v>45666</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39645-2019</t>
        </is>
      </c>
      <c r="B405" s="1" t="n">
        <v>43691</v>
      </c>
      <c r="C405" s="1" t="n">
        <v>45666</v>
      </c>
      <c r="D405" t="inlineStr">
        <is>
          <t>JÄMTLANDS LÄN</t>
        </is>
      </c>
      <c r="E405" t="inlineStr">
        <is>
          <t>BRÄCKE</t>
        </is>
      </c>
      <c r="G405" t="n">
        <v>2.7</v>
      </c>
      <c r="H405" t="n">
        <v>0</v>
      </c>
      <c r="I405" t="n">
        <v>0</v>
      </c>
      <c r="J405" t="n">
        <v>0</v>
      </c>
      <c r="K405" t="n">
        <v>0</v>
      </c>
      <c r="L405" t="n">
        <v>0</v>
      </c>
      <c r="M405" t="n">
        <v>0</v>
      </c>
      <c r="N405" t="n">
        <v>0</v>
      </c>
      <c r="O405" t="n">
        <v>0</v>
      </c>
      <c r="P405" t="n">
        <v>0</v>
      </c>
      <c r="Q405" t="n">
        <v>0</v>
      </c>
      <c r="R405" s="2" t="inlineStr"/>
    </row>
    <row r="406" ht="15" customHeight="1">
      <c r="A406" t="inlineStr">
        <is>
          <t>A 40668-2019</t>
        </is>
      </c>
      <c r="B406" s="1" t="n">
        <v>43696</v>
      </c>
      <c r="C406" s="1" t="n">
        <v>45666</v>
      </c>
      <c r="D406" t="inlineStr">
        <is>
          <t>JÄMTLANDS LÄN</t>
        </is>
      </c>
      <c r="E406" t="inlineStr">
        <is>
          <t>BRÄCKE</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40667-2019</t>
        </is>
      </c>
      <c r="B407" s="1" t="n">
        <v>43697</v>
      </c>
      <c r="C407" s="1" t="n">
        <v>45666</v>
      </c>
      <c r="D407" t="inlineStr">
        <is>
          <t>JÄMTLANDS LÄN</t>
        </is>
      </c>
      <c r="E407" t="inlineStr">
        <is>
          <t>BRÄCKE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41033-2019</t>
        </is>
      </c>
      <c r="B408" s="1" t="n">
        <v>43697</v>
      </c>
      <c r="C408" s="1" t="n">
        <v>45666</v>
      </c>
      <c r="D408" t="inlineStr">
        <is>
          <t>JÄMTLANDS LÄN</t>
        </is>
      </c>
      <c r="E408" t="inlineStr">
        <is>
          <t>BRÄCKE</t>
        </is>
      </c>
      <c r="F408" t="inlineStr">
        <is>
          <t>SCA</t>
        </is>
      </c>
      <c r="G408" t="n">
        <v>27.1</v>
      </c>
      <c r="H408" t="n">
        <v>0</v>
      </c>
      <c r="I408" t="n">
        <v>0</v>
      </c>
      <c r="J408" t="n">
        <v>0</v>
      </c>
      <c r="K408" t="n">
        <v>0</v>
      </c>
      <c r="L408" t="n">
        <v>0</v>
      </c>
      <c r="M408" t="n">
        <v>0</v>
      </c>
      <c r="N408" t="n">
        <v>0</v>
      </c>
      <c r="O408" t="n">
        <v>0</v>
      </c>
      <c r="P408" t="n">
        <v>0</v>
      </c>
      <c r="Q408" t="n">
        <v>0</v>
      </c>
      <c r="R408" s="2" t="inlineStr"/>
    </row>
    <row r="409" ht="15" customHeight="1">
      <c r="A409" t="inlineStr">
        <is>
          <t>A 41028-2019</t>
        </is>
      </c>
      <c r="B409" s="1" t="n">
        <v>43697</v>
      </c>
      <c r="C409" s="1" t="n">
        <v>45666</v>
      </c>
      <c r="D409" t="inlineStr">
        <is>
          <t>JÄMTLANDS LÄN</t>
        </is>
      </c>
      <c r="E409" t="inlineStr">
        <is>
          <t>BRÄCKE</t>
        </is>
      </c>
      <c r="F409" t="inlineStr">
        <is>
          <t>SCA</t>
        </is>
      </c>
      <c r="G409" t="n">
        <v>16.5</v>
      </c>
      <c r="H409" t="n">
        <v>0</v>
      </c>
      <c r="I409" t="n">
        <v>0</v>
      </c>
      <c r="J409" t="n">
        <v>0</v>
      </c>
      <c r="K409" t="n">
        <v>0</v>
      </c>
      <c r="L409" t="n">
        <v>0</v>
      </c>
      <c r="M409" t="n">
        <v>0</v>
      </c>
      <c r="N409" t="n">
        <v>0</v>
      </c>
      <c r="O409" t="n">
        <v>0</v>
      </c>
      <c r="P409" t="n">
        <v>0</v>
      </c>
      <c r="Q409" t="n">
        <v>0</v>
      </c>
      <c r="R409" s="2" t="inlineStr"/>
    </row>
    <row r="410" ht="15" customHeight="1">
      <c r="A410" t="inlineStr">
        <is>
          <t>A 41029-2019</t>
        </is>
      </c>
      <c r="B410" s="1" t="n">
        <v>43697</v>
      </c>
      <c r="C410" s="1" t="n">
        <v>45666</v>
      </c>
      <c r="D410" t="inlineStr">
        <is>
          <t>JÄMTLANDS LÄN</t>
        </is>
      </c>
      <c r="E410" t="inlineStr">
        <is>
          <t>BRÄCKE</t>
        </is>
      </c>
      <c r="F410" t="inlineStr">
        <is>
          <t>SCA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41332-2019</t>
        </is>
      </c>
      <c r="B411" s="1" t="n">
        <v>43698</v>
      </c>
      <c r="C411" s="1" t="n">
        <v>45666</v>
      </c>
      <c r="D411" t="inlineStr">
        <is>
          <t>JÄMTLANDS LÄN</t>
        </is>
      </c>
      <c r="E411" t="inlineStr">
        <is>
          <t>BRÄCKE</t>
        </is>
      </c>
      <c r="G411" t="n">
        <v>1.3</v>
      </c>
      <c r="H411" t="n">
        <v>0</v>
      </c>
      <c r="I411" t="n">
        <v>0</v>
      </c>
      <c r="J411" t="n">
        <v>0</v>
      </c>
      <c r="K411" t="n">
        <v>0</v>
      </c>
      <c r="L411" t="n">
        <v>0</v>
      </c>
      <c r="M411" t="n">
        <v>0</v>
      </c>
      <c r="N411" t="n">
        <v>0</v>
      </c>
      <c r="O411" t="n">
        <v>0</v>
      </c>
      <c r="P411" t="n">
        <v>0</v>
      </c>
      <c r="Q411" t="n">
        <v>0</v>
      </c>
      <c r="R411" s="2" t="inlineStr"/>
    </row>
    <row r="412" ht="15" customHeight="1">
      <c r="A412" t="inlineStr">
        <is>
          <t>A 41781-2019</t>
        </is>
      </c>
      <c r="B412" s="1" t="n">
        <v>43699</v>
      </c>
      <c r="C412" s="1" t="n">
        <v>45666</v>
      </c>
      <c r="D412" t="inlineStr">
        <is>
          <t>JÄMTLANDS LÄN</t>
        </is>
      </c>
      <c r="E412" t="inlineStr">
        <is>
          <t>BRÄCKE</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41896-2019</t>
        </is>
      </c>
      <c r="B413" s="1" t="n">
        <v>43700</v>
      </c>
      <c r="C413" s="1" t="n">
        <v>45666</v>
      </c>
      <c r="D413" t="inlineStr">
        <is>
          <t>JÄMTLANDS LÄN</t>
        </is>
      </c>
      <c r="E413" t="inlineStr">
        <is>
          <t>BRÄCKE</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43208-2019</t>
        </is>
      </c>
      <c r="B414" s="1" t="n">
        <v>43705</v>
      </c>
      <c r="C414" s="1" t="n">
        <v>45666</v>
      </c>
      <c r="D414" t="inlineStr">
        <is>
          <t>JÄMTLANDS LÄN</t>
        </is>
      </c>
      <c r="E414" t="inlineStr">
        <is>
          <t>BRÄCKE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43206-2019</t>
        </is>
      </c>
      <c r="B415" s="1" t="n">
        <v>43705</v>
      </c>
      <c r="C415" s="1" t="n">
        <v>45666</v>
      </c>
      <c r="D415" t="inlineStr">
        <is>
          <t>JÄMTLANDS LÄN</t>
        </is>
      </c>
      <c r="E415" t="inlineStr">
        <is>
          <t>BRÄCKE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42875-2019</t>
        </is>
      </c>
      <c r="B416" s="1" t="n">
        <v>43705</v>
      </c>
      <c r="C416" s="1" t="n">
        <v>45666</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45054-2019</t>
        </is>
      </c>
      <c r="B417" s="1" t="n">
        <v>43713</v>
      </c>
      <c r="C417" s="1" t="n">
        <v>45666</v>
      </c>
      <c r="D417" t="inlineStr">
        <is>
          <t>JÄMTLANDS LÄN</t>
        </is>
      </c>
      <c r="E417" t="inlineStr">
        <is>
          <t>BRÄCKE</t>
        </is>
      </c>
      <c r="G417" t="n">
        <v>0.5</v>
      </c>
      <c r="H417" t="n">
        <v>0</v>
      </c>
      <c r="I417" t="n">
        <v>0</v>
      </c>
      <c r="J417" t="n">
        <v>0</v>
      </c>
      <c r="K417" t="n">
        <v>0</v>
      </c>
      <c r="L417" t="n">
        <v>0</v>
      </c>
      <c r="M417" t="n">
        <v>0</v>
      </c>
      <c r="N417" t="n">
        <v>0</v>
      </c>
      <c r="O417" t="n">
        <v>0</v>
      </c>
      <c r="P417" t="n">
        <v>0</v>
      </c>
      <c r="Q417" t="n">
        <v>0</v>
      </c>
      <c r="R417" s="2" t="inlineStr"/>
    </row>
    <row r="418" ht="15" customHeight="1">
      <c r="A418" t="inlineStr">
        <is>
          <t>A 45539-2019</t>
        </is>
      </c>
      <c r="B418" s="1" t="n">
        <v>43714</v>
      </c>
      <c r="C418" s="1" t="n">
        <v>45666</v>
      </c>
      <c r="D418" t="inlineStr">
        <is>
          <t>JÄMTLANDS LÄN</t>
        </is>
      </c>
      <c r="E418" t="inlineStr">
        <is>
          <t>BRÄCKE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46844-2019</t>
        </is>
      </c>
      <c r="B419" s="1" t="n">
        <v>43720</v>
      </c>
      <c r="C419" s="1" t="n">
        <v>45666</v>
      </c>
      <c r="D419" t="inlineStr">
        <is>
          <t>JÄMTLANDS LÄN</t>
        </is>
      </c>
      <c r="E419" t="inlineStr">
        <is>
          <t>BRÄCKE</t>
        </is>
      </c>
      <c r="G419" t="n">
        <v>4.3</v>
      </c>
      <c r="H419" t="n">
        <v>0</v>
      </c>
      <c r="I419" t="n">
        <v>0</v>
      </c>
      <c r="J419" t="n">
        <v>0</v>
      </c>
      <c r="K419" t="n">
        <v>0</v>
      </c>
      <c r="L419" t="n">
        <v>0</v>
      </c>
      <c r="M419" t="n">
        <v>0</v>
      </c>
      <c r="N419" t="n">
        <v>0</v>
      </c>
      <c r="O419" t="n">
        <v>0</v>
      </c>
      <c r="P419" t="n">
        <v>0</v>
      </c>
      <c r="Q419" t="n">
        <v>0</v>
      </c>
      <c r="R419" s="2" t="inlineStr"/>
    </row>
    <row r="420" ht="15" customHeight="1">
      <c r="A420" t="inlineStr">
        <is>
          <t>A 47074-2019</t>
        </is>
      </c>
      <c r="B420" s="1" t="n">
        <v>43720</v>
      </c>
      <c r="C420" s="1" t="n">
        <v>45666</v>
      </c>
      <c r="D420" t="inlineStr">
        <is>
          <t>JÄMTLANDS LÄN</t>
        </is>
      </c>
      <c r="E420" t="inlineStr">
        <is>
          <t>BRÄCKE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49690-2019</t>
        </is>
      </c>
      <c r="B421" s="1" t="n">
        <v>43732</v>
      </c>
      <c r="C421" s="1" t="n">
        <v>45666</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50292-2019</t>
        </is>
      </c>
      <c r="B422" s="1" t="n">
        <v>43735</v>
      </c>
      <c r="C422" s="1" t="n">
        <v>45666</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50584-2019</t>
        </is>
      </c>
      <c r="B423" s="1" t="n">
        <v>43735</v>
      </c>
      <c r="C423" s="1" t="n">
        <v>45666</v>
      </c>
      <c r="D423" t="inlineStr">
        <is>
          <t>JÄMTLANDS LÄN</t>
        </is>
      </c>
      <c r="E423" t="inlineStr">
        <is>
          <t>BRÄCKE</t>
        </is>
      </c>
      <c r="F423" t="inlineStr">
        <is>
          <t>SCA</t>
        </is>
      </c>
      <c r="G423" t="n">
        <v>19.1</v>
      </c>
      <c r="H423" t="n">
        <v>0</v>
      </c>
      <c r="I423" t="n">
        <v>0</v>
      </c>
      <c r="J423" t="n">
        <v>0</v>
      </c>
      <c r="K423" t="n">
        <v>0</v>
      </c>
      <c r="L423" t="n">
        <v>0</v>
      </c>
      <c r="M423" t="n">
        <v>0</v>
      </c>
      <c r="N423" t="n">
        <v>0</v>
      </c>
      <c r="O423" t="n">
        <v>0</v>
      </c>
      <c r="P423" t="n">
        <v>0</v>
      </c>
      <c r="Q423" t="n">
        <v>0</v>
      </c>
      <c r="R423" s="2" t="inlineStr"/>
    </row>
    <row r="424" ht="15" customHeight="1">
      <c r="A424" t="inlineStr">
        <is>
          <t>A 50580-2019</t>
        </is>
      </c>
      <c r="B424" s="1" t="n">
        <v>43735</v>
      </c>
      <c r="C424" s="1" t="n">
        <v>45666</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51257-2019</t>
        </is>
      </c>
      <c r="B425" s="1" t="n">
        <v>43739</v>
      </c>
      <c r="C425" s="1" t="n">
        <v>45666</v>
      </c>
      <c r="D425" t="inlineStr">
        <is>
          <t>JÄMTLANDS LÄN</t>
        </is>
      </c>
      <c r="E425" t="inlineStr">
        <is>
          <t>BRÄCKE</t>
        </is>
      </c>
      <c r="F425" t="inlineStr">
        <is>
          <t>Övriga Aktiebolag</t>
        </is>
      </c>
      <c r="G425" t="n">
        <v>6</v>
      </c>
      <c r="H425" t="n">
        <v>0</v>
      </c>
      <c r="I425" t="n">
        <v>0</v>
      </c>
      <c r="J425" t="n">
        <v>0</v>
      </c>
      <c r="K425" t="n">
        <v>0</v>
      </c>
      <c r="L425" t="n">
        <v>0</v>
      </c>
      <c r="M425" t="n">
        <v>0</v>
      </c>
      <c r="N425" t="n">
        <v>0</v>
      </c>
      <c r="O425" t="n">
        <v>0</v>
      </c>
      <c r="P425" t="n">
        <v>0</v>
      </c>
      <c r="Q425" t="n">
        <v>0</v>
      </c>
      <c r="R425" s="2" t="inlineStr"/>
    </row>
    <row r="426" ht="15" customHeight="1">
      <c r="A426" t="inlineStr">
        <is>
          <t>A 51329-2019</t>
        </is>
      </c>
      <c r="B426" s="1" t="n">
        <v>43739</v>
      </c>
      <c r="C426" s="1" t="n">
        <v>45666</v>
      </c>
      <c r="D426" t="inlineStr">
        <is>
          <t>JÄMTLANDS LÄN</t>
        </is>
      </c>
      <c r="E426" t="inlineStr">
        <is>
          <t>BRÄCKE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51328-2019</t>
        </is>
      </c>
      <c r="B427" s="1" t="n">
        <v>43739</v>
      </c>
      <c r="C427" s="1" t="n">
        <v>45666</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52882-2019</t>
        </is>
      </c>
      <c r="B428" s="1" t="n">
        <v>43746</v>
      </c>
      <c r="C428" s="1" t="n">
        <v>45666</v>
      </c>
      <c r="D428" t="inlineStr">
        <is>
          <t>JÄMTLANDS LÄN</t>
        </is>
      </c>
      <c r="E428" t="inlineStr">
        <is>
          <t>BRÄCKE</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53485-2019</t>
        </is>
      </c>
      <c r="B429" s="1" t="n">
        <v>43748</v>
      </c>
      <c r="C429" s="1" t="n">
        <v>45666</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56063-2019</t>
        </is>
      </c>
      <c r="B430" s="1" t="n">
        <v>43759</v>
      </c>
      <c r="C430" s="1" t="n">
        <v>45666</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56511-2019</t>
        </is>
      </c>
      <c r="B431" s="1" t="n">
        <v>43762</v>
      </c>
      <c r="C431" s="1" t="n">
        <v>45666</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57395-2019</t>
        </is>
      </c>
      <c r="B432" s="1" t="n">
        <v>43767</v>
      </c>
      <c r="C432" s="1" t="n">
        <v>45666</v>
      </c>
      <c r="D432" t="inlineStr">
        <is>
          <t>JÄMTLANDS LÄN</t>
        </is>
      </c>
      <c r="E432" t="inlineStr">
        <is>
          <t>BRÄCKE</t>
        </is>
      </c>
      <c r="G432" t="n">
        <v>1.1</v>
      </c>
      <c r="H432" t="n">
        <v>0</v>
      </c>
      <c r="I432" t="n">
        <v>0</v>
      </c>
      <c r="J432" t="n">
        <v>0</v>
      </c>
      <c r="K432" t="n">
        <v>0</v>
      </c>
      <c r="L432" t="n">
        <v>0</v>
      </c>
      <c r="M432" t="n">
        <v>0</v>
      </c>
      <c r="N432" t="n">
        <v>0</v>
      </c>
      <c r="O432" t="n">
        <v>0</v>
      </c>
      <c r="P432" t="n">
        <v>0</v>
      </c>
      <c r="Q432" t="n">
        <v>0</v>
      </c>
      <c r="R432" s="2" t="inlineStr"/>
    </row>
    <row r="433" ht="15" customHeight="1">
      <c r="A433" t="inlineStr">
        <is>
          <t>A 57749-2019</t>
        </is>
      </c>
      <c r="B433" s="1" t="n">
        <v>43768</v>
      </c>
      <c r="C433" s="1" t="n">
        <v>45666</v>
      </c>
      <c r="D433" t="inlineStr">
        <is>
          <t>JÄMTLANDS LÄN</t>
        </is>
      </c>
      <c r="E433" t="inlineStr">
        <is>
          <t>BRÄCKE</t>
        </is>
      </c>
      <c r="G433" t="n">
        <v>3.3</v>
      </c>
      <c r="H433" t="n">
        <v>0</v>
      </c>
      <c r="I433" t="n">
        <v>0</v>
      </c>
      <c r="J433" t="n">
        <v>0</v>
      </c>
      <c r="K433" t="n">
        <v>0</v>
      </c>
      <c r="L433" t="n">
        <v>0</v>
      </c>
      <c r="M433" t="n">
        <v>0</v>
      </c>
      <c r="N433" t="n">
        <v>0</v>
      </c>
      <c r="O433" t="n">
        <v>0</v>
      </c>
      <c r="P433" t="n">
        <v>0</v>
      </c>
      <c r="Q433" t="n">
        <v>0</v>
      </c>
      <c r="R433" s="2" t="inlineStr"/>
    </row>
    <row r="434" ht="15" customHeight="1">
      <c r="A434" t="inlineStr">
        <is>
          <t>A 58354-2019</t>
        </is>
      </c>
      <c r="B434" s="1" t="n">
        <v>43770</v>
      </c>
      <c r="C434" s="1" t="n">
        <v>45666</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58635-2019</t>
        </is>
      </c>
      <c r="B435" s="1" t="n">
        <v>43773</v>
      </c>
      <c r="C435" s="1" t="n">
        <v>45666</v>
      </c>
      <c r="D435" t="inlineStr">
        <is>
          <t>JÄMTLANDS LÄN</t>
        </is>
      </c>
      <c r="E435" t="inlineStr">
        <is>
          <t>BRÄCKE</t>
        </is>
      </c>
      <c r="G435" t="n">
        <v>3.5</v>
      </c>
      <c r="H435" t="n">
        <v>0</v>
      </c>
      <c r="I435" t="n">
        <v>0</v>
      </c>
      <c r="J435" t="n">
        <v>0</v>
      </c>
      <c r="K435" t="n">
        <v>0</v>
      </c>
      <c r="L435" t="n">
        <v>0</v>
      </c>
      <c r="M435" t="n">
        <v>0</v>
      </c>
      <c r="N435" t="n">
        <v>0</v>
      </c>
      <c r="O435" t="n">
        <v>0</v>
      </c>
      <c r="P435" t="n">
        <v>0</v>
      </c>
      <c r="Q435" t="n">
        <v>0</v>
      </c>
      <c r="R435" s="2" t="inlineStr"/>
    </row>
    <row r="436" ht="15" customHeight="1">
      <c r="A436" t="inlineStr">
        <is>
          <t>A 60186-2019</t>
        </is>
      </c>
      <c r="B436" s="1" t="n">
        <v>43776</v>
      </c>
      <c r="C436" s="1" t="n">
        <v>45666</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60018-2019</t>
        </is>
      </c>
      <c r="B437" s="1" t="n">
        <v>43777</v>
      </c>
      <c r="C437" s="1" t="n">
        <v>45666</v>
      </c>
      <c r="D437" t="inlineStr">
        <is>
          <t>JÄMTLANDS LÄN</t>
        </is>
      </c>
      <c r="E437" t="inlineStr">
        <is>
          <t>BRÄCKE</t>
        </is>
      </c>
      <c r="F437" t="inlineStr">
        <is>
          <t>Övriga Aktiebolag</t>
        </is>
      </c>
      <c r="G437" t="n">
        <v>15.2</v>
      </c>
      <c r="H437" t="n">
        <v>0</v>
      </c>
      <c r="I437" t="n">
        <v>0</v>
      </c>
      <c r="J437" t="n">
        <v>0</v>
      </c>
      <c r="K437" t="n">
        <v>0</v>
      </c>
      <c r="L437" t="n">
        <v>0</v>
      </c>
      <c r="M437" t="n">
        <v>0</v>
      </c>
      <c r="N437" t="n">
        <v>0</v>
      </c>
      <c r="O437" t="n">
        <v>0</v>
      </c>
      <c r="P437" t="n">
        <v>0</v>
      </c>
      <c r="Q437" t="n">
        <v>0</v>
      </c>
      <c r="R437" s="2" t="inlineStr"/>
    </row>
    <row r="438" ht="15" customHeight="1">
      <c r="A438" t="inlineStr">
        <is>
          <t>A 60155-2019</t>
        </is>
      </c>
      <c r="B438" s="1" t="n">
        <v>43780</v>
      </c>
      <c r="C438" s="1" t="n">
        <v>45666</v>
      </c>
      <c r="D438" t="inlineStr">
        <is>
          <t>JÄMTLANDS LÄN</t>
        </is>
      </c>
      <c r="E438" t="inlineStr">
        <is>
          <t>BRÄCKE</t>
        </is>
      </c>
      <c r="G438" t="n">
        <v>2.4</v>
      </c>
      <c r="H438" t="n">
        <v>0</v>
      </c>
      <c r="I438" t="n">
        <v>0</v>
      </c>
      <c r="J438" t="n">
        <v>0</v>
      </c>
      <c r="K438" t="n">
        <v>0</v>
      </c>
      <c r="L438" t="n">
        <v>0</v>
      </c>
      <c r="M438" t="n">
        <v>0</v>
      </c>
      <c r="N438" t="n">
        <v>0</v>
      </c>
      <c r="O438" t="n">
        <v>0</v>
      </c>
      <c r="P438" t="n">
        <v>0</v>
      </c>
      <c r="Q438" t="n">
        <v>0</v>
      </c>
      <c r="R438" s="2" t="inlineStr"/>
    </row>
    <row r="439" ht="15" customHeight="1">
      <c r="A439" t="inlineStr">
        <is>
          <t>A 61082-2019</t>
        </is>
      </c>
      <c r="B439" s="1" t="n">
        <v>43782</v>
      </c>
      <c r="C439" s="1" t="n">
        <v>45666</v>
      </c>
      <c r="D439" t="inlineStr">
        <is>
          <t>JÄMTLANDS LÄN</t>
        </is>
      </c>
      <c r="E439" t="inlineStr">
        <is>
          <t>BRÄCKE</t>
        </is>
      </c>
      <c r="G439" t="n">
        <v>20.1</v>
      </c>
      <c r="H439" t="n">
        <v>0</v>
      </c>
      <c r="I439" t="n">
        <v>0</v>
      </c>
      <c r="J439" t="n">
        <v>0</v>
      </c>
      <c r="K439" t="n">
        <v>0</v>
      </c>
      <c r="L439" t="n">
        <v>0</v>
      </c>
      <c r="M439" t="n">
        <v>0</v>
      </c>
      <c r="N439" t="n">
        <v>0</v>
      </c>
      <c r="O439" t="n">
        <v>0</v>
      </c>
      <c r="P439" t="n">
        <v>0</v>
      </c>
      <c r="Q439" t="n">
        <v>0</v>
      </c>
      <c r="R439" s="2" t="inlineStr"/>
    </row>
    <row r="440" ht="15" customHeight="1">
      <c r="A440" t="inlineStr">
        <is>
          <t>A 62335-2019</t>
        </is>
      </c>
      <c r="B440" s="1" t="n">
        <v>43782</v>
      </c>
      <c r="C440" s="1" t="n">
        <v>45666</v>
      </c>
      <c r="D440" t="inlineStr">
        <is>
          <t>JÄMTLANDS LÄN</t>
        </is>
      </c>
      <c r="E440" t="inlineStr">
        <is>
          <t>BRÄCKE</t>
        </is>
      </c>
      <c r="G440" t="n">
        <v>5.7</v>
      </c>
      <c r="H440" t="n">
        <v>0</v>
      </c>
      <c r="I440" t="n">
        <v>0</v>
      </c>
      <c r="J440" t="n">
        <v>0</v>
      </c>
      <c r="K440" t="n">
        <v>0</v>
      </c>
      <c r="L440" t="n">
        <v>0</v>
      </c>
      <c r="M440" t="n">
        <v>0</v>
      </c>
      <c r="N440" t="n">
        <v>0</v>
      </c>
      <c r="O440" t="n">
        <v>0</v>
      </c>
      <c r="P440" t="n">
        <v>0</v>
      </c>
      <c r="Q440" t="n">
        <v>0</v>
      </c>
      <c r="R440" s="2" t="inlineStr"/>
    </row>
    <row r="441" ht="15" customHeight="1">
      <c r="A441" t="inlineStr">
        <is>
          <t>A 64133-2019</t>
        </is>
      </c>
      <c r="B441" s="1" t="n">
        <v>43796</v>
      </c>
      <c r="C441" s="1" t="n">
        <v>45666</v>
      </c>
      <c r="D441" t="inlineStr">
        <is>
          <t>JÄMTLANDS LÄN</t>
        </is>
      </c>
      <c r="E441" t="inlineStr">
        <is>
          <t>BRÄCKE</t>
        </is>
      </c>
      <c r="G441" t="n">
        <v>0.6</v>
      </c>
      <c r="H441" t="n">
        <v>0</v>
      </c>
      <c r="I441" t="n">
        <v>0</v>
      </c>
      <c r="J441" t="n">
        <v>0</v>
      </c>
      <c r="K441" t="n">
        <v>0</v>
      </c>
      <c r="L441" t="n">
        <v>0</v>
      </c>
      <c r="M441" t="n">
        <v>0</v>
      </c>
      <c r="N441" t="n">
        <v>0</v>
      </c>
      <c r="O441" t="n">
        <v>0</v>
      </c>
      <c r="P441" t="n">
        <v>0</v>
      </c>
      <c r="Q441" t="n">
        <v>0</v>
      </c>
      <c r="R441" s="2" t="inlineStr"/>
    </row>
    <row r="442" ht="15" customHeight="1">
      <c r="A442" t="inlineStr">
        <is>
          <t>A 64475-2019</t>
        </is>
      </c>
      <c r="B442" s="1" t="n">
        <v>43797</v>
      </c>
      <c r="C442" s="1" t="n">
        <v>45666</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65038-2019</t>
        </is>
      </c>
      <c r="B443" s="1" t="n">
        <v>43801</v>
      </c>
      <c r="C443" s="1" t="n">
        <v>45666</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66377-2019</t>
        </is>
      </c>
      <c r="B444" s="1" t="n">
        <v>43808</v>
      </c>
      <c r="C444" s="1" t="n">
        <v>45666</v>
      </c>
      <c r="D444" t="inlineStr">
        <is>
          <t>JÄMTLANDS LÄN</t>
        </is>
      </c>
      <c r="E444" t="inlineStr">
        <is>
          <t>BRÄCKE</t>
        </is>
      </c>
      <c r="G444" t="n">
        <v>0.7</v>
      </c>
      <c r="H444" t="n">
        <v>0</v>
      </c>
      <c r="I444" t="n">
        <v>0</v>
      </c>
      <c r="J444" t="n">
        <v>0</v>
      </c>
      <c r="K444" t="n">
        <v>0</v>
      </c>
      <c r="L444" t="n">
        <v>0</v>
      </c>
      <c r="M444" t="n">
        <v>0</v>
      </c>
      <c r="N444" t="n">
        <v>0</v>
      </c>
      <c r="O444" t="n">
        <v>0</v>
      </c>
      <c r="P444" t="n">
        <v>0</v>
      </c>
      <c r="Q444" t="n">
        <v>0</v>
      </c>
      <c r="R444" s="2" t="inlineStr"/>
    </row>
    <row r="445" ht="15" customHeight="1">
      <c r="A445" t="inlineStr">
        <is>
          <t>A 66376-2019</t>
        </is>
      </c>
      <c r="B445" s="1" t="n">
        <v>43808</v>
      </c>
      <c r="C445" s="1" t="n">
        <v>45666</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68001-2019</t>
        </is>
      </c>
      <c r="B446" s="1" t="n">
        <v>43810</v>
      </c>
      <c r="C446" s="1" t="n">
        <v>45666</v>
      </c>
      <c r="D446" t="inlineStr">
        <is>
          <t>JÄMTLANDS LÄN</t>
        </is>
      </c>
      <c r="E446" t="inlineStr">
        <is>
          <t>BRÄCKE</t>
        </is>
      </c>
      <c r="G446" t="n">
        <v>3.6</v>
      </c>
      <c r="H446" t="n">
        <v>0</v>
      </c>
      <c r="I446" t="n">
        <v>0</v>
      </c>
      <c r="J446" t="n">
        <v>0</v>
      </c>
      <c r="K446" t="n">
        <v>0</v>
      </c>
      <c r="L446" t="n">
        <v>0</v>
      </c>
      <c r="M446" t="n">
        <v>0</v>
      </c>
      <c r="N446" t="n">
        <v>0</v>
      </c>
      <c r="O446" t="n">
        <v>0</v>
      </c>
      <c r="P446" t="n">
        <v>0</v>
      </c>
      <c r="Q446" t="n">
        <v>0</v>
      </c>
      <c r="R446" s="2" t="inlineStr"/>
    </row>
    <row r="447" ht="15" customHeight="1">
      <c r="A447" t="inlineStr">
        <is>
          <t>A 67214-2019</t>
        </is>
      </c>
      <c r="B447" s="1" t="n">
        <v>43811</v>
      </c>
      <c r="C447" s="1" t="n">
        <v>45666</v>
      </c>
      <c r="D447" t="inlineStr">
        <is>
          <t>JÄMTLANDS LÄN</t>
        </is>
      </c>
      <c r="E447" t="inlineStr">
        <is>
          <t>BRÄCKE</t>
        </is>
      </c>
      <c r="G447" t="n">
        <v>0.2</v>
      </c>
      <c r="H447" t="n">
        <v>0</v>
      </c>
      <c r="I447" t="n">
        <v>0</v>
      </c>
      <c r="J447" t="n">
        <v>0</v>
      </c>
      <c r="K447" t="n">
        <v>0</v>
      </c>
      <c r="L447" t="n">
        <v>0</v>
      </c>
      <c r="M447" t="n">
        <v>0</v>
      </c>
      <c r="N447" t="n">
        <v>0</v>
      </c>
      <c r="O447" t="n">
        <v>0</v>
      </c>
      <c r="P447" t="n">
        <v>0</v>
      </c>
      <c r="Q447" t="n">
        <v>0</v>
      </c>
      <c r="R447" s="2" t="inlineStr"/>
    </row>
    <row r="448" ht="15" customHeight="1">
      <c r="A448" t="inlineStr">
        <is>
          <t>A 67818-2019</t>
        </is>
      </c>
      <c r="B448" s="1" t="n">
        <v>43815</v>
      </c>
      <c r="C448" s="1" t="n">
        <v>45666</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69041-2019</t>
        </is>
      </c>
      <c r="B449" s="1" t="n">
        <v>43826</v>
      </c>
      <c r="C449" s="1" t="n">
        <v>45666</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208-2020</t>
        </is>
      </c>
      <c r="B450" s="1" t="n">
        <v>43833</v>
      </c>
      <c r="C450" s="1" t="n">
        <v>45666</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325-2020</t>
        </is>
      </c>
      <c r="B451" s="1" t="n">
        <v>43837</v>
      </c>
      <c r="C451" s="1" t="n">
        <v>45666</v>
      </c>
      <c r="D451" t="inlineStr">
        <is>
          <t>JÄMTLANDS LÄN</t>
        </is>
      </c>
      <c r="E451" t="inlineStr">
        <is>
          <t>BRÄCKE</t>
        </is>
      </c>
      <c r="G451" t="n">
        <v>0.3</v>
      </c>
      <c r="H451" t="n">
        <v>0</v>
      </c>
      <c r="I451" t="n">
        <v>0</v>
      </c>
      <c r="J451" t="n">
        <v>0</v>
      </c>
      <c r="K451" t="n">
        <v>0</v>
      </c>
      <c r="L451" t="n">
        <v>0</v>
      </c>
      <c r="M451" t="n">
        <v>0</v>
      </c>
      <c r="N451" t="n">
        <v>0</v>
      </c>
      <c r="O451" t="n">
        <v>0</v>
      </c>
      <c r="P451" t="n">
        <v>0</v>
      </c>
      <c r="Q451" t="n">
        <v>0</v>
      </c>
      <c r="R451" s="2" t="inlineStr"/>
    </row>
    <row r="452" ht="15" customHeight="1">
      <c r="A452" t="inlineStr">
        <is>
          <t>A 1267-2020</t>
        </is>
      </c>
      <c r="B452" s="1" t="n">
        <v>43840</v>
      </c>
      <c r="C452" s="1" t="n">
        <v>45666</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3488-2020</t>
        </is>
      </c>
      <c r="B453" s="1" t="n">
        <v>43852</v>
      </c>
      <c r="C453" s="1" t="n">
        <v>45666</v>
      </c>
      <c r="D453" t="inlineStr">
        <is>
          <t>JÄMTLANDS LÄN</t>
        </is>
      </c>
      <c r="E453" t="inlineStr">
        <is>
          <t>BRÄCKE</t>
        </is>
      </c>
      <c r="G453" t="n">
        <v>9.1</v>
      </c>
      <c r="H453" t="n">
        <v>0</v>
      </c>
      <c r="I453" t="n">
        <v>0</v>
      </c>
      <c r="J453" t="n">
        <v>0</v>
      </c>
      <c r="K453" t="n">
        <v>0</v>
      </c>
      <c r="L453" t="n">
        <v>0</v>
      </c>
      <c r="M453" t="n">
        <v>0</v>
      </c>
      <c r="N453" t="n">
        <v>0</v>
      </c>
      <c r="O453" t="n">
        <v>0</v>
      </c>
      <c r="P453" t="n">
        <v>0</v>
      </c>
      <c r="Q453" t="n">
        <v>0</v>
      </c>
      <c r="R453" s="2" t="inlineStr"/>
    </row>
    <row r="454" ht="15" customHeight="1">
      <c r="A454" t="inlineStr">
        <is>
          <t>A 3483-2020</t>
        </is>
      </c>
      <c r="B454" s="1" t="n">
        <v>43852</v>
      </c>
      <c r="C454" s="1" t="n">
        <v>45666</v>
      </c>
      <c r="D454" t="inlineStr">
        <is>
          <t>JÄMTLANDS LÄN</t>
        </is>
      </c>
      <c r="E454" t="inlineStr">
        <is>
          <t>BRÄCKE</t>
        </is>
      </c>
      <c r="G454" t="n">
        <v>5.8</v>
      </c>
      <c r="H454" t="n">
        <v>0</v>
      </c>
      <c r="I454" t="n">
        <v>0</v>
      </c>
      <c r="J454" t="n">
        <v>0</v>
      </c>
      <c r="K454" t="n">
        <v>0</v>
      </c>
      <c r="L454" t="n">
        <v>0</v>
      </c>
      <c r="M454" t="n">
        <v>0</v>
      </c>
      <c r="N454" t="n">
        <v>0</v>
      </c>
      <c r="O454" t="n">
        <v>0</v>
      </c>
      <c r="P454" t="n">
        <v>0</v>
      </c>
      <c r="Q454" t="n">
        <v>0</v>
      </c>
      <c r="R454" s="2" t="inlineStr"/>
    </row>
    <row r="455" ht="15" customHeight="1">
      <c r="A455" t="inlineStr">
        <is>
          <t>A 3489-2020</t>
        </is>
      </c>
      <c r="B455" s="1" t="n">
        <v>43852</v>
      </c>
      <c r="C455" s="1" t="n">
        <v>45666</v>
      </c>
      <c r="D455" t="inlineStr">
        <is>
          <t>JÄMTLANDS LÄN</t>
        </is>
      </c>
      <c r="E455" t="inlineStr">
        <is>
          <t>BRÄCKE</t>
        </is>
      </c>
      <c r="G455" t="n">
        <v>3.8</v>
      </c>
      <c r="H455" t="n">
        <v>0</v>
      </c>
      <c r="I455" t="n">
        <v>0</v>
      </c>
      <c r="J455" t="n">
        <v>0</v>
      </c>
      <c r="K455" t="n">
        <v>0</v>
      </c>
      <c r="L455" t="n">
        <v>0</v>
      </c>
      <c r="M455" t="n">
        <v>0</v>
      </c>
      <c r="N455" t="n">
        <v>0</v>
      </c>
      <c r="O455" t="n">
        <v>0</v>
      </c>
      <c r="P455" t="n">
        <v>0</v>
      </c>
      <c r="Q455" t="n">
        <v>0</v>
      </c>
      <c r="R455" s="2" t="inlineStr"/>
    </row>
    <row r="456" ht="15" customHeight="1">
      <c r="A456" t="inlineStr">
        <is>
          <t>A 3772-2020</t>
        </is>
      </c>
      <c r="B456" s="1" t="n">
        <v>43854</v>
      </c>
      <c r="C456" s="1" t="n">
        <v>45666</v>
      </c>
      <c r="D456" t="inlineStr">
        <is>
          <t>JÄMTLANDS LÄN</t>
        </is>
      </c>
      <c r="E456" t="inlineStr">
        <is>
          <t>BRÄCKE</t>
        </is>
      </c>
      <c r="F456" t="inlineStr">
        <is>
          <t>SCA</t>
        </is>
      </c>
      <c r="G456" t="n">
        <v>16.9</v>
      </c>
      <c r="H456" t="n">
        <v>0</v>
      </c>
      <c r="I456" t="n">
        <v>0</v>
      </c>
      <c r="J456" t="n">
        <v>0</v>
      </c>
      <c r="K456" t="n">
        <v>0</v>
      </c>
      <c r="L456" t="n">
        <v>0</v>
      </c>
      <c r="M456" t="n">
        <v>0</v>
      </c>
      <c r="N456" t="n">
        <v>0</v>
      </c>
      <c r="O456" t="n">
        <v>0</v>
      </c>
      <c r="P456" t="n">
        <v>0</v>
      </c>
      <c r="Q456" t="n">
        <v>0</v>
      </c>
      <c r="R456" s="2" t="inlineStr"/>
    </row>
    <row r="457" ht="15" customHeight="1">
      <c r="A457" t="inlineStr">
        <is>
          <t>A 6265-2020</t>
        </is>
      </c>
      <c r="B457" s="1" t="n">
        <v>43866</v>
      </c>
      <c r="C457" s="1" t="n">
        <v>45666</v>
      </c>
      <c r="D457" t="inlineStr">
        <is>
          <t>JÄMTLANDS LÄN</t>
        </is>
      </c>
      <c r="E457" t="inlineStr">
        <is>
          <t>BRÄCKE</t>
        </is>
      </c>
      <c r="G457" t="n">
        <v>2</v>
      </c>
      <c r="H457" t="n">
        <v>0</v>
      </c>
      <c r="I457" t="n">
        <v>0</v>
      </c>
      <c r="J457" t="n">
        <v>0</v>
      </c>
      <c r="K457" t="n">
        <v>0</v>
      </c>
      <c r="L457" t="n">
        <v>0</v>
      </c>
      <c r="M457" t="n">
        <v>0</v>
      </c>
      <c r="N457" t="n">
        <v>0</v>
      </c>
      <c r="O457" t="n">
        <v>0</v>
      </c>
      <c r="P457" t="n">
        <v>0</v>
      </c>
      <c r="Q457" t="n">
        <v>0</v>
      </c>
      <c r="R457" s="2" t="inlineStr"/>
    </row>
    <row r="458" ht="15" customHeight="1">
      <c r="A458" t="inlineStr">
        <is>
          <t>A 7045-2020</t>
        </is>
      </c>
      <c r="B458" s="1" t="n">
        <v>43868</v>
      </c>
      <c r="C458" s="1" t="n">
        <v>45666</v>
      </c>
      <c r="D458" t="inlineStr">
        <is>
          <t>JÄMTLANDS LÄN</t>
        </is>
      </c>
      <c r="E458" t="inlineStr">
        <is>
          <t>BRÄCKE</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7782-2020</t>
        </is>
      </c>
      <c r="B459" s="1" t="n">
        <v>43872</v>
      </c>
      <c r="C459" s="1" t="n">
        <v>45666</v>
      </c>
      <c r="D459" t="inlineStr">
        <is>
          <t>JÄMTLANDS LÄN</t>
        </is>
      </c>
      <c r="E459" t="inlineStr">
        <is>
          <t>BRÄCKE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7783-2020</t>
        </is>
      </c>
      <c r="B460" s="1" t="n">
        <v>43872</v>
      </c>
      <c r="C460" s="1" t="n">
        <v>45666</v>
      </c>
      <c r="D460" t="inlineStr">
        <is>
          <t>JÄMTLANDS LÄN</t>
        </is>
      </c>
      <c r="E460" t="inlineStr">
        <is>
          <t>BRÄCKE</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7792-2020</t>
        </is>
      </c>
      <c r="B461" s="1" t="n">
        <v>43872</v>
      </c>
      <c r="C461" s="1" t="n">
        <v>45666</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9825-2020</t>
        </is>
      </c>
      <c r="B462" s="1" t="n">
        <v>43881</v>
      </c>
      <c r="C462" s="1" t="n">
        <v>45666</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13890-2020</t>
        </is>
      </c>
      <c r="B463" s="1" t="n">
        <v>43906</v>
      </c>
      <c r="C463" s="1" t="n">
        <v>45666</v>
      </c>
      <c r="D463" t="inlineStr">
        <is>
          <t>JÄMTLANDS LÄN</t>
        </is>
      </c>
      <c r="E463" t="inlineStr">
        <is>
          <t>BRÄCKE</t>
        </is>
      </c>
      <c r="G463" t="n">
        <v>2.6</v>
      </c>
      <c r="H463" t="n">
        <v>0</v>
      </c>
      <c r="I463" t="n">
        <v>0</v>
      </c>
      <c r="J463" t="n">
        <v>0</v>
      </c>
      <c r="K463" t="n">
        <v>0</v>
      </c>
      <c r="L463" t="n">
        <v>0</v>
      </c>
      <c r="M463" t="n">
        <v>0</v>
      </c>
      <c r="N463" t="n">
        <v>0</v>
      </c>
      <c r="O463" t="n">
        <v>0</v>
      </c>
      <c r="P463" t="n">
        <v>0</v>
      </c>
      <c r="Q463" t="n">
        <v>0</v>
      </c>
      <c r="R463" s="2" t="inlineStr"/>
    </row>
    <row r="464" ht="15" customHeight="1">
      <c r="A464" t="inlineStr">
        <is>
          <t>A 15404-2020</t>
        </is>
      </c>
      <c r="B464" s="1" t="n">
        <v>43913</v>
      </c>
      <c r="C464" s="1" t="n">
        <v>45666</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15405-2020</t>
        </is>
      </c>
      <c r="B465" s="1" t="n">
        <v>43913</v>
      </c>
      <c r="C465" s="1" t="n">
        <v>45666</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15898-2020</t>
        </is>
      </c>
      <c r="B466" s="1" t="n">
        <v>43915</v>
      </c>
      <c r="C466" s="1" t="n">
        <v>45666</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16158-2020</t>
        </is>
      </c>
      <c r="B467" s="1" t="n">
        <v>43916</v>
      </c>
      <c r="C467" s="1" t="n">
        <v>45666</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16769-2020</t>
        </is>
      </c>
      <c r="B468" s="1" t="n">
        <v>43920</v>
      </c>
      <c r="C468" s="1" t="n">
        <v>45666</v>
      </c>
      <c r="D468" t="inlineStr">
        <is>
          <t>JÄMTLANDS LÄN</t>
        </is>
      </c>
      <c r="E468" t="inlineStr">
        <is>
          <t>BRÄCKE</t>
        </is>
      </c>
      <c r="G468" t="n">
        <v>1.5</v>
      </c>
      <c r="H468" t="n">
        <v>0</v>
      </c>
      <c r="I468" t="n">
        <v>0</v>
      </c>
      <c r="J468" t="n">
        <v>0</v>
      </c>
      <c r="K468" t="n">
        <v>0</v>
      </c>
      <c r="L468" t="n">
        <v>0</v>
      </c>
      <c r="M468" t="n">
        <v>0</v>
      </c>
      <c r="N468" t="n">
        <v>0</v>
      </c>
      <c r="O468" t="n">
        <v>0</v>
      </c>
      <c r="P468" t="n">
        <v>0</v>
      </c>
      <c r="Q468" t="n">
        <v>0</v>
      </c>
      <c r="R468" s="2" t="inlineStr"/>
    </row>
    <row r="469" ht="15" customHeight="1">
      <c r="A469" t="inlineStr">
        <is>
          <t>A 17081-2020</t>
        </is>
      </c>
      <c r="B469" s="1" t="n">
        <v>43921</v>
      </c>
      <c r="C469" s="1" t="n">
        <v>45666</v>
      </c>
      <c r="D469" t="inlineStr">
        <is>
          <t>JÄMTLANDS LÄN</t>
        </is>
      </c>
      <c r="E469" t="inlineStr">
        <is>
          <t>BRÄCKE</t>
        </is>
      </c>
      <c r="G469" t="n">
        <v>13.6</v>
      </c>
      <c r="H469" t="n">
        <v>0</v>
      </c>
      <c r="I469" t="n">
        <v>0</v>
      </c>
      <c r="J469" t="n">
        <v>0</v>
      </c>
      <c r="K469" t="n">
        <v>0</v>
      </c>
      <c r="L469" t="n">
        <v>0</v>
      </c>
      <c r="M469" t="n">
        <v>0</v>
      </c>
      <c r="N469" t="n">
        <v>0</v>
      </c>
      <c r="O469" t="n">
        <v>0</v>
      </c>
      <c r="P469" t="n">
        <v>0</v>
      </c>
      <c r="Q469" t="n">
        <v>0</v>
      </c>
      <c r="R469" s="2" t="inlineStr"/>
    </row>
    <row r="470" ht="15" customHeight="1">
      <c r="A470" t="inlineStr">
        <is>
          <t>A 17082-2020</t>
        </is>
      </c>
      <c r="B470" s="1" t="n">
        <v>43921</v>
      </c>
      <c r="C470" s="1" t="n">
        <v>45666</v>
      </c>
      <c r="D470" t="inlineStr">
        <is>
          <t>JÄMTLANDS LÄN</t>
        </is>
      </c>
      <c r="E470" t="inlineStr">
        <is>
          <t>BRÄCKE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17078-2020</t>
        </is>
      </c>
      <c r="B471" s="1" t="n">
        <v>43921</v>
      </c>
      <c r="C471" s="1" t="n">
        <v>45666</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17677-2020</t>
        </is>
      </c>
      <c r="B472" s="1" t="n">
        <v>43923</v>
      </c>
      <c r="C472" s="1" t="n">
        <v>45666</v>
      </c>
      <c r="D472" t="inlineStr">
        <is>
          <t>JÄMTLANDS LÄN</t>
        </is>
      </c>
      <c r="E472" t="inlineStr">
        <is>
          <t>BRÄCKE</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17887-2020</t>
        </is>
      </c>
      <c r="B473" s="1" t="n">
        <v>43924</v>
      </c>
      <c r="C473" s="1" t="n">
        <v>45666</v>
      </c>
      <c r="D473" t="inlineStr">
        <is>
          <t>JÄMTLANDS LÄN</t>
        </is>
      </c>
      <c r="E473" t="inlineStr">
        <is>
          <t>BRÄCKE</t>
        </is>
      </c>
      <c r="F473" t="inlineStr">
        <is>
          <t>SCA</t>
        </is>
      </c>
      <c r="G473" t="n">
        <v>18.4</v>
      </c>
      <c r="H473" t="n">
        <v>0</v>
      </c>
      <c r="I473" t="n">
        <v>0</v>
      </c>
      <c r="J473" t="n">
        <v>0</v>
      </c>
      <c r="K473" t="n">
        <v>0</v>
      </c>
      <c r="L473" t="n">
        <v>0</v>
      </c>
      <c r="M473" t="n">
        <v>0</v>
      </c>
      <c r="N473" t="n">
        <v>0</v>
      </c>
      <c r="O473" t="n">
        <v>0</v>
      </c>
      <c r="P473" t="n">
        <v>0</v>
      </c>
      <c r="Q473" t="n">
        <v>0</v>
      </c>
      <c r="R473" s="2" t="inlineStr"/>
    </row>
    <row r="474" ht="15" customHeight="1">
      <c r="A474" t="inlineStr">
        <is>
          <t>A 18654-2020</t>
        </is>
      </c>
      <c r="B474" s="1" t="n">
        <v>43927</v>
      </c>
      <c r="C474" s="1" t="n">
        <v>45666</v>
      </c>
      <c r="D474" t="inlineStr">
        <is>
          <t>JÄMTLANDS LÄN</t>
        </is>
      </c>
      <c r="E474" t="inlineStr">
        <is>
          <t>BRÄCKE</t>
        </is>
      </c>
      <c r="G474" t="n">
        <v>0.4</v>
      </c>
      <c r="H474" t="n">
        <v>0</v>
      </c>
      <c r="I474" t="n">
        <v>0</v>
      </c>
      <c r="J474" t="n">
        <v>0</v>
      </c>
      <c r="K474" t="n">
        <v>0</v>
      </c>
      <c r="L474" t="n">
        <v>0</v>
      </c>
      <c r="M474" t="n">
        <v>0</v>
      </c>
      <c r="N474" t="n">
        <v>0</v>
      </c>
      <c r="O474" t="n">
        <v>0</v>
      </c>
      <c r="P474" t="n">
        <v>0</v>
      </c>
      <c r="Q474" t="n">
        <v>0</v>
      </c>
      <c r="R474" s="2" t="inlineStr"/>
    </row>
    <row r="475" ht="15" customHeight="1">
      <c r="A475" t="inlineStr">
        <is>
          <t>A 19314-2020</t>
        </is>
      </c>
      <c r="B475" s="1" t="n">
        <v>43937</v>
      </c>
      <c r="C475" s="1" t="n">
        <v>45666</v>
      </c>
      <c r="D475" t="inlineStr">
        <is>
          <t>JÄMTLANDS LÄN</t>
        </is>
      </c>
      <c r="E475" t="inlineStr">
        <is>
          <t>BRÄCKE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20034-2020</t>
        </is>
      </c>
      <c r="B476" s="1" t="n">
        <v>43943</v>
      </c>
      <c r="C476" s="1" t="n">
        <v>45666</v>
      </c>
      <c r="D476" t="inlineStr">
        <is>
          <t>JÄMTLANDS LÄN</t>
        </is>
      </c>
      <c r="E476" t="inlineStr">
        <is>
          <t>BRÄCKE</t>
        </is>
      </c>
      <c r="G476" t="n">
        <v>3.2</v>
      </c>
      <c r="H476" t="n">
        <v>0</v>
      </c>
      <c r="I476" t="n">
        <v>0</v>
      </c>
      <c r="J476" t="n">
        <v>0</v>
      </c>
      <c r="K476" t="n">
        <v>0</v>
      </c>
      <c r="L476" t="n">
        <v>0</v>
      </c>
      <c r="M476" t="n">
        <v>0</v>
      </c>
      <c r="N476" t="n">
        <v>0</v>
      </c>
      <c r="O476" t="n">
        <v>0</v>
      </c>
      <c r="P476" t="n">
        <v>0</v>
      </c>
      <c r="Q476" t="n">
        <v>0</v>
      </c>
      <c r="R476" s="2" t="inlineStr"/>
    </row>
    <row r="477" ht="15" customHeight="1">
      <c r="A477" t="inlineStr">
        <is>
          <t>A 20426-2020</t>
        </is>
      </c>
      <c r="B477" s="1" t="n">
        <v>43945</v>
      </c>
      <c r="C477" s="1" t="n">
        <v>45666</v>
      </c>
      <c r="D477" t="inlineStr">
        <is>
          <t>JÄMTLANDS LÄN</t>
        </is>
      </c>
      <c r="E477" t="inlineStr">
        <is>
          <t>BRÄCKE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20617-2020</t>
        </is>
      </c>
      <c r="B478" s="1" t="n">
        <v>43948</v>
      </c>
      <c r="C478" s="1" t="n">
        <v>45666</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21426-2020</t>
        </is>
      </c>
      <c r="B479" s="1" t="n">
        <v>43955</v>
      </c>
      <c r="C479" s="1" t="n">
        <v>45666</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21425-2020</t>
        </is>
      </c>
      <c r="B480" s="1" t="n">
        <v>43955</v>
      </c>
      <c r="C480" s="1" t="n">
        <v>45666</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22081-2020</t>
        </is>
      </c>
      <c r="B481" s="1" t="n">
        <v>43959</v>
      </c>
      <c r="C481" s="1" t="n">
        <v>45666</v>
      </c>
      <c r="D481" t="inlineStr">
        <is>
          <t>JÄMTLANDS LÄN</t>
        </is>
      </c>
      <c r="E481" t="inlineStr">
        <is>
          <t>BRÄCKE</t>
        </is>
      </c>
      <c r="F481" t="inlineStr">
        <is>
          <t>Kyrkan</t>
        </is>
      </c>
      <c r="G481" t="n">
        <v>2.4</v>
      </c>
      <c r="H481" t="n">
        <v>0</v>
      </c>
      <c r="I481" t="n">
        <v>0</v>
      </c>
      <c r="J481" t="n">
        <v>0</v>
      </c>
      <c r="K481" t="n">
        <v>0</v>
      </c>
      <c r="L481" t="n">
        <v>0</v>
      </c>
      <c r="M481" t="n">
        <v>0</v>
      </c>
      <c r="N481" t="n">
        <v>0</v>
      </c>
      <c r="O481" t="n">
        <v>0</v>
      </c>
      <c r="P481" t="n">
        <v>0</v>
      </c>
      <c r="Q481" t="n">
        <v>0</v>
      </c>
      <c r="R481" s="2" t="inlineStr"/>
    </row>
    <row r="482" ht="15" customHeight="1">
      <c r="A482" t="inlineStr">
        <is>
          <t>A 24038-2020</t>
        </is>
      </c>
      <c r="B482" s="1" t="n">
        <v>43972</v>
      </c>
      <c r="C482" s="1" t="n">
        <v>45666</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24244-2020</t>
        </is>
      </c>
      <c r="B483" s="1" t="n">
        <v>43976</v>
      </c>
      <c r="C483" s="1" t="n">
        <v>45666</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24429-2020</t>
        </is>
      </c>
      <c r="B484" s="1" t="n">
        <v>43976</v>
      </c>
      <c r="C484" s="1" t="n">
        <v>45666</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24863-2020</t>
        </is>
      </c>
      <c r="B485" s="1" t="n">
        <v>43978</v>
      </c>
      <c r="C485" s="1" t="n">
        <v>45666</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25382-2020</t>
        </is>
      </c>
      <c r="B486" s="1" t="n">
        <v>43980</v>
      </c>
      <c r="C486" s="1" t="n">
        <v>45666</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25906-2020</t>
        </is>
      </c>
      <c r="B487" s="1" t="n">
        <v>43984</v>
      </c>
      <c r="C487" s="1" t="n">
        <v>45666</v>
      </c>
      <c r="D487" t="inlineStr">
        <is>
          <t>JÄMTLANDS LÄN</t>
        </is>
      </c>
      <c r="E487" t="inlineStr">
        <is>
          <t>BRÄCKE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25772-2020</t>
        </is>
      </c>
      <c r="B488" s="1" t="n">
        <v>43984</v>
      </c>
      <c r="C488" s="1" t="n">
        <v>45666</v>
      </c>
      <c r="D488" t="inlineStr">
        <is>
          <t>JÄMTLANDS LÄN</t>
        </is>
      </c>
      <c r="E488" t="inlineStr">
        <is>
          <t>BRÄCKE</t>
        </is>
      </c>
      <c r="G488" t="n">
        <v>3.1</v>
      </c>
      <c r="H488" t="n">
        <v>0</v>
      </c>
      <c r="I488" t="n">
        <v>0</v>
      </c>
      <c r="J488" t="n">
        <v>0</v>
      </c>
      <c r="K488" t="n">
        <v>0</v>
      </c>
      <c r="L488" t="n">
        <v>0</v>
      </c>
      <c r="M488" t="n">
        <v>0</v>
      </c>
      <c r="N488" t="n">
        <v>0</v>
      </c>
      <c r="O488" t="n">
        <v>0</v>
      </c>
      <c r="P488" t="n">
        <v>0</v>
      </c>
      <c r="Q488" t="n">
        <v>0</v>
      </c>
      <c r="R488" s="2" t="inlineStr"/>
    </row>
    <row r="489" ht="15" customHeight="1">
      <c r="A489" t="inlineStr">
        <is>
          <t>A 26168-2020</t>
        </is>
      </c>
      <c r="B489" s="1" t="n">
        <v>43985</v>
      </c>
      <c r="C489" s="1" t="n">
        <v>45666</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26169-2020</t>
        </is>
      </c>
      <c r="B490" s="1" t="n">
        <v>43985</v>
      </c>
      <c r="C490" s="1" t="n">
        <v>45666</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27191-2020</t>
        </is>
      </c>
      <c r="B491" s="1" t="n">
        <v>43991</v>
      </c>
      <c r="C491" s="1" t="n">
        <v>45666</v>
      </c>
      <c r="D491" t="inlineStr">
        <is>
          <t>JÄMTLANDS LÄN</t>
        </is>
      </c>
      <c r="E491" t="inlineStr">
        <is>
          <t>BRÄCKE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27190-2020</t>
        </is>
      </c>
      <c r="B492" s="1" t="n">
        <v>43991</v>
      </c>
      <c r="C492" s="1" t="n">
        <v>45666</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28213-2020</t>
        </is>
      </c>
      <c r="B493" s="1" t="n">
        <v>43997</v>
      </c>
      <c r="C493" s="1" t="n">
        <v>45666</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28701-2020</t>
        </is>
      </c>
      <c r="B494" s="1" t="n">
        <v>43997</v>
      </c>
      <c r="C494" s="1" t="n">
        <v>45666</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28174-2020</t>
        </is>
      </c>
      <c r="B495" s="1" t="n">
        <v>43997</v>
      </c>
      <c r="C495" s="1" t="n">
        <v>45666</v>
      </c>
      <c r="D495" t="inlineStr">
        <is>
          <t>JÄMTLANDS LÄN</t>
        </is>
      </c>
      <c r="E495" t="inlineStr">
        <is>
          <t>BRÄCKE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29259-2020</t>
        </is>
      </c>
      <c r="B496" s="1" t="n">
        <v>44004</v>
      </c>
      <c r="C496" s="1" t="n">
        <v>45666</v>
      </c>
      <c r="D496" t="inlineStr">
        <is>
          <t>JÄMTLANDS LÄN</t>
        </is>
      </c>
      <c r="E496" t="inlineStr">
        <is>
          <t>BRÄCKE</t>
        </is>
      </c>
      <c r="F496" t="inlineStr">
        <is>
          <t>Övriga Aktiebolag</t>
        </is>
      </c>
      <c r="G496" t="n">
        <v>40.6</v>
      </c>
      <c r="H496" t="n">
        <v>0</v>
      </c>
      <c r="I496" t="n">
        <v>0</v>
      </c>
      <c r="J496" t="n">
        <v>0</v>
      </c>
      <c r="K496" t="n">
        <v>0</v>
      </c>
      <c r="L496" t="n">
        <v>0</v>
      </c>
      <c r="M496" t="n">
        <v>0</v>
      </c>
      <c r="N496" t="n">
        <v>0</v>
      </c>
      <c r="O496" t="n">
        <v>0</v>
      </c>
      <c r="P496" t="n">
        <v>0</v>
      </c>
      <c r="Q496" t="n">
        <v>0</v>
      </c>
      <c r="R496" s="2" t="inlineStr"/>
    </row>
    <row r="497" ht="15" customHeight="1">
      <c r="A497" t="inlineStr">
        <is>
          <t>A 29489-2020</t>
        </is>
      </c>
      <c r="B497" s="1" t="n">
        <v>44004</v>
      </c>
      <c r="C497" s="1" t="n">
        <v>45666</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29863-2020</t>
        </is>
      </c>
      <c r="B498" s="1" t="n">
        <v>44005</v>
      </c>
      <c r="C498" s="1" t="n">
        <v>45666</v>
      </c>
      <c r="D498" t="inlineStr">
        <is>
          <t>JÄMTLANDS LÄN</t>
        </is>
      </c>
      <c r="E498" t="inlineStr">
        <is>
          <t>BRÄCKE</t>
        </is>
      </c>
      <c r="G498" t="n">
        <v>2.2</v>
      </c>
      <c r="H498" t="n">
        <v>0</v>
      </c>
      <c r="I498" t="n">
        <v>0</v>
      </c>
      <c r="J498" t="n">
        <v>0</v>
      </c>
      <c r="K498" t="n">
        <v>0</v>
      </c>
      <c r="L498" t="n">
        <v>0</v>
      </c>
      <c r="M498" t="n">
        <v>0</v>
      </c>
      <c r="N498" t="n">
        <v>0</v>
      </c>
      <c r="O498" t="n">
        <v>0</v>
      </c>
      <c r="P498" t="n">
        <v>0</v>
      </c>
      <c r="Q498" t="n">
        <v>0</v>
      </c>
      <c r="R498" s="2" t="inlineStr"/>
    </row>
    <row r="499" ht="15" customHeight="1">
      <c r="A499" t="inlineStr">
        <is>
          <t>A 30471-2020</t>
        </is>
      </c>
      <c r="B499" s="1" t="n">
        <v>44007</v>
      </c>
      <c r="C499" s="1" t="n">
        <v>45666</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30474-2020</t>
        </is>
      </c>
      <c r="B500" s="1" t="n">
        <v>44007</v>
      </c>
      <c r="C500" s="1" t="n">
        <v>45666</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30475-2020</t>
        </is>
      </c>
      <c r="B501" s="1" t="n">
        <v>44007</v>
      </c>
      <c r="C501" s="1" t="n">
        <v>45666</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30472-2020</t>
        </is>
      </c>
      <c r="B502" s="1" t="n">
        <v>44007</v>
      </c>
      <c r="C502" s="1" t="n">
        <v>45666</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31021-2020</t>
        </is>
      </c>
      <c r="B503" s="1" t="n">
        <v>44011</v>
      </c>
      <c r="C503" s="1" t="n">
        <v>45666</v>
      </c>
      <c r="D503" t="inlineStr">
        <is>
          <t>JÄMTLANDS LÄN</t>
        </is>
      </c>
      <c r="E503" t="inlineStr">
        <is>
          <t>BRÄCKE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31448-2020</t>
        </is>
      </c>
      <c r="B504" s="1" t="n">
        <v>44012</v>
      </c>
      <c r="C504" s="1" t="n">
        <v>45666</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31602-2020</t>
        </is>
      </c>
      <c r="B505" s="1" t="n">
        <v>44013</v>
      </c>
      <c r="C505" s="1" t="n">
        <v>45666</v>
      </c>
      <c r="D505" t="inlineStr">
        <is>
          <t>JÄMTLANDS LÄN</t>
        </is>
      </c>
      <c r="E505" t="inlineStr">
        <is>
          <t>BRÄCKE</t>
        </is>
      </c>
      <c r="G505" t="n">
        <v>0.9</v>
      </c>
      <c r="H505" t="n">
        <v>0</v>
      </c>
      <c r="I505" t="n">
        <v>0</v>
      </c>
      <c r="J505" t="n">
        <v>0</v>
      </c>
      <c r="K505" t="n">
        <v>0</v>
      </c>
      <c r="L505" t="n">
        <v>0</v>
      </c>
      <c r="M505" t="n">
        <v>0</v>
      </c>
      <c r="N505" t="n">
        <v>0</v>
      </c>
      <c r="O505" t="n">
        <v>0</v>
      </c>
      <c r="P505" t="n">
        <v>0</v>
      </c>
      <c r="Q505" t="n">
        <v>0</v>
      </c>
      <c r="R505" s="2" t="inlineStr"/>
    </row>
    <row r="506" ht="15" customHeight="1">
      <c r="A506" t="inlineStr">
        <is>
          <t>A 32272-2020</t>
        </is>
      </c>
      <c r="B506" s="1" t="n">
        <v>44015</v>
      </c>
      <c r="C506" s="1" t="n">
        <v>45666</v>
      </c>
      <c r="D506" t="inlineStr">
        <is>
          <t>JÄMTLANDS LÄN</t>
        </is>
      </c>
      <c r="E506" t="inlineStr">
        <is>
          <t>BRÄCKE</t>
        </is>
      </c>
      <c r="G506" t="n">
        <v>2.5</v>
      </c>
      <c r="H506" t="n">
        <v>0</v>
      </c>
      <c r="I506" t="n">
        <v>0</v>
      </c>
      <c r="J506" t="n">
        <v>0</v>
      </c>
      <c r="K506" t="n">
        <v>0</v>
      </c>
      <c r="L506" t="n">
        <v>0</v>
      </c>
      <c r="M506" t="n">
        <v>0</v>
      </c>
      <c r="N506" t="n">
        <v>0</v>
      </c>
      <c r="O506" t="n">
        <v>0</v>
      </c>
      <c r="P506" t="n">
        <v>0</v>
      </c>
      <c r="Q506" t="n">
        <v>0</v>
      </c>
      <c r="R506" s="2" t="inlineStr"/>
    </row>
    <row r="507" ht="15" customHeight="1">
      <c r="A507" t="inlineStr">
        <is>
          <t>A 32710-2020</t>
        </is>
      </c>
      <c r="B507" s="1" t="n">
        <v>44018</v>
      </c>
      <c r="C507" s="1" t="n">
        <v>45666</v>
      </c>
      <c r="D507" t="inlineStr">
        <is>
          <t>JÄMTLANDS LÄN</t>
        </is>
      </c>
      <c r="E507" t="inlineStr">
        <is>
          <t>BRÄCKE</t>
        </is>
      </c>
      <c r="G507" t="n">
        <v>1.9</v>
      </c>
      <c r="H507" t="n">
        <v>0</v>
      </c>
      <c r="I507" t="n">
        <v>0</v>
      </c>
      <c r="J507" t="n">
        <v>0</v>
      </c>
      <c r="K507" t="n">
        <v>0</v>
      </c>
      <c r="L507" t="n">
        <v>0</v>
      </c>
      <c r="M507" t="n">
        <v>0</v>
      </c>
      <c r="N507" t="n">
        <v>0</v>
      </c>
      <c r="O507" t="n">
        <v>0</v>
      </c>
      <c r="P507" t="n">
        <v>0</v>
      </c>
      <c r="Q507" t="n">
        <v>0</v>
      </c>
      <c r="R507" s="2" t="inlineStr"/>
    </row>
    <row r="508" ht="15" customHeight="1">
      <c r="A508" t="inlineStr">
        <is>
          <t>A 33198-2020</t>
        </is>
      </c>
      <c r="B508" s="1" t="n">
        <v>44021</v>
      </c>
      <c r="C508" s="1" t="n">
        <v>45666</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34660-2020</t>
        </is>
      </c>
      <c r="B509" s="1" t="n">
        <v>44034</v>
      </c>
      <c r="C509" s="1" t="n">
        <v>45666</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34659-2020</t>
        </is>
      </c>
      <c r="B510" s="1" t="n">
        <v>44034</v>
      </c>
      <c r="C510" s="1" t="n">
        <v>45666</v>
      </c>
      <c r="D510" t="inlineStr">
        <is>
          <t>JÄMTLANDS LÄN</t>
        </is>
      </c>
      <c r="E510" t="inlineStr">
        <is>
          <t>BRÄCKE</t>
        </is>
      </c>
      <c r="G510" t="n">
        <v>4.7</v>
      </c>
      <c r="H510" t="n">
        <v>0</v>
      </c>
      <c r="I510" t="n">
        <v>0</v>
      </c>
      <c r="J510" t="n">
        <v>0</v>
      </c>
      <c r="K510" t="n">
        <v>0</v>
      </c>
      <c r="L510" t="n">
        <v>0</v>
      </c>
      <c r="M510" t="n">
        <v>0</v>
      </c>
      <c r="N510" t="n">
        <v>0</v>
      </c>
      <c r="O510" t="n">
        <v>0</v>
      </c>
      <c r="P510" t="n">
        <v>0</v>
      </c>
      <c r="Q510" t="n">
        <v>0</v>
      </c>
      <c r="R510" s="2" t="inlineStr"/>
    </row>
    <row r="511" ht="15" customHeight="1">
      <c r="A511" t="inlineStr">
        <is>
          <t>A 34870-2020</t>
        </is>
      </c>
      <c r="B511" s="1" t="n">
        <v>44036</v>
      </c>
      <c r="C511" s="1" t="n">
        <v>45666</v>
      </c>
      <c r="D511" t="inlineStr">
        <is>
          <t>JÄMTLANDS LÄN</t>
        </is>
      </c>
      <c r="E511" t="inlineStr">
        <is>
          <t>BRÄCKE</t>
        </is>
      </c>
      <c r="G511" t="n">
        <v>3.2</v>
      </c>
      <c r="H511" t="n">
        <v>0</v>
      </c>
      <c r="I511" t="n">
        <v>0</v>
      </c>
      <c r="J511" t="n">
        <v>0</v>
      </c>
      <c r="K511" t="n">
        <v>0</v>
      </c>
      <c r="L511" t="n">
        <v>0</v>
      </c>
      <c r="M511" t="n">
        <v>0</v>
      </c>
      <c r="N511" t="n">
        <v>0</v>
      </c>
      <c r="O511" t="n">
        <v>0</v>
      </c>
      <c r="P511" t="n">
        <v>0</v>
      </c>
      <c r="Q511" t="n">
        <v>0</v>
      </c>
      <c r="R511" s="2" t="inlineStr"/>
    </row>
    <row r="512" ht="15" customHeight="1">
      <c r="A512" t="inlineStr">
        <is>
          <t>A 35250-2020</t>
        </is>
      </c>
      <c r="B512" s="1" t="n">
        <v>44041</v>
      </c>
      <c r="C512" s="1" t="n">
        <v>45666</v>
      </c>
      <c r="D512" t="inlineStr">
        <is>
          <t>JÄMTLANDS LÄN</t>
        </is>
      </c>
      <c r="E512" t="inlineStr">
        <is>
          <t>BRÄCKE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35364-2020</t>
        </is>
      </c>
      <c r="B513" s="1" t="n">
        <v>44041</v>
      </c>
      <c r="C513" s="1" t="n">
        <v>45666</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35423-2020</t>
        </is>
      </c>
      <c r="B514" s="1" t="n">
        <v>44042</v>
      </c>
      <c r="C514" s="1" t="n">
        <v>45666</v>
      </c>
      <c r="D514" t="inlineStr">
        <is>
          <t>JÄMTLANDS LÄN</t>
        </is>
      </c>
      <c r="E514" t="inlineStr">
        <is>
          <t>BRÄCKE</t>
        </is>
      </c>
      <c r="G514" t="n">
        <v>13.2</v>
      </c>
      <c r="H514" t="n">
        <v>0</v>
      </c>
      <c r="I514" t="n">
        <v>0</v>
      </c>
      <c r="J514" t="n">
        <v>0</v>
      </c>
      <c r="K514" t="n">
        <v>0</v>
      </c>
      <c r="L514" t="n">
        <v>0</v>
      </c>
      <c r="M514" t="n">
        <v>0</v>
      </c>
      <c r="N514" t="n">
        <v>0</v>
      </c>
      <c r="O514" t="n">
        <v>0</v>
      </c>
      <c r="P514" t="n">
        <v>0</v>
      </c>
      <c r="Q514" t="n">
        <v>0</v>
      </c>
      <c r="R514" s="2" t="inlineStr"/>
    </row>
    <row r="515" ht="15" customHeight="1">
      <c r="A515" t="inlineStr">
        <is>
          <t>A 35799-2020</t>
        </is>
      </c>
      <c r="B515" s="1" t="n">
        <v>44046</v>
      </c>
      <c r="C515" s="1" t="n">
        <v>45666</v>
      </c>
      <c r="D515" t="inlineStr">
        <is>
          <t>JÄMTLANDS LÄN</t>
        </is>
      </c>
      <c r="E515" t="inlineStr">
        <is>
          <t>BRÄCKE</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35800-2020</t>
        </is>
      </c>
      <c r="B516" s="1" t="n">
        <v>44046</v>
      </c>
      <c r="C516" s="1" t="n">
        <v>45666</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35808-2020</t>
        </is>
      </c>
      <c r="B517" s="1" t="n">
        <v>44046</v>
      </c>
      <c r="C517" s="1" t="n">
        <v>45666</v>
      </c>
      <c r="D517" t="inlineStr">
        <is>
          <t>JÄMTLANDS LÄN</t>
        </is>
      </c>
      <c r="E517" t="inlineStr">
        <is>
          <t>BRÄCKE</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36671-2020</t>
        </is>
      </c>
      <c r="B518" s="1" t="n">
        <v>44050</v>
      </c>
      <c r="C518" s="1" t="n">
        <v>45666</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36661-2020</t>
        </is>
      </c>
      <c r="B519" s="1" t="n">
        <v>44050</v>
      </c>
      <c r="C519" s="1" t="n">
        <v>45666</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36971-2020</t>
        </is>
      </c>
      <c r="B520" s="1" t="n">
        <v>44053</v>
      </c>
      <c r="C520" s="1" t="n">
        <v>45666</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37236-2020</t>
        </is>
      </c>
      <c r="B521" s="1" t="n">
        <v>44055</v>
      </c>
      <c r="C521" s="1" t="n">
        <v>45666</v>
      </c>
      <c r="D521" t="inlineStr">
        <is>
          <t>JÄMTLANDS LÄN</t>
        </is>
      </c>
      <c r="E521" t="inlineStr">
        <is>
          <t>BRÄCKE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37229-2020</t>
        </is>
      </c>
      <c r="B522" s="1" t="n">
        <v>44054</v>
      </c>
      <c r="C522" s="1" t="n">
        <v>45666</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38084-2020</t>
        </is>
      </c>
      <c r="B523" s="1" t="n">
        <v>44057</v>
      </c>
      <c r="C523" s="1" t="n">
        <v>45666</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38082-2020</t>
        </is>
      </c>
      <c r="B524" s="1" t="n">
        <v>44057</v>
      </c>
      <c r="C524" s="1" t="n">
        <v>45666</v>
      </c>
      <c r="D524" t="inlineStr">
        <is>
          <t>JÄMTLANDS LÄN</t>
        </is>
      </c>
      <c r="E524" t="inlineStr">
        <is>
          <t>BRÄCKE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38101-2020</t>
        </is>
      </c>
      <c r="B525" s="1" t="n">
        <v>44057</v>
      </c>
      <c r="C525" s="1" t="n">
        <v>45666</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38105-2020</t>
        </is>
      </c>
      <c r="B526" s="1" t="n">
        <v>44057</v>
      </c>
      <c r="C526" s="1" t="n">
        <v>45666</v>
      </c>
      <c r="D526" t="inlineStr">
        <is>
          <t>JÄMTLANDS LÄN</t>
        </is>
      </c>
      <c r="E526" t="inlineStr">
        <is>
          <t>BRÄCKE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38459-2020</t>
        </is>
      </c>
      <c r="B527" s="1" t="n">
        <v>44060</v>
      </c>
      <c r="C527" s="1" t="n">
        <v>45666</v>
      </c>
      <c r="D527" t="inlineStr">
        <is>
          <t>JÄMTLANDS LÄN</t>
        </is>
      </c>
      <c r="E527" t="inlineStr">
        <is>
          <t>BRÄCKE</t>
        </is>
      </c>
      <c r="G527" t="n">
        <v>4.9</v>
      </c>
      <c r="H527" t="n">
        <v>0</v>
      </c>
      <c r="I527" t="n">
        <v>0</v>
      </c>
      <c r="J527" t="n">
        <v>0</v>
      </c>
      <c r="K527" t="n">
        <v>0</v>
      </c>
      <c r="L527" t="n">
        <v>0</v>
      </c>
      <c r="M527" t="n">
        <v>0</v>
      </c>
      <c r="N527" t="n">
        <v>0</v>
      </c>
      <c r="O527" t="n">
        <v>0</v>
      </c>
      <c r="P527" t="n">
        <v>0</v>
      </c>
      <c r="Q527" t="n">
        <v>0</v>
      </c>
      <c r="R527" s="2" t="inlineStr"/>
    </row>
    <row r="528" ht="15" customHeight="1">
      <c r="A528" t="inlineStr">
        <is>
          <t>A 38787-2020</t>
        </is>
      </c>
      <c r="B528" s="1" t="n">
        <v>44061</v>
      </c>
      <c r="C528" s="1" t="n">
        <v>45666</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39053-2020</t>
        </is>
      </c>
      <c r="B529" s="1" t="n">
        <v>44062</v>
      </c>
      <c r="C529" s="1" t="n">
        <v>45666</v>
      </c>
      <c r="D529" t="inlineStr">
        <is>
          <t>JÄMTLANDS LÄN</t>
        </is>
      </c>
      <c r="E529" t="inlineStr">
        <is>
          <t>BRÄCKE</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39043-2020</t>
        </is>
      </c>
      <c r="B530" s="1" t="n">
        <v>44062</v>
      </c>
      <c r="C530" s="1" t="n">
        <v>45666</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39052-2020</t>
        </is>
      </c>
      <c r="B531" s="1" t="n">
        <v>44062</v>
      </c>
      <c r="C531" s="1" t="n">
        <v>45666</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39350-2020</t>
        </is>
      </c>
      <c r="B532" s="1" t="n">
        <v>44063</v>
      </c>
      <c r="C532" s="1" t="n">
        <v>45666</v>
      </c>
      <c r="D532" t="inlineStr">
        <is>
          <t>JÄMTLANDS LÄN</t>
        </is>
      </c>
      <c r="E532" t="inlineStr">
        <is>
          <t>BRÄCKE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39337-2020</t>
        </is>
      </c>
      <c r="B533" s="1" t="n">
        <v>44063</v>
      </c>
      <c r="C533" s="1" t="n">
        <v>45666</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39351-2020</t>
        </is>
      </c>
      <c r="B534" s="1" t="n">
        <v>44063</v>
      </c>
      <c r="C534" s="1" t="n">
        <v>45666</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39998-2020</t>
        </is>
      </c>
      <c r="B535" s="1" t="n">
        <v>44067</v>
      </c>
      <c r="C535" s="1" t="n">
        <v>45666</v>
      </c>
      <c r="D535" t="inlineStr">
        <is>
          <t>JÄMTLANDS LÄN</t>
        </is>
      </c>
      <c r="E535" t="inlineStr">
        <is>
          <t>BRÄCKE</t>
        </is>
      </c>
      <c r="G535" t="n">
        <v>3.9</v>
      </c>
      <c r="H535" t="n">
        <v>0</v>
      </c>
      <c r="I535" t="n">
        <v>0</v>
      </c>
      <c r="J535" t="n">
        <v>0</v>
      </c>
      <c r="K535" t="n">
        <v>0</v>
      </c>
      <c r="L535" t="n">
        <v>0</v>
      </c>
      <c r="M535" t="n">
        <v>0</v>
      </c>
      <c r="N535" t="n">
        <v>0</v>
      </c>
      <c r="O535" t="n">
        <v>0</v>
      </c>
      <c r="P535" t="n">
        <v>0</v>
      </c>
      <c r="Q535" t="n">
        <v>0</v>
      </c>
      <c r="R535" s="2" t="inlineStr"/>
    </row>
    <row r="536" ht="15" customHeight="1">
      <c r="A536" t="inlineStr">
        <is>
          <t>A 40057-2020</t>
        </is>
      </c>
      <c r="B536" s="1" t="n">
        <v>44068</v>
      </c>
      <c r="C536" s="1" t="n">
        <v>45666</v>
      </c>
      <c r="D536" t="inlineStr">
        <is>
          <t>JÄMTLANDS LÄN</t>
        </is>
      </c>
      <c r="E536" t="inlineStr">
        <is>
          <t>BRÄCKE</t>
        </is>
      </c>
      <c r="G536" t="n">
        <v>25.5</v>
      </c>
      <c r="H536" t="n">
        <v>0</v>
      </c>
      <c r="I536" t="n">
        <v>0</v>
      </c>
      <c r="J536" t="n">
        <v>0</v>
      </c>
      <c r="K536" t="n">
        <v>0</v>
      </c>
      <c r="L536" t="n">
        <v>0</v>
      </c>
      <c r="M536" t="n">
        <v>0</v>
      </c>
      <c r="N536" t="n">
        <v>0</v>
      </c>
      <c r="O536" t="n">
        <v>0</v>
      </c>
      <c r="P536" t="n">
        <v>0</v>
      </c>
      <c r="Q536" t="n">
        <v>0</v>
      </c>
      <c r="R536" s="2" t="inlineStr"/>
    </row>
    <row r="537" ht="15" customHeight="1">
      <c r="A537" t="inlineStr">
        <is>
          <t>A 40083-2020</t>
        </is>
      </c>
      <c r="B537" s="1" t="n">
        <v>44067</v>
      </c>
      <c r="C537" s="1" t="n">
        <v>45666</v>
      </c>
      <c r="D537" t="inlineStr">
        <is>
          <t>JÄMTLANDS LÄN</t>
        </is>
      </c>
      <c r="E537" t="inlineStr">
        <is>
          <t>BRÄCKE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40387-2020</t>
        </is>
      </c>
      <c r="B538" s="1" t="n">
        <v>44068</v>
      </c>
      <c r="C538" s="1" t="n">
        <v>45666</v>
      </c>
      <c r="D538" t="inlineStr">
        <is>
          <t>JÄMTLANDS LÄN</t>
        </is>
      </c>
      <c r="E538" t="inlineStr">
        <is>
          <t>BRÄCKE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41025-2020</t>
        </is>
      </c>
      <c r="B539" s="1" t="n">
        <v>44071</v>
      </c>
      <c r="C539" s="1" t="n">
        <v>45666</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41352-2020</t>
        </is>
      </c>
      <c r="B540" s="1" t="n">
        <v>44071</v>
      </c>
      <c r="C540" s="1" t="n">
        <v>45666</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41349-2020</t>
        </is>
      </c>
      <c r="B541" s="1" t="n">
        <v>44071</v>
      </c>
      <c r="C541" s="1" t="n">
        <v>45666</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42204-2020</t>
        </is>
      </c>
      <c r="B542" s="1" t="n">
        <v>44075</v>
      </c>
      <c r="C542" s="1" t="n">
        <v>45666</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42203-2020</t>
        </is>
      </c>
      <c r="B543" s="1" t="n">
        <v>44075</v>
      </c>
      <c r="C543" s="1" t="n">
        <v>45666</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42202-2020</t>
        </is>
      </c>
      <c r="B544" s="1" t="n">
        <v>44075</v>
      </c>
      <c r="C544" s="1" t="n">
        <v>45666</v>
      </c>
      <c r="D544" t="inlineStr">
        <is>
          <t>JÄMTLANDS LÄN</t>
        </is>
      </c>
      <c r="E544" t="inlineStr">
        <is>
          <t>BRÄCKE</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42897-2020</t>
        </is>
      </c>
      <c r="B545" s="1" t="n">
        <v>44078</v>
      </c>
      <c r="C545" s="1" t="n">
        <v>45666</v>
      </c>
      <c r="D545" t="inlineStr">
        <is>
          <t>JÄMTLANDS LÄN</t>
        </is>
      </c>
      <c r="E545" t="inlineStr">
        <is>
          <t>BRÄCKE</t>
        </is>
      </c>
      <c r="G545" t="n">
        <v>12.9</v>
      </c>
      <c r="H545" t="n">
        <v>0</v>
      </c>
      <c r="I545" t="n">
        <v>0</v>
      </c>
      <c r="J545" t="n">
        <v>0</v>
      </c>
      <c r="K545" t="n">
        <v>0</v>
      </c>
      <c r="L545" t="n">
        <v>0</v>
      </c>
      <c r="M545" t="n">
        <v>0</v>
      </c>
      <c r="N545" t="n">
        <v>0</v>
      </c>
      <c r="O545" t="n">
        <v>0</v>
      </c>
      <c r="P545" t="n">
        <v>0</v>
      </c>
      <c r="Q545" t="n">
        <v>0</v>
      </c>
      <c r="R545" s="2" t="inlineStr"/>
    </row>
    <row r="546" ht="15" customHeight="1">
      <c r="A546" t="inlineStr">
        <is>
          <t>A 43070-2020</t>
        </is>
      </c>
      <c r="B546" s="1" t="n">
        <v>44078</v>
      </c>
      <c r="C546" s="1" t="n">
        <v>45666</v>
      </c>
      <c r="D546" t="inlineStr">
        <is>
          <t>JÄMTLANDS LÄN</t>
        </is>
      </c>
      <c r="E546" t="inlineStr">
        <is>
          <t>BRÄCKE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43075-2020</t>
        </is>
      </c>
      <c r="B547" s="1" t="n">
        <v>44078</v>
      </c>
      <c r="C547" s="1" t="n">
        <v>45666</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43085-2020</t>
        </is>
      </c>
      <c r="B548" s="1" t="n">
        <v>44078</v>
      </c>
      <c r="C548" s="1" t="n">
        <v>45666</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44065-2020</t>
        </is>
      </c>
      <c r="B549" s="1" t="n">
        <v>44083</v>
      </c>
      <c r="C549" s="1" t="n">
        <v>45666</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44218-2020</t>
        </is>
      </c>
      <c r="B550" s="1" t="n">
        <v>44084</v>
      </c>
      <c r="C550" s="1" t="n">
        <v>45666</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44908-2020</t>
        </is>
      </c>
      <c r="B551" s="1" t="n">
        <v>44088</v>
      </c>
      <c r="C551" s="1" t="n">
        <v>45666</v>
      </c>
      <c r="D551" t="inlineStr">
        <is>
          <t>JÄMTLANDS LÄN</t>
        </is>
      </c>
      <c r="E551" t="inlineStr">
        <is>
          <t>BRÄCKE</t>
        </is>
      </c>
      <c r="G551" t="n">
        <v>6.1</v>
      </c>
      <c r="H551" t="n">
        <v>0</v>
      </c>
      <c r="I551" t="n">
        <v>0</v>
      </c>
      <c r="J551" t="n">
        <v>0</v>
      </c>
      <c r="K551" t="n">
        <v>0</v>
      </c>
      <c r="L551" t="n">
        <v>0</v>
      </c>
      <c r="M551" t="n">
        <v>0</v>
      </c>
      <c r="N551" t="n">
        <v>0</v>
      </c>
      <c r="O551" t="n">
        <v>0</v>
      </c>
      <c r="P551" t="n">
        <v>0</v>
      </c>
      <c r="Q551" t="n">
        <v>0</v>
      </c>
      <c r="R551" s="2" t="inlineStr"/>
    </row>
    <row r="552" ht="15" customHeight="1">
      <c r="A552" t="inlineStr">
        <is>
          <t>A 45832-2020</t>
        </is>
      </c>
      <c r="B552" s="1" t="n">
        <v>44090</v>
      </c>
      <c r="C552" s="1" t="n">
        <v>45666</v>
      </c>
      <c r="D552" t="inlineStr">
        <is>
          <t>JÄMTLANDS LÄN</t>
        </is>
      </c>
      <c r="E552" t="inlineStr">
        <is>
          <t>BRÄCKE</t>
        </is>
      </c>
      <c r="F552" t="inlineStr">
        <is>
          <t>SCA</t>
        </is>
      </c>
      <c r="G552" t="n">
        <v>4.9</v>
      </c>
      <c r="H552" t="n">
        <v>0</v>
      </c>
      <c r="I552" t="n">
        <v>0</v>
      </c>
      <c r="J552" t="n">
        <v>0</v>
      </c>
      <c r="K552" t="n">
        <v>0</v>
      </c>
      <c r="L552" t="n">
        <v>0</v>
      </c>
      <c r="M552" t="n">
        <v>0</v>
      </c>
      <c r="N552" t="n">
        <v>0</v>
      </c>
      <c r="O552" t="n">
        <v>0</v>
      </c>
      <c r="P552" t="n">
        <v>0</v>
      </c>
      <c r="Q552" t="n">
        <v>0</v>
      </c>
      <c r="R552" s="2" t="inlineStr"/>
    </row>
    <row r="553" ht="15" customHeight="1">
      <c r="A553" t="inlineStr">
        <is>
          <t>A 47838-2020</t>
        </is>
      </c>
      <c r="B553" s="1" t="n">
        <v>44098</v>
      </c>
      <c r="C553" s="1" t="n">
        <v>45666</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48667-2020</t>
        </is>
      </c>
      <c r="B554" s="1" t="n">
        <v>44098</v>
      </c>
      <c r="C554" s="1" t="n">
        <v>45666</v>
      </c>
      <c r="D554" t="inlineStr">
        <is>
          <t>JÄMTLANDS LÄN</t>
        </is>
      </c>
      <c r="E554" t="inlineStr">
        <is>
          <t>BRÄCKE</t>
        </is>
      </c>
      <c r="F554" t="inlineStr">
        <is>
          <t>SCA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49212-2020</t>
        </is>
      </c>
      <c r="B555" s="1" t="n">
        <v>44099</v>
      </c>
      <c r="C555" s="1" t="n">
        <v>45666</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48479-2020</t>
        </is>
      </c>
      <c r="B556" s="1" t="n">
        <v>44103</v>
      </c>
      <c r="C556" s="1" t="n">
        <v>45666</v>
      </c>
      <c r="D556" t="inlineStr">
        <is>
          <t>JÄMTLANDS LÄN</t>
        </is>
      </c>
      <c r="E556" t="inlineStr">
        <is>
          <t>BRÄCKE</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48799-2020</t>
        </is>
      </c>
      <c r="B557" s="1" t="n">
        <v>44103</v>
      </c>
      <c r="C557" s="1" t="n">
        <v>45666</v>
      </c>
      <c r="D557" t="inlineStr">
        <is>
          <t>JÄMTLANDS LÄN</t>
        </is>
      </c>
      <c r="E557" t="inlineStr">
        <is>
          <t>BRÄCKE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49164-2020</t>
        </is>
      </c>
      <c r="B558" s="1" t="n">
        <v>44104</v>
      </c>
      <c r="C558" s="1" t="n">
        <v>45666</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50983-2020</t>
        </is>
      </c>
      <c r="B559" s="1" t="n">
        <v>44111</v>
      </c>
      <c r="C559" s="1" t="n">
        <v>45666</v>
      </c>
      <c r="D559" t="inlineStr">
        <is>
          <t>JÄMTLANDS LÄN</t>
        </is>
      </c>
      <c r="E559" t="inlineStr">
        <is>
          <t>BRÄCKE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50981-2020</t>
        </is>
      </c>
      <c r="B560" s="1" t="n">
        <v>44111</v>
      </c>
      <c r="C560" s="1" t="n">
        <v>45666</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53176-2020</t>
        </is>
      </c>
      <c r="B561" s="1" t="n">
        <v>44120</v>
      </c>
      <c r="C561" s="1" t="n">
        <v>45666</v>
      </c>
      <c r="D561" t="inlineStr">
        <is>
          <t>JÄMTLANDS LÄN</t>
        </is>
      </c>
      <c r="E561" t="inlineStr">
        <is>
          <t>BRÄCKE</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53196-2020</t>
        </is>
      </c>
      <c r="B562" s="1" t="n">
        <v>44122</v>
      </c>
      <c r="C562" s="1" t="n">
        <v>45666</v>
      </c>
      <c r="D562" t="inlineStr">
        <is>
          <t>JÄMTLANDS LÄN</t>
        </is>
      </c>
      <c r="E562" t="inlineStr">
        <is>
          <t>BRÄCKE</t>
        </is>
      </c>
      <c r="G562" t="n">
        <v>1</v>
      </c>
      <c r="H562" t="n">
        <v>0</v>
      </c>
      <c r="I562" t="n">
        <v>0</v>
      </c>
      <c r="J562" t="n">
        <v>0</v>
      </c>
      <c r="K562" t="n">
        <v>0</v>
      </c>
      <c r="L562" t="n">
        <v>0</v>
      </c>
      <c r="M562" t="n">
        <v>0</v>
      </c>
      <c r="N562" t="n">
        <v>0</v>
      </c>
      <c r="O562" t="n">
        <v>0</v>
      </c>
      <c r="P562" t="n">
        <v>0</v>
      </c>
      <c r="Q562" t="n">
        <v>0</v>
      </c>
      <c r="R562" s="2" t="inlineStr"/>
    </row>
    <row r="563" ht="15" customHeight="1">
      <c r="A563" t="inlineStr">
        <is>
          <t>A 53826-2020</t>
        </is>
      </c>
      <c r="B563" s="1" t="n">
        <v>44124</v>
      </c>
      <c r="C563" s="1" t="n">
        <v>45666</v>
      </c>
      <c r="D563" t="inlineStr">
        <is>
          <t>JÄMTLANDS LÄN</t>
        </is>
      </c>
      <c r="E563" t="inlineStr">
        <is>
          <t>BRÄCKE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53839-2020</t>
        </is>
      </c>
      <c r="B564" s="1" t="n">
        <v>44124</v>
      </c>
      <c r="C564" s="1" t="n">
        <v>45666</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54587-2020</t>
        </is>
      </c>
      <c r="B565" s="1" t="n">
        <v>44126</v>
      </c>
      <c r="C565" s="1" t="n">
        <v>45666</v>
      </c>
      <c r="D565" t="inlineStr">
        <is>
          <t>JÄMTLANDS LÄN</t>
        </is>
      </c>
      <c r="E565" t="inlineStr">
        <is>
          <t>BRÄCKE</t>
        </is>
      </c>
      <c r="F565" t="inlineStr">
        <is>
          <t>SCA</t>
        </is>
      </c>
      <c r="G565" t="n">
        <v>24.9</v>
      </c>
      <c r="H565" t="n">
        <v>0</v>
      </c>
      <c r="I565" t="n">
        <v>0</v>
      </c>
      <c r="J565" t="n">
        <v>0</v>
      </c>
      <c r="K565" t="n">
        <v>0</v>
      </c>
      <c r="L565" t="n">
        <v>0</v>
      </c>
      <c r="M565" t="n">
        <v>0</v>
      </c>
      <c r="N565" t="n">
        <v>0</v>
      </c>
      <c r="O565" t="n">
        <v>0</v>
      </c>
      <c r="P565" t="n">
        <v>0</v>
      </c>
      <c r="Q565" t="n">
        <v>0</v>
      </c>
      <c r="R565" s="2" t="inlineStr"/>
      <c r="U565">
        <f>HYPERLINK("https://klasma.github.io/Logging_2305/knärot/A 54587-2020 karta knärot.png", "A 54587-2020")</f>
        <v/>
      </c>
      <c r="V565">
        <f>HYPERLINK("https://klasma.github.io/Logging_2305/klagomål/A 54587-2020 FSC-klagomål.docx", "A 54587-2020")</f>
        <v/>
      </c>
      <c r="W565">
        <f>HYPERLINK("https://klasma.github.io/Logging_2305/klagomålsmail/A 54587-2020 FSC-klagomål mail.docx", "A 54587-2020")</f>
        <v/>
      </c>
      <c r="X565">
        <f>HYPERLINK("https://klasma.github.io/Logging_2305/tillsyn/A 54587-2020 tillsynsbegäran.docx", "A 54587-2020")</f>
        <v/>
      </c>
      <c r="Y565">
        <f>HYPERLINK("https://klasma.github.io/Logging_2305/tillsynsmail/A 54587-2020 tillsynsbegäran mail.docx", "A 54587-2020")</f>
        <v/>
      </c>
    </row>
    <row r="566" ht="15" customHeight="1">
      <c r="A566" t="inlineStr">
        <is>
          <t>A 55340-2020</t>
        </is>
      </c>
      <c r="B566" s="1" t="n">
        <v>44130</v>
      </c>
      <c r="C566" s="1" t="n">
        <v>45666</v>
      </c>
      <c r="D566" t="inlineStr">
        <is>
          <t>JÄMTLANDS LÄN</t>
        </is>
      </c>
      <c r="E566" t="inlineStr">
        <is>
          <t>BRÄCKE</t>
        </is>
      </c>
      <c r="F566" t="inlineStr">
        <is>
          <t>SCA</t>
        </is>
      </c>
      <c r="G566" t="n">
        <v>13.5</v>
      </c>
      <c r="H566" t="n">
        <v>0</v>
      </c>
      <c r="I566" t="n">
        <v>0</v>
      </c>
      <c r="J566" t="n">
        <v>0</v>
      </c>
      <c r="K566" t="n">
        <v>0</v>
      </c>
      <c r="L566" t="n">
        <v>0</v>
      </c>
      <c r="M566" t="n">
        <v>0</v>
      </c>
      <c r="N566" t="n">
        <v>0</v>
      </c>
      <c r="O566" t="n">
        <v>0</v>
      </c>
      <c r="P566" t="n">
        <v>0</v>
      </c>
      <c r="Q566" t="n">
        <v>0</v>
      </c>
      <c r="R566" s="2" t="inlineStr"/>
    </row>
    <row r="567" ht="15" customHeight="1">
      <c r="A567" t="inlineStr">
        <is>
          <t>A 55655-2020</t>
        </is>
      </c>
      <c r="B567" s="1" t="n">
        <v>44131</v>
      </c>
      <c r="C567" s="1" t="n">
        <v>45666</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55658-2020</t>
        </is>
      </c>
      <c r="B568" s="1" t="n">
        <v>44131</v>
      </c>
      <c r="C568" s="1" t="n">
        <v>45666</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55654-2020</t>
        </is>
      </c>
      <c r="B569" s="1" t="n">
        <v>44131</v>
      </c>
      <c r="C569" s="1" t="n">
        <v>45666</v>
      </c>
      <c r="D569" t="inlineStr">
        <is>
          <t>JÄMTLANDS LÄN</t>
        </is>
      </c>
      <c r="E569" t="inlineStr">
        <is>
          <t>BRÄCKE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55657-2020</t>
        </is>
      </c>
      <c r="B570" s="1" t="n">
        <v>44131</v>
      </c>
      <c r="C570" s="1" t="n">
        <v>45666</v>
      </c>
      <c r="D570" t="inlineStr">
        <is>
          <t>JÄMTLANDS LÄN</t>
        </is>
      </c>
      <c r="E570" t="inlineStr">
        <is>
          <t>BRÄCKE</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56416-2020</t>
        </is>
      </c>
      <c r="B571" s="1" t="n">
        <v>44137</v>
      </c>
      <c r="C571" s="1" t="n">
        <v>45666</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56598-2020</t>
        </is>
      </c>
      <c r="B572" s="1" t="n">
        <v>44137</v>
      </c>
      <c r="C572" s="1" t="n">
        <v>45666</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56758-2020</t>
        </is>
      </c>
      <c r="B573" s="1" t="n">
        <v>44137</v>
      </c>
      <c r="C573" s="1" t="n">
        <v>45666</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56777-2020</t>
        </is>
      </c>
      <c r="B574" s="1" t="n">
        <v>44137</v>
      </c>
      <c r="C574" s="1" t="n">
        <v>45666</v>
      </c>
      <c r="D574" t="inlineStr">
        <is>
          <t>JÄMTLANDS LÄN</t>
        </is>
      </c>
      <c r="E574" t="inlineStr">
        <is>
          <t>BRÄCKE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56782-2020</t>
        </is>
      </c>
      <c r="B575" s="1" t="n">
        <v>44137</v>
      </c>
      <c r="C575" s="1" t="n">
        <v>45666</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56773-2020</t>
        </is>
      </c>
      <c r="B576" s="1" t="n">
        <v>44137</v>
      </c>
      <c r="C576" s="1" t="n">
        <v>45666</v>
      </c>
      <c r="D576" t="inlineStr">
        <is>
          <t>JÄMTLANDS LÄN</t>
        </is>
      </c>
      <c r="E576" t="inlineStr">
        <is>
          <t>BRÄCKE</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56778-2020</t>
        </is>
      </c>
      <c r="B577" s="1" t="n">
        <v>44137</v>
      </c>
      <c r="C577" s="1" t="n">
        <v>45666</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56776-2020</t>
        </is>
      </c>
      <c r="B578" s="1" t="n">
        <v>44137</v>
      </c>
      <c r="C578" s="1" t="n">
        <v>45666</v>
      </c>
      <c r="D578" t="inlineStr">
        <is>
          <t>JÄMTLANDS LÄN</t>
        </is>
      </c>
      <c r="E578" t="inlineStr">
        <is>
          <t>BRÄCKE</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56781-2020</t>
        </is>
      </c>
      <c r="B579" s="1" t="n">
        <v>44137</v>
      </c>
      <c r="C579" s="1" t="n">
        <v>45666</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56774-2020</t>
        </is>
      </c>
      <c r="B580" s="1" t="n">
        <v>44137</v>
      </c>
      <c r="C580" s="1" t="n">
        <v>45666</v>
      </c>
      <c r="D580" t="inlineStr">
        <is>
          <t>JÄMTLANDS LÄN</t>
        </is>
      </c>
      <c r="E580" t="inlineStr">
        <is>
          <t>BRÄCKE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56780-2020</t>
        </is>
      </c>
      <c r="B581" s="1" t="n">
        <v>44137</v>
      </c>
      <c r="C581" s="1" t="n">
        <v>45666</v>
      </c>
      <c r="D581" t="inlineStr">
        <is>
          <t>JÄMTLANDS LÄN</t>
        </is>
      </c>
      <c r="E581" t="inlineStr">
        <is>
          <t>BRÄCKE</t>
        </is>
      </c>
      <c r="G581" t="n">
        <v>0.5</v>
      </c>
      <c r="H581" t="n">
        <v>0</v>
      </c>
      <c r="I581" t="n">
        <v>0</v>
      </c>
      <c r="J581" t="n">
        <v>0</v>
      </c>
      <c r="K581" t="n">
        <v>0</v>
      </c>
      <c r="L581" t="n">
        <v>0</v>
      </c>
      <c r="M581" t="n">
        <v>0</v>
      </c>
      <c r="N581" t="n">
        <v>0</v>
      </c>
      <c r="O581" t="n">
        <v>0</v>
      </c>
      <c r="P581" t="n">
        <v>0</v>
      </c>
      <c r="Q581" t="n">
        <v>0</v>
      </c>
      <c r="R581" s="2" t="inlineStr"/>
    </row>
    <row r="582" ht="15" customHeight="1">
      <c r="A582" t="inlineStr">
        <is>
          <t>A 57072-2020</t>
        </is>
      </c>
      <c r="B582" s="1" t="n">
        <v>44138</v>
      </c>
      <c r="C582" s="1" t="n">
        <v>45666</v>
      </c>
      <c r="D582" t="inlineStr">
        <is>
          <t>JÄMTLANDS LÄN</t>
        </is>
      </c>
      <c r="E582" t="inlineStr">
        <is>
          <t>BRÄCKE</t>
        </is>
      </c>
      <c r="F582" t="inlineStr">
        <is>
          <t>SCA</t>
        </is>
      </c>
      <c r="G582" t="n">
        <v>12.8</v>
      </c>
      <c r="H582" t="n">
        <v>0</v>
      </c>
      <c r="I582" t="n">
        <v>0</v>
      </c>
      <c r="J582" t="n">
        <v>0</v>
      </c>
      <c r="K582" t="n">
        <v>0</v>
      </c>
      <c r="L582" t="n">
        <v>0</v>
      </c>
      <c r="M582" t="n">
        <v>0</v>
      </c>
      <c r="N582" t="n">
        <v>0</v>
      </c>
      <c r="O582" t="n">
        <v>0</v>
      </c>
      <c r="P582" t="n">
        <v>0</v>
      </c>
      <c r="Q582" t="n">
        <v>0</v>
      </c>
      <c r="R582" s="2" t="inlineStr"/>
    </row>
    <row r="583" ht="15" customHeight="1">
      <c r="A583" t="inlineStr">
        <is>
          <t>A 56938-2020</t>
        </is>
      </c>
      <c r="B583" s="1" t="n">
        <v>44138</v>
      </c>
      <c r="C583" s="1" t="n">
        <v>45666</v>
      </c>
      <c r="D583" t="inlineStr">
        <is>
          <t>JÄMTLANDS LÄN</t>
        </is>
      </c>
      <c r="E583" t="inlineStr">
        <is>
          <t>BRÄCKE</t>
        </is>
      </c>
      <c r="G583" t="n">
        <v>7.3</v>
      </c>
      <c r="H583" t="n">
        <v>0</v>
      </c>
      <c r="I583" t="n">
        <v>0</v>
      </c>
      <c r="J583" t="n">
        <v>0</v>
      </c>
      <c r="K583" t="n">
        <v>0</v>
      </c>
      <c r="L583" t="n">
        <v>0</v>
      </c>
      <c r="M583" t="n">
        <v>0</v>
      </c>
      <c r="N583" t="n">
        <v>0</v>
      </c>
      <c r="O583" t="n">
        <v>0</v>
      </c>
      <c r="P583" t="n">
        <v>0</v>
      </c>
      <c r="Q583" t="n">
        <v>0</v>
      </c>
      <c r="R583" s="2" t="inlineStr"/>
    </row>
    <row r="584" ht="15" customHeight="1">
      <c r="A584" t="inlineStr">
        <is>
          <t>A 57073-2020</t>
        </is>
      </c>
      <c r="B584" s="1" t="n">
        <v>44138</v>
      </c>
      <c r="C584" s="1" t="n">
        <v>45666</v>
      </c>
      <c r="D584" t="inlineStr">
        <is>
          <t>JÄMTLANDS LÄN</t>
        </is>
      </c>
      <c r="E584" t="inlineStr">
        <is>
          <t>BRÄCKE</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57716-2020</t>
        </is>
      </c>
      <c r="B585" s="1" t="n">
        <v>44140</v>
      </c>
      <c r="C585" s="1" t="n">
        <v>45666</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59331-2020</t>
        </is>
      </c>
      <c r="B586" s="1" t="n">
        <v>44147</v>
      </c>
      <c r="C586" s="1" t="n">
        <v>45666</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59397-2020</t>
        </is>
      </c>
      <c r="B587" s="1" t="n">
        <v>44148</v>
      </c>
      <c r="C587" s="1" t="n">
        <v>45666</v>
      </c>
      <c r="D587" t="inlineStr">
        <is>
          <t>JÄMTLANDS LÄN</t>
        </is>
      </c>
      <c r="E587" t="inlineStr">
        <is>
          <t>BRÄCKE</t>
        </is>
      </c>
      <c r="G587" t="n">
        <v>2.3</v>
      </c>
      <c r="H587" t="n">
        <v>0</v>
      </c>
      <c r="I587" t="n">
        <v>0</v>
      </c>
      <c r="J587" t="n">
        <v>0</v>
      </c>
      <c r="K587" t="n">
        <v>0</v>
      </c>
      <c r="L587" t="n">
        <v>0</v>
      </c>
      <c r="M587" t="n">
        <v>0</v>
      </c>
      <c r="N587" t="n">
        <v>0</v>
      </c>
      <c r="O587" t="n">
        <v>0</v>
      </c>
      <c r="P587" t="n">
        <v>0</v>
      </c>
      <c r="Q587" t="n">
        <v>0</v>
      </c>
      <c r="R587" s="2" t="inlineStr"/>
    </row>
    <row r="588" ht="15" customHeight="1">
      <c r="A588" t="inlineStr">
        <is>
          <t>A 61141-2020</t>
        </is>
      </c>
      <c r="B588" s="1" t="n">
        <v>44154</v>
      </c>
      <c r="C588" s="1" t="n">
        <v>45666</v>
      </c>
      <c r="D588" t="inlineStr">
        <is>
          <t>JÄMTLANDS LÄN</t>
        </is>
      </c>
      <c r="E588" t="inlineStr">
        <is>
          <t>BRÄCKE</t>
        </is>
      </c>
      <c r="G588" t="n">
        <v>4.3</v>
      </c>
      <c r="H588" t="n">
        <v>0</v>
      </c>
      <c r="I588" t="n">
        <v>0</v>
      </c>
      <c r="J588" t="n">
        <v>0</v>
      </c>
      <c r="K588" t="n">
        <v>0</v>
      </c>
      <c r="L588" t="n">
        <v>0</v>
      </c>
      <c r="M588" t="n">
        <v>0</v>
      </c>
      <c r="N588" t="n">
        <v>0</v>
      </c>
      <c r="O588" t="n">
        <v>0</v>
      </c>
      <c r="P588" t="n">
        <v>0</v>
      </c>
      <c r="Q588" t="n">
        <v>0</v>
      </c>
      <c r="R588" s="2" t="inlineStr"/>
    </row>
    <row r="589" ht="15" customHeight="1">
      <c r="A589" t="inlineStr">
        <is>
          <t>A 61140-2020</t>
        </is>
      </c>
      <c r="B589" s="1" t="n">
        <v>44154</v>
      </c>
      <c r="C589" s="1" t="n">
        <v>45666</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61144-2020</t>
        </is>
      </c>
      <c r="B590" s="1" t="n">
        <v>44154</v>
      </c>
      <c r="C590" s="1" t="n">
        <v>45666</v>
      </c>
      <c r="D590" t="inlineStr">
        <is>
          <t>JÄMTLANDS LÄN</t>
        </is>
      </c>
      <c r="E590" t="inlineStr">
        <is>
          <t>BRÄCKE</t>
        </is>
      </c>
      <c r="G590" t="n">
        <v>12.8</v>
      </c>
      <c r="H590" t="n">
        <v>0</v>
      </c>
      <c r="I590" t="n">
        <v>0</v>
      </c>
      <c r="J590" t="n">
        <v>0</v>
      </c>
      <c r="K590" t="n">
        <v>0</v>
      </c>
      <c r="L590" t="n">
        <v>0</v>
      </c>
      <c r="M590" t="n">
        <v>0</v>
      </c>
      <c r="N590" t="n">
        <v>0</v>
      </c>
      <c r="O590" t="n">
        <v>0</v>
      </c>
      <c r="P590" t="n">
        <v>0</v>
      </c>
      <c r="Q590" t="n">
        <v>0</v>
      </c>
      <c r="R590" s="2" t="inlineStr"/>
    </row>
    <row r="591" ht="15" customHeight="1">
      <c r="A591" t="inlineStr">
        <is>
          <t>A 61143-2020</t>
        </is>
      </c>
      <c r="B591" s="1" t="n">
        <v>44154</v>
      </c>
      <c r="C591" s="1" t="n">
        <v>45666</v>
      </c>
      <c r="D591" t="inlineStr">
        <is>
          <t>JÄMTLANDS LÄN</t>
        </is>
      </c>
      <c r="E591" t="inlineStr">
        <is>
          <t>BRÄCKE</t>
        </is>
      </c>
      <c r="G591" t="n">
        <v>12.6</v>
      </c>
      <c r="H591" t="n">
        <v>0</v>
      </c>
      <c r="I591" t="n">
        <v>0</v>
      </c>
      <c r="J591" t="n">
        <v>0</v>
      </c>
      <c r="K591" t="n">
        <v>0</v>
      </c>
      <c r="L591" t="n">
        <v>0</v>
      </c>
      <c r="M591" t="n">
        <v>0</v>
      </c>
      <c r="N591" t="n">
        <v>0</v>
      </c>
      <c r="O591" t="n">
        <v>0</v>
      </c>
      <c r="P591" t="n">
        <v>0</v>
      </c>
      <c r="Q591" t="n">
        <v>0</v>
      </c>
      <c r="R591" s="2" t="inlineStr"/>
    </row>
    <row r="592" ht="15" customHeight="1">
      <c r="A592" t="inlineStr">
        <is>
          <t>A 61602-2020</t>
        </is>
      </c>
      <c r="B592" s="1" t="n">
        <v>44158</v>
      </c>
      <c r="C592" s="1" t="n">
        <v>45666</v>
      </c>
      <c r="D592" t="inlineStr">
        <is>
          <t>JÄMTLANDS LÄN</t>
        </is>
      </c>
      <c r="E592" t="inlineStr">
        <is>
          <t>BRÄCKE</t>
        </is>
      </c>
      <c r="F592" t="inlineStr">
        <is>
          <t>Övriga Aktiebolag</t>
        </is>
      </c>
      <c r="G592" t="n">
        <v>3.6</v>
      </c>
      <c r="H592" t="n">
        <v>0</v>
      </c>
      <c r="I592" t="n">
        <v>0</v>
      </c>
      <c r="J592" t="n">
        <v>0</v>
      </c>
      <c r="K592" t="n">
        <v>0</v>
      </c>
      <c r="L592" t="n">
        <v>0</v>
      </c>
      <c r="M592" t="n">
        <v>0</v>
      </c>
      <c r="N592" t="n">
        <v>0</v>
      </c>
      <c r="O592" t="n">
        <v>0</v>
      </c>
      <c r="P592" t="n">
        <v>0</v>
      </c>
      <c r="Q592" t="n">
        <v>0</v>
      </c>
      <c r="R592" s="2" t="inlineStr"/>
    </row>
    <row r="593" ht="15" customHeight="1">
      <c r="A593" t="inlineStr">
        <is>
          <t>A 61817-2020</t>
        </is>
      </c>
      <c r="B593" s="1" t="n">
        <v>44158</v>
      </c>
      <c r="C593" s="1" t="n">
        <v>45666</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62871-2020</t>
        </is>
      </c>
      <c r="B594" s="1" t="n">
        <v>44161</v>
      </c>
      <c r="C594" s="1" t="n">
        <v>45666</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62970-2020</t>
        </is>
      </c>
      <c r="B595" s="1" t="n">
        <v>44162</v>
      </c>
      <c r="C595" s="1" t="n">
        <v>45666</v>
      </c>
      <c r="D595" t="inlineStr">
        <is>
          <t>JÄMTLANDS LÄN</t>
        </is>
      </c>
      <c r="E595" t="inlineStr">
        <is>
          <t>BRÄCKE</t>
        </is>
      </c>
      <c r="G595" t="n">
        <v>2.4</v>
      </c>
      <c r="H595" t="n">
        <v>0</v>
      </c>
      <c r="I595" t="n">
        <v>0</v>
      </c>
      <c r="J595" t="n">
        <v>0</v>
      </c>
      <c r="K595" t="n">
        <v>0</v>
      </c>
      <c r="L595" t="n">
        <v>0</v>
      </c>
      <c r="M595" t="n">
        <v>0</v>
      </c>
      <c r="N595" t="n">
        <v>0</v>
      </c>
      <c r="O595" t="n">
        <v>0</v>
      </c>
      <c r="P595" t="n">
        <v>0</v>
      </c>
      <c r="Q595" t="n">
        <v>0</v>
      </c>
      <c r="R595" s="2" t="inlineStr"/>
    </row>
    <row r="596" ht="15" customHeight="1">
      <c r="A596" t="inlineStr">
        <is>
          <t>A 64494-2020</t>
        </is>
      </c>
      <c r="B596" s="1" t="n">
        <v>44168</v>
      </c>
      <c r="C596" s="1" t="n">
        <v>45666</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64495-2020</t>
        </is>
      </c>
      <c r="B597" s="1" t="n">
        <v>44168</v>
      </c>
      <c r="C597" s="1" t="n">
        <v>45666</v>
      </c>
      <c r="D597" t="inlineStr">
        <is>
          <t>JÄMTLANDS LÄN</t>
        </is>
      </c>
      <c r="E597" t="inlineStr">
        <is>
          <t>BRÄCKE</t>
        </is>
      </c>
      <c r="G597" t="n">
        <v>2.4</v>
      </c>
      <c r="H597" t="n">
        <v>0</v>
      </c>
      <c r="I597" t="n">
        <v>0</v>
      </c>
      <c r="J597" t="n">
        <v>0</v>
      </c>
      <c r="K597" t="n">
        <v>0</v>
      </c>
      <c r="L597" t="n">
        <v>0</v>
      </c>
      <c r="M597" t="n">
        <v>0</v>
      </c>
      <c r="N597" t="n">
        <v>0</v>
      </c>
      <c r="O597" t="n">
        <v>0</v>
      </c>
      <c r="P597" t="n">
        <v>0</v>
      </c>
      <c r="Q597" t="n">
        <v>0</v>
      </c>
      <c r="R597" s="2" t="inlineStr"/>
    </row>
    <row r="598" ht="15" customHeight="1">
      <c r="A598" t="inlineStr">
        <is>
          <t>A 64805-2020</t>
        </is>
      </c>
      <c r="B598" s="1" t="n">
        <v>44169</v>
      </c>
      <c r="C598" s="1" t="n">
        <v>45666</v>
      </c>
      <c r="D598" t="inlineStr">
        <is>
          <t>JÄMTLANDS LÄN</t>
        </is>
      </c>
      <c r="E598" t="inlineStr">
        <is>
          <t>BRÄCKE</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64809-2020</t>
        </is>
      </c>
      <c r="B599" s="1" t="n">
        <v>44169</v>
      </c>
      <c r="C599" s="1" t="n">
        <v>45666</v>
      </c>
      <c r="D599" t="inlineStr">
        <is>
          <t>JÄMTLANDS LÄN</t>
        </is>
      </c>
      <c r="E599" t="inlineStr">
        <is>
          <t>BRÄCKE</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66443-2020</t>
        </is>
      </c>
      <c r="B600" s="1" t="n">
        <v>44176</v>
      </c>
      <c r="C600" s="1" t="n">
        <v>45666</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66859-2020</t>
        </is>
      </c>
      <c r="B601" s="1" t="n">
        <v>44179</v>
      </c>
      <c r="C601" s="1" t="n">
        <v>45666</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67080-2020</t>
        </is>
      </c>
      <c r="B602" s="1" t="n">
        <v>44179</v>
      </c>
      <c r="C602" s="1" t="n">
        <v>45666</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67581-2020</t>
        </is>
      </c>
      <c r="B603" s="1" t="n">
        <v>44181</v>
      </c>
      <c r="C603" s="1" t="n">
        <v>45666</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67612-2020</t>
        </is>
      </c>
      <c r="B604" s="1" t="n">
        <v>44181</v>
      </c>
      <c r="C604" s="1" t="n">
        <v>45666</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67613-2020</t>
        </is>
      </c>
      <c r="B605" s="1" t="n">
        <v>44181</v>
      </c>
      <c r="C605" s="1" t="n">
        <v>45666</v>
      </c>
      <c r="D605" t="inlineStr">
        <is>
          <t>JÄMTLANDS LÄN</t>
        </is>
      </c>
      <c r="E605" t="inlineStr">
        <is>
          <t>BRÄCKE</t>
        </is>
      </c>
      <c r="G605" t="n">
        <v>1.2</v>
      </c>
      <c r="H605" t="n">
        <v>0</v>
      </c>
      <c r="I605" t="n">
        <v>0</v>
      </c>
      <c r="J605" t="n">
        <v>0</v>
      </c>
      <c r="K605" t="n">
        <v>0</v>
      </c>
      <c r="L605" t="n">
        <v>0</v>
      </c>
      <c r="M605" t="n">
        <v>0</v>
      </c>
      <c r="N605" t="n">
        <v>0</v>
      </c>
      <c r="O605" t="n">
        <v>0</v>
      </c>
      <c r="P605" t="n">
        <v>0</v>
      </c>
      <c r="Q605" t="n">
        <v>0</v>
      </c>
      <c r="R605" s="2" t="inlineStr"/>
    </row>
    <row r="606" ht="15" customHeight="1">
      <c r="A606" t="inlineStr">
        <is>
          <t>A 67622-2020</t>
        </is>
      </c>
      <c r="B606" s="1" t="n">
        <v>44181</v>
      </c>
      <c r="C606" s="1" t="n">
        <v>45666</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68362-2020</t>
        </is>
      </c>
      <c r="B607" s="1" t="n">
        <v>44186</v>
      </c>
      <c r="C607" s="1" t="n">
        <v>45666</v>
      </c>
      <c r="D607" t="inlineStr">
        <is>
          <t>JÄMTLANDS LÄN</t>
        </is>
      </c>
      <c r="E607" t="inlineStr">
        <is>
          <t>BRÄCKE</t>
        </is>
      </c>
      <c r="G607" t="n">
        <v>4.5</v>
      </c>
      <c r="H607" t="n">
        <v>0</v>
      </c>
      <c r="I607" t="n">
        <v>0</v>
      </c>
      <c r="J607" t="n">
        <v>0</v>
      </c>
      <c r="K607" t="n">
        <v>0</v>
      </c>
      <c r="L607" t="n">
        <v>0</v>
      </c>
      <c r="M607" t="n">
        <v>0</v>
      </c>
      <c r="N607" t="n">
        <v>0</v>
      </c>
      <c r="O607" t="n">
        <v>0</v>
      </c>
      <c r="P607" t="n">
        <v>0</v>
      </c>
      <c r="Q607" t="n">
        <v>0</v>
      </c>
      <c r="R607" s="2" t="inlineStr"/>
    </row>
    <row r="608" ht="15" customHeight="1">
      <c r="A608" t="inlineStr">
        <is>
          <t>A 68968-2020</t>
        </is>
      </c>
      <c r="B608" s="1" t="n">
        <v>44187</v>
      </c>
      <c r="C608" s="1" t="n">
        <v>45666</v>
      </c>
      <c r="D608" t="inlineStr">
        <is>
          <t>JÄMTLANDS LÄN</t>
        </is>
      </c>
      <c r="E608" t="inlineStr">
        <is>
          <t>BRÄCKE</t>
        </is>
      </c>
      <c r="G608" t="n">
        <v>14.2</v>
      </c>
      <c r="H608" t="n">
        <v>0</v>
      </c>
      <c r="I608" t="n">
        <v>0</v>
      </c>
      <c r="J608" t="n">
        <v>0</v>
      </c>
      <c r="K608" t="n">
        <v>0</v>
      </c>
      <c r="L608" t="n">
        <v>0</v>
      </c>
      <c r="M608" t="n">
        <v>0</v>
      </c>
      <c r="N608" t="n">
        <v>0</v>
      </c>
      <c r="O608" t="n">
        <v>0</v>
      </c>
      <c r="P608" t="n">
        <v>0</v>
      </c>
      <c r="Q608" t="n">
        <v>0</v>
      </c>
      <c r="R608" s="2" t="inlineStr"/>
    </row>
    <row r="609" ht="15" customHeight="1">
      <c r="A609" t="inlineStr">
        <is>
          <t>A 1027-2021</t>
        </is>
      </c>
      <c r="B609" s="1" t="n">
        <v>44207</v>
      </c>
      <c r="C609" s="1" t="n">
        <v>45666</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1772-2021</t>
        </is>
      </c>
      <c r="B610" s="1" t="n">
        <v>44209</v>
      </c>
      <c r="C610" s="1" t="n">
        <v>45666</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2829-2021</t>
        </is>
      </c>
      <c r="B611" s="1" t="n">
        <v>44215</v>
      </c>
      <c r="C611" s="1" t="n">
        <v>45666</v>
      </c>
      <c r="D611" t="inlineStr">
        <is>
          <t>JÄMTLANDS LÄN</t>
        </is>
      </c>
      <c r="E611" t="inlineStr">
        <is>
          <t>BRÄCKE</t>
        </is>
      </c>
      <c r="F611" t="inlineStr">
        <is>
          <t>SCA</t>
        </is>
      </c>
      <c r="G611" t="n">
        <v>10.3</v>
      </c>
      <c r="H611" t="n">
        <v>0</v>
      </c>
      <c r="I611" t="n">
        <v>0</v>
      </c>
      <c r="J611" t="n">
        <v>0</v>
      </c>
      <c r="K611" t="n">
        <v>0</v>
      </c>
      <c r="L611" t="n">
        <v>0</v>
      </c>
      <c r="M611" t="n">
        <v>0</v>
      </c>
      <c r="N611" t="n">
        <v>0</v>
      </c>
      <c r="O611" t="n">
        <v>0</v>
      </c>
      <c r="P611" t="n">
        <v>0</v>
      </c>
      <c r="Q611" t="n">
        <v>0</v>
      </c>
      <c r="R611" s="2" t="inlineStr"/>
    </row>
    <row r="612" ht="15" customHeight="1">
      <c r="A612" t="inlineStr">
        <is>
          <t>A 2831-2021</t>
        </is>
      </c>
      <c r="B612" s="1" t="n">
        <v>44215</v>
      </c>
      <c r="C612" s="1" t="n">
        <v>45666</v>
      </c>
      <c r="D612" t="inlineStr">
        <is>
          <t>JÄMTLANDS LÄN</t>
        </is>
      </c>
      <c r="E612" t="inlineStr">
        <is>
          <t>BRÄCKE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2830-2021</t>
        </is>
      </c>
      <c r="B613" s="1" t="n">
        <v>44215</v>
      </c>
      <c r="C613" s="1" t="n">
        <v>45666</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3025-2021</t>
        </is>
      </c>
      <c r="B614" s="1" t="n">
        <v>44216</v>
      </c>
      <c r="C614" s="1" t="n">
        <v>45666</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5472-2021</t>
        </is>
      </c>
      <c r="B615" s="1" t="n">
        <v>44229</v>
      </c>
      <c r="C615" s="1" t="n">
        <v>45666</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5796-2021</t>
        </is>
      </c>
      <c r="B616" s="1" t="n">
        <v>44230</v>
      </c>
      <c r="C616" s="1" t="n">
        <v>45666</v>
      </c>
      <c r="D616" t="inlineStr">
        <is>
          <t>JÄMTLANDS LÄN</t>
        </is>
      </c>
      <c r="E616" t="inlineStr">
        <is>
          <t>BRÄCKE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6016-2021</t>
        </is>
      </c>
      <c r="B617" s="1" t="n">
        <v>44231</v>
      </c>
      <c r="C617" s="1" t="n">
        <v>45666</v>
      </c>
      <c r="D617" t="inlineStr">
        <is>
          <t>JÄMTLANDS LÄN</t>
        </is>
      </c>
      <c r="E617" t="inlineStr">
        <is>
          <t>BRÄCKE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6399-2021</t>
        </is>
      </c>
      <c r="B618" s="1" t="n">
        <v>44232</v>
      </c>
      <c r="C618" s="1" t="n">
        <v>45666</v>
      </c>
      <c r="D618" t="inlineStr">
        <is>
          <t>JÄMTLANDS LÄN</t>
        </is>
      </c>
      <c r="E618" t="inlineStr">
        <is>
          <t>BRÄCKE</t>
        </is>
      </c>
      <c r="G618" t="n">
        <v>3.1</v>
      </c>
      <c r="H618" t="n">
        <v>0</v>
      </c>
      <c r="I618" t="n">
        <v>0</v>
      </c>
      <c r="J618" t="n">
        <v>0</v>
      </c>
      <c r="K618" t="n">
        <v>0</v>
      </c>
      <c r="L618" t="n">
        <v>0</v>
      </c>
      <c r="M618" t="n">
        <v>0</v>
      </c>
      <c r="N618" t="n">
        <v>0</v>
      </c>
      <c r="O618" t="n">
        <v>0</v>
      </c>
      <c r="P618" t="n">
        <v>0</v>
      </c>
      <c r="Q618" t="n">
        <v>0</v>
      </c>
      <c r="R618" s="2" t="inlineStr"/>
    </row>
    <row r="619" ht="15" customHeight="1">
      <c r="A619" t="inlineStr">
        <is>
          <t>A 9994-2021</t>
        </is>
      </c>
      <c r="B619" s="1" t="n">
        <v>44254</v>
      </c>
      <c r="C619" s="1" t="n">
        <v>45666</v>
      </c>
      <c r="D619" t="inlineStr">
        <is>
          <t>JÄMTLANDS LÄN</t>
        </is>
      </c>
      <c r="E619" t="inlineStr">
        <is>
          <t>BRÄCKE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11140-2021</t>
        </is>
      </c>
      <c r="B620" s="1" t="n">
        <v>44260</v>
      </c>
      <c r="C620" s="1" t="n">
        <v>45666</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13316-2021</t>
        </is>
      </c>
      <c r="B621" s="1" t="n">
        <v>44272</v>
      </c>
      <c r="C621" s="1" t="n">
        <v>45666</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13506-2021</t>
        </is>
      </c>
      <c r="B622" s="1" t="n">
        <v>44273</v>
      </c>
      <c r="C622" s="1" t="n">
        <v>45666</v>
      </c>
      <c r="D622" t="inlineStr">
        <is>
          <t>JÄMTLANDS LÄN</t>
        </is>
      </c>
      <c r="E622" t="inlineStr">
        <is>
          <t>BRÄCKE</t>
        </is>
      </c>
      <c r="G622" t="n">
        <v>1.4</v>
      </c>
      <c r="H622" t="n">
        <v>0</v>
      </c>
      <c r="I622" t="n">
        <v>0</v>
      </c>
      <c r="J622" t="n">
        <v>0</v>
      </c>
      <c r="K622" t="n">
        <v>0</v>
      </c>
      <c r="L622" t="n">
        <v>0</v>
      </c>
      <c r="M622" t="n">
        <v>0</v>
      </c>
      <c r="N622" t="n">
        <v>0</v>
      </c>
      <c r="O622" t="n">
        <v>0</v>
      </c>
      <c r="P622" t="n">
        <v>0</v>
      </c>
      <c r="Q622" t="n">
        <v>0</v>
      </c>
      <c r="R622" s="2" t="inlineStr"/>
    </row>
    <row r="623" ht="15" customHeight="1">
      <c r="A623" t="inlineStr">
        <is>
          <t>A 14079-2021</t>
        </is>
      </c>
      <c r="B623" s="1" t="n">
        <v>44277</v>
      </c>
      <c r="C623" s="1" t="n">
        <v>45666</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14868-2021</t>
        </is>
      </c>
      <c r="B624" s="1" t="n">
        <v>44280</v>
      </c>
      <c r="C624" s="1" t="n">
        <v>45666</v>
      </c>
      <c r="D624" t="inlineStr">
        <is>
          <t>JÄMTLANDS LÄN</t>
        </is>
      </c>
      <c r="E624" t="inlineStr">
        <is>
          <t>BRÄCKE</t>
        </is>
      </c>
      <c r="F624" t="inlineStr">
        <is>
          <t>SCA</t>
        </is>
      </c>
      <c r="G624" t="n">
        <v>10.8</v>
      </c>
      <c r="H624" t="n">
        <v>0</v>
      </c>
      <c r="I624" t="n">
        <v>0</v>
      </c>
      <c r="J624" t="n">
        <v>0</v>
      </c>
      <c r="K624" t="n">
        <v>0</v>
      </c>
      <c r="L624" t="n">
        <v>0</v>
      </c>
      <c r="M624" t="n">
        <v>0</v>
      </c>
      <c r="N624" t="n">
        <v>0</v>
      </c>
      <c r="O624" t="n">
        <v>0</v>
      </c>
      <c r="P624" t="n">
        <v>0</v>
      </c>
      <c r="Q624" t="n">
        <v>0</v>
      </c>
      <c r="R624" s="2" t="inlineStr"/>
    </row>
    <row r="625" ht="15" customHeight="1">
      <c r="A625" t="inlineStr">
        <is>
          <t>A 16073-2021</t>
        </is>
      </c>
      <c r="B625" s="1" t="n">
        <v>44287</v>
      </c>
      <c r="C625" s="1" t="n">
        <v>45666</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16117-2021</t>
        </is>
      </c>
      <c r="B626" s="1" t="n">
        <v>44291</v>
      </c>
      <c r="C626" s="1" t="n">
        <v>45666</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16336-2021</t>
        </is>
      </c>
      <c r="B627" s="1" t="n">
        <v>44293</v>
      </c>
      <c r="C627" s="1" t="n">
        <v>45666</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16733-2021</t>
        </is>
      </c>
      <c r="B628" s="1" t="n">
        <v>44293</v>
      </c>
      <c r="C628" s="1" t="n">
        <v>45666</v>
      </c>
      <c r="D628" t="inlineStr">
        <is>
          <t>JÄMTLANDS LÄN</t>
        </is>
      </c>
      <c r="E628" t="inlineStr">
        <is>
          <t>BRÄCKE</t>
        </is>
      </c>
      <c r="G628" t="n">
        <v>4</v>
      </c>
      <c r="H628" t="n">
        <v>0</v>
      </c>
      <c r="I628" t="n">
        <v>0</v>
      </c>
      <c r="J628" t="n">
        <v>0</v>
      </c>
      <c r="K628" t="n">
        <v>0</v>
      </c>
      <c r="L628" t="n">
        <v>0</v>
      </c>
      <c r="M628" t="n">
        <v>0</v>
      </c>
      <c r="N628" t="n">
        <v>0</v>
      </c>
      <c r="O628" t="n">
        <v>0</v>
      </c>
      <c r="P628" t="n">
        <v>0</v>
      </c>
      <c r="Q628" t="n">
        <v>0</v>
      </c>
      <c r="R628" s="2" t="inlineStr"/>
    </row>
    <row r="629" ht="15" customHeight="1">
      <c r="A629" t="inlineStr">
        <is>
          <t>A 16723-2021</t>
        </is>
      </c>
      <c r="B629" s="1" t="n">
        <v>44293</v>
      </c>
      <c r="C629" s="1" t="n">
        <v>45666</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16619-2021</t>
        </is>
      </c>
      <c r="B630" s="1" t="n">
        <v>44294</v>
      </c>
      <c r="C630" s="1" t="n">
        <v>45666</v>
      </c>
      <c r="D630" t="inlineStr">
        <is>
          <t>JÄMTLANDS LÄN</t>
        </is>
      </c>
      <c r="E630" t="inlineStr">
        <is>
          <t>BRÄCKE</t>
        </is>
      </c>
      <c r="G630" t="n">
        <v>10.3</v>
      </c>
      <c r="H630" t="n">
        <v>0</v>
      </c>
      <c r="I630" t="n">
        <v>0</v>
      </c>
      <c r="J630" t="n">
        <v>0</v>
      </c>
      <c r="K630" t="n">
        <v>0</v>
      </c>
      <c r="L630" t="n">
        <v>0</v>
      </c>
      <c r="M630" t="n">
        <v>0</v>
      </c>
      <c r="N630" t="n">
        <v>0</v>
      </c>
      <c r="O630" t="n">
        <v>0</v>
      </c>
      <c r="P630" t="n">
        <v>0</v>
      </c>
      <c r="Q630" t="n">
        <v>0</v>
      </c>
      <c r="R630" s="2" t="inlineStr"/>
    </row>
    <row r="631" ht="15" customHeight="1">
      <c r="A631" t="inlineStr">
        <is>
          <t>A 16781-2021</t>
        </is>
      </c>
      <c r="B631" s="1" t="n">
        <v>44295</v>
      </c>
      <c r="C631" s="1" t="n">
        <v>45666</v>
      </c>
      <c r="D631" t="inlineStr">
        <is>
          <t>JÄMTLANDS LÄN</t>
        </is>
      </c>
      <c r="E631" t="inlineStr">
        <is>
          <t>BRÄCKE</t>
        </is>
      </c>
      <c r="F631" t="inlineStr">
        <is>
          <t>SCA</t>
        </is>
      </c>
      <c r="G631" t="n">
        <v>11.2</v>
      </c>
      <c r="H631" t="n">
        <v>0</v>
      </c>
      <c r="I631" t="n">
        <v>0</v>
      </c>
      <c r="J631" t="n">
        <v>0</v>
      </c>
      <c r="K631" t="n">
        <v>0</v>
      </c>
      <c r="L631" t="n">
        <v>0</v>
      </c>
      <c r="M631" t="n">
        <v>0</v>
      </c>
      <c r="N631" t="n">
        <v>0</v>
      </c>
      <c r="O631" t="n">
        <v>0</v>
      </c>
      <c r="P631" t="n">
        <v>0</v>
      </c>
      <c r="Q631" t="n">
        <v>0</v>
      </c>
      <c r="R631" s="2" t="inlineStr"/>
    </row>
    <row r="632" ht="15" customHeight="1">
      <c r="A632" t="inlineStr">
        <is>
          <t>A 17173-2021</t>
        </is>
      </c>
      <c r="B632" s="1" t="n">
        <v>44295</v>
      </c>
      <c r="C632" s="1" t="n">
        <v>45666</v>
      </c>
      <c r="D632" t="inlineStr">
        <is>
          <t>JÄMTLANDS LÄN</t>
        </is>
      </c>
      <c r="E632" t="inlineStr">
        <is>
          <t>BRÄCKE</t>
        </is>
      </c>
      <c r="G632" t="n">
        <v>4.3</v>
      </c>
      <c r="H632" t="n">
        <v>0</v>
      </c>
      <c r="I632" t="n">
        <v>0</v>
      </c>
      <c r="J632" t="n">
        <v>0</v>
      </c>
      <c r="K632" t="n">
        <v>0</v>
      </c>
      <c r="L632" t="n">
        <v>0</v>
      </c>
      <c r="M632" t="n">
        <v>0</v>
      </c>
      <c r="N632" t="n">
        <v>0</v>
      </c>
      <c r="O632" t="n">
        <v>0</v>
      </c>
      <c r="P632" t="n">
        <v>0</v>
      </c>
      <c r="Q632" t="n">
        <v>0</v>
      </c>
      <c r="R632" s="2" t="inlineStr"/>
    </row>
    <row r="633" ht="15" customHeight="1">
      <c r="A633" t="inlineStr">
        <is>
          <t>A 18006-2021</t>
        </is>
      </c>
      <c r="B633" s="1" t="n">
        <v>44301</v>
      </c>
      <c r="C633" s="1" t="n">
        <v>45666</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19088-2021</t>
        </is>
      </c>
      <c r="B634" s="1" t="n">
        <v>44308</v>
      </c>
      <c r="C634" s="1" t="n">
        <v>45666</v>
      </c>
      <c r="D634" t="inlineStr">
        <is>
          <t>JÄMTLANDS LÄN</t>
        </is>
      </c>
      <c r="E634" t="inlineStr">
        <is>
          <t>BRÄCKE</t>
        </is>
      </c>
      <c r="G634" t="n">
        <v>3.6</v>
      </c>
      <c r="H634" t="n">
        <v>0</v>
      </c>
      <c r="I634" t="n">
        <v>0</v>
      </c>
      <c r="J634" t="n">
        <v>0</v>
      </c>
      <c r="K634" t="n">
        <v>0</v>
      </c>
      <c r="L634" t="n">
        <v>0</v>
      </c>
      <c r="M634" t="n">
        <v>0</v>
      </c>
      <c r="N634" t="n">
        <v>0</v>
      </c>
      <c r="O634" t="n">
        <v>0</v>
      </c>
      <c r="P634" t="n">
        <v>0</v>
      </c>
      <c r="Q634" t="n">
        <v>0</v>
      </c>
      <c r="R634" s="2" t="inlineStr"/>
    </row>
    <row r="635" ht="15" customHeight="1">
      <c r="A635" t="inlineStr">
        <is>
          <t>A 20803-2021</t>
        </is>
      </c>
      <c r="B635" s="1" t="n">
        <v>44316</v>
      </c>
      <c r="C635" s="1" t="n">
        <v>45666</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21034-2021</t>
        </is>
      </c>
      <c r="B636" s="1" t="n">
        <v>44319</v>
      </c>
      <c r="C636" s="1" t="n">
        <v>45666</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21019-2021</t>
        </is>
      </c>
      <c r="B637" s="1" t="n">
        <v>44319</v>
      </c>
      <c r="C637" s="1" t="n">
        <v>45666</v>
      </c>
      <c r="D637" t="inlineStr">
        <is>
          <t>JÄMTLANDS LÄN</t>
        </is>
      </c>
      <c r="E637" t="inlineStr">
        <is>
          <t>BRÄCKE</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21366-2021</t>
        </is>
      </c>
      <c r="B638" s="1" t="n">
        <v>44320</v>
      </c>
      <c r="C638" s="1" t="n">
        <v>45666</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21637-2021</t>
        </is>
      </c>
      <c r="B639" s="1" t="n">
        <v>44321</v>
      </c>
      <c r="C639" s="1" t="n">
        <v>45666</v>
      </c>
      <c r="D639" t="inlineStr">
        <is>
          <t>JÄMTLANDS LÄN</t>
        </is>
      </c>
      <c r="E639" t="inlineStr">
        <is>
          <t>BRÄCKE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21940-2021</t>
        </is>
      </c>
      <c r="B640" s="1" t="n">
        <v>44323</v>
      </c>
      <c r="C640" s="1" t="n">
        <v>45666</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22124-2021</t>
        </is>
      </c>
      <c r="B641" s="1" t="n">
        <v>44323</v>
      </c>
      <c r="C641" s="1" t="n">
        <v>45666</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23013-2021</t>
        </is>
      </c>
      <c r="B642" s="1" t="n">
        <v>44328</v>
      </c>
      <c r="C642" s="1" t="n">
        <v>45666</v>
      </c>
      <c r="D642" t="inlineStr">
        <is>
          <t>JÄMTLANDS LÄN</t>
        </is>
      </c>
      <c r="E642" t="inlineStr">
        <is>
          <t>BRÄCKE</t>
        </is>
      </c>
      <c r="G642" t="n">
        <v>8.4</v>
      </c>
      <c r="H642" t="n">
        <v>0</v>
      </c>
      <c r="I642" t="n">
        <v>0</v>
      </c>
      <c r="J642" t="n">
        <v>0</v>
      </c>
      <c r="K642" t="n">
        <v>0</v>
      </c>
      <c r="L642" t="n">
        <v>0</v>
      </c>
      <c r="M642" t="n">
        <v>0</v>
      </c>
      <c r="N642" t="n">
        <v>0</v>
      </c>
      <c r="O642" t="n">
        <v>0</v>
      </c>
      <c r="P642" t="n">
        <v>0</v>
      </c>
      <c r="Q642" t="n">
        <v>0</v>
      </c>
      <c r="R642" s="2" t="inlineStr"/>
    </row>
    <row r="643" ht="15" customHeight="1">
      <c r="A643" t="inlineStr">
        <is>
          <t>A 23746-2021</t>
        </is>
      </c>
      <c r="B643" s="1" t="n">
        <v>44335</v>
      </c>
      <c r="C643" s="1" t="n">
        <v>45666</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23747-2021</t>
        </is>
      </c>
      <c r="B644" s="1" t="n">
        <v>44334</v>
      </c>
      <c r="C644" s="1" t="n">
        <v>45666</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24254-2021</t>
        </is>
      </c>
      <c r="B645" s="1" t="n">
        <v>44337</v>
      </c>
      <c r="C645" s="1" t="n">
        <v>45666</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24240-2021</t>
        </is>
      </c>
      <c r="B646" s="1" t="n">
        <v>44336</v>
      </c>
      <c r="C646" s="1" t="n">
        <v>45666</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24950-2021</t>
        </is>
      </c>
      <c r="B647" s="1" t="n">
        <v>44341</v>
      </c>
      <c r="C647" s="1" t="n">
        <v>45666</v>
      </c>
      <c r="D647" t="inlineStr">
        <is>
          <t>JÄMTLANDS LÄN</t>
        </is>
      </c>
      <c r="E647" t="inlineStr">
        <is>
          <t>BRÄCKE</t>
        </is>
      </c>
      <c r="F647" t="inlineStr">
        <is>
          <t>Kyrkan</t>
        </is>
      </c>
      <c r="G647" t="n">
        <v>15.3</v>
      </c>
      <c r="H647" t="n">
        <v>0</v>
      </c>
      <c r="I647" t="n">
        <v>0</v>
      </c>
      <c r="J647" t="n">
        <v>0</v>
      </c>
      <c r="K647" t="n">
        <v>0</v>
      </c>
      <c r="L647" t="n">
        <v>0</v>
      </c>
      <c r="M647" t="n">
        <v>0</v>
      </c>
      <c r="N647" t="n">
        <v>0</v>
      </c>
      <c r="O647" t="n">
        <v>0</v>
      </c>
      <c r="P647" t="n">
        <v>0</v>
      </c>
      <c r="Q647" t="n">
        <v>0</v>
      </c>
      <c r="R647" s="2" t="inlineStr"/>
    </row>
    <row r="648" ht="15" customHeight="1">
      <c r="A648" t="inlineStr">
        <is>
          <t>A 26664-2021</t>
        </is>
      </c>
      <c r="B648" s="1" t="n">
        <v>44348</v>
      </c>
      <c r="C648" s="1" t="n">
        <v>45666</v>
      </c>
      <c r="D648" t="inlineStr">
        <is>
          <t>JÄMTLANDS LÄN</t>
        </is>
      </c>
      <c r="E648" t="inlineStr">
        <is>
          <t>BRÄCKE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26665-2021</t>
        </is>
      </c>
      <c r="B649" s="1" t="n">
        <v>44348</v>
      </c>
      <c r="C649" s="1" t="n">
        <v>45666</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26666-2021</t>
        </is>
      </c>
      <c r="B650" s="1" t="n">
        <v>44349</v>
      </c>
      <c r="C650" s="1" t="n">
        <v>45666</v>
      </c>
      <c r="D650" t="inlineStr">
        <is>
          <t>JÄMTLANDS LÄN</t>
        </is>
      </c>
      <c r="E650" t="inlineStr">
        <is>
          <t>BRÄCKE</t>
        </is>
      </c>
      <c r="G650" t="n">
        <v>26.3</v>
      </c>
      <c r="H650" t="n">
        <v>0</v>
      </c>
      <c r="I650" t="n">
        <v>0</v>
      </c>
      <c r="J650" t="n">
        <v>0</v>
      </c>
      <c r="K650" t="n">
        <v>0</v>
      </c>
      <c r="L650" t="n">
        <v>0</v>
      </c>
      <c r="M650" t="n">
        <v>0</v>
      </c>
      <c r="N650" t="n">
        <v>0</v>
      </c>
      <c r="O650" t="n">
        <v>0</v>
      </c>
      <c r="P650" t="n">
        <v>0</v>
      </c>
      <c r="Q650" t="n">
        <v>0</v>
      </c>
      <c r="R650" s="2" t="inlineStr"/>
    </row>
    <row r="651" ht="15" customHeight="1">
      <c r="A651" t="inlineStr">
        <is>
          <t>A 27257-2021</t>
        </is>
      </c>
      <c r="B651" s="1" t="n">
        <v>44350</v>
      </c>
      <c r="C651" s="1" t="n">
        <v>45666</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27261-2021</t>
        </is>
      </c>
      <c r="B652" s="1" t="n">
        <v>44351</v>
      </c>
      <c r="C652" s="1" t="n">
        <v>45666</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27258-2021</t>
        </is>
      </c>
      <c r="B653" s="1" t="n">
        <v>44351</v>
      </c>
      <c r="C653" s="1" t="n">
        <v>45666</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27256-2021</t>
        </is>
      </c>
      <c r="B654" s="1" t="n">
        <v>44350</v>
      </c>
      <c r="C654" s="1" t="n">
        <v>45666</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28616-2021</t>
        </is>
      </c>
      <c r="B655" s="1" t="n">
        <v>44357</v>
      </c>
      <c r="C655" s="1" t="n">
        <v>45666</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28617-2021</t>
        </is>
      </c>
      <c r="B656" s="1" t="n">
        <v>44356</v>
      </c>
      <c r="C656" s="1" t="n">
        <v>45666</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28619-2021</t>
        </is>
      </c>
      <c r="B657" s="1" t="n">
        <v>44356</v>
      </c>
      <c r="C657" s="1" t="n">
        <v>45666</v>
      </c>
      <c r="D657" t="inlineStr">
        <is>
          <t>JÄMTLANDS LÄN</t>
        </is>
      </c>
      <c r="E657" t="inlineStr">
        <is>
          <t>BRÄCKE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28909-2021</t>
        </is>
      </c>
      <c r="B658" s="1" t="n">
        <v>44357</v>
      </c>
      <c r="C658" s="1" t="n">
        <v>45666</v>
      </c>
      <c r="D658" t="inlineStr">
        <is>
          <t>JÄMTLANDS LÄN</t>
        </is>
      </c>
      <c r="E658" t="inlineStr">
        <is>
          <t>BRÄCKE</t>
        </is>
      </c>
      <c r="F658" t="inlineStr">
        <is>
          <t>SCA</t>
        </is>
      </c>
      <c r="G658" t="n">
        <v>11.2</v>
      </c>
      <c r="H658" t="n">
        <v>0</v>
      </c>
      <c r="I658" t="n">
        <v>0</v>
      </c>
      <c r="J658" t="n">
        <v>0</v>
      </c>
      <c r="K658" t="n">
        <v>0</v>
      </c>
      <c r="L658" t="n">
        <v>0</v>
      </c>
      <c r="M658" t="n">
        <v>0</v>
      </c>
      <c r="N658" t="n">
        <v>0</v>
      </c>
      <c r="O658" t="n">
        <v>0</v>
      </c>
      <c r="P658" t="n">
        <v>0</v>
      </c>
      <c r="Q658" t="n">
        <v>0</v>
      </c>
      <c r="R658" s="2" t="inlineStr"/>
      <c r="U658">
        <f>HYPERLINK("https://klasma.github.io/Logging_2305/knärot/A 28909-2021 karta knärot.png", "A 28909-2021")</f>
        <v/>
      </c>
      <c r="V658">
        <f>HYPERLINK("https://klasma.github.io/Logging_2305/klagomål/A 28909-2021 FSC-klagomål.docx", "A 28909-2021")</f>
        <v/>
      </c>
      <c r="W658">
        <f>HYPERLINK("https://klasma.github.io/Logging_2305/klagomålsmail/A 28909-2021 FSC-klagomål mail.docx", "A 28909-2021")</f>
        <v/>
      </c>
      <c r="X658">
        <f>HYPERLINK("https://klasma.github.io/Logging_2305/tillsyn/A 28909-2021 tillsynsbegäran.docx", "A 28909-2021")</f>
        <v/>
      </c>
      <c r="Y658">
        <f>HYPERLINK("https://klasma.github.io/Logging_2305/tillsynsmail/A 28909-2021 tillsynsbegäran mail.docx", "A 28909-2021")</f>
        <v/>
      </c>
    </row>
    <row r="659" ht="15" customHeight="1">
      <c r="A659" t="inlineStr">
        <is>
          <t>A 28903-2021</t>
        </is>
      </c>
      <c r="B659" s="1" t="n">
        <v>44357</v>
      </c>
      <c r="C659" s="1" t="n">
        <v>45666</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29314-2021</t>
        </is>
      </c>
      <c r="B660" s="1" t="n">
        <v>44361</v>
      </c>
      <c r="C660" s="1" t="n">
        <v>45666</v>
      </c>
      <c r="D660" t="inlineStr">
        <is>
          <t>JÄMTLANDS LÄN</t>
        </is>
      </c>
      <c r="E660" t="inlineStr">
        <is>
          <t>BRÄCKE</t>
        </is>
      </c>
      <c r="G660" t="n">
        <v>10.7</v>
      </c>
      <c r="H660" t="n">
        <v>0</v>
      </c>
      <c r="I660" t="n">
        <v>0</v>
      </c>
      <c r="J660" t="n">
        <v>0</v>
      </c>
      <c r="K660" t="n">
        <v>0</v>
      </c>
      <c r="L660" t="n">
        <v>0</v>
      </c>
      <c r="M660" t="n">
        <v>0</v>
      </c>
      <c r="N660" t="n">
        <v>0</v>
      </c>
      <c r="O660" t="n">
        <v>0</v>
      </c>
      <c r="P660" t="n">
        <v>0</v>
      </c>
      <c r="Q660" t="n">
        <v>0</v>
      </c>
      <c r="R660" s="2" t="inlineStr"/>
    </row>
    <row r="661" ht="15" customHeight="1">
      <c r="A661" t="inlineStr">
        <is>
          <t>A 29603-2021</t>
        </is>
      </c>
      <c r="B661" s="1" t="n">
        <v>44361</v>
      </c>
      <c r="C661" s="1" t="n">
        <v>45666</v>
      </c>
      <c r="D661" t="inlineStr">
        <is>
          <t>JÄMTLANDS LÄN</t>
        </is>
      </c>
      <c r="E661" t="inlineStr">
        <is>
          <t>BRÄCKE</t>
        </is>
      </c>
      <c r="F661" t="inlineStr">
        <is>
          <t>Naturvårdsverket</t>
        </is>
      </c>
      <c r="G661" t="n">
        <v>3.9</v>
      </c>
      <c r="H661" t="n">
        <v>0</v>
      </c>
      <c r="I661" t="n">
        <v>0</v>
      </c>
      <c r="J661" t="n">
        <v>0</v>
      </c>
      <c r="K661" t="n">
        <v>0</v>
      </c>
      <c r="L661" t="n">
        <v>0</v>
      </c>
      <c r="M661" t="n">
        <v>0</v>
      </c>
      <c r="N661" t="n">
        <v>0</v>
      </c>
      <c r="O661" t="n">
        <v>0</v>
      </c>
      <c r="P661" t="n">
        <v>0</v>
      </c>
      <c r="Q661" t="n">
        <v>0</v>
      </c>
      <c r="R661" s="2" t="inlineStr"/>
    </row>
    <row r="662" ht="15" customHeight="1">
      <c r="A662" t="inlineStr">
        <is>
          <t>A 29611-2021</t>
        </is>
      </c>
      <c r="B662" s="1" t="n">
        <v>44361</v>
      </c>
      <c r="C662" s="1" t="n">
        <v>45666</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29929-2021</t>
        </is>
      </c>
      <c r="B663" s="1" t="n">
        <v>44362</v>
      </c>
      <c r="C663" s="1" t="n">
        <v>45666</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29930-2021</t>
        </is>
      </c>
      <c r="B664" s="1" t="n">
        <v>44362</v>
      </c>
      <c r="C664" s="1" t="n">
        <v>45666</v>
      </c>
      <c r="D664" t="inlineStr">
        <is>
          <t>JÄMTLANDS LÄN</t>
        </is>
      </c>
      <c r="E664" t="inlineStr">
        <is>
          <t>BRÄCKE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30108-2021</t>
        </is>
      </c>
      <c r="B665" s="1" t="n">
        <v>44363</v>
      </c>
      <c r="C665" s="1" t="n">
        <v>45666</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30102-2021</t>
        </is>
      </c>
      <c r="B666" s="1" t="n">
        <v>44363</v>
      </c>
      <c r="C666" s="1" t="n">
        <v>45666</v>
      </c>
      <c r="D666" t="inlineStr">
        <is>
          <t>JÄMTLANDS LÄN</t>
        </is>
      </c>
      <c r="E666" t="inlineStr">
        <is>
          <t>BRÄCKE</t>
        </is>
      </c>
      <c r="G666" t="n">
        <v>1.3</v>
      </c>
      <c r="H666" t="n">
        <v>0</v>
      </c>
      <c r="I666" t="n">
        <v>0</v>
      </c>
      <c r="J666" t="n">
        <v>0</v>
      </c>
      <c r="K666" t="n">
        <v>0</v>
      </c>
      <c r="L666" t="n">
        <v>0</v>
      </c>
      <c r="M666" t="n">
        <v>0</v>
      </c>
      <c r="N666" t="n">
        <v>0</v>
      </c>
      <c r="O666" t="n">
        <v>0</v>
      </c>
      <c r="P666" t="n">
        <v>0</v>
      </c>
      <c r="Q666" t="n">
        <v>0</v>
      </c>
      <c r="R666" s="2" t="inlineStr"/>
    </row>
    <row r="667" ht="15" customHeight="1">
      <c r="A667" t="inlineStr">
        <is>
          <t>A 30592-2021</t>
        </is>
      </c>
      <c r="B667" s="1" t="n">
        <v>44365</v>
      </c>
      <c r="C667" s="1" t="n">
        <v>45666</v>
      </c>
      <c r="D667" t="inlineStr">
        <is>
          <t>JÄMTLANDS LÄN</t>
        </is>
      </c>
      <c r="E667" t="inlineStr">
        <is>
          <t>BRÄCKE</t>
        </is>
      </c>
      <c r="F667" t="inlineStr">
        <is>
          <t>SCA</t>
        </is>
      </c>
      <c r="G667" t="n">
        <v>22.4</v>
      </c>
      <c r="H667" t="n">
        <v>0</v>
      </c>
      <c r="I667" t="n">
        <v>0</v>
      </c>
      <c r="J667" t="n">
        <v>0</v>
      </c>
      <c r="K667" t="n">
        <v>0</v>
      </c>
      <c r="L667" t="n">
        <v>0</v>
      </c>
      <c r="M667" t="n">
        <v>0</v>
      </c>
      <c r="N667" t="n">
        <v>0</v>
      </c>
      <c r="O667" t="n">
        <v>0</v>
      </c>
      <c r="P667" t="n">
        <v>0</v>
      </c>
      <c r="Q667" t="n">
        <v>0</v>
      </c>
      <c r="R667" s="2" t="inlineStr"/>
    </row>
    <row r="668" ht="15" customHeight="1">
      <c r="A668" t="inlineStr">
        <is>
          <t>A 31093-2021</t>
        </is>
      </c>
      <c r="B668" s="1" t="n">
        <v>44368</v>
      </c>
      <c r="C668" s="1" t="n">
        <v>45666</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31342-2021</t>
        </is>
      </c>
      <c r="B669" s="1" t="n">
        <v>44369</v>
      </c>
      <c r="C669" s="1" t="n">
        <v>45666</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32101-2021</t>
        </is>
      </c>
      <c r="B670" s="1" t="n">
        <v>44371</v>
      </c>
      <c r="C670" s="1" t="n">
        <v>45666</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32471-2021</t>
        </is>
      </c>
      <c r="B671" s="1" t="n">
        <v>44371</v>
      </c>
      <c r="C671" s="1" t="n">
        <v>45666</v>
      </c>
      <c r="D671" t="inlineStr">
        <is>
          <t>JÄMTLANDS LÄN</t>
        </is>
      </c>
      <c r="E671" t="inlineStr">
        <is>
          <t>BRÄCKE</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33221-2021</t>
        </is>
      </c>
      <c r="B672" s="1" t="n">
        <v>44376</v>
      </c>
      <c r="C672" s="1" t="n">
        <v>45666</v>
      </c>
      <c r="D672" t="inlineStr">
        <is>
          <t>JÄMTLANDS LÄN</t>
        </is>
      </c>
      <c r="E672" t="inlineStr">
        <is>
          <t>BRÄCKE</t>
        </is>
      </c>
      <c r="F672" t="inlineStr">
        <is>
          <t>SCA</t>
        </is>
      </c>
      <c r="G672" t="n">
        <v>11.4</v>
      </c>
      <c r="H672" t="n">
        <v>0</v>
      </c>
      <c r="I672" t="n">
        <v>0</v>
      </c>
      <c r="J672" t="n">
        <v>0</v>
      </c>
      <c r="K672" t="n">
        <v>0</v>
      </c>
      <c r="L672" t="n">
        <v>0</v>
      </c>
      <c r="M672" t="n">
        <v>0</v>
      </c>
      <c r="N672" t="n">
        <v>0</v>
      </c>
      <c r="O672" t="n">
        <v>0</v>
      </c>
      <c r="P672" t="n">
        <v>0</v>
      </c>
      <c r="Q672" t="n">
        <v>0</v>
      </c>
      <c r="R672" s="2" t="inlineStr"/>
    </row>
    <row r="673" ht="15" customHeight="1">
      <c r="A673" t="inlineStr">
        <is>
          <t>A 33538-2021</t>
        </is>
      </c>
      <c r="B673" s="1" t="n">
        <v>44377</v>
      </c>
      <c r="C673" s="1" t="n">
        <v>45666</v>
      </c>
      <c r="D673" t="inlineStr">
        <is>
          <t>JÄMTLANDS LÄN</t>
        </is>
      </c>
      <c r="E673" t="inlineStr">
        <is>
          <t>BRÄCKE</t>
        </is>
      </c>
      <c r="G673" t="n">
        <v>6.9</v>
      </c>
      <c r="H673" t="n">
        <v>0</v>
      </c>
      <c r="I673" t="n">
        <v>0</v>
      </c>
      <c r="J673" t="n">
        <v>0</v>
      </c>
      <c r="K673" t="n">
        <v>0</v>
      </c>
      <c r="L673" t="n">
        <v>0</v>
      </c>
      <c r="M673" t="n">
        <v>0</v>
      </c>
      <c r="N673" t="n">
        <v>0</v>
      </c>
      <c r="O673" t="n">
        <v>0</v>
      </c>
      <c r="P673" t="n">
        <v>0</v>
      </c>
      <c r="Q673" t="n">
        <v>0</v>
      </c>
      <c r="R673" s="2" t="inlineStr"/>
    </row>
    <row r="674" ht="15" customHeight="1">
      <c r="A674" t="inlineStr">
        <is>
          <t>A 34409-2021</t>
        </is>
      </c>
      <c r="B674" s="1" t="n">
        <v>44379</v>
      </c>
      <c r="C674" s="1" t="n">
        <v>45666</v>
      </c>
      <c r="D674" t="inlineStr">
        <is>
          <t>JÄMTLANDS LÄN</t>
        </is>
      </c>
      <c r="E674" t="inlineStr">
        <is>
          <t>BRÄCKE</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34410-2021</t>
        </is>
      </c>
      <c r="B675" s="1" t="n">
        <v>44380</v>
      </c>
      <c r="C675" s="1" t="n">
        <v>45666</v>
      </c>
      <c r="D675" t="inlineStr">
        <is>
          <t>JÄMTLANDS LÄN</t>
        </is>
      </c>
      <c r="E675" t="inlineStr">
        <is>
          <t>BRÄCKE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34873-2021</t>
        </is>
      </c>
      <c r="B676" s="1" t="n">
        <v>44382</v>
      </c>
      <c r="C676" s="1" t="n">
        <v>45666</v>
      </c>
      <c r="D676" t="inlineStr">
        <is>
          <t>JÄMTLANDS LÄN</t>
        </is>
      </c>
      <c r="E676" t="inlineStr">
        <is>
          <t>BRÄCKE</t>
        </is>
      </c>
      <c r="G676" t="n">
        <v>2</v>
      </c>
      <c r="H676" t="n">
        <v>0</v>
      </c>
      <c r="I676" t="n">
        <v>0</v>
      </c>
      <c r="J676" t="n">
        <v>0</v>
      </c>
      <c r="K676" t="n">
        <v>0</v>
      </c>
      <c r="L676" t="n">
        <v>0</v>
      </c>
      <c r="M676" t="n">
        <v>0</v>
      </c>
      <c r="N676" t="n">
        <v>0</v>
      </c>
      <c r="O676" t="n">
        <v>0</v>
      </c>
      <c r="P676" t="n">
        <v>0</v>
      </c>
      <c r="Q676" t="n">
        <v>0</v>
      </c>
      <c r="R676" s="2" t="inlineStr"/>
    </row>
    <row r="677" ht="15" customHeight="1">
      <c r="A677" t="inlineStr">
        <is>
          <t>A 35244-2021</t>
        </is>
      </c>
      <c r="B677" s="1" t="n">
        <v>44384</v>
      </c>
      <c r="C677" s="1" t="n">
        <v>45666</v>
      </c>
      <c r="D677" t="inlineStr">
        <is>
          <t>JÄMTLANDS LÄN</t>
        </is>
      </c>
      <c r="E677" t="inlineStr">
        <is>
          <t>BRÄCKE</t>
        </is>
      </c>
      <c r="G677" t="n">
        <v>0.5</v>
      </c>
      <c r="H677" t="n">
        <v>0</v>
      </c>
      <c r="I677" t="n">
        <v>0</v>
      </c>
      <c r="J677" t="n">
        <v>0</v>
      </c>
      <c r="K677" t="n">
        <v>0</v>
      </c>
      <c r="L677" t="n">
        <v>0</v>
      </c>
      <c r="M677" t="n">
        <v>0</v>
      </c>
      <c r="N677" t="n">
        <v>0</v>
      </c>
      <c r="O677" t="n">
        <v>0</v>
      </c>
      <c r="P677" t="n">
        <v>0</v>
      </c>
      <c r="Q677" t="n">
        <v>0</v>
      </c>
      <c r="R677" s="2" t="inlineStr"/>
    </row>
    <row r="678" ht="15" customHeight="1">
      <c r="A678" t="inlineStr">
        <is>
          <t>A 35252-2021</t>
        </is>
      </c>
      <c r="B678" s="1" t="n">
        <v>44384</v>
      </c>
      <c r="C678" s="1" t="n">
        <v>45666</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35564-2021</t>
        </is>
      </c>
      <c r="B679" s="1" t="n">
        <v>44386</v>
      </c>
      <c r="C679" s="1" t="n">
        <v>45666</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36445-2021</t>
        </is>
      </c>
      <c r="B680" s="1" t="n">
        <v>44391</v>
      </c>
      <c r="C680" s="1" t="n">
        <v>45666</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36819-2021</t>
        </is>
      </c>
      <c r="B681" s="1" t="n">
        <v>44392</v>
      </c>
      <c r="C681" s="1" t="n">
        <v>45666</v>
      </c>
      <c r="D681" t="inlineStr">
        <is>
          <t>JÄMTLANDS LÄN</t>
        </is>
      </c>
      <c r="E681" t="inlineStr">
        <is>
          <t>BRÄCKE</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37053-2021</t>
        </is>
      </c>
      <c r="B682" s="1" t="n">
        <v>44394</v>
      </c>
      <c r="C682" s="1" t="n">
        <v>45666</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37048-2021</t>
        </is>
      </c>
      <c r="B683" s="1" t="n">
        <v>44394</v>
      </c>
      <c r="C683" s="1" t="n">
        <v>45666</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44397</v>
      </c>
      <c r="C684" s="1" t="n">
        <v>45666</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37376-2021</t>
        </is>
      </c>
      <c r="B685" s="1" t="n">
        <v>44397</v>
      </c>
      <c r="C685" s="1" t="n">
        <v>45666</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45666</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37479-2021</t>
        </is>
      </c>
      <c r="B687" s="1" t="n">
        <v>44398</v>
      </c>
      <c r="C687" s="1" t="n">
        <v>45666</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37957-2021</t>
        </is>
      </c>
      <c r="B688" s="1" t="n">
        <v>44403</v>
      </c>
      <c r="C688" s="1" t="n">
        <v>45666</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38280-2021</t>
        </is>
      </c>
      <c r="B689" s="1" t="n">
        <v>44405</v>
      </c>
      <c r="C689" s="1" t="n">
        <v>45666</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38285-2021</t>
        </is>
      </c>
      <c r="B690" s="1" t="n">
        <v>44405</v>
      </c>
      <c r="C690" s="1" t="n">
        <v>45666</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38281-2021</t>
        </is>
      </c>
      <c r="B691" s="1" t="n">
        <v>44405</v>
      </c>
      <c r="C691" s="1" t="n">
        <v>45666</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38424-2021</t>
        </is>
      </c>
      <c r="B692" s="1" t="n">
        <v>44407</v>
      </c>
      <c r="C692" s="1" t="n">
        <v>45666</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38593-2021</t>
        </is>
      </c>
      <c r="B693" s="1" t="n">
        <v>44407</v>
      </c>
      <c r="C693" s="1" t="n">
        <v>45666</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38956-2021</t>
        </is>
      </c>
      <c r="B694" s="1" t="n">
        <v>44411</v>
      </c>
      <c r="C694" s="1" t="n">
        <v>45666</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39934-2021</t>
        </is>
      </c>
      <c r="B695" s="1" t="n">
        <v>44417</v>
      </c>
      <c r="C695" s="1" t="n">
        <v>45666</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40313-2021</t>
        </is>
      </c>
      <c r="B696" s="1" t="n">
        <v>44419</v>
      </c>
      <c r="C696" s="1" t="n">
        <v>45666</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40467-2021</t>
        </is>
      </c>
      <c r="B697" s="1" t="n">
        <v>44420</v>
      </c>
      <c r="C697" s="1" t="n">
        <v>45666</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40482-2021</t>
        </is>
      </c>
      <c r="B698" s="1" t="n">
        <v>44420</v>
      </c>
      <c r="C698" s="1" t="n">
        <v>45666</v>
      </c>
      <c r="D698" t="inlineStr">
        <is>
          <t>JÄMTLANDS LÄN</t>
        </is>
      </c>
      <c r="E698" t="inlineStr">
        <is>
          <t>BRÄCKE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40481-2021</t>
        </is>
      </c>
      <c r="B699" s="1" t="n">
        <v>44420</v>
      </c>
      <c r="C699" s="1" t="n">
        <v>45666</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40769-2021</t>
        </is>
      </c>
      <c r="B700" s="1" t="n">
        <v>44420</v>
      </c>
      <c r="C700" s="1" t="n">
        <v>45666</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41060-2021</t>
        </is>
      </c>
      <c r="B701" s="1" t="n">
        <v>44422</v>
      </c>
      <c r="C701" s="1" t="n">
        <v>45666</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41474-2021</t>
        </is>
      </c>
      <c r="B702" s="1" t="n">
        <v>44424</v>
      </c>
      <c r="C702" s="1" t="n">
        <v>45666</v>
      </c>
      <c r="D702" t="inlineStr">
        <is>
          <t>JÄMTLANDS LÄN</t>
        </is>
      </c>
      <c r="E702" t="inlineStr">
        <is>
          <t>BRÄCKE</t>
        </is>
      </c>
      <c r="G702" t="n">
        <v>2.3</v>
      </c>
      <c r="H702" t="n">
        <v>0</v>
      </c>
      <c r="I702" t="n">
        <v>0</v>
      </c>
      <c r="J702" t="n">
        <v>0</v>
      </c>
      <c r="K702" t="n">
        <v>0</v>
      </c>
      <c r="L702" t="n">
        <v>0</v>
      </c>
      <c r="M702" t="n">
        <v>0</v>
      </c>
      <c r="N702" t="n">
        <v>0</v>
      </c>
      <c r="O702" t="n">
        <v>0</v>
      </c>
      <c r="P702" t="n">
        <v>0</v>
      </c>
      <c r="Q702" t="n">
        <v>0</v>
      </c>
      <c r="R702" s="2" t="inlineStr"/>
    </row>
    <row r="703" ht="15" customHeight="1">
      <c r="A703" t="inlineStr">
        <is>
          <t>A 42806-2021</t>
        </is>
      </c>
      <c r="B703" s="1" t="n">
        <v>44429</v>
      </c>
      <c r="C703" s="1" t="n">
        <v>45666</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43831-2021</t>
        </is>
      </c>
      <c r="B704" s="1" t="n">
        <v>44433</v>
      </c>
      <c r="C704" s="1" t="n">
        <v>45666</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43832-2021</t>
        </is>
      </c>
      <c r="B705" s="1" t="n">
        <v>44434</v>
      </c>
      <c r="C705" s="1" t="n">
        <v>45666</v>
      </c>
      <c r="D705" t="inlineStr">
        <is>
          <t>JÄMTLANDS LÄN</t>
        </is>
      </c>
      <c r="E705" t="inlineStr">
        <is>
          <t>BRÄCKE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44244-2021</t>
        </is>
      </c>
      <c r="B706" s="1" t="n">
        <v>44434</v>
      </c>
      <c r="C706" s="1" t="n">
        <v>45666</v>
      </c>
      <c r="D706" t="inlineStr">
        <is>
          <t>JÄMTLANDS LÄN</t>
        </is>
      </c>
      <c r="E706" t="inlineStr">
        <is>
          <t>BRÄCKE</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44243-2021</t>
        </is>
      </c>
      <c r="B707" s="1" t="n">
        <v>44434</v>
      </c>
      <c r="C707" s="1" t="n">
        <v>45666</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46793-2021</t>
        </is>
      </c>
      <c r="B708" s="1" t="n">
        <v>44445</v>
      </c>
      <c r="C708" s="1" t="n">
        <v>45666</v>
      </c>
      <c r="D708" t="inlineStr">
        <is>
          <t>JÄMTLANDS LÄN</t>
        </is>
      </c>
      <c r="E708" t="inlineStr">
        <is>
          <t>BRÄCKE</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46792-2021</t>
        </is>
      </c>
      <c r="B709" s="1" t="n">
        <v>44445</v>
      </c>
      <c r="C709" s="1" t="n">
        <v>45666</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46952-2021</t>
        </is>
      </c>
      <c r="B710" s="1" t="n">
        <v>44446</v>
      </c>
      <c r="C710" s="1" t="n">
        <v>45666</v>
      </c>
      <c r="D710" t="inlineStr">
        <is>
          <t>JÄMTLANDS LÄN</t>
        </is>
      </c>
      <c r="E710" t="inlineStr">
        <is>
          <t>BRÄCKE</t>
        </is>
      </c>
      <c r="G710" t="n">
        <v>2.1</v>
      </c>
      <c r="H710" t="n">
        <v>0</v>
      </c>
      <c r="I710" t="n">
        <v>0</v>
      </c>
      <c r="J710" t="n">
        <v>0</v>
      </c>
      <c r="K710" t="n">
        <v>0</v>
      </c>
      <c r="L710" t="n">
        <v>0</v>
      </c>
      <c r="M710" t="n">
        <v>0</v>
      </c>
      <c r="N710" t="n">
        <v>0</v>
      </c>
      <c r="O710" t="n">
        <v>0</v>
      </c>
      <c r="P710" t="n">
        <v>0</v>
      </c>
      <c r="Q710" t="n">
        <v>0</v>
      </c>
      <c r="R710" s="2" t="inlineStr"/>
    </row>
    <row r="711" ht="15" customHeight="1">
      <c r="A711" t="inlineStr">
        <is>
          <t>A 47559-2021</t>
        </is>
      </c>
      <c r="B711" s="1" t="n">
        <v>44447</v>
      </c>
      <c r="C711" s="1" t="n">
        <v>45666</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47558-2021</t>
        </is>
      </c>
      <c r="B712" s="1" t="n">
        <v>44448</v>
      </c>
      <c r="C712" s="1" t="n">
        <v>45666</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47560-2021</t>
        </is>
      </c>
      <c r="B713" s="1" t="n">
        <v>44448</v>
      </c>
      <c r="C713" s="1" t="n">
        <v>45666</v>
      </c>
      <c r="D713" t="inlineStr">
        <is>
          <t>JÄMTLANDS LÄN</t>
        </is>
      </c>
      <c r="E713" t="inlineStr">
        <is>
          <t>BRÄCKE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47983-2021</t>
        </is>
      </c>
      <c r="B714" s="1" t="n">
        <v>44448</v>
      </c>
      <c r="C714" s="1" t="n">
        <v>45666</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48284-2021</t>
        </is>
      </c>
      <c r="B715" s="1" t="n">
        <v>44449</v>
      </c>
      <c r="C715" s="1" t="n">
        <v>45666</v>
      </c>
      <c r="D715" t="inlineStr">
        <is>
          <t>JÄMTLANDS LÄN</t>
        </is>
      </c>
      <c r="E715" t="inlineStr">
        <is>
          <t>BRÄCKE</t>
        </is>
      </c>
      <c r="G715" t="n">
        <v>12.9</v>
      </c>
      <c r="H715" t="n">
        <v>0</v>
      </c>
      <c r="I715" t="n">
        <v>0</v>
      </c>
      <c r="J715" t="n">
        <v>0</v>
      </c>
      <c r="K715" t="n">
        <v>0</v>
      </c>
      <c r="L715" t="n">
        <v>0</v>
      </c>
      <c r="M715" t="n">
        <v>0</v>
      </c>
      <c r="N715" t="n">
        <v>0</v>
      </c>
      <c r="O715" t="n">
        <v>0</v>
      </c>
      <c r="P715" t="n">
        <v>0</v>
      </c>
      <c r="Q715" t="n">
        <v>0</v>
      </c>
      <c r="R715" s="2" t="inlineStr"/>
    </row>
    <row r="716" ht="15" customHeight="1">
      <c r="A716" t="inlineStr">
        <is>
          <t>A 49937-2021</t>
        </is>
      </c>
      <c r="B716" s="1" t="n">
        <v>44455</v>
      </c>
      <c r="C716" s="1" t="n">
        <v>45666</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51095-2021</t>
        </is>
      </c>
      <c r="B717" s="1" t="n">
        <v>44461</v>
      </c>
      <c r="C717" s="1" t="n">
        <v>45666</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51957-2021</t>
        </is>
      </c>
      <c r="B718" s="1" t="n">
        <v>44463</v>
      </c>
      <c r="C718" s="1" t="n">
        <v>45666</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52022-2021</t>
        </is>
      </c>
      <c r="B719" s="1" t="n">
        <v>44463</v>
      </c>
      <c r="C719" s="1" t="n">
        <v>45666</v>
      </c>
      <c r="D719" t="inlineStr">
        <is>
          <t>JÄMTLANDS LÄN</t>
        </is>
      </c>
      <c r="E719" t="inlineStr">
        <is>
          <t>BRÄCKE</t>
        </is>
      </c>
      <c r="G719" t="n">
        <v>8.4</v>
      </c>
      <c r="H719" t="n">
        <v>0</v>
      </c>
      <c r="I719" t="n">
        <v>0</v>
      </c>
      <c r="J719" t="n">
        <v>0</v>
      </c>
      <c r="K719" t="n">
        <v>0</v>
      </c>
      <c r="L719" t="n">
        <v>0</v>
      </c>
      <c r="M719" t="n">
        <v>0</v>
      </c>
      <c r="N719" t="n">
        <v>0</v>
      </c>
      <c r="O719" t="n">
        <v>0</v>
      </c>
      <c r="P719" t="n">
        <v>0</v>
      </c>
      <c r="Q719" t="n">
        <v>0</v>
      </c>
      <c r="R719" s="2" t="inlineStr"/>
    </row>
    <row r="720" ht="15" customHeight="1">
      <c r="A720" t="inlineStr">
        <is>
          <t>A 52323-2021</t>
        </is>
      </c>
      <c r="B720" s="1" t="n">
        <v>44464</v>
      </c>
      <c r="C720" s="1" t="n">
        <v>45666</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53516-2021</t>
        </is>
      </c>
      <c r="B721" s="1" t="n">
        <v>44468</v>
      </c>
      <c r="C721" s="1" t="n">
        <v>45666</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53612-2021</t>
        </is>
      </c>
      <c r="B722" s="1" t="n">
        <v>44469</v>
      </c>
      <c r="C722" s="1" t="n">
        <v>45666</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53949-2021</t>
        </is>
      </c>
      <c r="B723" s="1" t="n">
        <v>44470</v>
      </c>
      <c r="C723" s="1" t="n">
        <v>45666</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54035-2021</t>
        </is>
      </c>
      <c r="B724" s="1" t="n">
        <v>44470</v>
      </c>
      <c r="C724" s="1" t="n">
        <v>45666</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54571-2021</t>
        </is>
      </c>
      <c r="B725" s="1" t="n">
        <v>44473</v>
      </c>
      <c r="C725" s="1" t="n">
        <v>45666</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54809-2021</t>
        </is>
      </c>
      <c r="B726" s="1" t="n">
        <v>44474</v>
      </c>
      <c r="C726" s="1" t="n">
        <v>45666</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56221-2021</t>
        </is>
      </c>
      <c r="B727" s="1" t="n">
        <v>44477</v>
      </c>
      <c r="C727" s="1" t="n">
        <v>45666</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56114-2021</t>
        </is>
      </c>
      <c r="B728" s="1" t="n">
        <v>44477</v>
      </c>
      <c r="C728" s="1" t="n">
        <v>45666</v>
      </c>
      <c r="D728" t="inlineStr">
        <is>
          <t>JÄMTLANDS LÄN</t>
        </is>
      </c>
      <c r="E728" t="inlineStr">
        <is>
          <t>BRÄCKE</t>
        </is>
      </c>
      <c r="G728" t="n">
        <v>12.7</v>
      </c>
      <c r="H728" t="n">
        <v>0</v>
      </c>
      <c r="I728" t="n">
        <v>0</v>
      </c>
      <c r="J728" t="n">
        <v>0</v>
      </c>
      <c r="K728" t="n">
        <v>0</v>
      </c>
      <c r="L728" t="n">
        <v>0</v>
      </c>
      <c r="M728" t="n">
        <v>0</v>
      </c>
      <c r="N728" t="n">
        <v>0</v>
      </c>
      <c r="O728" t="n">
        <v>0</v>
      </c>
      <c r="P728" t="n">
        <v>0</v>
      </c>
      <c r="Q728" t="n">
        <v>0</v>
      </c>
      <c r="R728" s="2" t="inlineStr"/>
    </row>
    <row r="729" ht="15" customHeight="1">
      <c r="A729" t="inlineStr">
        <is>
          <t>A 56639-2021</t>
        </is>
      </c>
      <c r="B729" s="1" t="n">
        <v>44480</v>
      </c>
      <c r="C729" s="1" t="n">
        <v>45666</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56648-2021</t>
        </is>
      </c>
      <c r="B730" s="1" t="n">
        <v>44481</v>
      </c>
      <c r="C730" s="1" t="n">
        <v>45666</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56649-2021</t>
        </is>
      </c>
      <c r="B731" s="1" t="n">
        <v>44480</v>
      </c>
      <c r="C731" s="1" t="n">
        <v>45666</v>
      </c>
      <c r="D731" t="inlineStr">
        <is>
          <t>JÄMTLANDS LÄN</t>
        </is>
      </c>
      <c r="E731" t="inlineStr">
        <is>
          <t>BRÄCKE</t>
        </is>
      </c>
      <c r="G731" t="n">
        <v>6</v>
      </c>
      <c r="H731" t="n">
        <v>0</v>
      </c>
      <c r="I731" t="n">
        <v>0</v>
      </c>
      <c r="J731" t="n">
        <v>0</v>
      </c>
      <c r="K731" t="n">
        <v>0</v>
      </c>
      <c r="L731" t="n">
        <v>0</v>
      </c>
      <c r="M731" t="n">
        <v>0</v>
      </c>
      <c r="N731" t="n">
        <v>0</v>
      </c>
      <c r="O731" t="n">
        <v>0</v>
      </c>
      <c r="P731" t="n">
        <v>0</v>
      </c>
      <c r="Q731" t="n">
        <v>0</v>
      </c>
      <c r="R731" s="2" t="inlineStr"/>
    </row>
    <row r="732" ht="15" customHeight="1">
      <c r="A732" t="inlineStr">
        <is>
          <t>A 56640-2021</t>
        </is>
      </c>
      <c r="B732" s="1" t="n">
        <v>44480</v>
      </c>
      <c r="C732" s="1" t="n">
        <v>45666</v>
      </c>
      <c r="D732" t="inlineStr">
        <is>
          <t>JÄMTLANDS LÄN</t>
        </is>
      </c>
      <c r="E732" t="inlineStr">
        <is>
          <t>BRÄCKE</t>
        </is>
      </c>
      <c r="G732" t="n">
        <v>2.7</v>
      </c>
      <c r="H732" t="n">
        <v>0</v>
      </c>
      <c r="I732" t="n">
        <v>0</v>
      </c>
      <c r="J732" t="n">
        <v>0</v>
      </c>
      <c r="K732" t="n">
        <v>0</v>
      </c>
      <c r="L732" t="n">
        <v>0</v>
      </c>
      <c r="M732" t="n">
        <v>0</v>
      </c>
      <c r="N732" t="n">
        <v>0</v>
      </c>
      <c r="O732" t="n">
        <v>0</v>
      </c>
      <c r="P732" t="n">
        <v>0</v>
      </c>
      <c r="Q732" t="n">
        <v>0</v>
      </c>
      <c r="R732" s="2" t="inlineStr"/>
    </row>
    <row r="733" ht="15" customHeight="1">
      <c r="A733" t="inlineStr">
        <is>
          <t>A 56895-2021</t>
        </is>
      </c>
      <c r="B733" s="1" t="n">
        <v>44482</v>
      </c>
      <c r="C733" s="1" t="n">
        <v>45666</v>
      </c>
      <c r="D733" t="inlineStr">
        <is>
          <t>JÄMTLANDS LÄN</t>
        </is>
      </c>
      <c r="E733" t="inlineStr">
        <is>
          <t>BRÄCKE</t>
        </is>
      </c>
      <c r="G733" t="n">
        <v>1.6</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44482</v>
      </c>
      <c r="C734" s="1" t="n">
        <v>45666</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58039-2021</t>
        </is>
      </c>
      <c r="B735" s="1" t="n">
        <v>44487</v>
      </c>
      <c r="C735" s="1" t="n">
        <v>45666</v>
      </c>
      <c r="D735" t="inlineStr">
        <is>
          <t>JÄMTLANDS LÄN</t>
        </is>
      </c>
      <c r="E735" t="inlineStr">
        <is>
          <t>BRÄCKE</t>
        </is>
      </c>
      <c r="G735" t="n">
        <v>7.4</v>
      </c>
      <c r="H735" t="n">
        <v>0</v>
      </c>
      <c r="I735" t="n">
        <v>0</v>
      </c>
      <c r="J735" t="n">
        <v>0</v>
      </c>
      <c r="K735" t="n">
        <v>0</v>
      </c>
      <c r="L735" t="n">
        <v>0</v>
      </c>
      <c r="M735" t="n">
        <v>0</v>
      </c>
      <c r="N735" t="n">
        <v>0</v>
      </c>
      <c r="O735" t="n">
        <v>0</v>
      </c>
      <c r="P735" t="n">
        <v>0</v>
      </c>
      <c r="Q735" t="n">
        <v>0</v>
      </c>
      <c r="R735" s="2" t="inlineStr"/>
    </row>
    <row r="736" ht="15" customHeight="1">
      <c r="A736" t="inlineStr">
        <is>
          <t>A 58269-2021</t>
        </is>
      </c>
      <c r="B736" s="1" t="n">
        <v>44487</v>
      </c>
      <c r="C736" s="1" t="n">
        <v>45666</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58272-2021</t>
        </is>
      </c>
      <c r="B737" s="1" t="n">
        <v>44487</v>
      </c>
      <c r="C737" s="1" t="n">
        <v>45666</v>
      </c>
      <c r="D737" t="inlineStr">
        <is>
          <t>JÄMTLANDS LÄN</t>
        </is>
      </c>
      <c r="E737" t="inlineStr">
        <is>
          <t>BRÄCKE</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58311-2021</t>
        </is>
      </c>
      <c r="B738" s="1" t="n">
        <v>44487</v>
      </c>
      <c r="C738" s="1" t="n">
        <v>45666</v>
      </c>
      <c r="D738" t="inlineStr">
        <is>
          <t>JÄMTLANDS LÄN</t>
        </is>
      </c>
      <c r="E738" t="inlineStr">
        <is>
          <t>BRÄCKE</t>
        </is>
      </c>
      <c r="G738" t="n">
        <v>9.1</v>
      </c>
      <c r="H738" t="n">
        <v>0</v>
      </c>
      <c r="I738" t="n">
        <v>0</v>
      </c>
      <c r="J738" t="n">
        <v>0</v>
      </c>
      <c r="K738" t="n">
        <v>0</v>
      </c>
      <c r="L738" t="n">
        <v>0</v>
      </c>
      <c r="M738" t="n">
        <v>0</v>
      </c>
      <c r="N738" t="n">
        <v>0</v>
      </c>
      <c r="O738" t="n">
        <v>0</v>
      </c>
      <c r="P738" t="n">
        <v>0</v>
      </c>
      <c r="Q738" t="n">
        <v>0</v>
      </c>
      <c r="R738" s="2" t="inlineStr"/>
    </row>
    <row r="739" ht="15" customHeight="1">
      <c r="A739" t="inlineStr">
        <is>
          <t>A 58584-2021</t>
        </is>
      </c>
      <c r="B739" s="1" t="n">
        <v>44488</v>
      </c>
      <c r="C739" s="1" t="n">
        <v>45666</v>
      </c>
      <c r="D739" t="inlineStr">
        <is>
          <t>JÄMTLANDS LÄN</t>
        </is>
      </c>
      <c r="E739" t="inlineStr">
        <is>
          <t>BRÄCKE</t>
        </is>
      </c>
      <c r="G739" t="n">
        <v>32</v>
      </c>
      <c r="H739" t="n">
        <v>0</v>
      </c>
      <c r="I739" t="n">
        <v>0</v>
      </c>
      <c r="J739" t="n">
        <v>0</v>
      </c>
      <c r="K739" t="n">
        <v>0</v>
      </c>
      <c r="L739" t="n">
        <v>0</v>
      </c>
      <c r="M739" t="n">
        <v>0</v>
      </c>
      <c r="N739" t="n">
        <v>0</v>
      </c>
      <c r="O739" t="n">
        <v>0</v>
      </c>
      <c r="P739" t="n">
        <v>0</v>
      </c>
      <c r="Q739" t="n">
        <v>0</v>
      </c>
      <c r="R739" s="2" t="inlineStr"/>
    </row>
    <row r="740" ht="15" customHeight="1">
      <c r="A740" t="inlineStr">
        <is>
          <t>A 59315-2021</t>
        </is>
      </c>
      <c r="B740" s="1" t="n">
        <v>44491</v>
      </c>
      <c r="C740" s="1" t="n">
        <v>45666</v>
      </c>
      <c r="D740" t="inlineStr">
        <is>
          <t>JÄMTLANDS LÄN</t>
        </is>
      </c>
      <c r="E740" t="inlineStr">
        <is>
          <t>BRÄCKE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59322-2021</t>
        </is>
      </c>
      <c r="B741" s="1" t="n">
        <v>44491</v>
      </c>
      <c r="C741" s="1" t="n">
        <v>45666</v>
      </c>
      <c r="D741" t="inlineStr">
        <is>
          <t>JÄMTLANDS LÄN</t>
        </is>
      </c>
      <c r="E741" t="inlineStr">
        <is>
          <t>BRÄCKE</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59316-2021</t>
        </is>
      </c>
      <c r="B742" s="1" t="n">
        <v>44491</v>
      </c>
      <c r="C742" s="1" t="n">
        <v>45666</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60015-2021</t>
        </is>
      </c>
      <c r="B743" s="1" t="n">
        <v>44495</v>
      </c>
      <c r="C743" s="1" t="n">
        <v>45666</v>
      </c>
      <c r="D743" t="inlineStr">
        <is>
          <t>JÄMTLANDS LÄN</t>
        </is>
      </c>
      <c r="E743" t="inlineStr">
        <is>
          <t>BRÄCKE</t>
        </is>
      </c>
      <c r="G743" t="n">
        <v>18.7</v>
      </c>
      <c r="H743" t="n">
        <v>0</v>
      </c>
      <c r="I743" t="n">
        <v>0</v>
      </c>
      <c r="J743" t="n">
        <v>0</v>
      </c>
      <c r="K743" t="n">
        <v>0</v>
      </c>
      <c r="L743" t="n">
        <v>0</v>
      </c>
      <c r="M743" t="n">
        <v>0</v>
      </c>
      <c r="N743" t="n">
        <v>0</v>
      </c>
      <c r="O743" t="n">
        <v>0</v>
      </c>
      <c r="P743" t="n">
        <v>0</v>
      </c>
      <c r="Q743" t="n">
        <v>0</v>
      </c>
      <c r="R743" s="2" t="inlineStr"/>
    </row>
    <row r="744" ht="15" customHeight="1">
      <c r="A744" t="inlineStr">
        <is>
          <t>A 60325-2021</t>
        </is>
      </c>
      <c r="B744" s="1" t="n">
        <v>44496</v>
      </c>
      <c r="C744" s="1" t="n">
        <v>45666</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61415-2021</t>
        </is>
      </c>
      <c r="B745" s="1" t="n">
        <v>44500</v>
      </c>
      <c r="C745" s="1" t="n">
        <v>45666</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62270-2021</t>
        </is>
      </c>
      <c r="B746" s="1" t="n">
        <v>44503</v>
      </c>
      <c r="C746" s="1" t="n">
        <v>45666</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62249-2021</t>
        </is>
      </c>
      <c r="B747" s="1" t="n">
        <v>44503</v>
      </c>
      <c r="C747" s="1" t="n">
        <v>45666</v>
      </c>
      <c r="D747" t="inlineStr">
        <is>
          <t>JÄMTLANDS LÄN</t>
        </is>
      </c>
      <c r="E747" t="inlineStr">
        <is>
          <t>BRÄCKE</t>
        </is>
      </c>
      <c r="G747" t="n">
        <v>2.9</v>
      </c>
      <c r="H747" t="n">
        <v>0</v>
      </c>
      <c r="I747" t="n">
        <v>0</v>
      </c>
      <c r="J747" t="n">
        <v>0</v>
      </c>
      <c r="K747" t="n">
        <v>0</v>
      </c>
      <c r="L747" t="n">
        <v>0</v>
      </c>
      <c r="M747" t="n">
        <v>0</v>
      </c>
      <c r="N747" t="n">
        <v>0</v>
      </c>
      <c r="O747" t="n">
        <v>0</v>
      </c>
      <c r="P747" t="n">
        <v>0</v>
      </c>
      <c r="Q747" t="n">
        <v>0</v>
      </c>
      <c r="R747" s="2" t="inlineStr"/>
    </row>
    <row r="748" ht="15" customHeight="1">
      <c r="A748" t="inlineStr">
        <is>
          <t>A 62675-2021</t>
        </is>
      </c>
      <c r="B748" s="1" t="n">
        <v>44503</v>
      </c>
      <c r="C748" s="1" t="n">
        <v>45666</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62664-2021</t>
        </is>
      </c>
      <c r="B749" s="1" t="n">
        <v>44503</v>
      </c>
      <c r="C749" s="1" t="n">
        <v>45666</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62674-2021</t>
        </is>
      </c>
      <c r="B750" s="1" t="n">
        <v>44503</v>
      </c>
      <c r="C750" s="1" t="n">
        <v>45666</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62953-2021</t>
        </is>
      </c>
      <c r="B751" s="1" t="n">
        <v>44504</v>
      </c>
      <c r="C751" s="1" t="n">
        <v>45666</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62954-2021</t>
        </is>
      </c>
      <c r="B752" s="1" t="n">
        <v>44504</v>
      </c>
      <c r="C752" s="1" t="n">
        <v>45666</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63346-2021</t>
        </is>
      </c>
      <c r="B753" s="1" t="n">
        <v>44508</v>
      </c>
      <c r="C753" s="1" t="n">
        <v>45666</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63600-2021</t>
        </is>
      </c>
      <c r="B754" s="1" t="n">
        <v>44508</v>
      </c>
      <c r="C754" s="1" t="n">
        <v>45666</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63579-2021</t>
        </is>
      </c>
      <c r="B755" s="1" t="n">
        <v>44508</v>
      </c>
      <c r="C755" s="1" t="n">
        <v>45666</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63534-2021</t>
        </is>
      </c>
      <c r="B756" s="1" t="n">
        <v>44508</v>
      </c>
      <c r="C756" s="1" t="n">
        <v>45666</v>
      </c>
      <c r="D756" t="inlineStr">
        <is>
          <t>JÄMTLANDS LÄN</t>
        </is>
      </c>
      <c r="E756" t="inlineStr">
        <is>
          <t>BRÄCKE</t>
        </is>
      </c>
      <c r="G756" t="n">
        <v>6.6</v>
      </c>
      <c r="H756" t="n">
        <v>0</v>
      </c>
      <c r="I756" t="n">
        <v>0</v>
      </c>
      <c r="J756" t="n">
        <v>0</v>
      </c>
      <c r="K756" t="n">
        <v>0</v>
      </c>
      <c r="L756" t="n">
        <v>0</v>
      </c>
      <c r="M756" t="n">
        <v>0</v>
      </c>
      <c r="N756" t="n">
        <v>0</v>
      </c>
      <c r="O756" t="n">
        <v>0</v>
      </c>
      <c r="P756" t="n">
        <v>0</v>
      </c>
      <c r="Q756" t="n">
        <v>0</v>
      </c>
      <c r="R756" s="2" t="inlineStr"/>
    </row>
    <row r="757" ht="15" customHeight="1">
      <c r="A757" t="inlineStr">
        <is>
          <t>A 63590-2021</t>
        </is>
      </c>
      <c r="B757" s="1" t="n">
        <v>44508</v>
      </c>
      <c r="C757" s="1" t="n">
        <v>45666</v>
      </c>
      <c r="D757" t="inlineStr">
        <is>
          <t>JÄMTLANDS LÄN</t>
        </is>
      </c>
      <c r="E757" t="inlineStr">
        <is>
          <t>BRÄCKE</t>
        </is>
      </c>
      <c r="G757" t="n">
        <v>9.1</v>
      </c>
      <c r="H757" t="n">
        <v>0</v>
      </c>
      <c r="I757" t="n">
        <v>0</v>
      </c>
      <c r="J757" t="n">
        <v>0</v>
      </c>
      <c r="K757" t="n">
        <v>0</v>
      </c>
      <c r="L757" t="n">
        <v>0</v>
      </c>
      <c r="M757" t="n">
        <v>0</v>
      </c>
      <c r="N757" t="n">
        <v>0</v>
      </c>
      <c r="O757" t="n">
        <v>0</v>
      </c>
      <c r="P757" t="n">
        <v>0</v>
      </c>
      <c r="Q757" t="n">
        <v>0</v>
      </c>
      <c r="R757" s="2" t="inlineStr"/>
    </row>
    <row r="758" ht="15" customHeight="1">
      <c r="A758" t="inlineStr">
        <is>
          <t>A 63995-2021</t>
        </is>
      </c>
      <c r="B758" s="1" t="n">
        <v>44509</v>
      </c>
      <c r="C758" s="1" t="n">
        <v>45666</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64002-2021</t>
        </is>
      </c>
      <c r="B759" s="1" t="n">
        <v>44510</v>
      </c>
      <c r="C759" s="1" t="n">
        <v>45666</v>
      </c>
      <c r="D759" t="inlineStr">
        <is>
          <t>JÄMTLANDS LÄN</t>
        </is>
      </c>
      <c r="E759" t="inlineStr">
        <is>
          <t>BRÄCKE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64721-2021</t>
        </is>
      </c>
      <c r="B760" s="1" t="n">
        <v>44512</v>
      </c>
      <c r="C760" s="1" t="n">
        <v>45666</v>
      </c>
      <c r="D760" t="inlineStr">
        <is>
          <t>JÄMTLANDS LÄN</t>
        </is>
      </c>
      <c r="E760" t="inlineStr">
        <is>
          <t>BRÄCKE</t>
        </is>
      </c>
      <c r="G760" t="n">
        <v>8</v>
      </c>
      <c r="H760" t="n">
        <v>0</v>
      </c>
      <c r="I760" t="n">
        <v>0</v>
      </c>
      <c r="J760" t="n">
        <v>0</v>
      </c>
      <c r="K760" t="n">
        <v>0</v>
      </c>
      <c r="L760" t="n">
        <v>0</v>
      </c>
      <c r="M760" t="n">
        <v>0</v>
      </c>
      <c r="N760" t="n">
        <v>0</v>
      </c>
      <c r="O760" t="n">
        <v>0</v>
      </c>
      <c r="P760" t="n">
        <v>0</v>
      </c>
      <c r="Q760" t="n">
        <v>0</v>
      </c>
      <c r="R760" s="2" t="inlineStr"/>
    </row>
    <row r="761" ht="15" customHeight="1">
      <c r="A761" t="inlineStr">
        <is>
          <t>A 65433-2021</t>
        </is>
      </c>
      <c r="B761" s="1" t="n">
        <v>44515</v>
      </c>
      <c r="C761" s="1" t="n">
        <v>45666</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66177-2021</t>
        </is>
      </c>
      <c r="B762" s="1" t="n">
        <v>44517</v>
      </c>
      <c r="C762" s="1" t="n">
        <v>45666</v>
      </c>
      <c r="D762" t="inlineStr">
        <is>
          <t>JÄMTLANDS LÄN</t>
        </is>
      </c>
      <c r="E762" t="inlineStr">
        <is>
          <t>BRÄCKE</t>
        </is>
      </c>
      <c r="G762" t="n">
        <v>24.8</v>
      </c>
      <c r="H762" t="n">
        <v>0</v>
      </c>
      <c r="I762" t="n">
        <v>0</v>
      </c>
      <c r="J762" t="n">
        <v>0</v>
      </c>
      <c r="K762" t="n">
        <v>0</v>
      </c>
      <c r="L762" t="n">
        <v>0</v>
      </c>
      <c r="M762" t="n">
        <v>0</v>
      </c>
      <c r="N762" t="n">
        <v>0</v>
      </c>
      <c r="O762" t="n">
        <v>0</v>
      </c>
      <c r="P762" t="n">
        <v>0</v>
      </c>
      <c r="Q762" t="n">
        <v>0</v>
      </c>
      <c r="R762" s="2" t="inlineStr"/>
    </row>
    <row r="763" ht="15" customHeight="1">
      <c r="A763" t="inlineStr">
        <is>
          <t>A 66285-2021</t>
        </is>
      </c>
      <c r="B763" s="1" t="n">
        <v>44518</v>
      </c>
      <c r="C763" s="1" t="n">
        <v>45666</v>
      </c>
      <c r="D763" t="inlineStr">
        <is>
          <t>JÄMTLANDS LÄN</t>
        </is>
      </c>
      <c r="E763" t="inlineStr">
        <is>
          <t>BRÄCKE</t>
        </is>
      </c>
      <c r="G763" t="n">
        <v>11.9</v>
      </c>
      <c r="H763" t="n">
        <v>0</v>
      </c>
      <c r="I763" t="n">
        <v>0</v>
      </c>
      <c r="J763" t="n">
        <v>0</v>
      </c>
      <c r="K763" t="n">
        <v>0</v>
      </c>
      <c r="L763" t="n">
        <v>0</v>
      </c>
      <c r="M763" t="n">
        <v>0</v>
      </c>
      <c r="N763" t="n">
        <v>0</v>
      </c>
      <c r="O763" t="n">
        <v>0</v>
      </c>
      <c r="P763" t="n">
        <v>0</v>
      </c>
      <c r="Q763" t="n">
        <v>0</v>
      </c>
      <c r="R763" s="2" t="inlineStr"/>
    </row>
    <row r="764" ht="15" customHeight="1">
      <c r="A764" t="inlineStr">
        <is>
          <t>A 67343-2021</t>
        </is>
      </c>
      <c r="B764" s="1" t="n">
        <v>44523</v>
      </c>
      <c r="C764" s="1" t="n">
        <v>45666</v>
      </c>
      <c r="D764" t="inlineStr">
        <is>
          <t>JÄMTLANDS LÄN</t>
        </is>
      </c>
      <c r="E764" t="inlineStr">
        <is>
          <t>BRÄCKE</t>
        </is>
      </c>
      <c r="G764" t="n">
        <v>4.4</v>
      </c>
      <c r="H764" t="n">
        <v>0</v>
      </c>
      <c r="I764" t="n">
        <v>0</v>
      </c>
      <c r="J764" t="n">
        <v>0</v>
      </c>
      <c r="K764" t="n">
        <v>0</v>
      </c>
      <c r="L764" t="n">
        <v>0</v>
      </c>
      <c r="M764" t="n">
        <v>0</v>
      </c>
      <c r="N764" t="n">
        <v>0</v>
      </c>
      <c r="O764" t="n">
        <v>0</v>
      </c>
      <c r="P764" t="n">
        <v>0</v>
      </c>
      <c r="Q764" t="n">
        <v>0</v>
      </c>
      <c r="R764" s="2" t="inlineStr"/>
    </row>
    <row r="765" ht="15" customHeight="1">
      <c r="A765" t="inlineStr">
        <is>
          <t>A 67687-2021</t>
        </is>
      </c>
      <c r="B765" s="1" t="n">
        <v>44524</v>
      </c>
      <c r="C765" s="1" t="n">
        <v>45666</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68319-2021</t>
        </is>
      </c>
      <c r="B766" s="1" t="n">
        <v>44526</v>
      </c>
      <c r="C766" s="1" t="n">
        <v>45666</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68901-2021</t>
        </is>
      </c>
      <c r="B767" s="1" t="n">
        <v>44526</v>
      </c>
      <c r="C767" s="1" t="n">
        <v>45666</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68769-2021</t>
        </is>
      </c>
      <c r="B768" s="1" t="n">
        <v>44529</v>
      </c>
      <c r="C768" s="1" t="n">
        <v>45666</v>
      </c>
      <c r="D768" t="inlineStr">
        <is>
          <t>JÄMTLANDS LÄN</t>
        </is>
      </c>
      <c r="E768" t="inlineStr">
        <is>
          <t>BRÄCKE</t>
        </is>
      </c>
      <c r="G768" t="n">
        <v>2.3</v>
      </c>
      <c r="H768" t="n">
        <v>0</v>
      </c>
      <c r="I768" t="n">
        <v>0</v>
      </c>
      <c r="J768" t="n">
        <v>0</v>
      </c>
      <c r="K768" t="n">
        <v>0</v>
      </c>
      <c r="L768" t="n">
        <v>0</v>
      </c>
      <c r="M768" t="n">
        <v>0</v>
      </c>
      <c r="N768" t="n">
        <v>0</v>
      </c>
      <c r="O768" t="n">
        <v>0</v>
      </c>
      <c r="P768" t="n">
        <v>0</v>
      </c>
      <c r="Q768" t="n">
        <v>0</v>
      </c>
      <c r="R768" s="2" t="inlineStr"/>
    </row>
    <row r="769" ht="15" customHeight="1">
      <c r="A769" t="inlineStr">
        <is>
          <t>A 68763-2021</t>
        </is>
      </c>
      <c r="B769" s="1" t="n">
        <v>44529</v>
      </c>
      <c r="C769" s="1" t="n">
        <v>45666</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68765-2021</t>
        </is>
      </c>
      <c r="B770" s="1" t="n">
        <v>44529</v>
      </c>
      <c r="C770" s="1" t="n">
        <v>45666</v>
      </c>
      <c r="D770" t="inlineStr">
        <is>
          <t>JÄMTLANDS LÄN</t>
        </is>
      </c>
      <c r="E770" t="inlineStr">
        <is>
          <t>BRÄCKE</t>
        </is>
      </c>
      <c r="G770" t="n">
        <v>2</v>
      </c>
      <c r="H770" t="n">
        <v>0</v>
      </c>
      <c r="I770" t="n">
        <v>0</v>
      </c>
      <c r="J770" t="n">
        <v>0</v>
      </c>
      <c r="K770" t="n">
        <v>0</v>
      </c>
      <c r="L770" t="n">
        <v>0</v>
      </c>
      <c r="M770" t="n">
        <v>0</v>
      </c>
      <c r="N770" t="n">
        <v>0</v>
      </c>
      <c r="O770" t="n">
        <v>0</v>
      </c>
      <c r="P770" t="n">
        <v>0</v>
      </c>
      <c r="Q770" t="n">
        <v>0</v>
      </c>
      <c r="R770" s="2" t="inlineStr"/>
    </row>
    <row r="771" ht="15" customHeight="1">
      <c r="A771" t="inlineStr">
        <is>
          <t>A 69155-2021</t>
        </is>
      </c>
      <c r="B771" s="1" t="n">
        <v>44530</v>
      </c>
      <c r="C771" s="1" t="n">
        <v>45666</v>
      </c>
      <c r="D771" t="inlineStr">
        <is>
          <t>JÄMTLANDS LÄN</t>
        </is>
      </c>
      <c r="E771" t="inlineStr">
        <is>
          <t>BRÄCKE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69550-2021</t>
        </is>
      </c>
      <c r="B772" s="1" t="n">
        <v>44531</v>
      </c>
      <c r="C772" s="1" t="n">
        <v>45666</v>
      </c>
      <c r="D772" t="inlineStr">
        <is>
          <t>JÄMTLANDS LÄN</t>
        </is>
      </c>
      <c r="E772" t="inlineStr">
        <is>
          <t>BRÄCKE</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69549-2021</t>
        </is>
      </c>
      <c r="B773" s="1" t="n">
        <v>44531</v>
      </c>
      <c r="C773" s="1" t="n">
        <v>45666</v>
      </c>
      <c r="D773" t="inlineStr">
        <is>
          <t>JÄMTLANDS LÄN</t>
        </is>
      </c>
      <c r="E773" t="inlineStr">
        <is>
          <t>BRÄCKE</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70812-2021</t>
        </is>
      </c>
      <c r="B774" s="1" t="n">
        <v>44537</v>
      </c>
      <c r="C774" s="1" t="n">
        <v>45666</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70807-2021</t>
        </is>
      </c>
      <c r="B775" s="1" t="n">
        <v>44537</v>
      </c>
      <c r="C775" s="1" t="n">
        <v>45666</v>
      </c>
      <c r="D775" t="inlineStr">
        <is>
          <t>JÄMTLANDS LÄN</t>
        </is>
      </c>
      <c r="E775" t="inlineStr">
        <is>
          <t>BRÄCKE</t>
        </is>
      </c>
      <c r="G775" t="n">
        <v>0.9</v>
      </c>
      <c r="H775" t="n">
        <v>0</v>
      </c>
      <c r="I775" t="n">
        <v>0</v>
      </c>
      <c r="J775" t="n">
        <v>0</v>
      </c>
      <c r="K775" t="n">
        <v>0</v>
      </c>
      <c r="L775" t="n">
        <v>0</v>
      </c>
      <c r="M775" t="n">
        <v>0</v>
      </c>
      <c r="N775" t="n">
        <v>0</v>
      </c>
      <c r="O775" t="n">
        <v>0</v>
      </c>
      <c r="P775" t="n">
        <v>0</v>
      </c>
      <c r="Q775" t="n">
        <v>0</v>
      </c>
      <c r="R775" s="2" t="inlineStr"/>
    </row>
    <row r="776" ht="15" customHeight="1">
      <c r="A776" t="inlineStr">
        <is>
          <t>A 70813-2021</t>
        </is>
      </c>
      <c r="B776" s="1" t="n">
        <v>44537</v>
      </c>
      <c r="C776" s="1" t="n">
        <v>45666</v>
      </c>
      <c r="D776" t="inlineStr">
        <is>
          <t>JÄMTLANDS LÄN</t>
        </is>
      </c>
      <c r="E776" t="inlineStr">
        <is>
          <t>BRÄCKE</t>
        </is>
      </c>
      <c r="G776" t="n">
        <v>5.2</v>
      </c>
      <c r="H776" t="n">
        <v>0</v>
      </c>
      <c r="I776" t="n">
        <v>0</v>
      </c>
      <c r="J776" t="n">
        <v>0</v>
      </c>
      <c r="K776" t="n">
        <v>0</v>
      </c>
      <c r="L776" t="n">
        <v>0</v>
      </c>
      <c r="M776" t="n">
        <v>0</v>
      </c>
      <c r="N776" t="n">
        <v>0</v>
      </c>
      <c r="O776" t="n">
        <v>0</v>
      </c>
      <c r="P776" t="n">
        <v>0</v>
      </c>
      <c r="Q776" t="n">
        <v>0</v>
      </c>
      <c r="R776" s="2" t="inlineStr"/>
    </row>
    <row r="777" ht="15" customHeight="1">
      <c r="A777" t="inlineStr">
        <is>
          <t>A 72025-2021</t>
        </is>
      </c>
      <c r="B777" s="1" t="n">
        <v>44540</v>
      </c>
      <c r="C777" s="1" t="n">
        <v>45666</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72044-2021</t>
        </is>
      </c>
      <c r="B778" s="1" t="n">
        <v>44540</v>
      </c>
      <c r="C778" s="1" t="n">
        <v>45666</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72757-2021</t>
        </is>
      </c>
      <c r="B779" s="1" t="n">
        <v>44546</v>
      </c>
      <c r="C779" s="1" t="n">
        <v>45666</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72750-2021</t>
        </is>
      </c>
      <c r="B780" s="1" t="n">
        <v>44546</v>
      </c>
      <c r="C780" s="1" t="n">
        <v>45666</v>
      </c>
      <c r="D780" t="inlineStr">
        <is>
          <t>JÄMTLANDS LÄN</t>
        </is>
      </c>
      <c r="E780" t="inlineStr">
        <is>
          <t>BRÄCKE</t>
        </is>
      </c>
      <c r="G780" t="n">
        <v>1.2</v>
      </c>
      <c r="H780" t="n">
        <v>0</v>
      </c>
      <c r="I780" t="n">
        <v>0</v>
      </c>
      <c r="J780" t="n">
        <v>0</v>
      </c>
      <c r="K780" t="n">
        <v>0</v>
      </c>
      <c r="L780" t="n">
        <v>0</v>
      </c>
      <c r="M780" t="n">
        <v>0</v>
      </c>
      <c r="N780" t="n">
        <v>0</v>
      </c>
      <c r="O780" t="n">
        <v>0</v>
      </c>
      <c r="P780" t="n">
        <v>0</v>
      </c>
      <c r="Q780" t="n">
        <v>0</v>
      </c>
      <c r="R780" s="2" t="inlineStr"/>
    </row>
    <row r="781" ht="15" customHeight="1">
      <c r="A781" t="inlineStr">
        <is>
          <t>A 72754-2021</t>
        </is>
      </c>
      <c r="B781" s="1" t="n">
        <v>44546</v>
      </c>
      <c r="C781" s="1" t="n">
        <v>45666</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72758-2021</t>
        </is>
      </c>
      <c r="B782" s="1" t="n">
        <v>44546</v>
      </c>
      <c r="C782" s="1" t="n">
        <v>45666</v>
      </c>
      <c r="D782" t="inlineStr">
        <is>
          <t>JÄMTLANDS LÄN</t>
        </is>
      </c>
      <c r="E782" t="inlineStr">
        <is>
          <t>BRÄCKE</t>
        </is>
      </c>
      <c r="G782" t="n">
        <v>3.4</v>
      </c>
      <c r="H782" t="n">
        <v>0</v>
      </c>
      <c r="I782" t="n">
        <v>0</v>
      </c>
      <c r="J782" t="n">
        <v>0</v>
      </c>
      <c r="K782" t="n">
        <v>0</v>
      </c>
      <c r="L782" t="n">
        <v>0</v>
      </c>
      <c r="M782" t="n">
        <v>0</v>
      </c>
      <c r="N782" t="n">
        <v>0</v>
      </c>
      <c r="O782" t="n">
        <v>0</v>
      </c>
      <c r="P782" t="n">
        <v>0</v>
      </c>
      <c r="Q782" t="n">
        <v>0</v>
      </c>
      <c r="R782" s="2" t="inlineStr"/>
    </row>
    <row r="783" ht="15" customHeight="1">
      <c r="A783" t="inlineStr">
        <is>
          <t>A 73106-2021</t>
        </is>
      </c>
      <c r="B783" s="1" t="n">
        <v>44550</v>
      </c>
      <c r="C783" s="1" t="n">
        <v>45666</v>
      </c>
      <c r="D783" t="inlineStr">
        <is>
          <t>JÄMTLANDS LÄN</t>
        </is>
      </c>
      <c r="E783" t="inlineStr">
        <is>
          <t>BRÄCKE</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73109-2021</t>
        </is>
      </c>
      <c r="B784" s="1" t="n">
        <v>44550</v>
      </c>
      <c r="C784" s="1" t="n">
        <v>45666</v>
      </c>
      <c r="D784" t="inlineStr">
        <is>
          <t>JÄMTLANDS LÄN</t>
        </is>
      </c>
      <c r="E784" t="inlineStr">
        <is>
          <t>BRÄCKE</t>
        </is>
      </c>
      <c r="F784" t="inlineStr">
        <is>
          <t>Sveaskog</t>
        </is>
      </c>
      <c r="G784" t="n">
        <v>6.4</v>
      </c>
      <c r="H784" t="n">
        <v>0</v>
      </c>
      <c r="I784" t="n">
        <v>0</v>
      </c>
      <c r="J784" t="n">
        <v>0</v>
      </c>
      <c r="K784" t="n">
        <v>0</v>
      </c>
      <c r="L784" t="n">
        <v>0</v>
      </c>
      <c r="M784" t="n">
        <v>0</v>
      </c>
      <c r="N784" t="n">
        <v>0</v>
      </c>
      <c r="O784" t="n">
        <v>0</v>
      </c>
      <c r="P784" t="n">
        <v>0</v>
      </c>
      <c r="Q784" t="n">
        <v>0</v>
      </c>
      <c r="R784" s="2" t="inlineStr"/>
    </row>
    <row r="785" ht="15" customHeight="1">
      <c r="A785" t="inlineStr">
        <is>
          <t>A 73102-2021</t>
        </is>
      </c>
      <c r="B785" s="1" t="n">
        <v>44550</v>
      </c>
      <c r="C785" s="1" t="n">
        <v>45666</v>
      </c>
      <c r="D785" t="inlineStr">
        <is>
          <t>JÄMTLANDS LÄN</t>
        </is>
      </c>
      <c r="E785" t="inlineStr">
        <is>
          <t>BRÄCKE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73281-2021</t>
        </is>
      </c>
      <c r="B786" s="1" t="n">
        <v>44550</v>
      </c>
      <c r="C786" s="1" t="n">
        <v>45666</v>
      </c>
      <c r="D786" t="inlineStr">
        <is>
          <t>JÄMTLANDS LÄN</t>
        </is>
      </c>
      <c r="E786" t="inlineStr">
        <is>
          <t>BRÄCKE</t>
        </is>
      </c>
      <c r="G786" t="n">
        <v>2.4</v>
      </c>
      <c r="H786" t="n">
        <v>0</v>
      </c>
      <c r="I786" t="n">
        <v>0</v>
      </c>
      <c r="J786" t="n">
        <v>0</v>
      </c>
      <c r="K786" t="n">
        <v>0</v>
      </c>
      <c r="L786" t="n">
        <v>0</v>
      </c>
      <c r="M786" t="n">
        <v>0</v>
      </c>
      <c r="N786" t="n">
        <v>0</v>
      </c>
      <c r="O786" t="n">
        <v>0</v>
      </c>
      <c r="P786" t="n">
        <v>0</v>
      </c>
      <c r="Q786" t="n">
        <v>0</v>
      </c>
      <c r="R786" s="2" t="inlineStr"/>
    </row>
    <row r="787" ht="15" customHeight="1">
      <c r="A787" t="inlineStr">
        <is>
          <t>A 73280-2021</t>
        </is>
      </c>
      <c r="B787" s="1" t="n">
        <v>44550</v>
      </c>
      <c r="C787" s="1" t="n">
        <v>45666</v>
      </c>
      <c r="D787" t="inlineStr">
        <is>
          <t>JÄMTLANDS LÄN</t>
        </is>
      </c>
      <c r="E787" t="inlineStr">
        <is>
          <t>BRÄCKE</t>
        </is>
      </c>
      <c r="G787" t="n">
        <v>2.5</v>
      </c>
      <c r="H787" t="n">
        <v>0</v>
      </c>
      <c r="I787" t="n">
        <v>0</v>
      </c>
      <c r="J787" t="n">
        <v>0</v>
      </c>
      <c r="K787" t="n">
        <v>0</v>
      </c>
      <c r="L787" t="n">
        <v>0</v>
      </c>
      <c r="M787" t="n">
        <v>0</v>
      </c>
      <c r="N787" t="n">
        <v>0</v>
      </c>
      <c r="O787" t="n">
        <v>0</v>
      </c>
      <c r="P787" t="n">
        <v>0</v>
      </c>
      <c r="Q787" t="n">
        <v>0</v>
      </c>
      <c r="R787" s="2" t="inlineStr"/>
    </row>
    <row r="788" ht="15" customHeight="1">
      <c r="A788" t="inlineStr">
        <is>
          <t>A 1087-2022</t>
        </is>
      </c>
      <c r="B788" s="1" t="n">
        <v>44571</v>
      </c>
      <c r="C788" s="1" t="n">
        <v>45666</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1201-2022</t>
        </is>
      </c>
      <c r="B789" s="1" t="n">
        <v>44572</v>
      </c>
      <c r="C789" s="1" t="n">
        <v>45666</v>
      </c>
      <c r="D789" t="inlineStr">
        <is>
          <t>JÄMTLANDS LÄN</t>
        </is>
      </c>
      <c r="E789" t="inlineStr">
        <is>
          <t>BRÄCKE</t>
        </is>
      </c>
      <c r="G789" t="n">
        <v>13.7</v>
      </c>
      <c r="H789" t="n">
        <v>0</v>
      </c>
      <c r="I789" t="n">
        <v>0</v>
      </c>
      <c r="J789" t="n">
        <v>0</v>
      </c>
      <c r="K789" t="n">
        <v>0</v>
      </c>
      <c r="L789" t="n">
        <v>0</v>
      </c>
      <c r="M789" t="n">
        <v>0</v>
      </c>
      <c r="N789" t="n">
        <v>0</v>
      </c>
      <c r="O789" t="n">
        <v>0</v>
      </c>
      <c r="P789" t="n">
        <v>0</v>
      </c>
      <c r="Q789" t="n">
        <v>0</v>
      </c>
      <c r="R789" s="2" t="inlineStr"/>
    </row>
    <row r="790" ht="15" customHeight="1">
      <c r="A790" t="inlineStr">
        <is>
          <t>A 1340-2022</t>
        </is>
      </c>
      <c r="B790" s="1" t="n">
        <v>44572</v>
      </c>
      <c r="C790" s="1" t="n">
        <v>45666</v>
      </c>
      <c r="D790" t="inlineStr">
        <is>
          <t>JÄMTLANDS LÄN</t>
        </is>
      </c>
      <c r="E790" t="inlineStr">
        <is>
          <t>BRÄCKE</t>
        </is>
      </c>
      <c r="F790" t="inlineStr">
        <is>
          <t>SCA</t>
        </is>
      </c>
      <c r="G790" t="n">
        <v>23.7</v>
      </c>
      <c r="H790" t="n">
        <v>0</v>
      </c>
      <c r="I790" t="n">
        <v>0</v>
      </c>
      <c r="J790" t="n">
        <v>0</v>
      </c>
      <c r="K790" t="n">
        <v>0</v>
      </c>
      <c r="L790" t="n">
        <v>0</v>
      </c>
      <c r="M790" t="n">
        <v>0</v>
      </c>
      <c r="N790" t="n">
        <v>0</v>
      </c>
      <c r="O790" t="n">
        <v>0</v>
      </c>
      <c r="P790" t="n">
        <v>0</v>
      </c>
      <c r="Q790" t="n">
        <v>0</v>
      </c>
      <c r="R790" s="2" t="inlineStr"/>
    </row>
    <row r="791" ht="15" customHeight="1">
      <c r="A791" t="inlineStr">
        <is>
          <t>A 1865-2022</t>
        </is>
      </c>
      <c r="B791" s="1" t="n">
        <v>44574</v>
      </c>
      <c r="C791" s="1" t="n">
        <v>45666</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1863-2022</t>
        </is>
      </c>
      <c r="B792" s="1" t="n">
        <v>44574</v>
      </c>
      <c r="C792" s="1" t="n">
        <v>45666</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1866-2022</t>
        </is>
      </c>
      <c r="B793" s="1" t="n">
        <v>44574</v>
      </c>
      <c r="C793" s="1" t="n">
        <v>45666</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1864-2022</t>
        </is>
      </c>
      <c r="B794" s="1" t="n">
        <v>44574</v>
      </c>
      <c r="C794" s="1" t="n">
        <v>45666</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2035-2022</t>
        </is>
      </c>
      <c r="B795" s="1" t="n">
        <v>44575</v>
      </c>
      <c r="C795" s="1" t="n">
        <v>45666</v>
      </c>
      <c r="D795" t="inlineStr">
        <is>
          <t>JÄMTLANDS LÄN</t>
        </is>
      </c>
      <c r="E795" t="inlineStr">
        <is>
          <t>BRÄCKE</t>
        </is>
      </c>
      <c r="G795" t="n">
        <v>2</v>
      </c>
      <c r="H795" t="n">
        <v>0</v>
      </c>
      <c r="I795" t="n">
        <v>0</v>
      </c>
      <c r="J795" t="n">
        <v>0</v>
      </c>
      <c r="K795" t="n">
        <v>0</v>
      </c>
      <c r="L795" t="n">
        <v>0</v>
      </c>
      <c r="M795" t="n">
        <v>0</v>
      </c>
      <c r="N795" t="n">
        <v>0</v>
      </c>
      <c r="O795" t="n">
        <v>0</v>
      </c>
      <c r="P795" t="n">
        <v>0</v>
      </c>
      <c r="Q795" t="n">
        <v>0</v>
      </c>
      <c r="R795" s="2" t="inlineStr"/>
    </row>
    <row r="796" ht="15" customHeight="1">
      <c r="A796" t="inlineStr">
        <is>
          <t>A 2645-2022</t>
        </is>
      </c>
      <c r="B796" s="1" t="n">
        <v>44580</v>
      </c>
      <c r="C796" s="1" t="n">
        <v>45666</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3239-2022</t>
        </is>
      </c>
      <c r="B797" s="1" t="n">
        <v>44582</v>
      </c>
      <c r="C797" s="1" t="n">
        <v>45666</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3224-2022</t>
        </is>
      </c>
      <c r="B798" s="1" t="n">
        <v>44582</v>
      </c>
      <c r="C798" s="1" t="n">
        <v>45666</v>
      </c>
      <c r="D798" t="inlineStr">
        <is>
          <t>JÄMTLANDS LÄN</t>
        </is>
      </c>
      <c r="E798" t="inlineStr">
        <is>
          <t>BRÄCKE</t>
        </is>
      </c>
      <c r="G798" t="n">
        <v>1.7</v>
      </c>
      <c r="H798" t="n">
        <v>0</v>
      </c>
      <c r="I798" t="n">
        <v>0</v>
      </c>
      <c r="J798" t="n">
        <v>0</v>
      </c>
      <c r="K798" t="n">
        <v>0</v>
      </c>
      <c r="L798" t="n">
        <v>0</v>
      </c>
      <c r="M798" t="n">
        <v>0</v>
      </c>
      <c r="N798" t="n">
        <v>0</v>
      </c>
      <c r="O798" t="n">
        <v>0</v>
      </c>
      <c r="P798" t="n">
        <v>0</v>
      </c>
      <c r="Q798" t="n">
        <v>0</v>
      </c>
      <c r="R798" s="2" t="inlineStr"/>
    </row>
    <row r="799" ht="15" customHeight="1">
      <c r="A799" t="inlineStr">
        <is>
          <t>A 3694-2022</t>
        </is>
      </c>
      <c r="B799" s="1" t="n">
        <v>44586</v>
      </c>
      <c r="C799" s="1" t="n">
        <v>45666</v>
      </c>
      <c r="D799" t="inlineStr">
        <is>
          <t>JÄMTLANDS LÄN</t>
        </is>
      </c>
      <c r="E799" t="inlineStr">
        <is>
          <t>BRÄCKE</t>
        </is>
      </c>
      <c r="G799" t="n">
        <v>2.3</v>
      </c>
      <c r="H799" t="n">
        <v>0</v>
      </c>
      <c r="I799" t="n">
        <v>0</v>
      </c>
      <c r="J799" t="n">
        <v>0</v>
      </c>
      <c r="K799" t="n">
        <v>0</v>
      </c>
      <c r="L799" t="n">
        <v>0</v>
      </c>
      <c r="M799" t="n">
        <v>0</v>
      </c>
      <c r="N799" t="n">
        <v>0</v>
      </c>
      <c r="O799" t="n">
        <v>0</v>
      </c>
      <c r="P799" t="n">
        <v>0</v>
      </c>
      <c r="Q799" t="n">
        <v>0</v>
      </c>
      <c r="R799" s="2" t="inlineStr"/>
    </row>
    <row r="800" ht="15" customHeight="1">
      <c r="A800" t="inlineStr">
        <is>
          <t>A 3947-2022</t>
        </is>
      </c>
      <c r="B800" s="1" t="n">
        <v>44587</v>
      </c>
      <c r="C800" s="1" t="n">
        <v>45666</v>
      </c>
      <c r="D800" t="inlineStr">
        <is>
          <t>JÄMTLANDS LÄN</t>
        </is>
      </c>
      <c r="E800" t="inlineStr">
        <is>
          <t>BRÄCKE</t>
        </is>
      </c>
      <c r="G800" t="n">
        <v>0.4</v>
      </c>
      <c r="H800" t="n">
        <v>0</v>
      </c>
      <c r="I800" t="n">
        <v>0</v>
      </c>
      <c r="J800" t="n">
        <v>0</v>
      </c>
      <c r="K800" t="n">
        <v>0</v>
      </c>
      <c r="L800" t="n">
        <v>0</v>
      </c>
      <c r="M800" t="n">
        <v>0</v>
      </c>
      <c r="N800" t="n">
        <v>0</v>
      </c>
      <c r="O800" t="n">
        <v>0</v>
      </c>
      <c r="P800" t="n">
        <v>0</v>
      </c>
      <c r="Q800" t="n">
        <v>0</v>
      </c>
      <c r="R800" s="2" t="inlineStr"/>
    </row>
    <row r="801" ht="15" customHeight="1">
      <c r="A801" t="inlineStr">
        <is>
          <t>A 4338-2022</t>
        </is>
      </c>
      <c r="B801" s="1" t="n">
        <v>44588</v>
      </c>
      <c r="C801" s="1" t="n">
        <v>45666</v>
      </c>
      <c r="D801" t="inlineStr">
        <is>
          <t>JÄMTLANDS LÄN</t>
        </is>
      </c>
      <c r="E801" t="inlineStr">
        <is>
          <t>BRÄCKE</t>
        </is>
      </c>
      <c r="G801" t="n">
        <v>1.8</v>
      </c>
      <c r="H801" t="n">
        <v>0</v>
      </c>
      <c r="I801" t="n">
        <v>0</v>
      </c>
      <c r="J801" t="n">
        <v>0</v>
      </c>
      <c r="K801" t="n">
        <v>0</v>
      </c>
      <c r="L801" t="n">
        <v>0</v>
      </c>
      <c r="M801" t="n">
        <v>0</v>
      </c>
      <c r="N801" t="n">
        <v>0</v>
      </c>
      <c r="O801" t="n">
        <v>0</v>
      </c>
      <c r="P801" t="n">
        <v>0</v>
      </c>
      <c r="Q801" t="n">
        <v>0</v>
      </c>
      <c r="R801" s="2" t="inlineStr"/>
    </row>
    <row r="802" ht="15" customHeight="1">
      <c r="A802" t="inlineStr">
        <is>
          <t>A 4542-2022</t>
        </is>
      </c>
      <c r="B802" s="1" t="n">
        <v>44590</v>
      </c>
      <c r="C802" s="1" t="n">
        <v>45666</v>
      </c>
      <c r="D802" t="inlineStr">
        <is>
          <t>JÄMTLANDS LÄN</t>
        </is>
      </c>
      <c r="E802" t="inlineStr">
        <is>
          <t>BRÄCKE</t>
        </is>
      </c>
      <c r="G802" t="n">
        <v>18.5</v>
      </c>
      <c r="H802" t="n">
        <v>0</v>
      </c>
      <c r="I802" t="n">
        <v>0</v>
      </c>
      <c r="J802" t="n">
        <v>0</v>
      </c>
      <c r="K802" t="n">
        <v>0</v>
      </c>
      <c r="L802" t="n">
        <v>0</v>
      </c>
      <c r="M802" t="n">
        <v>0</v>
      </c>
      <c r="N802" t="n">
        <v>0</v>
      </c>
      <c r="O802" t="n">
        <v>0</v>
      </c>
      <c r="P802" t="n">
        <v>0</v>
      </c>
      <c r="Q802" t="n">
        <v>0</v>
      </c>
      <c r="R802" s="2" t="inlineStr"/>
    </row>
    <row r="803" ht="15" customHeight="1">
      <c r="A803" t="inlineStr">
        <is>
          <t>A 4635-2022</t>
        </is>
      </c>
      <c r="B803" s="1" t="n">
        <v>44592</v>
      </c>
      <c r="C803" s="1" t="n">
        <v>45666</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4850-2022</t>
        </is>
      </c>
      <c r="B804" s="1" t="n">
        <v>44592</v>
      </c>
      <c r="C804" s="1" t="n">
        <v>45666</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5377-2022</t>
        </is>
      </c>
      <c r="B805" s="1" t="n">
        <v>44594</v>
      </c>
      <c r="C805" s="1" t="n">
        <v>45666</v>
      </c>
      <c r="D805" t="inlineStr">
        <is>
          <t>JÄMTLANDS LÄN</t>
        </is>
      </c>
      <c r="E805" t="inlineStr">
        <is>
          <t>BRÄCKE</t>
        </is>
      </c>
      <c r="G805" t="n">
        <v>40.3</v>
      </c>
      <c r="H805" t="n">
        <v>0</v>
      </c>
      <c r="I805" t="n">
        <v>0</v>
      </c>
      <c r="J805" t="n">
        <v>0</v>
      </c>
      <c r="K805" t="n">
        <v>0</v>
      </c>
      <c r="L805" t="n">
        <v>0</v>
      </c>
      <c r="M805" t="n">
        <v>0</v>
      </c>
      <c r="N805" t="n">
        <v>0</v>
      </c>
      <c r="O805" t="n">
        <v>0</v>
      </c>
      <c r="P805" t="n">
        <v>0</v>
      </c>
      <c r="Q805" t="n">
        <v>0</v>
      </c>
      <c r="R805" s="2" t="inlineStr"/>
    </row>
    <row r="806" ht="15" customHeight="1">
      <c r="A806" t="inlineStr">
        <is>
          <t>A 5380-2022</t>
        </is>
      </c>
      <c r="B806" s="1" t="n">
        <v>44594</v>
      </c>
      <c r="C806" s="1" t="n">
        <v>45666</v>
      </c>
      <c r="D806" t="inlineStr">
        <is>
          <t>JÄMTLANDS LÄN</t>
        </is>
      </c>
      <c r="E806" t="inlineStr">
        <is>
          <t>BRÄCKE</t>
        </is>
      </c>
      <c r="F806" t="inlineStr">
        <is>
          <t>SCA</t>
        </is>
      </c>
      <c r="G806" t="n">
        <v>18.3</v>
      </c>
      <c r="H806" t="n">
        <v>0</v>
      </c>
      <c r="I806" t="n">
        <v>0</v>
      </c>
      <c r="J806" t="n">
        <v>0</v>
      </c>
      <c r="K806" t="n">
        <v>0</v>
      </c>
      <c r="L806" t="n">
        <v>0</v>
      </c>
      <c r="M806" t="n">
        <v>0</v>
      </c>
      <c r="N806" t="n">
        <v>0</v>
      </c>
      <c r="O806" t="n">
        <v>0</v>
      </c>
      <c r="P806" t="n">
        <v>0</v>
      </c>
      <c r="Q806" t="n">
        <v>0</v>
      </c>
      <c r="R806" s="2" t="inlineStr"/>
      <c r="U806">
        <f>HYPERLINK("https://klasma.github.io/Logging_2305/knärot/A 5380-2022 karta knärot.png", "A 5380-2022")</f>
        <v/>
      </c>
      <c r="V806">
        <f>HYPERLINK("https://klasma.github.io/Logging_2305/klagomål/A 5380-2022 FSC-klagomål.docx", "A 5380-2022")</f>
        <v/>
      </c>
      <c r="W806">
        <f>HYPERLINK("https://klasma.github.io/Logging_2305/klagomålsmail/A 5380-2022 FSC-klagomål mail.docx", "A 5380-2022")</f>
        <v/>
      </c>
      <c r="X806">
        <f>HYPERLINK("https://klasma.github.io/Logging_2305/tillsyn/A 5380-2022 tillsynsbegäran.docx", "A 5380-2022")</f>
        <v/>
      </c>
      <c r="Y806">
        <f>HYPERLINK("https://klasma.github.io/Logging_2305/tillsynsmail/A 5380-2022 tillsynsbegäran mail.docx", "A 5380-2022")</f>
        <v/>
      </c>
    </row>
    <row r="807" ht="15" customHeight="1">
      <c r="A807" t="inlineStr">
        <is>
          <t>A 5378-2022</t>
        </is>
      </c>
      <c r="B807" s="1" t="n">
        <v>44594</v>
      </c>
      <c r="C807" s="1" t="n">
        <v>45666</v>
      </c>
      <c r="D807" t="inlineStr">
        <is>
          <t>JÄMTLANDS LÄN</t>
        </is>
      </c>
      <c r="E807" t="inlineStr">
        <is>
          <t>BRÄCKE</t>
        </is>
      </c>
      <c r="G807" t="n">
        <v>4.6</v>
      </c>
      <c r="H807" t="n">
        <v>0</v>
      </c>
      <c r="I807" t="n">
        <v>0</v>
      </c>
      <c r="J807" t="n">
        <v>0</v>
      </c>
      <c r="K807" t="n">
        <v>0</v>
      </c>
      <c r="L807" t="n">
        <v>0</v>
      </c>
      <c r="M807" t="n">
        <v>0</v>
      </c>
      <c r="N807" t="n">
        <v>0</v>
      </c>
      <c r="O807" t="n">
        <v>0</v>
      </c>
      <c r="P807" t="n">
        <v>0</v>
      </c>
      <c r="Q807" t="n">
        <v>0</v>
      </c>
      <c r="R807" s="2" t="inlineStr"/>
    </row>
    <row r="808" ht="15" customHeight="1">
      <c r="A808" t="inlineStr">
        <is>
          <t>A 6460-2022</t>
        </is>
      </c>
      <c r="B808" s="1" t="n">
        <v>44601</v>
      </c>
      <c r="C808" s="1" t="n">
        <v>45666</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6461-2022</t>
        </is>
      </c>
      <c r="B809" s="1" t="n">
        <v>44601</v>
      </c>
      <c r="C809" s="1" t="n">
        <v>45666</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6648-2022</t>
        </is>
      </c>
      <c r="B810" s="1" t="n">
        <v>44601</v>
      </c>
      <c r="C810" s="1" t="n">
        <v>45666</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7027-2022</t>
        </is>
      </c>
      <c r="B811" s="1" t="n">
        <v>44603</v>
      </c>
      <c r="C811" s="1" t="n">
        <v>45666</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8052-2022</t>
        </is>
      </c>
      <c r="B812" s="1" t="n">
        <v>44609</v>
      </c>
      <c r="C812" s="1" t="n">
        <v>45666</v>
      </c>
      <c r="D812" t="inlineStr">
        <is>
          <t>JÄMTLANDS LÄN</t>
        </is>
      </c>
      <c r="E812" t="inlineStr">
        <is>
          <t>BRÄCKE</t>
        </is>
      </c>
      <c r="G812" t="n">
        <v>0.6</v>
      </c>
      <c r="H812" t="n">
        <v>0</v>
      </c>
      <c r="I812" t="n">
        <v>0</v>
      </c>
      <c r="J812" t="n">
        <v>0</v>
      </c>
      <c r="K812" t="n">
        <v>0</v>
      </c>
      <c r="L812" t="n">
        <v>0</v>
      </c>
      <c r="M812" t="n">
        <v>0</v>
      </c>
      <c r="N812" t="n">
        <v>0</v>
      </c>
      <c r="O812" t="n">
        <v>0</v>
      </c>
      <c r="P812" t="n">
        <v>0</v>
      </c>
      <c r="Q812" t="n">
        <v>0</v>
      </c>
      <c r="R812" s="2" t="inlineStr"/>
    </row>
    <row r="813" ht="15" customHeight="1">
      <c r="A813" t="inlineStr">
        <is>
          <t>A 8422-2022</t>
        </is>
      </c>
      <c r="B813" s="1" t="n">
        <v>44610</v>
      </c>
      <c r="C813" s="1" t="n">
        <v>45666</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10130-2022</t>
        </is>
      </c>
      <c r="B814" s="1" t="n">
        <v>44621</v>
      </c>
      <c r="C814" s="1" t="n">
        <v>45666</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10129-2022</t>
        </is>
      </c>
      <c r="B815" s="1" t="n">
        <v>44621</v>
      </c>
      <c r="C815" s="1" t="n">
        <v>45666</v>
      </c>
      <c r="D815" t="inlineStr">
        <is>
          <t>JÄMTLANDS LÄN</t>
        </is>
      </c>
      <c r="E815" t="inlineStr">
        <is>
          <t>BRÄCKE</t>
        </is>
      </c>
      <c r="F815" t="inlineStr">
        <is>
          <t>SCA</t>
        </is>
      </c>
      <c r="G815" t="n">
        <v>15.6</v>
      </c>
      <c r="H815" t="n">
        <v>0</v>
      </c>
      <c r="I815" t="n">
        <v>0</v>
      </c>
      <c r="J815" t="n">
        <v>0</v>
      </c>
      <c r="K815" t="n">
        <v>0</v>
      </c>
      <c r="L815" t="n">
        <v>0</v>
      </c>
      <c r="M815" t="n">
        <v>0</v>
      </c>
      <c r="N815" t="n">
        <v>0</v>
      </c>
      <c r="O815" t="n">
        <v>0</v>
      </c>
      <c r="P815" t="n">
        <v>0</v>
      </c>
      <c r="Q815" t="n">
        <v>0</v>
      </c>
      <c r="R815" s="2" t="inlineStr"/>
    </row>
    <row r="816" ht="15" customHeight="1">
      <c r="A816" t="inlineStr">
        <is>
          <t>A 10476-2022</t>
        </is>
      </c>
      <c r="B816" s="1" t="n">
        <v>44623</v>
      </c>
      <c r="C816" s="1" t="n">
        <v>45666</v>
      </c>
      <c r="D816" t="inlineStr">
        <is>
          <t>JÄMTLANDS LÄN</t>
        </is>
      </c>
      <c r="E816" t="inlineStr">
        <is>
          <t>BRÄCKE</t>
        </is>
      </c>
      <c r="G816" t="n">
        <v>3.8</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45666</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10536-2022</t>
        </is>
      </c>
      <c r="B818" s="1" t="n">
        <v>44623</v>
      </c>
      <c r="C818" s="1" t="n">
        <v>45666</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10540-2022</t>
        </is>
      </c>
      <c r="B819" s="1" t="n">
        <v>44623</v>
      </c>
      <c r="C819" s="1" t="n">
        <v>45666</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10535-2022</t>
        </is>
      </c>
      <c r="B820" s="1" t="n">
        <v>44623</v>
      </c>
      <c r="C820" s="1" t="n">
        <v>45666</v>
      </c>
      <c r="D820" t="inlineStr">
        <is>
          <t>JÄMTLANDS LÄN</t>
        </is>
      </c>
      <c r="E820" t="inlineStr">
        <is>
          <t>BRÄCKE</t>
        </is>
      </c>
      <c r="G820" t="n">
        <v>0.7</v>
      </c>
      <c r="H820" t="n">
        <v>0</v>
      </c>
      <c r="I820" t="n">
        <v>0</v>
      </c>
      <c r="J820" t="n">
        <v>0</v>
      </c>
      <c r="K820" t="n">
        <v>0</v>
      </c>
      <c r="L820" t="n">
        <v>0</v>
      </c>
      <c r="M820" t="n">
        <v>0</v>
      </c>
      <c r="N820" t="n">
        <v>0</v>
      </c>
      <c r="O820" t="n">
        <v>0</v>
      </c>
      <c r="P820" t="n">
        <v>0</v>
      </c>
      <c r="Q820" t="n">
        <v>0</v>
      </c>
      <c r="R820" s="2" t="inlineStr"/>
    </row>
    <row r="821" ht="15" customHeight="1">
      <c r="A821" t="inlineStr">
        <is>
          <t>A 10539-2022</t>
        </is>
      </c>
      <c r="B821" s="1" t="n">
        <v>44623</v>
      </c>
      <c r="C821" s="1" t="n">
        <v>45666</v>
      </c>
      <c r="D821" t="inlineStr">
        <is>
          <t>JÄMTLANDS LÄN</t>
        </is>
      </c>
      <c r="E821" t="inlineStr">
        <is>
          <t>BRÄCKE</t>
        </is>
      </c>
      <c r="G821" t="n">
        <v>0.8</v>
      </c>
      <c r="H821" t="n">
        <v>0</v>
      </c>
      <c r="I821" t="n">
        <v>0</v>
      </c>
      <c r="J821" t="n">
        <v>0</v>
      </c>
      <c r="K821" t="n">
        <v>0</v>
      </c>
      <c r="L821" t="n">
        <v>0</v>
      </c>
      <c r="M821" t="n">
        <v>0</v>
      </c>
      <c r="N821" t="n">
        <v>0</v>
      </c>
      <c r="O821" t="n">
        <v>0</v>
      </c>
      <c r="P821" t="n">
        <v>0</v>
      </c>
      <c r="Q821" t="n">
        <v>0</v>
      </c>
      <c r="R821" s="2" t="inlineStr"/>
    </row>
    <row r="822" ht="15" customHeight="1">
      <c r="A822" t="inlineStr">
        <is>
          <t>A 10543-2022</t>
        </is>
      </c>
      <c r="B822" s="1" t="n">
        <v>44623</v>
      </c>
      <c r="C822" s="1" t="n">
        <v>45666</v>
      </c>
      <c r="D822" t="inlineStr">
        <is>
          <t>JÄMTLANDS LÄN</t>
        </is>
      </c>
      <c r="E822" t="inlineStr">
        <is>
          <t>BRÄCKE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10534-2022</t>
        </is>
      </c>
      <c r="B823" s="1" t="n">
        <v>44623</v>
      </c>
      <c r="C823" s="1" t="n">
        <v>45666</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10538-2022</t>
        </is>
      </c>
      <c r="B824" s="1" t="n">
        <v>44623</v>
      </c>
      <c r="C824" s="1" t="n">
        <v>45666</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10542-2022</t>
        </is>
      </c>
      <c r="B825" s="1" t="n">
        <v>44623</v>
      </c>
      <c r="C825" s="1" t="n">
        <v>45666</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10533-2022</t>
        </is>
      </c>
      <c r="B826" s="1" t="n">
        <v>44623</v>
      </c>
      <c r="C826" s="1" t="n">
        <v>45666</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10537-2022</t>
        </is>
      </c>
      <c r="B827" s="1" t="n">
        <v>44623</v>
      </c>
      <c r="C827" s="1" t="n">
        <v>45666</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10815-2022</t>
        </is>
      </c>
      <c r="B828" s="1" t="n">
        <v>44627</v>
      </c>
      <c r="C828" s="1" t="n">
        <v>45666</v>
      </c>
      <c r="D828" t="inlineStr">
        <is>
          <t>JÄMTLANDS LÄN</t>
        </is>
      </c>
      <c r="E828" t="inlineStr">
        <is>
          <t>BRÄCKE</t>
        </is>
      </c>
      <c r="G828" t="n">
        <v>9</v>
      </c>
      <c r="H828" t="n">
        <v>0</v>
      </c>
      <c r="I828" t="n">
        <v>0</v>
      </c>
      <c r="J828" t="n">
        <v>0</v>
      </c>
      <c r="K828" t="n">
        <v>0</v>
      </c>
      <c r="L828" t="n">
        <v>0</v>
      </c>
      <c r="M828" t="n">
        <v>0</v>
      </c>
      <c r="N828" t="n">
        <v>0</v>
      </c>
      <c r="O828" t="n">
        <v>0</v>
      </c>
      <c r="P828" t="n">
        <v>0</v>
      </c>
      <c r="Q828" t="n">
        <v>0</v>
      </c>
      <c r="R828" s="2" t="inlineStr"/>
    </row>
    <row r="829" ht="15" customHeight="1">
      <c r="A829" t="inlineStr">
        <is>
          <t>A 11093-2022</t>
        </is>
      </c>
      <c r="B829" s="1" t="n">
        <v>44628</v>
      </c>
      <c r="C829" s="1" t="n">
        <v>45666</v>
      </c>
      <c r="D829" t="inlineStr">
        <is>
          <t>JÄMTLANDS LÄN</t>
        </is>
      </c>
      <c r="E829" t="inlineStr">
        <is>
          <t>BRÄCKE</t>
        </is>
      </c>
      <c r="G829" t="n">
        <v>16.4</v>
      </c>
      <c r="H829" t="n">
        <v>0</v>
      </c>
      <c r="I829" t="n">
        <v>0</v>
      </c>
      <c r="J829" t="n">
        <v>0</v>
      </c>
      <c r="K829" t="n">
        <v>0</v>
      </c>
      <c r="L829" t="n">
        <v>0</v>
      </c>
      <c r="M829" t="n">
        <v>0</v>
      </c>
      <c r="N829" t="n">
        <v>0</v>
      </c>
      <c r="O829" t="n">
        <v>0</v>
      </c>
      <c r="P829" t="n">
        <v>0</v>
      </c>
      <c r="Q829" t="n">
        <v>0</v>
      </c>
      <c r="R829" s="2" t="inlineStr"/>
    </row>
    <row r="830" ht="15" customHeight="1">
      <c r="A830" t="inlineStr">
        <is>
          <t>A 11313-2022</t>
        </is>
      </c>
      <c r="B830" s="1" t="n">
        <v>44629</v>
      </c>
      <c r="C830" s="1" t="n">
        <v>45666</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12388-2022</t>
        </is>
      </c>
      <c r="B831" s="1" t="n">
        <v>44637</v>
      </c>
      <c r="C831" s="1" t="n">
        <v>45666</v>
      </c>
      <c r="D831" t="inlineStr">
        <is>
          <t>JÄMTLANDS LÄN</t>
        </is>
      </c>
      <c r="E831" t="inlineStr">
        <is>
          <t>BRÄCKE</t>
        </is>
      </c>
      <c r="G831" t="n">
        <v>27.6</v>
      </c>
      <c r="H831" t="n">
        <v>0</v>
      </c>
      <c r="I831" t="n">
        <v>0</v>
      </c>
      <c r="J831" t="n">
        <v>0</v>
      </c>
      <c r="K831" t="n">
        <v>0</v>
      </c>
      <c r="L831" t="n">
        <v>0</v>
      </c>
      <c r="M831" t="n">
        <v>0</v>
      </c>
      <c r="N831" t="n">
        <v>0</v>
      </c>
      <c r="O831" t="n">
        <v>0</v>
      </c>
      <c r="P831" t="n">
        <v>0</v>
      </c>
      <c r="Q831" t="n">
        <v>0</v>
      </c>
      <c r="R831" s="2" t="inlineStr"/>
    </row>
    <row r="832" ht="15" customHeight="1">
      <c r="A832" t="inlineStr">
        <is>
          <t>A 12610-2022</t>
        </is>
      </c>
      <c r="B832" s="1" t="n">
        <v>44638</v>
      </c>
      <c r="C832" s="1" t="n">
        <v>45666</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12601-2022</t>
        </is>
      </c>
      <c r="B833" s="1" t="n">
        <v>44638</v>
      </c>
      <c r="C833" s="1" t="n">
        <v>45666</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13525-2022</t>
        </is>
      </c>
      <c r="B834" s="1" t="n">
        <v>44648</v>
      </c>
      <c r="C834" s="1" t="n">
        <v>45666</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15093-2022</t>
        </is>
      </c>
      <c r="B835" s="1" t="n">
        <v>44657</v>
      </c>
      <c r="C835" s="1" t="n">
        <v>45666</v>
      </c>
      <c r="D835" t="inlineStr">
        <is>
          <t>JÄMTLANDS LÄN</t>
        </is>
      </c>
      <c r="E835" t="inlineStr">
        <is>
          <t>BRÄCKE</t>
        </is>
      </c>
      <c r="F835" t="inlineStr">
        <is>
          <t>SCA</t>
        </is>
      </c>
      <c r="G835" t="n">
        <v>14.4</v>
      </c>
      <c r="H835" t="n">
        <v>0</v>
      </c>
      <c r="I835" t="n">
        <v>0</v>
      </c>
      <c r="J835" t="n">
        <v>0</v>
      </c>
      <c r="K835" t="n">
        <v>0</v>
      </c>
      <c r="L835" t="n">
        <v>0</v>
      </c>
      <c r="M835" t="n">
        <v>0</v>
      </c>
      <c r="N835" t="n">
        <v>0</v>
      </c>
      <c r="O835" t="n">
        <v>0</v>
      </c>
      <c r="P835" t="n">
        <v>0</v>
      </c>
      <c r="Q835" t="n">
        <v>0</v>
      </c>
      <c r="R835" s="2" t="inlineStr"/>
    </row>
    <row r="836" ht="15" customHeight="1">
      <c r="A836" t="inlineStr">
        <is>
          <t>A 16526-2022</t>
        </is>
      </c>
      <c r="B836" s="1" t="n">
        <v>44672</v>
      </c>
      <c r="C836" s="1" t="n">
        <v>45666</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17578-2022</t>
        </is>
      </c>
      <c r="B837" s="1" t="n">
        <v>44679</v>
      </c>
      <c r="C837" s="1" t="n">
        <v>45666</v>
      </c>
      <c r="D837" t="inlineStr">
        <is>
          <t>JÄMTLANDS LÄN</t>
        </is>
      </c>
      <c r="E837" t="inlineStr">
        <is>
          <t>BRÄCKE</t>
        </is>
      </c>
      <c r="G837" t="n">
        <v>5.5</v>
      </c>
      <c r="H837" t="n">
        <v>0</v>
      </c>
      <c r="I837" t="n">
        <v>0</v>
      </c>
      <c r="J837" t="n">
        <v>0</v>
      </c>
      <c r="K837" t="n">
        <v>0</v>
      </c>
      <c r="L837" t="n">
        <v>0</v>
      </c>
      <c r="M837" t="n">
        <v>0</v>
      </c>
      <c r="N837" t="n">
        <v>0</v>
      </c>
      <c r="O837" t="n">
        <v>0</v>
      </c>
      <c r="P837" t="n">
        <v>0</v>
      </c>
      <c r="Q837" t="n">
        <v>0</v>
      </c>
      <c r="R837" s="2" t="inlineStr"/>
    </row>
    <row r="838" ht="15" customHeight="1">
      <c r="A838" t="inlineStr">
        <is>
          <t>A 17577-2022</t>
        </is>
      </c>
      <c r="B838" s="1" t="n">
        <v>44679</v>
      </c>
      <c r="C838" s="1" t="n">
        <v>45666</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17738-2022</t>
        </is>
      </c>
      <c r="B839" s="1" t="n">
        <v>44681</v>
      </c>
      <c r="C839" s="1" t="n">
        <v>45666</v>
      </c>
      <c r="D839" t="inlineStr">
        <is>
          <t>JÄMTLANDS LÄN</t>
        </is>
      </c>
      <c r="E839" t="inlineStr">
        <is>
          <t>BRÄCKE</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17996-2022</t>
        </is>
      </c>
      <c r="B840" s="1" t="n">
        <v>44683</v>
      </c>
      <c r="C840" s="1" t="n">
        <v>45666</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18221-2022</t>
        </is>
      </c>
      <c r="B841" s="1" t="n">
        <v>44685</v>
      </c>
      <c r="C841" s="1" t="n">
        <v>45666</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18371-2022</t>
        </is>
      </c>
      <c r="B842" s="1" t="n">
        <v>44686</v>
      </c>
      <c r="C842" s="1" t="n">
        <v>45666</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18977-2022</t>
        </is>
      </c>
      <c r="B843" s="1" t="n">
        <v>44690</v>
      </c>
      <c r="C843" s="1" t="n">
        <v>45666</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18984-2022</t>
        </is>
      </c>
      <c r="B844" s="1" t="n">
        <v>44690</v>
      </c>
      <c r="C844" s="1" t="n">
        <v>45666</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18975-2022</t>
        </is>
      </c>
      <c r="B845" s="1" t="n">
        <v>44691</v>
      </c>
      <c r="C845" s="1" t="n">
        <v>45666</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18981-2022</t>
        </is>
      </c>
      <c r="B846" s="1" t="n">
        <v>44690</v>
      </c>
      <c r="C846" s="1" t="n">
        <v>45666</v>
      </c>
      <c r="D846" t="inlineStr">
        <is>
          <t>JÄMTLANDS LÄN</t>
        </is>
      </c>
      <c r="E846" t="inlineStr">
        <is>
          <t>BRÄCKE</t>
        </is>
      </c>
      <c r="G846" t="n">
        <v>7.7</v>
      </c>
      <c r="H846" t="n">
        <v>0</v>
      </c>
      <c r="I846" t="n">
        <v>0</v>
      </c>
      <c r="J846" t="n">
        <v>0</v>
      </c>
      <c r="K846" t="n">
        <v>0</v>
      </c>
      <c r="L846" t="n">
        <v>0</v>
      </c>
      <c r="M846" t="n">
        <v>0</v>
      </c>
      <c r="N846" t="n">
        <v>0</v>
      </c>
      <c r="O846" t="n">
        <v>0</v>
      </c>
      <c r="P846" t="n">
        <v>0</v>
      </c>
      <c r="Q846" t="n">
        <v>0</v>
      </c>
      <c r="R846" s="2" t="inlineStr"/>
    </row>
    <row r="847" ht="15" customHeight="1">
      <c r="A847" t="inlineStr">
        <is>
          <t>A 18976-2022</t>
        </is>
      </c>
      <c r="B847" s="1" t="n">
        <v>44691</v>
      </c>
      <c r="C847" s="1" t="n">
        <v>45666</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18982-2022</t>
        </is>
      </c>
      <c r="B848" s="1" t="n">
        <v>44691</v>
      </c>
      <c r="C848" s="1" t="n">
        <v>45666</v>
      </c>
      <c r="D848" t="inlineStr">
        <is>
          <t>JÄMTLANDS LÄN</t>
        </is>
      </c>
      <c r="E848" t="inlineStr">
        <is>
          <t>BRÄCKE</t>
        </is>
      </c>
      <c r="G848" t="n">
        <v>2.8</v>
      </c>
      <c r="H848" t="n">
        <v>0</v>
      </c>
      <c r="I848" t="n">
        <v>0</v>
      </c>
      <c r="J848" t="n">
        <v>0</v>
      </c>
      <c r="K848" t="n">
        <v>0</v>
      </c>
      <c r="L848" t="n">
        <v>0</v>
      </c>
      <c r="M848" t="n">
        <v>0</v>
      </c>
      <c r="N848" t="n">
        <v>0</v>
      </c>
      <c r="O848" t="n">
        <v>0</v>
      </c>
      <c r="P848" t="n">
        <v>0</v>
      </c>
      <c r="Q848" t="n">
        <v>0</v>
      </c>
      <c r="R848" s="2" t="inlineStr"/>
    </row>
    <row r="849" ht="15" customHeight="1">
      <c r="A849" t="inlineStr">
        <is>
          <t>A 19601-2022</t>
        </is>
      </c>
      <c r="B849" s="1" t="n">
        <v>44694</v>
      </c>
      <c r="C849" s="1" t="n">
        <v>45666</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19810-2022</t>
        </is>
      </c>
      <c r="B850" s="1" t="n">
        <v>44695</v>
      </c>
      <c r="C850" s="1" t="n">
        <v>45666</v>
      </c>
      <c r="D850" t="inlineStr">
        <is>
          <t>JÄMTLANDS LÄN</t>
        </is>
      </c>
      <c r="E850" t="inlineStr">
        <is>
          <t>BRÄCKE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20014-2022</t>
        </is>
      </c>
      <c r="B851" s="1" t="n">
        <v>44697</v>
      </c>
      <c r="C851" s="1" t="n">
        <v>45666</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20065-2022</t>
        </is>
      </c>
      <c r="B852" s="1" t="n">
        <v>44698</v>
      </c>
      <c r="C852" s="1" t="n">
        <v>45666</v>
      </c>
      <c r="D852" t="inlineStr">
        <is>
          <t>JÄMTLANDS LÄN</t>
        </is>
      </c>
      <c r="E852" t="inlineStr">
        <is>
          <t>BRÄCKE</t>
        </is>
      </c>
      <c r="G852" t="n">
        <v>33</v>
      </c>
      <c r="H852" t="n">
        <v>0</v>
      </c>
      <c r="I852" t="n">
        <v>0</v>
      </c>
      <c r="J852" t="n">
        <v>0</v>
      </c>
      <c r="K852" t="n">
        <v>0</v>
      </c>
      <c r="L852" t="n">
        <v>0</v>
      </c>
      <c r="M852" t="n">
        <v>0</v>
      </c>
      <c r="N852" t="n">
        <v>0</v>
      </c>
      <c r="O852" t="n">
        <v>0</v>
      </c>
      <c r="P852" t="n">
        <v>0</v>
      </c>
      <c r="Q852" t="n">
        <v>0</v>
      </c>
      <c r="R852" s="2" t="inlineStr"/>
    </row>
    <row r="853" ht="15" customHeight="1">
      <c r="A853" t="inlineStr">
        <is>
          <t>A 20067-2022</t>
        </is>
      </c>
      <c r="B853" s="1" t="n">
        <v>44698</v>
      </c>
      <c r="C853" s="1" t="n">
        <v>45666</v>
      </c>
      <c r="D853" t="inlineStr">
        <is>
          <t>JÄMTLANDS LÄN</t>
        </is>
      </c>
      <c r="E853" t="inlineStr">
        <is>
          <t>BRÄCKE</t>
        </is>
      </c>
      <c r="G853" t="n">
        <v>4.1</v>
      </c>
      <c r="H853" t="n">
        <v>0</v>
      </c>
      <c r="I853" t="n">
        <v>0</v>
      </c>
      <c r="J853" t="n">
        <v>0</v>
      </c>
      <c r="K853" t="n">
        <v>0</v>
      </c>
      <c r="L853" t="n">
        <v>0</v>
      </c>
      <c r="M853" t="n">
        <v>0</v>
      </c>
      <c r="N853" t="n">
        <v>0</v>
      </c>
      <c r="O853" t="n">
        <v>0</v>
      </c>
      <c r="P853" t="n">
        <v>0</v>
      </c>
      <c r="Q853" t="n">
        <v>0</v>
      </c>
      <c r="R853" s="2" t="inlineStr"/>
    </row>
    <row r="854" ht="15" customHeight="1">
      <c r="A854" t="inlineStr">
        <is>
          <t>A 20066-2022</t>
        </is>
      </c>
      <c r="B854" s="1" t="n">
        <v>44697</v>
      </c>
      <c r="C854" s="1" t="n">
        <v>45666</v>
      </c>
      <c r="D854" t="inlineStr">
        <is>
          <t>JÄMTLANDS LÄN</t>
        </is>
      </c>
      <c r="E854" t="inlineStr">
        <is>
          <t>BRÄCKE</t>
        </is>
      </c>
      <c r="G854" t="n">
        <v>41.6</v>
      </c>
      <c r="H854" t="n">
        <v>0</v>
      </c>
      <c r="I854" t="n">
        <v>0</v>
      </c>
      <c r="J854" t="n">
        <v>0</v>
      </c>
      <c r="K854" t="n">
        <v>0</v>
      </c>
      <c r="L854" t="n">
        <v>0</v>
      </c>
      <c r="M854" t="n">
        <v>0</v>
      </c>
      <c r="N854" t="n">
        <v>0</v>
      </c>
      <c r="O854" t="n">
        <v>0</v>
      </c>
      <c r="P854" t="n">
        <v>0</v>
      </c>
      <c r="Q854" t="n">
        <v>0</v>
      </c>
      <c r="R854" s="2" t="inlineStr"/>
    </row>
    <row r="855" ht="15" customHeight="1">
      <c r="A855" t="inlineStr">
        <is>
          <t>A 20069-2022</t>
        </is>
      </c>
      <c r="B855" s="1" t="n">
        <v>44698</v>
      </c>
      <c r="C855" s="1" t="n">
        <v>45666</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20070-2022</t>
        </is>
      </c>
      <c r="B856" s="1" t="n">
        <v>44698</v>
      </c>
      <c r="C856" s="1" t="n">
        <v>45666</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20300-2022</t>
        </is>
      </c>
      <c r="B857" s="1" t="n">
        <v>44699</v>
      </c>
      <c r="C857" s="1" t="n">
        <v>45666</v>
      </c>
      <c r="D857" t="inlineStr">
        <is>
          <t>JÄMTLANDS LÄN</t>
        </is>
      </c>
      <c r="E857" t="inlineStr">
        <is>
          <t>BRÄCKE</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20399-2022</t>
        </is>
      </c>
      <c r="B858" s="1" t="n">
        <v>44699</v>
      </c>
      <c r="C858" s="1" t="n">
        <v>45666</v>
      </c>
      <c r="D858" t="inlineStr">
        <is>
          <t>JÄMTLANDS LÄN</t>
        </is>
      </c>
      <c r="E858" t="inlineStr">
        <is>
          <t>BRÄCKE</t>
        </is>
      </c>
      <c r="F858" t="inlineStr">
        <is>
          <t>Övriga Aktiebolag</t>
        </is>
      </c>
      <c r="G858" t="n">
        <v>20.9</v>
      </c>
      <c r="H858" t="n">
        <v>0</v>
      </c>
      <c r="I858" t="n">
        <v>0</v>
      </c>
      <c r="J858" t="n">
        <v>0</v>
      </c>
      <c r="K858" t="n">
        <v>0</v>
      </c>
      <c r="L858" t="n">
        <v>0</v>
      </c>
      <c r="M858" t="n">
        <v>0</v>
      </c>
      <c r="N858" t="n">
        <v>0</v>
      </c>
      <c r="O858" t="n">
        <v>0</v>
      </c>
      <c r="P858" t="n">
        <v>0</v>
      </c>
      <c r="Q858" t="n">
        <v>0</v>
      </c>
      <c r="R858" s="2" t="inlineStr"/>
    </row>
    <row r="859" ht="15" customHeight="1">
      <c r="A859" t="inlineStr">
        <is>
          <t>A 20667-2022</t>
        </is>
      </c>
      <c r="B859" s="1" t="n">
        <v>44700</v>
      </c>
      <c r="C859" s="1" t="n">
        <v>45666</v>
      </c>
      <c r="D859" t="inlineStr">
        <is>
          <t>JÄMTLANDS LÄN</t>
        </is>
      </c>
      <c r="E859" t="inlineStr">
        <is>
          <t>BRÄCKE</t>
        </is>
      </c>
      <c r="G859" t="n">
        <v>13.8</v>
      </c>
      <c r="H859" t="n">
        <v>0</v>
      </c>
      <c r="I859" t="n">
        <v>0</v>
      </c>
      <c r="J859" t="n">
        <v>0</v>
      </c>
      <c r="K859" t="n">
        <v>0</v>
      </c>
      <c r="L859" t="n">
        <v>0</v>
      </c>
      <c r="M859" t="n">
        <v>0</v>
      </c>
      <c r="N859" t="n">
        <v>0</v>
      </c>
      <c r="O859" t="n">
        <v>0</v>
      </c>
      <c r="P859" t="n">
        <v>0</v>
      </c>
      <c r="Q859" t="n">
        <v>0</v>
      </c>
      <c r="R859" s="2" t="inlineStr"/>
    </row>
    <row r="860" ht="15" customHeight="1">
      <c r="A860" t="inlineStr">
        <is>
          <t>A 20718-2022</t>
        </is>
      </c>
      <c r="B860" s="1" t="n">
        <v>44700</v>
      </c>
      <c r="C860" s="1" t="n">
        <v>45666</v>
      </c>
      <c r="D860" t="inlineStr">
        <is>
          <t>JÄMTLANDS LÄN</t>
        </is>
      </c>
      <c r="E860" t="inlineStr">
        <is>
          <t>BRÄCKE</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20727-2022</t>
        </is>
      </c>
      <c r="B861" s="1" t="n">
        <v>44700</v>
      </c>
      <c r="C861" s="1" t="n">
        <v>45666</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21655-2022</t>
        </is>
      </c>
      <c r="B862" s="1" t="n">
        <v>44707</v>
      </c>
      <c r="C862" s="1" t="n">
        <v>45666</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21656-2022</t>
        </is>
      </c>
      <c r="B863" s="1" t="n">
        <v>44707</v>
      </c>
      <c r="C863" s="1" t="n">
        <v>45666</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21722-2022</t>
        </is>
      </c>
      <c r="B864" s="1" t="n">
        <v>44706</v>
      </c>
      <c r="C864" s="1" t="n">
        <v>45666</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21654-2022</t>
        </is>
      </c>
      <c r="B865" s="1" t="n">
        <v>44707</v>
      </c>
      <c r="C865" s="1" t="n">
        <v>45666</v>
      </c>
      <c r="D865" t="inlineStr">
        <is>
          <t>JÄMTLANDS LÄN</t>
        </is>
      </c>
      <c r="E865" t="inlineStr">
        <is>
          <t>BRÄCKE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21717-2022</t>
        </is>
      </c>
      <c r="B866" s="1" t="n">
        <v>44708</v>
      </c>
      <c r="C866" s="1" t="n">
        <v>45666</v>
      </c>
      <c r="D866" t="inlineStr">
        <is>
          <t>JÄMTLANDS LÄN</t>
        </is>
      </c>
      <c r="E866" t="inlineStr">
        <is>
          <t>BRÄCKE</t>
        </is>
      </c>
      <c r="G866" t="n">
        <v>10.8</v>
      </c>
      <c r="H866" t="n">
        <v>0</v>
      </c>
      <c r="I866" t="n">
        <v>0</v>
      </c>
      <c r="J866" t="n">
        <v>0</v>
      </c>
      <c r="K866" t="n">
        <v>0</v>
      </c>
      <c r="L866" t="n">
        <v>0</v>
      </c>
      <c r="M866" t="n">
        <v>0</v>
      </c>
      <c r="N866" t="n">
        <v>0</v>
      </c>
      <c r="O866" t="n">
        <v>0</v>
      </c>
      <c r="P866" t="n">
        <v>0</v>
      </c>
      <c r="Q866" t="n">
        <v>0</v>
      </c>
      <c r="R866" s="2" t="inlineStr"/>
    </row>
    <row r="867" ht="15" customHeight="1">
      <c r="A867" t="inlineStr">
        <is>
          <t>A 22094-2022</t>
        </is>
      </c>
      <c r="B867" s="1" t="n">
        <v>44712</v>
      </c>
      <c r="C867" s="1" t="n">
        <v>45666</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22095-2022</t>
        </is>
      </c>
      <c r="B868" s="1" t="n">
        <v>44712</v>
      </c>
      <c r="C868" s="1" t="n">
        <v>45666</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22612-2022</t>
        </is>
      </c>
      <c r="B869" s="1" t="n">
        <v>44714</v>
      </c>
      <c r="C869" s="1" t="n">
        <v>45666</v>
      </c>
      <c r="D869" t="inlineStr">
        <is>
          <t>JÄMTLANDS LÄN</t>
        </is>
      </c>
      <c r="E869" t="inlineStr">
        <is>
          <t>BRÄCKE</t>
        </is>
      </c>
      <c r="G869" t="n">
        <v>6.3</v>
      </c>
      <c r="H869" t="n">
        <v>0</v>
      </c>
      <c r="I869" t="n">
        <v>0</v>
      </c>
      <c r="J869" t="n">
        <v>0</v>
      </c>
      <c r="K869" t="n">
        <v>0</v>
      </c>
      <c r="L869" t="n">
        <v>0</v>
      </c>
      <c r="M869" t="n">
        <v>0</v>
      </c>
      <c r="N869" t="n">
        <v>0</v>
      </c>
      <c r="O869" t="n">
        <v>0</v>
      </c>
      <c r="P869" t="n">
        <v>0</v>
      </c>
      <c r="Q869" t="n">
        <v>0</v>
      </c>
      <c r="R869" s="2" t="inlineStr"/>
    </row>
    <row r="870" ht="15" customHeight="1">
      <c r="A870" t="inlineStr">
        <is>
          <t>A 22702-2022</t>
        </is>
      </c>
      <c r="B870" s="1" t="n">
        <v>44714</v>
      </c>
      <c r="C870" s="1" t="n">
        <v>45666</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23426-2022</t>
        </is>
      </c>
      <c r="B871" s="1" t="n">
        <v>44720</v>
      </c>
      <c r="C871" s="1" t="n">
        <v>45666</v>
      </c>
      <c r="D871" t="inlineStr">
        <is>
          <t>JÄMTLANDS LÄN</t>
        </is>
      </c>
      <c r="E871" t="inlineStr">
        <is>
          <t>BRÄCKE</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23427-2022</t>
        </is>
      </c>
      <c r="B872" s="1" t="n">
        <v>44721</v>
      </c>
      <c r="C872" s="1" t="n">
        <v>45666</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23444-2022</t>
        </is>
      </c>
      <c r="B873" s="1" t="n">
        <v>44721</v>
      </c>
      <c r="C873" s="1" t="n">
        <v>45666</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23441-2022</t>
        </is>
      </c>
      <c r="B874" s="1" t="n">
        <v>44721</v>
      </c>
      <c r="C874" s="1" t="n">
        <v>45666</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23433-2022</t>
        </is>
      </c>
      <c r="B875" s="1" t="n">
        <v>44720</v>
      </c>
      <c r="C875" s="1" t="n">
        <v>45666</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23443-2022</t>
        </is>
      </c>
      <c r="B876" s="1" t="n">
        <v>44721</v>
      </c>
      <c r="C876" s="1" t="n">
        <v>45666</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23687-2022</t>
        </is>
      </c>
      <c r="B877" s="1" t="n">
        <v>44721</v>
      </c>
      <c r="C877" s="1" t="n">
        <v>45666</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24056-2022</t>
        </is>
      </c>
      <c r="B878" s="1" t="n">
        <v>44725</v>
      </c>
      <c r="C878" s="1" t="n">
        <v>45666</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24055-2022</t>
        </is>
      </c>
      <c r="B879" s="1" t="n">
        <v>44725</v>
      </c>
      <c r="C879" s="1" t="n">
        <v>45666</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24054-2022</t>
        </is>
      </c>
      <c r="B880" s="1" t="n">
        <v>44725</v>
      </c>
      <c r="C880" s="1" t="n">
        <v>45666</v>
      </c>
      <c r="D880" t="inlineStr">
        <is>
          <t>JÄMTLANDS LÄN</t>
        </is>
      </c>
      <c r="E880" t="inlineStr">
        <is>
          <t>BRÄCKE</t>
        </is>
      </c>
      <c r="G880" t="n">
        <v>5.5</v>
      </c>
      <c r="H880" t="n">
        <v>0</v>
      </c>
      <c r="I880" t="n">
        <v>0</v>
      </c>
      <c r="J880" t="n">
        <v>0</v>
      </c>
      <c r="K880" t="n">
        <v>0</v>
      </c>
      <c r="L880" t="n">
        <v>0</v>
      </c>
      <c r="M880" t="n">
        <v>0</v>
      </c>
      <c r="N880" t="n">
        <v>0</v>
      </c>
      <c r="O880" t="n">
        <v>0</v>
      </c>
      <c r="P880" t="n">
        <v>0</v>
      </c>
      <c r="Q880" t="n">
        <v>0</v>
      </c>
      <c r="R880" s="2" t="inlineStr"/>
    </row>
    <row r="881" ht="15" customHeight="1">
      <c r="A881" t="inlineStr">
        <is>
          <t>A 24053-2022</t>
        </is>
      </c>
      <c r="B881" s="1" t="n">
        <v>44725</v>
      </c>
      <c r="C881" s="1" t="n">
        <v>45666</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24531-2022</t>
        </is>
      </c>
      <c r="B882" s="1" t="n">
        <v>44726</v>
      </c>
      <c r="C882" s="1" t="n">
        <v>45666</v>
      </c>
      <c r="D882" t="inlineStr">
        <is>
          <t>JÄMTLANDS LÄN</t>
        </is>
      </c>
      <c r="E882" t="inlineStr">
        <is>
          <t>BRÄCKE</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24718-2022</t>
        </is>
      </c>
      <c r="B883" s="1" t="n">
        <v>44728</v>
      </c>
      <c r="C883" s="1" t="n">
        <v>45666</v>
      </c>
      <c r="D883" t="inlineStr">
        <is>
          <t>JÄMTLANDS LÄN</t>
        </is>
      </c>
      <c r="E883" t="inlineStr">
        <is>
          <t>BRÄCKE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24717-2022</t>
        </is>
      </c>
      <c r="B884" s="1" t="n">
        <v>44727</v>
      </c>
      <c r="C884" s="1" t="n">
        <v>45666</v>
      </c>
      <c r="D884" t="inlineStr">
        <is>
          <t>JÄMTLANDS LÄN</t>
        </is>
      </c>
      <c r="E884" t="inlineStr">
        <is>
          <t>BRÄCKE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24726-2022</t>
        </is>
      </c>
      <c r="B885" s="1" t="n">
        <v>44727</v>
      </c>
      <c r="C885" s="1" t="n">
        <v>45666</v>
      </c>
      <c r="D885" t="inlineStr">
        <is>
          <t>JÄMTLANDS LÄN</t>
        </is>
      </c>
      <c r="E885" t="inlineStr">
        <is>
          <t>BRÄCKE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25150-2022</t>
        </is>
      </c>
      <c r="B886" s="1" t="n">
        <v>44729</v>
      </c>
      <c r="C886" s="1" t="n">
        <v>45666</v>
      </c>
      <c r="D886" t="inlineStr">
        <is>
          <t>JÄMTLANDS LÄN</t>
        </is>
      </c>
      <c r="E886" t="inlineStr">
        <is>
          <t>BRÄCKE</t>
        </is>
      </c>
      <c r="F886" t="inlineStr">
        <is>
          <t>Övriga Aktiebolag</t>
        </is>
      </c>
      <c r="G886" t="n">
        <v>10.4</v>
      </c>
      <c r="H886" t="n">
        <v>0</v>
      </c>
      <c r="I886" t="n">
        <v>0</v>
      </c>
      <c r="J886" t="n">
        <v>0</v>
      </c>
      <c r="K886" t="n">
        <v>0</v>
      </c>
      <c r="L886" t="n">
        <v>0</v>
      </c>
      <c r="M886" t="n">
        <v>0</v>
      </c>
      <c r="N886" t="n">
        <v>0</v>
      </c>
      <c r="O886" t="n">
        <v>0</v>
      </c>
      <c r="P886" t="n">
        <v>0</v>
      </c>
      <c r="Q886" t="n">
        <v>0</v>
      </c>
      <c r="R886" s="2" t="inlineStr"/>
    </row>
    <row r="887" ht="15" customHeight="1">
      <c r="A887" t="inlineStr">
        <is>
          <t>A 25177-2022</t>
        </is>
      </c>
      <c r="B887" s="1" t="n">
        <v>44729</v>
      </c>
      <c r="C887" s="1" t="n">
        <v>45666</v>
      </c>
      <c r="D887" t="inlineStr">
        <is>
          <t>JÄMTLANDS LÄN</t>
        </is>
      </c>
      <c r="E887" t="inlineStr">
        <is>
          <t>BRÄCKE</t>
        </is>
      </c>
      <c r="F887" t="inlineStr">
        <is>
          <t>Övriga Aktiebolag</t>
        </is>
      </c>
      <c r="G887" t="n">
        <v>22.1</v>
      </c>
      <c r="H887" t="n">
        <v>0</v>
      </c>
      <c r="I887" t="n">
        <v>0</v>
      </c>
      <c r="J887" t="n">
        <v>0</v>
      </c>
      <c r="K887" t="n">
        <v>0</v>
      </c>
      <c r="L887" t="n">
        <v>0</v>
      </c>
      <c r="M887" t="n">
        <v>0</v>
      </c>
      <c r="N887" t="n">
        <v>0</v>
      </c>
      <c r="O887" t="n">
        <v>0</v>
      </c>
      <c r="P887" t="n">
        <v>0</v>
      </c>
      <c r="Q887" t="n">
        <v>0</v>
      </c>
      <c r="R887" s="2" t="inlineStr"/>
    </row>
    <row r="888" ht="15" customHeight="1">
      <c r="A888" t="inlineStr">
        <is>
          <t>A 25192-2022</t>
        </is>
      </c>
      <c r="B888" s="1" t="n">
        <v>44729</v>
      </c>
      <c r="C888" s="1" t="n">
        <v>45666</v>
      </c>
      <c r="D888" t="inlineStr">
        <is>
          <t>JÄMTLANDS LÄN</t>
        </is>
      </c>
      <c r="E888" t="inlineStr">
        <is>
          <t>BRÄCKE</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25883-2022</t>
        </is>
      </c>
      <c r="B889" s="1" t="n">
        <v>44733</v>
      </c>
      <c r="C889" s="1" t="n">
        <v>45666</v>
      </c>
      <c r="D889" t="inlineStr">
        <is>
          <t>JÄMTLANDS LÄN</t>
        </is>
      </c>
      <c r="E889" t="inlineStr">
        <is>
          <t>BRÄCKE</t>
        </is>
      </c>
      <c r="F889" t="inlineStr">
        <is>
          <t>Övriga Aktiebolag</t>
        </is>
      </c>
      <c r="G889" t="n">
        <v>23.4</v>
      </c>
      <c r="H889" t="n">
        <v>0</v>
      </c>
      <c r="I889" t="n">
        <v>0</v>
      </c>
      <c r="J889" t="n">
        <v>0</v>
      </c>
      <c r="K889" t="n">
        <v>0</v>
      </c>
      <c r="L889" t="n">
        <v>0</v>
      </c>
      <c r="M889" t="n">
        <v>0</v>
      </c>
      <c r="N889" t="n">
        <v>0</v>
      </c>
      <c r="O889" t="n">
        <v>0</v>
      </c>
      <c r="P889" t="n">
        <v>0</v>
      </c>
      <c r="Q889" t="n">
        <v>0</v>
      </c>
      <c r="R889" s="2" t="inlineStr"/>
    </row>
    <row r="890" ht="15" customHeight="1">
      <c r="A890" t="inlineStr">
        <is>
          <t>A 26139-2022</t>
        </is>
      </c>
      <c r="B890" s="1" t="n">
        <v>44734</v>
      </c>
      <c r="C890" s="1" t="n">
        <v>45666</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26138-2022</t>
        </is>
      </c>
      <c r="B891" s="1" t="n">
        <v>44734</v>
      </c>
      <c r="C891" s="1" t="n">
        <v>45666</v>
      </c>
      <c r="D891" t="inlineStr">
        <is>
          <t>JÄMTLANDS LÄN</t>
        </is>
      </c>
      <c r="E891" t="inlineStr">
        <is>
          <t>BRÄCKE</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26437-2022</t>
        </is>
      </c>
      <c r="B892" s="1" t="n">
        <v>44737</v>
      </c>
      <c r="C892" s="1" t="n">
        <v>45666</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26445-2022</t>
        </is>
      </c>
      <c r="B893" s="1" t="n">
        <v>44738</v>
      </c>
      <c r="C893" s="1" t="n">
        <v>45666</v>
      </c>
      <c r="D893" t="inlineStr">
        <is>
          <t>JÄMTLANDS LÄN</t>
        </is>
      </c>
      <c r="E893" t="inlineStr">
        <is>
          <t>BRÄCKE</t>
        </is>
      </c>
      <c r="F893" t="inlineStr">
        <is>
          <t>SCA</t>
        </is>
      </c>
      <c r="G893" t="n">
        <v>62.5</v>
      </c>
      <c r="H893" t="n">
        <v>0</v>
      </c>
      <c r="I893" t="n">
        <v>0</v>
      </c>
      <c r="J893" t="n">
        <v>0</v>
      </c>
      <c r="K893" t="n">
        <v>0</v>
      </c>
      <c r="L893" t="n">
        <v>0</v>
      </c>
      <c r="M893" t="n">
        <v>0</v>
      </c>
      <c r="N893" t="n">
        <v>0</v>
      </c>
      <c r="O893" t="n">
        <v>0</v>
      </c>
      <c r="P893" t="n">
        <v>0</v>
      </c>
      <c r="Q893" t="n">
        <v>0</v>
      </c>
      <c r="R893" s="2" t="inlineStr"/>
    </row>
    <row r="894" ht="15" customHeight="1">
      <c r="A894" t="inlineStr">
        <is>
          <t>A 26444-2022</t>
        </is>
      </c>
      <c r="B894" s="1" t="n">
        <v>44739</v>
      </c>
      <c r="C894" s="1" t="n">
        <v>45666</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26458-2022</t>
        </is>
      </c>
      <c r="B895" s="1" t="n">
        <v>44739</v>
      </c>
      <c r="C895" s="1" t="n">
        <v>45666</v>
      </c>
      <c r="D895" t="inlineStr">
        <is>
          <t>JÄMTLANDS LÄN</t>
        </is>
      </c>
      <c r="E895" t="inlineStr">
        <is>
          <t>BRÄCKE</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26750-2022</t>
        </is>
      </c>
      <c r="B896" s="1" t="n">
        <v>44740</v>
      </c>
      <c r="C896" s="1" t="n">
        <v>45666</v>
      </c>
      <c r="D896" t="inlineStr">
        <is>
          <t>JÄMTLANDS LÄN</t>
        </is>
      </c>
      <c r="E896" t="inlineStr">
        <is>
          <t>BRÄCKE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26751-2022</t>
        </is>
      </c>
      <c r="B897" s="1" t="n">
        <v>44739</v>
      </c>
      <c r="C897" s="1" t="n">
        <v>45666</v>
      </c>
      <c r="D897" t="inlineStr">
        <is>
          <t>JÄMTLANDS LÄN</t>
        </is>
      </c>
      <c r="E897" t="inlineStr">
        <is>
          <t>BRÄCKE</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27351-2022</t>
        </is>
      </c>
      <c r="B898" s="1" t="n">
        <v>44742</v>
      </c>
      <c r="C898" s="1" t="n">
        <v>45666</v>
      </c>
      <c r="D898" t="inlineStr">
        <is>
          <t>JÄMTLANDS LÄN</t>
        </is>
      </c>
      <c r="E898" t="inlineStr">
        <is>
          <t>BRÄCKE</t>
        </is>
      </c>
      <c r="G898" t="n">
        <v>2</v>
      </c>
      <c r="H898" t="n">
        <v>0</v>
      </c>
      <c r="I898" t="n">
        <v>0</v>
      </c>
      <c r="J898" t="n">
        <v>0</v>
      </c>
      <c r="K898" t="n">
        <v>0</v>
      </c>
      <c r="L898" t="n">
        <v>0</v>
      </c>
      <c r="M898" t="n">
        <v>0</v>
      </c>
      <c r="N898" t="n">
        <v>0</v>
      </c>
      <c r="O898" t="n">
        <v>0</v>
      </c>
      <c r="P898" t="n">
        <v>0</v>
      </c>
      <c r="Q898" t="n">
        <v>0</v>
      </c>
      <c r="R898" s="2" t="inlineStr"/>
    </row>
    <row r="899" ht="15" customHeight="1">
      <c r="A899" t="inlineStr">
        <is>
          <t>A 28285-2022</t>
        </is>
      </c>
      <c r="B899" s="1" t="n">
        <v>44746</v>
      </c>
      <c r="C899" s="1" t="n">
        <v>45666</v>
      </c>
      <c r="D899" t="inlineStr">
        <is>
          <t>JÄMTLANDS LÄN</t>
        </is>
      </c>
      <c r="E899" t="inlineStr">
        <is>
          <t>BRÄCKE</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28296-2022</t>
        </is>
      </c>
      <c r="B900" s="1" t="n">
        <v>44747</v>
      </c>
      <c r="C900" s="1" t="n">
        <v>45666</v>
      </c>
      <c r="D900" t="inlineStr">
        <is>
          <t>JÄMTLANDS LÄN</t>
        </is>
      </c>
      <c r="E900" t="inlineStr">
        <is>
          <t>BRÄCKE</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28738-2022</t>
        </is>
      </c>
      <c r="B901" s="1" t="n">
        <v>44749</v>
      </c>
      <c r="C901" s="1" t="n">
        <v>45666</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29325-2022</t>
        </is>
      </c>
      <c r="B902" s="1" t="n">
        <v>44752</v>
      </c>
      <c r="C902" s="1" t="n">
        <v>45666</v>
      </c>
      <c r="D902" t="inlineStr">
        <is>
          <t>JÄMTLANDS LÄN</t>
        </is>
      </c>
      <c r="E902" t="inlineStr">
        <is>
          <t>BRÄCKE</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29821-2022</t>
        </is>
      </c>
      <c r="B903" s="1" t="n">
        <v>44756</v>
      </c>
      <c r="C903" s="1" t="n">
        <v>45666</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29835-2022</t>
        </is>
      </c>
      <c r="B904" s="1" t="n">
        <v>44756</v>
      </c>
      <c r="C904" s="1" t="n">
        <v>45666</v>
      </c>
      <c r="D904" t="inlineStr">
        <is>
          <t>JÄMTLANDS LÄN</t>
        </is>
      </c>
      <c r="E904" t="inlineStr">
        <is>
          <t>BRÄCKE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29820-2022</t>
        </is>
      </c>
      <c r="B905" s="1" t="n">
        <v>44756</v>
      </c>
      <c r="C905" s="1" t="n">
        <v>45666</v>
      </c>
      <c r="D905" t="inlineStr">
        <is>
          <t>JÄMTLANDS LÄN</t>
        </is>
      </c>
      <c r="E905" t="inlineStr">
        <is>
          <t>BRÄCKE</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29819-2022</t>
        </is>
      </c>
      <c r="B906" s="1" t="n">
        <v>44755</v>
      </c>
      <c r="C906" s="1" t="n">
        <v>45666</v>
      </c>
      <c r="D906" t="inlineStr">
        <is>
          <t>JÄMTLANDS LÄN</t>
        </is>
      </c>
      <c r="E906" t="inlineStr">
        <is>
          <t>BRÄCKE</t>
        </is>
      </c>
      <c r="F906" t="inlineStr">
        <is>
          <t>SCA</t>
        </is>
      </c>
      <c r="G906" t="n">
        <v>28.8</v>
      </c>
      <c r="H906" t="n">
        <v>0</v>
      </c>
      <c r="I906" t="n">
        <v>0</v>
      </c>
      <c r="J906" t="n">
        <v>0</v>
      </c>
      <c r="K906" t="n">
        <v>0</v>
      </c>
      <c r="L906" t="n">
        <v>0</v>
      </c>
      <c r="M906" t="n">
        <v>0</v>
      </c>
      <c r="N906" t="n">
        <v>0</v>
      </c>
      <c r="O906" t="n">
        <v>0</v>
      </c>
      <c r="P906" t="n">
        <v>0</v>
      </c>
      <c r="Q906" t="n">
        <v>0</v>
      </c>
      <c r="R906" s="2" t="inlineStr"/>
    </row>
    <row r="907" ht="15" customHeight="1">
      <c r="A907" t="inlineStr">
        <is>
          <t>A 30258-2022</t>
        </is>
      </c>
      <c r="B907" s="1" t="n">
        <v>44759</v>
      </c>
      <c r="C907" s="1" t="n">
        <v>45666</v>
      </c>
      <c r="D907" t="inlineStr">
        <is>
          <t>JÄMTLANDS LÄN</t>
        </is>
      </c>
      <c r="E907" t="inlineStr">
        <is>
          <t>BRÄCKE</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30479-2022</t>
        </is>
      </c>
      <c r="B908" s="1" t="n">
        <v>44762</v>
      </c>
      <c r="C908" s="1" t="n">
        <v>45666</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30490-2022</t>
        </is>
      </c>
      <c r="B909" s="1" t="n">
        <v>44761</v>
      </c>
      <c r="C909" s="1" t="n">
        <v>45666</v>
      </c>
      <c r="D909" t="inlineStr">
        <is>
          <t>JÄMTLANDS LÄN</t>
        </is>
      </c>
      <c r="E909" t="inlineStr">
        <is>
          <t>BRÄCKE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30478-2022</t>
        </is>
      </c>
      <c r="B910" s="1" t="n">
        <v>44761</v>
      </c>
      <c r="C910" s="1" t="n">
        <v>45666</v>
      </c>
      <c r="D910" t="inlineStr">
        <is>
          <t>JÄMTLANDS LÄN</t>
        </is>
      </c>
      <c r="E910" t="inlineStr">
        <is>
          <t>BRÄCKE</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30483-2022</t>
        </is>
      </c>
      <c r="B911" s="1" t="n">
        <v>44762</v>
      </c>
      <c r="C911" s="1" t="n">
        <v>45666</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30480-2022</t>
        </is>
      </c>
      <c r="B912" s="1" t="n">
        <v>44762</v>
      </c>
      <c r="C912" s="1" t="n">
        <v>45666</v>
      </c>
      <c r="D912" t="inlineStr">
        <is>
          <t>JÄMTLANDS LÄN</t>
        </is>
      </c>
      <c r="E912" t="inlineStr">
        <is>
          <t>BRÄCKE</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30603-2022</t>
        </is>
      </c>
      <c r="B913" s="1" t="n">
        <v>44763</v>
      </c>
      <c r="C913" s="1" t="n">
        <v>45666</v>
      </c>
      <c r="D913" t="inlineStr">
        <is>
          <t>JÄMTLANDS LÄN</t>
        </is>
      </c>
      <c r="E913" t="inlineStr">
        <is>
          <t>BRÄCKE</t>
        </is>
      </c>
      <c r="F913" t="inlineStr">
        <is>
          <t>SCA</t>
        </is>
      </c>
      <c r="G913" t="n">
        <v>18.6</v>
      </c>
      <c r="H913" t="n">
        <v>0</v>
      </c>
      <c r="I913" t="n">
        <v>0</v>
      </c>
      <c r="J913" t="n">
        <v>0</v>
      </c>
      <c r="K913" t="n">
        <v>0</v>
      </c>
      <c r="L913" t="n">
        <v>0</v>
      </c>
      <c r="M913" t="n">
        <v>0</v>
      </c>
      <c r="N913" t="n">
        <v>0</v>
      </c>
      <c r="O913" t="n">
        <v>0</v>
      </c>
      <c r="P913" t="n">
        <v>0</v>
      </c>
      <c r="Q913" t="n">
        <v>0</v>
      </c>
      <c r="R913" s="2" t="inlineStr"/>
    </row>
    <row r="914" ht="15" customHeight="1">
      <c r="A914" t="inlineStr">
        <is>
          <t>A 30604-2022</t>
        </is>
      </c>
      <c r="B914" s="1" t="n">
        <v>44763</v>
      </c>
      <c r="C914" s="1" t="n">
        <v>45666</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30719-2022</t>
        </is>
      </c>
      <c r="B915" s="1" t="n">
        <v>44764</v>
      </c>
      <c r="C915" s="1" t="n">
        <v>45666</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30810-2022</t>
        </is>
      </c>
      <c r="B916" s="1" t="n">
        <v>44765</v>
      </c>
      <c r="C916" s="1" t="n">
        <v>45666</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30811-2022</t>
        </is>
      </c>
      <c r="B917" s="1" t="n">
        <v>44764</v>
      </c>
      <c r="C917" s="1" t="n">
        <v>45666</v>
      </c>
      <c r="D917" t="inlineStr">
        <is>
          <t>JÄMTLANDS LÄN</t>
        </is>
      </c>
      <c r="E917" t="inlineStr">
        <is>
          <t>BRÄCKE</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31467-2022</t>
        </is>
      </c>
      <c r="B918" s="1" t="n">
        <v>44774</v>
      </c>
      <c r="C918" s="1" t="n">
        <v>45666</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31466-2022</t>
        </is>
      </c>
      <c r="B919" s="1" t="n">
        <v>44774</v>
      </c>
      <c r="C919" s="1" t="n">
        <v>45666</v>
      </c>
      <c r="D919" t="inlineStr">
        <is>
          <t>JÄMTLANDS LÄN</t>
        </is>
      </c>
      <c r="E919" t="inlineStr">
        <is>
          <t>BRÄCKE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31521-2022</t>
        </is>
      </c>
      <c r="B920" s="1" t="n">
        <v>44775</v>
      </c>
      <c r="C920" s="1" t="n">
        <v>45666</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31520-2022</t>
        </is>
      </c>
      <c r="B921" s="1" t="n">
        <v>44775</v>
      </c>
      <c r="C921" s="1" t="n">
        <v>45666</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31516-2022</t>
        </is>
      </c>
      <c r="B922" s="1" t="n">
        <v>44775</v>
      </c>
      <c r="C922" s="1" t="n">
        <v>45666</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31844-2022</t>
        </is>
      </c>
      <c r="B923" s="1" t="n">
        <v>44777</v>
      </c>
      <c r="C923" s="1" t="n">
        <v>45666</v>
      </c>
      <c r="D923" t="inlineStr">
        <is>
          <t>JÄMTLANDS LÄN</t>
        </is>
      </c>
      <c r="E923" t="inlineStr">
        <is>
          <t>BRÄCKE</t>
        </is>
      </c>
      <c r="G923" t="n">
        <v>13.7</v>
      </c>
      <c r="H923" t="n">
        <v>0</v>
      </c>
      <c r="I923" t="n">
        <v>0</v>
      </c>
      <c r="J923" t="n">
        <v>0</v>
      </c>
      <c r="K923" t="n">
        <v>0</v>
      </c>
      <c r="L923" t="n">
        <v>0</v>
      </c>
      <c r="M923" t="n">
        <v>0</v>
      </c>
      <c r="N923" t="n">
        <v>0</v>
      </c>
      <c r="O923" t="n">
        <v>0</v>
      </c>
      <c r="P923" t="n">
        <v>0</v>
      </c>
      <c r="Q923" t="n">
        <v>0</v>
      </c>
      <c r="R923" s="2" t="inlineStr"/>
    </row>
    <row r="924" ht="15" customHeight="1">
      <c r="A924" t="inlineStr">
        <is>
          <t>A 31853-2022</t>
        </is>
      </c>
      <c r="B924" s="1" t="n">
        <v>44776</v>
      </c>
      <c r="C924" s="1" t="n">
        <v>45666</v>
      </c>
      <c r="D924" t="inlineStr">
        <is>
          <t>JÄMTLANDS LÄN</t>
        </is>
      </c>
      <c r="E924" t="inlineStr">
        <is>
          <t>BRÄCKE</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31843-2022</t>
        </is>
      </c>
      <c r="B925" s="1" t="n">
        <v>44777</v>
      </c>
      <c r="C925" s="1" t="n">
        <v>45666</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31978-2022</t>
        </is>
      </c>
      <c r="B926" s="1" t="n">
        <v>44778</v>
      </c>
      <c r="C926" s="1" t="n">
        <v>45666</v>
      </c>
      <c r="D926" t="inlineStr">
        <is>
          <t>JÄMTLANDS LÄN</t>
        </is>
      </c>
      <c r="E926" t="inlineStr">
        <is>
          <t>BRÄCKE</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31982-2022</t>
        </is>
      </c>
      <c r="B927" s="1" t="n">
        <v>44778</v>
      </c>
      <c r="C927" s="1" t="n">
        <v>45666</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31980-2022</t>
        </is>
      </c>
      <c r="B928" s="1" t="n">
        <v>44777</v>
      </c>
      <c r="C928" s="1" t="n">
        <v>45666</v>
      </c>
      <c r="D928" t="inlineStr">
        <is>
          <t>JÄMTLANDS LÄN</t>
        </is>
      </c>
      <c r="E928" t="inlineStr">
        <is>
          <t>BRÄCKE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32141-2022</t>
        </is>
      </c>
      <c r="B929" s="1" t="n">
        <v>44779</v>
      </c>
      <c r="C929" s="1" t="n">
        <v>45666</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32533-2022</t>
        </is>
      </c>
      <c r="B930" s="1" t="n">
        <v>44783</v>
      </c>
      <c r="C930" s="1" t="n">
        <v>45666</v>
      </c>
      <c r="D930" t="inlineStr">
        <is>
          <t>JÄMTLANDS LÄN</t>
        </is>
      </c>
      <c r="E930" t="inlineStr">
        <is>
          <t>BRÄCKE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32964-2022</t>
        </is>
      </c>
      <c r="B931" s="1" t="n">
        <v>44785</v>
      </c>
      <c r="C931" s="1" t="n">
        <v>45666</v>
      </c>
      <c r="D931" t="inlineStr">
        <is>
          <t>JÄMTLANDS LÄN</t>
        </is>
      </c>
      <c r="E931" t="inlineStr">
        <is>
          <t>BRÄCKE</t>
        </is>
      </c>
      <c r="G931" t="n">
        <v>2.6</v>
      </c>
      <c r="H931" t="n">
        <v>0</v>
      </c>
      <c r="I931" t="n">
        <v>0</v>
      </c>
      <c r="J931" t="n">
        <v>0</v>
      </c>
      <c r="K931" t="n">
        <v>0</v>
      </c>
      <c r="L931" t="n">
        <v>0</v>
      </c>
      <c r="M931" t="n">
        <v>0</v>
      </c>
      <c r="N931" t="n">
        <v>0</v>
      </c>
      <c r="O931" t="n">
        <v>0</v>
      </c>
      <c r="P931" t="n">
        <v>0</v>
      </c>
      <c r="Q931" t="n">
        <v>0</v>
      </c>
      <c r="R931" s="2" t="inlineStr"/>
    </row>
    <row r="932" ht="15" customHeight="1">
      <c r="A932" t="inlineStr">
        <is>
          <t>A 32963-2022</t>
        </is>
      </c>
      <c r="B932" s="1" t="n">
        <v>44785</v>
      </c>
      <c r="C932" s="1" t="n">
        <v>45666</v>
      </c>
      <c r="D932" t="inlineStr">
        <is>
          <t>JÄMTLANDS LÄN</t>
        </is>
      </c>
      <c r="E932" t="inlineStr">
        <is>
          <t>BRÄCKE</t>
        </is>
      </c>
      <c r="G932" t="n">
        <v>5.2</v>
      </c>
      <c r="H932" t="n">
        <v>0</v>
      </c>
      <c r="I932" t="n">
        <v>0</v>
      </c>
      <c r="J932" t="n">
        <v>0</v>
      </c>
      <c r="K932" t="n">
        <v>0</v>
      </c>
      <c r="L932" t="n">
        <v>0</v>
      </c>
      <c r="M932" t="n">
        <v>0</v>
      </c>
      <c r="N932" t="n">
        <v>0</v>
      </c>
      <c r="O932" t="n">
        <v>0</v>
      </c>
      <c r="P932" t="n">
        <v>0</v>
      </c>
      <c r="Q932" t="n">
        <v>0</v>
      </c>
      <c r="R932" s="2" t="inlineStr"/>
    </row>
    <row r="933" ht="15" customHeight="1">
      <c r="A933" t="inlineStr">
        <is>
          <t>A 33234-2022</t>
        </is>
      </c>
      <c r="B933" s="1" t="n">
        <v>44786</v>
      </c>
      <c r="C933" s="1" t="n">
        <v>45666</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33243-2022</t>
        </is>
      </c>
      <c r="B934" s="1" t="n">
        <v>44787</v>
      </c>
      <c r="C934" s="1" t="n">
        <v>45666</v>
      </c>
      <c r="D934" t="inlineStr">
        <is>
          <t>JÄMTLANDS LÄN</t>
        </is>
      </c>
      <c r="E934" t="inlineStr">
        <is>
          <t>BRÄCKE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33481-2022</t>
        </is>
      </c>
      <c r="B935" s="1" t="n">
        <v>44788</v>
      </c>
      <c r="C935" s="1" t="n">
        <v>45666</v>
      </c>
      <c r="D935" t="inlineStr">
        <is>
          <t>JÄMTLANDS LÄN</t>
        </is>
      </c>
      <c r="E935" t="inlineStr">
        <is>
          <t>BRÄCKE</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33482-2022</t>
        </is>
      </c>
      <c r="B936" s="1" t="n">
        <v>44788</v>
      </c>
      <c r="C936" s="1" t="n">
        <v>45666</v>
      </c>
      <c r="D936" t="inlineStr">
        <is>
          <t>JÄMTLANDS LÄN</t>
        </is>
      </c>
      <c r="E936" t="inlineStr">
        <is>
          <t>BRÄCKE</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33483-2022</t>
        </is>
      </c>
      <c r="B937" s="1" t="n">
        <v>44788</v>
      </c>
      <c r="C937" s="1" t="n">
        <v>45666</v>
      </c>
      <c r="D937" t="inlineStr">
        <is>
          <t>JÄMTLANDS LÄN</t>
        </is>
      </c>
      <c r="E937" t="inlineStr">
        <is>
          <t>BRÄCKE</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36714-2022</t>
        </is>
      </c>
      <c r="B938" s="1" t="n">
        <v>44789</v>
      </c>
      <c r="C938" s="1" t="n">
        <v>45666</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33992-2022</t>
        </is>
      </c>
      <c r="B939" s="1" t="n">
        <v>44791</v>
      </c>
      <c r="C939" s="1" t="n">
        <v>45666</v>
      </c>
      <c r="D939" t="inlineStr">
        <is>
          <t>JÄMTLANDS LÄN</t>
        </is>
      </c>
      <c r="E939" t="inlineStr">
        <is>
          <t>BRÄCKE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33998-2022</t>
        </is>
      </c>
      <c r="B940" s="1" t="n">
        <v>44791</v>
      </c>
      <c r="C940" s="1" t="n">
        <v>45666</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33993-2022</t>
        </is>
      </c>
      <c r="B941" s="1" t="n">
        <v>44790</v>
      </c>
      <c r="C941" s="1" t="n">
        <v>45666</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34315-2022</t>
        </is>
      </c>
      <c r="B942" s="1" t="n">
        <v>44792</v>
      </c>
      <c r="C942" s="1" t="n">
        <v>45666</v>
      </c>
      <c r="D942" t="inlineStr">
        <is>
          <t>JÄMTLANDS LÄN</t>
        </is>
      </c>
      <c r="E942" t="inlineStr">
        <is>
          <t>BRÄCKE</t>
        </is>
      </c>
      <c r="G942" t="n">
        <v>4.9</v>
      </c>
      <c r="H942" t="n">
        <v>0</v>
      </c>
      <c r="I942" t="n">
        <v>0</v>
      </c>
      <c r="J942" t="n">
        <v>0</v>
      </c>
      <c r="K942" t="n">
        <v>0</v>
      </c>
      <c r="L942" t="n">
        <v>0</v>
      </c>
      <c r="M942" t="n">
        <v>0</v>
      </c>
      <c r="N942" t="n">
        <v>0</v>
      </c>
      <c r="O942" t="n">
        <v>0</v>
      </c>
      <c r="P942" t="n">
        <v>0</v>
      </c>
      <c r="Q942" t="n">
        <v>0</v>
      </c>
      <c r="R942" s="2" t="inlineStr"/>
    </row>
    <row r="943" ht="15" customHeight="1">
      <c r="A943" t="inlineStr">
        <is>
          <t>A 34531-2022</t>
        </is>
      </c>
      <c r="B943" s="1" t="n">
        <v>44793</v>
      </c>
      <c r="C943" s="1" t="n">
        <v>45666</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34530-2022</t>
        </is>
      </c>
      <c r="B944" s="1" t="n">
        <v>44793</v>
      </c>
      <c r="C944" s="1" t="n">
        <v>45666</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35010-2022</t>
        </is>
      </c>
      <c r="B945" s="1" t="n">
        <v>44797</v>
      </c>
      <c r="C945" s="1" t="n">
        <v>45666</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35182-2022</t>
        </is>
      </c>
      <c r="B946" s="1" t="n">
        <v>44797</v>
      </c>
      <c r="C946" s="1" t="n">
        <v>45666</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35232-2022</t>
        </is>
      </c>
      <c r="B947" s="1" t="n">
        <v>44797</v>
      </c>
      <c r="C947" s="1" t="n">
        <v>45666</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35501-2022</t>
        </is>
      </c>
      <c r="B948" s="1" t="n">
        <v>44799</v>
      </c>
      <c r="C948" s="1" t="n">
        <v>45666</v>
      </c>
      <c r="D948" t="inlineStr">
        <is>
          <t>JÄMTLANDS LÄN</t>
        </is>
      </c>
      <c r="E948" t="inlineStr">
        <is>
          <t>BRÄCKE</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35511-2022</t>
        </is>
      </c>
      <c r="B949" s="1" t="n">
        <v>44798</v>
      </c>
      <c r="C949" s="1" t="n">
        <v>45666</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35512-2022</t>
        </is>
      </c>
      <c r="B950" s="1" t="n">
        <v>44799</v>
      </c>
      <c r="C950" s="1" t="n">
        <v>45666</v>
      </c>
      <c r="D950" t="inlineStr">
        <is>
          <t>JÄMTLANDS LÄN</t>
        </is>
      </c>
      <c r="E950" t="inlineStr">
        <is>
          <t>BRÄCKE</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35746-2022</t>
        </is>
      </c>
      <c r="B951" s="1" t="n">
        <v>44800</v>
      </c>
      <c r="C951" s="1" t="n">
        <v>45666</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36129-2022</t>
        </is>
      </c>
      <c r="B952" s="1" t="n">
        <v>44803</v>
      </c>
      <c r="C952" s="1" t="n">
        <v>45666</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36364-2022</t>
        </is>
      </c>
      <c r="B953" s="1" t="n">
        <v>44804</v>
      </c>
      <c r="C953" s="1" t="n">
        <v>45666</v>
      </c>
      <c r="D953" t="inlineStr">
        <is>
          <t>JÄMTLANDS LÄN</t>
        </is>
      </c>
      <c r="E953" t="inlineStr">
        <is>
          <t>BRÄCKE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36392-2022</t>
        </is>
      </c>
      <c r="B954" s="1" t="n">
        <v>44804</v>
      </c>
      <c r="C954" s="1" t="n">
        <v>45666</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36389-2022</t>
        </is>
      </c>
      <c r="B955" s="1" t="n">
        <v>44803</v>
      </c>
      <c r="C955" s="1" t="n">
        <v>45666</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36685-2022</t>
        </is>
      </c>
      <c r="B956" s="1" t="n">
        <v>44804</v>
      </c>
      <c r="C956" s="1" t="n">
        <v>45666</v>
      </c>
      <c r="D956" t="inlineStr">
        <is>
          <t>JÄMTLANDS LÄN</t>
        </is>
      </c>
      <c r="E956" t="inlineStr">
        <is>
          <t>BRÄCKE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36840-2022</t>
        </is>
      </c>
      <c r="B957" s="1" t="n">
        <v>44805</v>
      </c>
      <c r="C957" s="1" t="n">
        <v>45666</v>
      </c>
      <c r="D957" t="inlineStr">
        <is>
          <t>JÄMTLANDS LÄN</t>
        </is>
      </c>
      <c r="E957" t="inlineStr">
        <is>
          <t>BRÄCKE</t>
        </is>
      </c>
      <c r="G957" t="n">
        <v>1.2</v>
      </c>
      <c r="H957" t="n">
        <v>0</v>
      </c>
      <c r="I957" t="n">
        <v>0</v>
      </c>
      <c r="J957" t="n">
        <v>0</v>
      </c>
      <c r="K957" t="n">
        <v>0</v>
      </c>
      <c r="L957" t="n">
        <v>0</v>
      </c>
      <c r="M957" t="n">
        <v>0</v>
      </c>
      <c r="N957" t="n">
        <v>0</v>
      </c>
      <c r="O957" t="n">
        <v>0</v>
      </c>
      <c r="P957" t="n">
        <v>0</v>
      </c>
      <c r="Q957" t="n">
        <v>0</v>
      </c>
      <c r="R957" s="2" t="inlineStr"/>
    </row>
    <row r="958" ht="15" customHeight="1">
      <c r="A958" t="inlineStr">
        <is>
          <t>A 37032-2022</t>
        </is>
      </c>
      <c r="B958" s="1" t="n">
        <v>44806</v>
      </c>
      <c r="C958" s="1" t="n">
        <v>45666</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37232-2022</t>
        </is>
      </c>
      <c r="B959" s="1" t="n">
        <v>44806</v>
      </c>
      <c r="C959" s="1" t="n">
        <v>45666</v>
      </c>
      <c r="D959" t="inlineStr">
        <is>
          <t>JÄMTLANDS LÄN</t>
        </is>
      </c>
      <c r="E959" t="inlineStr">
        <is>
          <t>BRÄCKE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37229-2022</t>
        </is>
      </c>
      <c r="B960" s="1" t="n">
        <v>44807</v>
      </c>
      <c r="C960" s="1" t="n">
        <v>45666</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37234-2022</t>
        </is>
      </c>
      <c r="B961" s="1" t="n">
        <v>44807</v>
      </c>
      <c r="C961" s="1" t="n">
        <v>45666</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37650-2022</t>
        </is>
      </c>
      <c r="B962" s="1" t="n">
        <v>44810</v>
      </c>
      <c r="C962" s="1" t="n">
        <v>45666</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37829-2022</t>
        </is>
      </c>
      <c r="B963" s="1" t="n">
        <v>44811</v>
      </c>
      <c r="C963" s="1" t="n">
        <v>45666</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37828-2022</t>
        </is>
      </c>
      <c r="B964" s="1" t="n">
        <v>44811</v>
      </c>
      <c r="C964" s="1" t="n">
        <v>45666</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39701-2022</t>
        </is>
      </c>
      <c r="B965" s="1" t="n">
        <v>44818</v>
      </c>
      <c r="C965" s="1" t="n">
        <v>45666</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39702-2022</t>
        </is>
      </c>
      <c r="B966" s="1" t="n">
        <v>44818</v>
      </c>
      <c r="C966" s="1" t="n">
        <v>45666</v>
      </c>
      <c r="D966" t="inlineStr">
        <is>
          <t>JÄMTLANDS LÄN</t>
        </is>
      </c>
      <c r="E966" t="inlineStr">
        <is>
          <t>BRÄCKE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39704-2022</t>
        </is>
      </c>
      <c r="B967" s="1" t="n">
        <v>44818</v>
      </c>
      <c r="C967" s="1" t="n">
        <v>45666</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39703-2022</t>
        </is>
      </c>
      <c r="B968" s="1" t="n">
        <v>44818</v>
      </c>
      <c r="C968" s="1" t="n">
        <v>45666</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39937-2022</t>
        </is>
      </c>
      <c r="B969" s="1" t="n">
        <v>44820</v>
      </c>
      <c r="C969" s="1" t="n">
        <v>45666</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39930-2022</t>
        </is>
      </c>
      <c r="B970" s="1" t="n">
        <v>44819</v>
      </c>
      <c r="C970" s="1" t="n">
        <v>45666</v>
      </c>
      <c r="D970" t="inlineStr">
        <is>
          <t>JÄMTLANDS LÄN</t>
        </is>
      </c>
      <c r="E970" t="inlineStr">
        <is>
          <t>BRÄCKE</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40278-2022</t>
        </is>
      </c>
      <c r="B971" s="1" t="n">
        <v>44820</v>
      </c>
      <c r="C971" s="1" t="n">
        <v>45666</v>
      </c>
      <c r="D971" t="inlineStr">
        <is>
          <t>JÄMTLANDS LÄN</t>
        </is>
      </c>
      <c r="E971" t="inlineStr">
        <is>
          <t>BRÄCKE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40268-2022</t>
        </is>
      </c>
      <c r="B972" s="1" t="n">
        <v>44821</v>
      </c>
      <c r="C972" s="1" t="n">
        <v>45666</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40285-2022</t>
        </is>
      </c>
      <c r="B973" s="1" t="n">
        <v>44821</v>
      </c>
      <c r="C973" s="1" t="n">
        <v>45666</v>
      </c>
      <c r="D973" t="inlineStr">
        <is>
          <t>JÄMTLANDS LÄN</t>
        </is>
      </c>
      <c r="E973" t="inlineStr">
        <is>
          <t>BRÄCKE</t>
        </is>
      </c>
      <c r="F973" t="inlineStr">
        <is>
          <t>SCA</t>
        </is>
      </c>
      <c r="G973" t="n">
        <v>9.5</v>
      </c>
      <c r="H973" t="n">
        <v>0</v>
      </c>
      <c r="I973" t="n">
        <v>0</v>
      </c>
      <c r="J973" t="n">
        <v>0</v>
      </c>
      <c r="K973" t="n">
        <v>0</v>
      </c>
      <c r="L973" t="n">
        <v>0</v>
      </c>
      <c r="M973" t="n">
        <v>0</v>
      </c>
      <c r="N973" t="n">
        <v>0</v>
      </c>
      <c r="O973" t="n">
        <v>0</v>
      </c>
      <c r="P973" t="n">
        <v>0</v>
      </c>
      <c r="Q973" t="n">
        <v>0</v>
      </c>
      <c r="R973" s="2" t="inlineStr"/>
    </row>
    <row r="974" ht="15" customHeight="1">
      <c r="A974" t="inlineStr">
        <is>
          <t>A 40711-2022</t>
        </is>
      </c>
      <c r="B974" s="1" t="n">
        <v>44820</v>
      </c>
      <c r="C974" s="1" t="n">
        <v>45666</v>
      </c>
      <c r="D974" t="inlineStr">
        <is>
          <t>JÄMTLANDS LÄN</t>
        </is>
      </c>
      <c r="E974" t="inlineStr">
        <is>
          <t>BRÄCKE</t>
        </is>
      </c>
      <c r="G974" t="n">
        <v>5.4</v>
      </c>
      <c r="H974" t="n">
        <v>0</v>
      </c>
      <c r="I974" t="n">
        <v>0</v>
      </c>
      <c r="J974" t="n">
        <v>0</v>
      </c>
      <c r="K974" t="n">
        <v>0</v>
      </c>
      <c r="L974" t="n">
        <v>0</v>
      </c>
      <c r="M974" t="n">
        <v>0</v>
      </c>
      <c r="N974" t="n">
        <v>0</v>
      </c>
      <c r="O974" t="n">
        <v>0</v>
      </c>
      <c r="P974" t="n">
        <v>0</v>
      </c>
      <c r="Q974" t="n">
        <v>0</v>
      </c>
      <c r="R974" s="2" t="inlineStr"/>
    </row>
    <row r="975" ht="15" customHeight="1">
      <c r="A975" t="inlineStr">
        <is>
          <t>A 40440-2022</t>
        </is>
      </c>
      <c r="B975" s="1" t="n">
        <v>44823</v>
      </c>
      <c r="C975" s="1" t="n">
        <v>45666</v>
      </c>
      <c r="D975" t="inlineStr">
        <is>
          <t>JÄMTLANDS LÄN</t>
        </is>
      </c>
      <c r="E975" t="inlineStr">
        <is>
          <t>BRÄCKE</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40675-2022</t>
        </is>
      </c>
      <c r="B976" s="1" t="n">
        <v>44824</v>
      </c>
      <c r="C976" s="1" t="n">
        <v>45666</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40903-2022</t>
        </is>
      </c>
      <c r="B977" s="1" t="n">
        <v>44825</v>
      </c>
      <c r="C977" s="1" t="n">
        <v>45666</v>
      </c>
      <c r="D977" t="inlineStr">
        <is>
          <t>JÄMTLANDS LÄN</t>
        </is>
      </c>
      <c r="E977" t="inlineStr">
        <is>
          <t>BRÄCKE</t>
        </is>
      </c>
      <c r="G977" t="n">
        <v>65.59999999999999</v>
      </c>
      <c r="H977" t="n">
        <v>0</v>
      </c>
      <c r="I977" t="n">
        <v>0</v>
      </c>
      <c r="J977" t="n">
        <v>0</v>
      </c>
      <c r="K977" t="n">
        <v>0</v>
      </c>
      <c r="L977" t="n">
        <v>0</v>
      </c>
      <c r="M977" t="n">
        <v>0</v>
      </c>
      <c r="N977" t="n">
        <v>0</v>
      </c>
      <c r="O977" t="n">
        <v>0</v>
      </c>
      <c r="P977" t="n">
        <v>0</v>
      </c>
      <c r="Q977" t="n">
        <v>0</v>
      </c>
      <c r="R977" s="2" t="inlineStr"/>
    </row>
    <row r="978" ht="15" customHeight="1">
      <c r="A978" t="inlineStr">
        <is>
          <t>A 41175-2022</t>
        </is>
      </c>
      <c r="B978" s="1" t="n">
        <v>44826</v>
      </c>
      <c r="C978" s="1" t="n">
        <v>45666</v>
      </c>
      <c r="D978" t="inlineStr">
        <is>
          <t>JÄMTLANDS LÄN</t>
        </is>
      </c>
      <c r="E978" t="inlineStr">
        <is>
          <t>BRÄCKE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41182-2022</t>
        </is>
      </c>
      <c r="B979" s="1" t="n">
        <v>44826</v>
      </c>
      <c r="C979" s="1" t="n">
        <v>45666</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41817-2022</t>
        </is>
      </c>
      <c r="B980" s="1" t="n">
        <v>44827</v>
      </c>
      <c r="C980" s="1" t="n">
        <v>45666</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42113-2022</t>
        </is>
      </c>
      <c r="B981" s="1" t="n">
        <v>44830</v>
      </c>
      <c r="C981" s="1" t="n">
        <v>45666</v>
      </c>
      <c r="D981" t="inlineStr">
        <is>
          <t>JÄMTLANDS LÄN</t>
        </is>
      </c>
      <c r="E981" t="inlineStr">
        <is>
          <t>BRÄCKE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42288-2022</t>
        </is>
      </c>
      <c r="B982" s="1" t="n">
        <v>44830</v>
      </c>
      <c r="C982" s="1" t="n">
        <v>45666</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42290-2022</t>
        </is>
      </c>
      <c r="B983" s="1" t="n">
        <v>44830</v>
      </c>
      <c r="C983" s="1" t="n">
        <v>45666</v>
      </c>
      <c r="D983" t="inlineStr">
        <is>
          <t>JÄMTLANDS LÄN</t>
        </is>
      </c>
      <c r="E983" t="inlineStr">
        <is>
          <t>BRÄCKE</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42656-2022</t>
        </is>
      </c>
      <c r="B984" s="1" t="n">
        <v>44831</v>
      </c>
      <c r="C984" s="1" t="n">
        <v>45666</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42894-2022</t>
        </is>
      </c>
      <c r="B985" s="1" t="n">
        <v>44833</v>
      </c>
      <c r="C985" s="1" t="n">
        <v>45666</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43142-2022</t>
        </is>
      </c>
      <c r="B986" s="1" t="n">
        <v>44834</v>
      </c>
      <c r="C986" s="1" t="n">
        <v>45666</v>
      </c>
      <c r="D986" t="inlineStr">
        <is>
          <t>JÄMTLANDS LÄN</t>
        </is>
      </c>
      <c r="E986" t="inlineStr">
        <is>
          <t>BRÄCKE</t>
        </is>
      </c>
      <c r="F986" t="inlineStr">
        <is>
          <t>SCA</t>
        </is>
      </c>
      <c r="G986" t="n">
        <v>0.4</v>
      </c>
      <c r="H986" t="n">
        <v>0</v>
      </c>
      <c r="I986" t="n">
        <v>0</v>
      </c>
      <c r="J986" t="n">
        <v>0</v>
      </c>
      <c r="K986" t="n">
        <v>0</v>
      </c>
      <c r="L986" t="n">
        <v>0</v>
      </c>
      <c r="M986" t="n">
        <v>0</v>
      </c>
      <c r="N986" t="n">
        <v>0</v>
      </c>
      <c r="O986" t="n">
        <v>0</v>
      </c>
      <c r="P986" t="n">
        <v>0</v>
      </c>
      <c r="Q986" t="n">
        <v>0</v>
      </c>
      <c r="R986" s="2" t="inlineStr"/>
    </row>
    <row r="987" ht="15" customHeight="1">
      <c r="A987" t="inlineStr">
        <is>
          <t>A 43126-2022</t>
        </is>
      </c>
      <c r="B987" s="1" t="n">
        <v>44833</v>
      </c>
      <c r="C987" s="1" t="n">
        <v>45666</v>
      </c>
      <c r="D987" t="inlineStr">
        <is>
          <t>JÄMTLANDS LÄN</t>
        </is>
      </c>
      <c r="E987" t="inlineStr">
        <is>
          <t>BRÄCKE</t>
        </is>
      </c>
      <c r="G987" t="n">
        <v>2.5</v>
      </c>
      <c r="H987" t="n">
        <v>0</v>
      </c>
      <c r="I987" t="n">
        <v>0</v>
      </c>
      <c r="J987" t="n">
        <v>0</v>
      </c>
      <c r="K987" t="n">
        <v>0</v>
      </c>
      <c r="L987" t="n">
        <v>0</v>
      </c>
      <c r="M987" t="n">
        <v>0</v>
      </c>
      <c r="N987" t="n">
        <v>0</v>
      </c>
      <c r="O987" t="n">
        <v>0</v>
      </c>
      <c r="P987" t="n">
        <v>0</v>
      </c>
      <c r="Q987" t="n">
        <v>0</v>
      </c>
      <c r="R987" s="2" t="inlineStr"/>
    </row>
    <row r="988" ht="15" customHeight="1">
      <c r="A988" t="inlineStr">
        <is>
          <t>A 43421-2022</t>
        </is>
      </c>
      <c r="B988" s="1" t="n">
        <v>44834</v>
      </c>
      <c r="C988" s="1" t="n">
        <v>45666</v>
      </c>
      <c r="D988" t="inlineStr">
        <is>
          <t>JÄMTLANDS LÄN</t>
        </is>
      </c>
      <c r="E988" t="inlineStr">
        <is>
          <t>BRÄCKE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43789-2022</t>
        </is>
      </c>
      <c r="B989" s="1" t="n">
        <v>44837</v>
      </c>
      <c r="C989" s="1" t="n">
        <v>45666</v>
      </c>
      <c r="D989" t="inlineStr">
        <is>
          <t>JÄMTLANDS LÄN</t>
        </is>
      </c>
      <c r="E989" t="inlineStr">
        <is>
          <t>BRÄCKE</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43785-2022</t>
        </is>
      </c>
      <c r="B990" s="1" t="n">
        <v>44837</v>
      </c>
      <c r="C990" s="1" t="n">
        <v>45666</v>
      </c>
      <c r="D990" t="inlineStr">
        <is>
          <t>JÄMTLANDS LÄN</t>
        </is>
      </c>
      <c r="E990" t="inlineStr">
        <is>
          <t>BRÄCKE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44445-2022</t>
        </is>
      </c>
      <c r="B991" s="1" t="n">
        <v>44840</v>
      </c>
      <c r="C991" s="1" t="n">
        <v>45666</v>
      </c>
      <c r="D991" t="inlineStr">
        <is>
          <t>JÄMTLANDS LÄN</t>
        </is>
      </c>
      <c r="E991" t="inlineStr">
        <is>
          <t>BRÄCKE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44444-2022</t>
        </is>
      </c>
      <c r="B992" s="1" t="n">
        <v>44840</v>
      </c>
      <c r="C992" s="1" t="n">
        <v>45666</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44743-2022</t>
        </is>
      </c>
      <c r="B993" s="1" t="n">
        <v>44840</v>
      </c>
      <c r="C993" s="1" t="n">
        <v>45666</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44752-2022</t>
        </is>
      </c>
      <c r="B994" s="1" t="n">
        <v>44840</v>
      </c>
      <c r="C994" s="1" t="n">
        <v>45666</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44753-2022</t>
        </is>
      </c>
      <c r="B995" s="1" t="n">
        <v>44840</v>
      </c>
      <c r="C995" s="1" t="n">
        <v>45666</v>
      </c>
      <c r="D995" t="inlineStr">
        <is>
          <t>JÄMTLANDS LÄN</t>
        </is>
      </c>
      <c r="E995" t="inlineStr">
        <is>
          <t>BRÄCKE</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45304-2022</t>
        </is>
      </c>
      <c r="B996" s="1" t="n">
        <v>44841</v>
      </c>
      <c r="C996" s="1" t="n">
        <v>45666</v>
      </c>
      <c r="D996" t="inlineStr">
        <is>
          <t>JÄMTLANDS LÄN</t>
        </is>
      </c>
      <c r="E996" t="inlineStr">
        <is>
          <t>BRÄCKE</t>
        </is>
      </c>
      <c r="G996" t="n">
        <v>3.8</v>
      </c>
      <c r="H996" t="n">
        <v>0</v>
      </c>
      <c r="I996" t="n">
        <v>0</v>
      </c>
      <c r="J996" t="n">
        <v>0</v>
      </c>
      <c r="K996" t="n">
        <v>0</v>
      </c>
      <c r="L996" t="n">
        <v>0</v>
      </c>
      <c r="M996" t="n">
        <v>0</v>
      </c>
      <c r="N996" t="n">
        <v>0</v>
      </c>
      <c r="O996" t="n">
        <v>0</v>
      </c>
      <c r="P996" t="n">
        <v>0</v>
      </c>
      <c r="Q996" t="n">
        <v>0</v>
      </c>
      <c r="R996" s="2" t="inlineStr"/>
    </row>
    <row r="997" ht="15" customHeight="1">
      <c r="A997" t="inlineStr">
        <is>
          <t>A 45426-2022</t>
        </is>
      </c>
      <c r="B997" s="1" t="n">
        <v>44844</v>
      </c>
      <c r="C997" s="1" t="n">
        <v>45666</v>
      </c>
      <c r="D997" t="inlineStr">
        <is>
          <t>JÄMTLANDS LÄN</t>
        </is>
      </c>
      <c r="E997" t="inlineStr">
        <is>
          <t>BRÄCKE</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45436-2022</t>
        </is>
      </c>
      <c r="B998" s="1" t="n">
        <v>44845</v>
      </c>
      <c r="C998" s="1" t="n">
        <v>45666</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45533-2022</t>
        </is>
      </c>
      <c r="B999" s="1" t="n">
        <v>44845</v>
      </c>
      <c r="C999" s="1" t="n">
        <v>45666</v>
      </c>
      <c r="D999" t="inlineStr">
        <is>
          <t>JÄMTLANDS LÄN</t>
        </is>
      </c>
      <c r="E999" t="inlineStr">
        <is>
          <t>BRÄCKE</t>
        </is>
      </c>
      <c r="F999" t="inlineStr">
        <is>
          <t>Övriga Aktiebolag</t>
        </is>
      </c>
      <c r="G999" t="n">
        <v>13.7</v>
      </c>
      <c r="H999" t="n">
        <v>0</v>
      </c>
      <c r="I999" t="n">
        <v>0</v>
      </c>
      <c r="J999" t="n">
        <v>0</v>
      </c>
      <c r="K999" t="n">
        <v>0</v>
      </c>
      <c r="L999" t="n">
        <v>0</v>
      </c>
      <c r="M999" t="n">
        <v>0</v>
      </c>
      <c r="N999" t="n">
        <v>0</v>
      </c>
      <c r="O999" t="n">
        <v>0</v>
      </c>
      <c r="P999" t="n">
        <v>0</v>
      </c>
      <c r="Q999" t="n">
        <v>0</v>
      </c>
      <c r="R999" s="2" t="inlineStr"/>
    </row>
    <row r="1000" ht="15" customHeight="1">
      <c r="A1000" t="inlineStr">
        <is>
          <t>A 45701-2022</t>
        </is>
      </c>
      <c r="B1000" s="1" t="n">
        <v>44845</v>
      </c>
      <c r="C1000" s="1" t="n">
        <v>45666</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44846</v>
      </c>
      <c r="C1001" s="1" t="n">
        <v>45666</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45913-2022</t>
        </is>
      </c>
      <c r="B1002" s="1" t="n">
        <v>44845</v>
      </c>
      <c r="C1002" s="1" t="n">
        <v>45666</v>
      </c>
      <c r="D1002" t="inlineStr">
        <is>
          <t>JÄMTLANDS LÄN</t>
        </is>
      </c>
      <c r="E1002" t="inlineStr">
        <is>
          <t>BRÄCKE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46024-2022</t>
        </is>
      </c>
      <c r="B1003" s="1" t="n">
        <v>44847</v>
      </c>
      <c r="C1003" s="1" t="n">
        <v>45666</v>
      </c>
      <c r="D1003" t="inlineStr">
        <is>
          <t>JÄMTLANDS LÄN</t>
        </is>
      </c>
      <c r="E1003" t="inlineStr">
        <is>
          <t>BRÄCKE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46598-2022</t>
        </is>
      </c>
      <c r="B1004" s="1" t="n">
        <v>44848</v>
      </c>
      <c r="C1004" s="1" t="n">
        <v>45666</v>
      </c>
      <c r="D1004" t="inlineStr">
        <is>
          <t>JÄMTLANDS LÄN</t>
        </is>
      </c>
      <c r="E1004" t="inlineStr">
        <is>
          <t>BRÄCKE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44849</v>
      </c>
      <c r="C1005" s="1" t="n">
        <v>45666</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46602-2022</t>
        </is>
      </c>
      <c r="B1006" s="1" t="n">
        <v>44848</v>
      </c>
      <c r="C1006" s="1" t="n">
        <v>45666</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46597-2022</t>
        </is>
      </c>
      <c r="B1007" s="1" t="n">
        <v>44848</v>
      </c>
      <c r="C1007" s="1" t="n">
        <v>45666</v>
      </c>
      <c r="D1007" t="inlineStr">
        <is>
          <t>JÄMTLANDS LÄN</t>
        </is>
      </c>
      <c r="E1007" t="inlineStr">
        <is>
          <t>BRÄCKE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46601-2022</t>
        </is>
      </c>
      <c r="B1008" s="1" t="n">
        <v>44848</v>
      </c>
      <c r="C1008" s="1" t="n">
        <v>45666</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46966-2022</t>
        </is>
      </c>
      <c r="B1009" s="1" t="n">
        <v>44852</v>
      </c>
      <c r="C1009" s="1" t="n">
        <v>45666</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47183-2022</t>
        </is>
      </c>
      <c r="B1010" s="1" t="n">
        <v>44851</v>
      </c>
      <c r="C1010" s="1" t="n">
        <v>45666</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47257-2022</t>
        </is>
      </c>
      <c r="B1011" s="1" t="n">
        <v>44852</v>
      </c>
      <c r="C1011" s="1" t="n">
        <v>45666</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47256-2022</t>
        </is>
      </c>
      <c r="B1012" s="1" t="n">
        <v>44853</v>
      </c>
      <c r="C1012" s="1" t="n">
        <v>45666</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47264-2022</t>
        </is>
      </c>
      <c r="B1013" s="1" t="n">
        <v>44853</v>
      </c>
      <c r="C1013" s="1" t="n">
        <v>45666</v>
      </c>
      <c r="D1013" t="inlineStr">
        <is>
          <t>JÄMTLANDS LÄN</t>
        </is>
      </c>
      <c r="E1013" t="inlineStr">
        <is>
          <t>BRÄCKE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47298-2022</t>
        </is>
      </c>
      <c r="B1014" s="1" t="n">
        <v>44852</v>
      </c>
      <c r="C1014" s="1" t="n">
        <v>45666</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47561-2022</t>
        </is>
      </c>
      <c r="B1015" s="1" t="n">
        <v>44854</v>
      </c>
      <c r="C1015" s="1" t="n">
        <v>45666</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47574-2022</t>
        </is>
      </c>
      <c r="B1016" s="1" t="n">
        <v>44853</v>
      </c>
      <c r="C1016" s="1" t="n">
        <v>45666</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48517-2022</t>
        </is>
      </c>
      <c r="B1017" s="1" t="n">
        <v>44859</v>
      </c>
      <c r="C1017" s="1" t="n">
        <v>45666</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48499-2022</t>
        </is>
      </c>
      <c r="B1018" s="1" t="n">
        <v>44859</v>
      </c>
      <c r="C1018" s="1" t="n">
        <v>45666</v>
      </c>
      <c r="D1018" t="inlineStr">
        <is>
          <t>JÄMTLANDS LÄN</t>
        </is>
      </c>
      <c r="E1018" t="inlineStr">
        <is>
          <t>BRÄCKE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48555-2022</t>
        </is>
      </c>
      <c r="B1019" s="1" t="n">
        <v>44859</v>
      </c>
      <c r="C1019" s="1" t="n">
        <v>45666</v>
      </c>
      <c r="D1019" t="inlineStr">
        <is>
          <t>JÄMTLANDS LÄN</t>
        </is>
      </c>
      <c r="E1019" t="inlineStr">
        <is>
          <t>BRÄCKE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48928-2022</t>
        </is>
      </c>
      <c r="B1020" s="1" t="n">
        <v>44860</v>
      </c>
      <c r="C1020" s="1" t="n">
        <v>45666</v>
      </c>
      <c r="D1020" t="inlineStr">
        <is>
          <t>JÄMTLANDS LÄN</t>
        </is>
      </c>
      <c r="E1020" t="inlineStr">
        <is>
          <t>BRÄCKE</t>
        </is>
      </c>
      <c r="F1020" t="inlineStr">
        <is>
          <t>SCA</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48816-2022</t>
        </is>
      </c>
      <c r="B1021" s="1" t="n">
        <v>44859</v>
      </c>
      <c r="C1021" s="1" t="n">
        <v>45666</v>
      </c>
      <c r="D1021" t="inlineStr">
        <is>
          <t>JÄMTLANDS LÄN</t>
        </is>
      </c>
      <c r="E1021" t="inlineStr">
        <is>
          <t>BRÄCKE</t>
        </is>
      </c>
      <c r="G1021" t="n">
        <v>13.3</v>
      </c>
      <c r="H1021" t="n">
        <v>0</v>
      </c>
      <c r="I1021" t="n">
        <v>0</v>
      </c>
      <c r="J1021" t="n">
        <v>0</v>
      </c>
      <c r="K1021" t="n">
        <v>0</v>
      </c>
      <c r="L1021" t="n">
        <v>0</v>
      </c>
      <c r="M1021" t="n">
        <v>0</v>
      </c>
      <c r="N1021" t="n">
        <v>0</v>
      </c>
      <c r="O1021" t="n">
        <v>0</v>
      </c>
      <c r="P1021" t="n">
        <v>0</v>
      </c>
      <c r="Q1021" t="n">
        <v>0</v>
      </c>
      <c r="R1021" s="2" t="inlineStr"/>
    </row>
    <row r="1022" ht="15" customHeight="1">
      <c r="A1022" t="inlineStr">
        <is>
          <t>A 48927-2022</t>
        </is>
      </c>
      <c r="B1022" s="1" t="n">
        <v>44860</v>
      </c>
      <c r="C1022" s="1" t="n">
        <v>45666</v>
      </c>
      <c r="D1022" t="inlineStr">
        <is>
          <t>JÄMTLANDS LÄN</t>
        </is>
      </c>
      <c r="E1022" t="inlineStr">
        <is>
          <t>BRÄCKE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49191-2022</t>
        </is>
      </c>
      <c r="B1023" s="1" t="n">
        <v>44861</v>
      </c>
      <c r="C1023" s="1" t="n">
        <v>45666</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49523-2022</t>
        </is>
      </c>
      <c r="B1024" s="1" t="n">
        <v>44862</v>
      </c>
      <c r="C1024" s="1" t="n">
        <v>45666</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49516-2022</t>
        </is>
      </c>
      <c r="B1025" s="1" t="n">
        <v>44862</v>
      </c>
      <c r="C1025" s="1" t="n">
        <v>45666</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49839-2022</t>
        </is>
      </c>
      <c r="B1026" s="1" t="n">
        <v>44863</v>
      </c>
      <c r="C1026" s="1" t="n">
        <v>45666</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49858-2022</t>
        </is>
      </c>
      <c r="B1027" s="1" t="n">
        <v>44862</v>
      </c>
      <c r="C1027" s="1" t="n">
        <v>45666</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49838-2022</t>
        </is>
      </c>
      <c r="B1028" s="1" t="n">
        <v>44863</v>
      </c>
      <c r="C1028" s="1" t="n">
        <v>45666</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49864-2022</t>
        </is>
      </c>
      <c r="B1029" s="1" t="n">
        <v>44862</v>
      </c>
      <c r="C1029" s="1" t="n">
        <v>45666</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49853-2022</t>
        </is>
      </c>
      <c r="B1030" s="1" t="n">
        <v>44863</v>
      </c>
      <c r="C1030" s="1" t="n">
        <v>45666</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49861-2022</t>
        </is>
      </c>
      <c r="B1031" s="1" t="n">
        <v>44862</v>
      </c>
      <c r="C1031" s="1" t="n">
        <v>45666</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50323-2022</t>
        </is>
      </c>
      <c r="B1032" s="1" t="n">
        <v>44865</v>
      </c>
      <c r="C1032" s="1" t="n">
        <v>45666</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50333-2022</t>
        </is>
      </c>
      <c r="B1033" s="1" t="n">
        <v>44865</v>
      </c>
      <c r="C1033" s="1" t="n">
        <v>45666</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50334-2022</t>
        </is>
      </c>
      <c r="B1034" s="1" t="n">
        <v>44865</v>
      </c>
      <c r="C1034" s="1" t="n">
        <v>45666</v>
      </c>
      <c r="D1034" t="inlineStr">
        <is>
          <t>JÄMTLANDS LÄN</t>
        </is>
      </c>
      <c r="E1034" t="inlineStr">
        <is>
          <t>BRÄCKE</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51152-2022</t>
        </is>
      </c>
      <c r="B1035" s="1" t="n">
        <v>44865</v>
      </c>
      <c r="C1035" s="1" t="n">
        <v>45666</v>
      </c>
      <c r="D1035" t="inlineStr">
        <is>
          <t>JÄMTLANDS LÄN</t>
        </is>
      </c>
      <c r="E1035" t="inlineStr">
        <is>
          <t>BRÄCKE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51270-2022</t>
        </is>
      </c>
      <c r="B1036" s="1" t="n">
        <v>44866</v>
      </c>
      <c r="C1036" s="1" t="n">
        <v>45666</v>
      </c>
      <c r="D1036" t="inlineStr">
        <is>
          <t>JÄMTLANDS LÄN</t>
        </is>
      </c>
      <c r="E1036" t="inlineStr">
        <is>
          <t>BRÄCKE</t>
        </is>
      </c>
      <c r="F1036" t="inlineStr">
        <is>
          <t>Kommuner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51022-2022</t>
        </is>
      </c>
      <c r="B1037" s="1" t="n">
        <v>44867</v>
      </c>
      <c r="C1037" s="1" t="n">
        <v>45666</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51020-2022</t>
        </is>
      </c>
      <c r="B1038" s="1" t="n">
        <v>44867</v>
      </c>
      <c r="C1038" s="1" t="n">
        <v>45666</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51558-2022</t>
        </is>
      </c>
      <c r="B1039" s="1" t="n">
        <v>44869</v>
      </c>
      <c r="C1039" s="1" t="n">
        <v>45666</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51559-2022</t>
        </is>
      </c>
      <c r="B1040" s="1" t="n">
        <v>44869</v>
      </c>
      <c r="C1040" s="1" t="n">
        <v>45666</v>
      </c>
      <c r="D1040" t="inlineStr">
        <is>
          <t>JÄMTLANDS LÄN</t>
        </is>
      </c>
      <c r="E1040" t="inlineStr">
        <is>
          <t>BRÄCKE</t>
        </is>
      </c>
      <c r="F1040" t="inlineStr">
        <is>
          <t>SCA</t>
        </is>
      </c>
      <c r="G1040" t="n">
        <v>21.1</v>
      </c>
      <c r="H1040" t="n">
        <v>0</v>
      </c>
      <c r="I1040" t="n">
        <v>0</v>
      </c>
      <c r="J1040" t="n">
        <v>0</v>
      </c>
      <c r="K1040" t="n">
        <v>0</v>
      </c>
      <c r="L1040" t="n">
        <v>0</v>
      </c>
      <c r="M1040" t="n">
        <v>0</v>
      </c>
      <c r="N1040" t="n">
        <v>0</v>
      </c>
      <c r="O1040" t="n">
        <v>0</v>
      </c>
      <c r="P1040" t="n">
        <v>0</v>
      </c>
      <c r="Q1040" t="n">
        <v>0</v>
      </c>
      <c r="R1040" s="2" t="inlineStr"/>
    </row>
    <row r="1041" ht="15" customHeight="1">
      <c r="A1041" t="inlineStr">
        <is>
          <t>A 51787-2022</t>
        </is>
      </c>
      <c r="B1041" s="1" t="n">
        <v>44872</v>
      </c>
      <c r="C1041" s="1" t="n">
        <v>45666</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52021-2022</t>
        </is>
      </c>
      <c r="B1042" s="1" t="n">
        <v>44872</v>
      </c>
      <c r="C1042" s="1" t="n">
        <v>45666</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52023-2022</t>
        </is>
      </c>
      <c r="B1043" s="1" t="n">
        <v>44872</v>
      </c>
      <c r="C1043" s="1" t="n">
        <v>45666</v>
      </c>
      <c r="D1043" t="inlineStr">
        <is>
          <t>JÄMTLANDS LÄN</t>
        </is>
      </c>
      <c r="E1043" t="inlineStr">
        <is>
          <t>BRÄCKE</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52022-2022</t>
        </is>
      </c>
      <c r="B1044" s="1" t="n">
        <v>44872</v>
      </c>
      <c r="C1044" s="1" t="n">
        <v>45666</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52844-2022</t>
        </is>
      </c>
      <c r="B1045" s="1" t="n">
        <v>44872</v>
      </c>
      <c r="C1045" s="1" t="n">
        <v>45666</v>
      </c>
      <c r="D1045" t="inlineStr">
        <is>
          <t>JÄMTLANDS LÄN</t>
        </is>
      </c>
      <c r="E1045" t="inlineStr">
        <is>
          <t>BRÄCKE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52031-2022</t>
        </is>
      </c>
      <c r="B1046" s="1" t="n">
        <v>44872</v>
      </c>
      <c r="C1046" s="1" t="n">
        <v>45666</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52300-2022</t>
        </is>
      </c>
      <c r="B1047" s="1" t="n">
        <v>44873</v>
      </c>
      <c r="C1047" s="1" t="n">
        <v>45666</v>
      </c>
      <c r="D1047" t="inlineStr">
        <is>
          <t>JÄMTLANDS LÄN</t>
        </is>
      </c>
      <c r="E1047" t="inlineStr">
        <is>
          <t>BRÄCKE</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53113-2022</t>
        </is>
      </c>
      <c r="B1048" s="1" t="n">
        <v>44873</v>
      </c>
      <c r="C1048" s="1" t="n">
        <v>45666</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52433-2022</t>
        </is>
      </c>
      <c r="B1049" s="1" t="n">
        <v>44874</v>
      </c>
      <c r="C1049" s="1" t="n">
        <v>45666</v>
      </c>
      <c r="D1049" t="inlineStr">
        <is>
          <t>JÄMTLANDS LÄN</t>
        </is>
      </c>
      <c r="E1049" t="inlineStr">
        <is>
          <t>BRÄCKE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52712-2022</t>
        </is>
      </c>
      <c r="B1050" s="1" t="n">
        <v>44874</v>
      </c>
      <c r="C1050" s="1" t="n">
        <v>45666</v>
      </c>
      <c r="D1050" t="inlineStr">
        <is>
          <t>JÄMTLANDS LÄN</t>
        </is>
      </c>
      <c r="E1050" t="inlineStr">
        <is>
          <t>BRÄCKE</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52721-2022</t>
        </is>
      </c>
      <c r="B1051" s="1" t="n">
        <v>44874</v>
      </c>
      <c r="C1051" s="1" t="n">
        <v>45666</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52713-2022</t>
        </is>
      </c>
      <c r="B1052" s="1" t="n">
        <v>44874</v>
      </c>
      <c r="C1052" s="1" t="n">
        <v>45666</v>
      </c>
      <c r="D1052" t="inlineStr">
        <is>
          <t>JÄMTLANDS LÄN</t>
        </is>
      </c>
      <c r="E1052" t="inlineStr">
        <is>
          <t>BRÄCKE</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52722-2022</t>
        </is>
      </c>
      <c r="B1053" s="1" t="n">
        <v>44874</v>
      </c>
      <c r="C1053" s="1" t="n">
        <v>45666</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52714-2022</t>
        </is>
      </c>
      <c r="B1054" s="1" t="n">
        <v>44874</v>
      </c>
      <c r="C1054" s="1" t="n">
        <v>45666</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52724-2022</t>
        </is>
      </c>
      <c r="B1055" s="1" t="n">
        <v>44874</v>
      </c>
      <c r="C1055" s="1" t="n">
        <v>45666</v>
      </c>
      <c r="D1055" t="inlineStr">
        <is>
          <t>JÄMTLANDS LÄN</t>
        </is>
      </c>
      <c r="E1055" t="inlineStr">
        <is>
          <t>BRÄCKE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53407-2022</t>
        </is>
      </c>
      <c r="B1056" s="1" t="n">
        <v>44874</v>
      </c>
      <c r="C1056" s="1" t="n">
        <v>45666</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52846-2022</t>
        </is>
      </c>
      <c r="B1057" s="1" t="n">
        <v>44875</v>
      </c>
      <c r="C1057" s="1" t="n">
        <v>45666</v>
      </c>
      <c r="D1057" t="inlineStr">
        <is>
          <t>JÄMTLANDS LÄN</t>
        </is>
      </c>
      <c r="E1057" t="inlineStr">
        <is>
          <t>BRÄCKE</t>
        </is>
      </c>
      <c r="F1057" t="inlineStr">
        <is>
          <t>Övriga Aktiebolag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52983-2022</t>
        </is>
      </c>
      <c r="B1058" s="1" t="n">
        <v>44875</v>
      </c>
      <c r="C1058" s="1" t="n">
        <v>45666</v>
      </c>
      <c r="D1058" t="inlineStr">
        <is>
          <t>JÄMTLANDS LÄN</t>
        </is>
      </c>
      <c r="E1058" t="inlineStr">
        <is>
          <t>BRÄCKE</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53026-2022</t>
        </is>
      </c>
      <c r="B1059" s="1" t="n">
        <v>44875</v>
      </c>
      <c r="C1059" s="1" t="n">
        <v>45666</v>
      </c>
      <c r="D1059" t="inlineStr">
        <is>
          <t>JÄMTLANDS LÄN</t>
        </is>
      </c>
      <c r="E1059" t="inlineStr">
        <is>
          <t>BRÄCKE</t>
        </is>
      </c>
      <c r="F1059" t="inlineStr">
        <is>
          <t>Naturvårdsverket</t>
        </is>
      </c>
      <c r="G1059" t="n">
        <v>69.90000000000001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53276-2022</t>
        </is>
      </c>
      <c r="B1060" s="1" t="n">
        <v>44876</v>
      </c>
      <c r="C1060" s="1" t="n">
        <v>45666</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53281-2022</t>
        </is>
      </c>
      <c r="B1061" s="1" t="n">
        <v>44876</v>
      </c>
      <c r="C1061" s="1" t="n">
        <v>45666</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53274-2022</t>
        </is>
      </c>
      <c r="B1062" s="1" t="n">
        <v>44876</v>
      </c>
      <c r="C1062" s="1" t="n">
        <v>45666</v>
      </c>
      <c r="D1062" t="inlineStr">
        <is>
          <t>JÄMTLANDS LÄN</t>
        </is>
      </c>
      <c r="E1062" t="inlineStr">
        <is>
          <t>BRÄCKE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53283-2022</t>
        </is>
      </c>
      <c r="B1063" s="1" t="n">
        <v>44876</v>
      </c>
      <c r="C1063" s="1" t="n">
        <v>45666</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53278-2022</t>
        </is>
      </c>
      <c r="B1064" s="1" t="n">
        <v>44876</v>
      </c>
      <c r="C1064" s="1" t="n">
        <v>45666</v>
      </c>
      <c r="D1064" t="inlineStr">
        <is>
          <t>JÄMTLANDS LÄN</t>
        </is>
      </c>
      <c r="E1064" t="inlineStr">
        <is>
          <t>BRÄCKE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54274-2022</t>
        </is>
      </c>
      <c r="B1065" s="1" t="n">
        <v>44879</v>
      </c>
      <c r="C1065" s="1" t="n">
        <v>45666</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53662-2022</t>
        </is>
      </c>
      <c r="B1066" s="1" t="n">
        <v>44879</v>
      </c>
      <c r="C1066" s="1" t="n">
        <v>45666</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53941-2022</t>
        </is>
      </c>
      <c r="B1067" s="1" t="n">
        <v>44880</v>
      </c>
      <c r="C1067" s="1" t="n">
        <v>45666</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54243-2022</t>
        </is>
      </c>
      <c r="B1068" s="1" t="n">
        <v>44881</v>
      </c>
      <c r="C1068" s="1" t="n">
        <v>45666</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54520-2022</t>
        </is>
      </c>
      <c r="B1069" s="1" t="n">
        <v>44882</v>
      </c>
      <c r="C1069" s="1" t="n">
        <v>45666</v>
      </c>
      <c r="D1069" t="inlineStr">
        <is>
          <t>JÄMTLANDS LÄN</t>
        </is>
      </c>
      <c r="E1069" t="inlineStr">
        <is>
          <t>BRÄCKE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54566-2022</t>
        </is>
      </c>
      <c r="B1070" s="1" t="n">
        <v>44882</v>
      </c>
      <c r="C1070" s="1" t="n">
        <v>45666</v>
      </c>
      <c r="D1070" t="inlineStr">
        <is>
          <t>JÄMTLANDS LÄN</t>
        </is>
      </c>
      <c r="E1070" t="inlineStr">
        <is>
          <t>BRÄCKE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54524-2022</t>
        </is>
      </c>
      <c r="B1071" s="1" t="n">
        <v>44882</v>
      </c>
      <c r="C1071" s="1" t="n">
        <v>45666</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54568-2022</t>
        </is>
      </c>
      <c r="B1072" s="1" t="n">
        <v>44882</v>
      </c>
      <c r="C1072" s="1" t="n">
        <v>45666</v>
      </c>
      <c r="D1072" t="inlineStr">
        <is>
          <t>JÄMTLANDS LÄN</t>
        </is>
      </c>
      <c r="E1072" t="inlineStr">
        <is>
          <t>BRÄCKE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54565-2022</t>
        </is>
      </c>
      <c r="B1073" s="1" t="n">
        <v>44882</v>
      </c>
      <c r="C1073" s="1" t="n">
        <v>45666</v>
      </c>
      <c r="D1073" t="inlineStr">
        <is>
          <t>JÄMTLANDS LÄN</t>
        </is>
      </c>
      <c r="E1073" t="inlineStr">
        <is>
          <t>BRÄCKE</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54567-2022</t>
        </is>
      </c>
      <c r="B1074" s="1" t="n">
        <v>44882</v>
      </c>
      <c r="C1074" s="1" t="n">
        <v>45666</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54668-2022</t>
        </is>
      </c>
      <c r="B1075" s="1" t="n">
        <v>44883</v>
      </c>
      <c r="C1075" s="1" t="n">
        <v>45666</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54829-2022</t>
        </is>
      </c>
      <c r="B1076" s="1" t="n">
        <v>44883</v>
      </c>
      <c r="C1076" s="1" t="n">
        <v>45666</v>
      </c>
      <c r="D1076" t="inlineStr">
        <is>
          <t>JÄMTLANDS LÄN</t>
        </is>
      </c>
      <c r="E1076" t="inlineStr">
        <is>
          <t>BRÄCKE</t>
        </is>
      </c>
      <c r="F1076" t="inlineStr">
        <is>
          <t>SCA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54840-2022</t>
        </is>
      </c>
      <c r="B1077" s="1" t="n">
        <v>44883</v>
      </c>
      <c r="C1077" s="1" t="n">
        <v>45666</v>
      </c>
      <c r="D1077" t="inlineStr">
        <is>
          <t>JÄMTLANDS LÄN</t>
        </is>
      </c>
      <c r="E1077" t="inlineStr">
        <is>
          <t>BRÄCKE</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54833-2022</t>
        </is>
      </c>
      <c r="B1078" s="1" t="n">
        <v>44883</v>
      </c>
      <c r="C1078" s="1" t="n">
        <v>45666</v>
      </c>
      <c r="D1078" t="inlineStr">
        <is>
          <t>JÄMTLANDS LÄN</t>
        </is>
      </c>
      <c r="E1078" t="inlineStr">
        <is>
          <t>BRÄCKE</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55774-2022</t>
        </is>
      </c>
      <c r="B1079" s="1" t="n">
        <v>44886</v>
      </c>
      <c r="C1079" s="1" t="n">
        <v>45666</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55512-2022</t>
        </is>
      </c>
      <c r="B1080" s="1" t="n">
        <v>44887</v>
      </c>
      <c r="C1080" s="1" t="n">
        <v>45666</v>
      </c>
      <c r="D1080" t="inlineStr">
        <is>
          <t>JÄMTLANDS LÄN</t>
        </is>
      </c>
      <c r="E1080" t="inlineStr">
        <is>
          <t>BRÄCKE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55520-2022</t>
        </is>
      </c>
      <c r="B1081" s="1" t="n">
        <v>44887</v>
      </c>
      <c r="C1081" s="1" t="n">
        <v>45666</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55529-2022</t>
        </is>
      </c>
      <c r="B1082" s="1" t="n">
        <v>44887</v>
      </c>
      <c r="C1082" s="1" t="n">
        <v>45666</v>
      </c>
      <c r="D1082" t="inlineStr">
        <is>
          <t>JÄMTLANDS LÄN</t>
        </is>
      </c>
      <c r="E1082" t="inlineStr">
        <is>
          <t>BRÄCKE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55523-2022</t>
        </is>
      </c>
      <c r="B1083" s="1" t="n">
        <v>44887</v>
      </c>
      <c r="C1083" s="1" t="n">
        <v>45666</v>
      </c>
      <c r="D1083" t="inlineStr">
        <is>
          <t>JÄMTLANDS LÄN</t>
        </is>
      </c>
      <c r="E1083" t="inlineStr">
        <is>
          <t>BRÄCKE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55895-2022</t>
        </is>
      </c>
      <c r="B1084" s="1" t="n">
        <v>44888</v>
      </c>
      <c r="C1084" s="1" t="n">
        <v>45666</v>
      </c>
      <c r="D1084" t="inlineStr">
        <is>
          <t>JÄMTLANDS LÄN</t>
        </is>
      </c>
      <c r="E1084" t="inlineStr">
        <is>
          <t>BRÄCKE</t>
        </is>
      </c>
      <c r="F1084" t="inlineStr">
        <is>
          <t>SCA</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55900-2022</t>
        </is>
      </c>
      <c r="B1085" s="1" t="n">
        <v>44888</v>
      </c>
      <c r="C1085" s="1" t="n">
        <v>45666</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55905-2022</t>
        </is>
      </c>
      <c r="B1086" s="1" t="n">
        <v>44888</v>
      </c>
      <c r="C1086" s="1" t="n">
        <v>45666</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56185-2022</t>
        </is>
      </c>
      <c r="B1087" s="1" t="n">
        <v>44889</v>
      </c>
      <c r="C1087" s="1" t="n">
        <v>45666</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56424-2022</t>
        </is>
      </c>
      <c r="B1088" s="1" t="n">
        <v>44890</v>
      </c>
      <c r="C1088" s="1" t="n">
        <v>45666</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56641-2022</t>
        </is>
      </c>
      <c r="B1089" s="1" t="n">
        <v>44893</v>
      </c>
      <c r="C1089" s="1" t="n">
        <v>45666</v>
      </c>
      <c r="D1089" t="inlineStr">
        <is>
          <t>JÄMTLANDS LÄN</t>
        </is>
      </c>
      <c r="E1089" t="inlineStr">
        <is>
          <t>BRÄCKE</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56656-2022</t>
        </is>
      </c>
      <c r="B1090" s="1" t="n">
        <v>44893</v>
      </c>
      <c r="C1090" s="1" t="n">
        <v>45666</v>
      </c>
      <c r="D1090" t="inlineStr">
        <is>
          <t>JÄMTLANDS LÄN</t>
        </is>
      </c>
      <c r="E1090" t="inlineStr">
        <is>
          <t>BRÄCKE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56732-2022</t>
        </is>
      </c>
      <c r="B1091" s="1" t="n">
        <v>44893</v>
      </c>
      <c r="C1091" s="1" t="n">
        <v>45666</v>
      </c>
      <c r="D1091" t="inlineStr">
        <is>
          <t>JÄMTLANDS LÄN</t>
        </is>
      </c>
      <c r="E1091" t="inlineStr">
        <is>
          <t>BRÄCKE</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56739-2022</t>
        </is>
      </c>
      <c r="B1092" s="1" t="n">
        <v>44893</v>
      </c>
      <c r="C1092" s="1" t="n">
        <v>45666</v>
      </c>
      <c r="D1092" t="inlineStr">
        <is>
          <t>JÄMTLANDS LÄN</t>
        </is>
      </c>
      <c r="E1092" t="inlineStr">
        <is>
          <t>BRÄCKE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57011-2022</t>
        </is>
      </c>
      <c r="B1093" s="1" t="n">
        <v>44894</v>
      </c>
      <c r="C1093" s="1" t="n">
        <v>45666</v>
      </c>
      <c r="D1093" t="inlineStr">
        <is>
          <t>JÄMTLANDS LÄN</t>
        </is>
      </c>
      <c r="E1093" t="inlineStr">
        <is>
          <t>BRÄCKE</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56822-2022</t>
        </is>
      </c>
      <c r="B1094" s="1" t="n">
        <v>44894</v>
      </c>
      <c r="C1094" s="1" t="n">
        <v>45666</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57010-2022</t>
        </is>
      </c>
      <c r="B1095" s="1" t="n">
        <v>44894</v>
      </c>
      <c r="C1095" s="1" t="n">
        <v>45666</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58547-2022</t>
        </is>
      </c>
      <c r="B1096" s="1" t="n">
        <v>44894</v>
      </c>
      <c r="C1096" s="1" t="n">
        <v>45666</v>
      </c>
      <c r="D1096" t="inlineStr">
        <is>
          <t>JÄMTLANDS LÄN</t>
        </is>
      </c>
      <c r="E1096" t="inlineStr">
        <is>
          <t>BRÄCKE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57845-2022</t>
        </is>
      </c>
      <c r="B1097" s="1" t="n">
        <v>44897</v>
      </c>
      <c r="C1097" s="1" t="n">
        <v>45666</v>
      </c>
      <c r="D1097" t="inlineStr">
        <is>
          <t>JÄMTLANDS LÄN</t>
        </is>
      </c>
      <c r="E1097" t="inlineStr">
        <is>
          <t>BRÄCKE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58187-2022</t>
        </is>
      </c>
      <c r="B1098" s="1" t="n">
        <v>44900</v>
      </c>
      <c r="C1098" s="1" t="n">
        <v>45666</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58500-2022</t>
        </is>
      </c>
      <c r="B1099" s="1" t="n">
        <v>44902</v>
      </c>
      <c r="C1099" s="1" t="n">
        <v>45666</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58498-2022</t>
        </is>
      </c>
      <c r="B1100" s="1" t="n">
        <v>44902</v>
      </c>
      <c r="C1100" s="1" t="n">
        <v>45666</v>
      </c>
      <c r="D1100" t="inlineStr">
        <is>
          <t>JÄMTLANDS LÄN</t>
        </is>
      </c>
      <c r="E1100" t="inlineStr">
        <is>
          <t>BRÄCKE</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58503-2022</t>
        </is>
      </c>
      <c r="B1101" s="1" t="n">
        <v>44902</v>
      </c>
      <c r="C1101" s="1" t="n">
        <v>45666</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58497-2022</t>
        </is>
      </c>
      <c r="B1102" s="1" t="n">
        <v>44902</v>
      </c>
      <c r="C1102" s="1" t="n">
        <v>45666</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58728-2022</t>
        </is>
      </c>
      <c r="B1103" s="1" t="n">
        <v>44902</v>
      </c>
      <c r="C1103" s="1" t="n">
        <v>45666</v>
      </c>
      <c r="D1103" t="inlineStr">
        <is>
          <t>JÄMTLANDS LÄN</t>
        </is>
      </c>
      <c r="E1103" t="inlineStr">
        <is>
          <t>BRÄCKE</t>
        </is>
      </c>
      <c r="G1103" t="n">
        <v>21.5</v>
      </c>
      <c r="H1103" t="n">
        <v>0</v>
      </c>
      <c r="I1103" t="n">
        <v>0</v>
      </c>
      <c r="J1103" t="n">
        <v>0</v>
      </c>
      <c r="K1103" t="n">
        <v>0</v>
      </c>
      <c r="L1103" t="n">
        <v>0</v>
      </c>
      <c r="M1103" t="n">
        <v>0</v>
      </c>
      <c r="N1103" t="n">
        <v>0</v>
      </c>
      <c r="O1103" t="n">
        <v>0</v>
      </c>
      <c r="P1103" t="n">
        <v>0</v>
      </c>
      <c r="Q1103" t="n">
        <v>0</v>
      </c>
      <c r="R1103" s="2" t="inlineStr"/>
    </row>
    <row r="1104" ht="15" customHeight="1">
      <c r="A1104" t="inlineStr">
        <is>
          <t>A 58745-2022</t>
        </is>
      </c>
      <c r="B1104" s="1" t="n">
        <v>44902</v>
      </c>
      <c r="C1104" s="1" t="n">
        <v>45666</v>
      </c>
      <c r="D1104" t="inlineStr">
        <is>
          <t>JÄMTLANDS LÄN</t>
        </is>
      </c>
      <c r="E1104" t="inlineStr">
        <is>
          <t>BRÄCKE</t>
        </is>
      </c>
      <c r="F1104" t="inlineStr">
        <is>
          <t>SCA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58731-2022</t>
        </is>
      </c>
      <c r="B1105" s="1" t="n">
        <v>44902</v>
      </c>
      <c r="C1105" s="1" t="n">
        <v>45666</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59047-2022</t>
        </is>
      </c>
      <c r="B1106" s="1" t="n">
        <v>44903</v>
      </c>
      <c r="C1106" s="1" t="n">
        <v>45666</v>
      </c>
      <c r="D1106" t="inlineStr">
        <is>
          <t>JÄMTLANDS LÄN</t>
        </is>
      </c>
      <c r="E1106" t="inlineStr">
        <is>
          <t>BRÄCKE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59369-2022</t>
        </is>
      </c>
      <c r="B1107" s="1" t="n">
        <v>44904</v>
      </c>
      <c r="C1107" s="1" t="n">
        <v>45666</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59405-2022</t>
        </is>
      </c>
      <c r="B1108" s="1" t="n">
        <v>44906</v>
      </c>
      <c r="C1108" s="1" t="n">
        <v>45666</v>
      </c>
      <c r="D1108" t="inlineStr">
        <is>
          <t>JÄMTLANDS LÄN</t>
        </is>
      </c>
      <c r="E1108" t="inlineStr">
        <is>
          <t>BRÄCKE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59427-2022</t>
        </is>
      </c>
      <c r="B1109" s="1" t="n">
        <v>44907</v>
      </c>
      <c r="C1109" s="1" t="n">
        <v>45666</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59640-2022</t>
        </is>
      </c>
      <c r="B1110" s="1" t="n">
        <v>44908</v>
      </c>
      <c r="C1110" s="1" t="n">
        <v>45666</v>
      </c>
      <c r="D1110" t="inlineStr">
        <is>
          <t>JÄMTLANDS LÄN</t>
        </is>
      </c>
      <c r="E1110" t="inlineStr">
        <is>
          <t>BRÄCKE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59644-2022</t>
        </is>
      </c>
      <c r="B1111" s="1" t="n">
        <v>44908</v>
      </c>
      <c r="C1111" s="1" t="n">
        <v>45666</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59641-2022</t>
        </is>
      </c>
      <c r="B1112" s="1" t="n">
        <v>44908</v>
      </c>
      <c r="C1112" s="1" t="n">
        <v>45666</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59642-2022</t>
        </is>
      </c>
      <c r="B1113" s="1" t="n">
        <v>44908</v>
      </c>
      <c r="C1113" s="1" t="n">
        <v>45666</v>
      </c>
      <c r="D1113" t="inlineStr">
        <is>
          <t>JÄMTLANDS LÄN</t>
        </is>
      </c>
      <c r="E1113" t="inlineStr">
        <is>
          <t>BRÄCKE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59643-2022</t>
        </is>
      </c>
      <c r="B1114" s="1" t="n">
        <v>44907</v>
      </c>
      <c r="C1114" s="1" t="n">
        <v>45666</v>
      </c>
      <c r="D1114" t="inlineStr">
        <is>
          <t>JÄMTLANDS LÄN</t>
        </is>
      </c>
      <c r="E1114" t="inlineStr">
        <is>
          <t>BRÄCKE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59910-2022</t>
        </is>
      </c>
      <c r="B1115" s="1" t="n">
        <v>44908</v>
      </c>
      <c r="C1115" s="1" t="n">
        <v>45666</v>
      </c>
      <c r="D1115" t="inlineStr">
        <is>
          <t>JÄMTLANDS LÄN</t>
        </is>
      </c>
      <c r="E1115" t="inlineStr">
        <is>
          <t>BRÄCKE</t>
        </is>
      </c>
      <c r="F1115" t="inlineStr">
        <is>
          <t>SCA</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59915-2022</t>
        </is>
      </c>
      <c r="B1116" s="1" t="n">
        <v>44909</v>
      </c>
      <c r="C1116" s="1" t="n">
        <v>45666</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59914-2022</t>
        </is>
      </c>
      <c r="B1117" s="1" t="n">
        <v>44909</v>
      </c>
      <c r="C1117" s="1" t="n">
        <v>45666</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59916-2022</t>
        </is>
      </c>
      <c r="B1118" s="1" t="n">
        <v>44909</v>
      </c>
      <c r="C1118" s="1" t="n">
        <v>45666</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59932-2022</t>
        </is>
      </c>
      <c r="B1119" s="1" t="n">
        <v>44909</v>
      </c>
      <c r="C1119" s="1" t="n">
        <v>45666</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60178-2022</t>
        </is>
      </c>
      <c r="B1120" s="1" t="n">
        <v>44909</v>
      </c>
      <c r="C1120" s="1" t="n">
        <v>45666</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60417-2022</t>
        </is>
      </c>
      <c r="B1121" s="1" t="n">
        <v>44911</v>
      </c>
      <c r="C1121" s="1" t="n">
        <v>45666</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60661-2022</t>
        </is>
      </c>
      <c r="B1122" s="1" t="n">
        <v>44911</v>
      </c>
      <c r="C1122" s="1" t="n">
        <v>45666</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61662-2022</t>
        </is>
      </c>
      <c r="B1123" s="1" t="n">
        <v>44917</v>
      </c>
      <c r="C1123" s="1" t="n">
        <v>45666</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61663-2022</t>
        </is>
      </c>
      <c r="B1124" s="1" t="n">
        <v>44916</v>
      </c>
      <c r="C1124" s="1" t="n">
        <v>45666</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123-2023</t>
        </is>
      </c>
      <c r="B1125" s="1" t="n">
        <v>44928</v>
      </c>
      <c r="C1125" s="1" t="n">
        <v>45666</v>
      </c>
      <c r="D1125" t="inlineStr">
        <is>
          <t>JÄMTLANDS LÄN</t>
        </is>
      </c>
      <c r="E1125" t="inlineStr">
        <is>
          <t>BRÄCKE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1070-2023</t>
        </is>
      </c>
      <c r="B1126" s="1" t="n">
        <v>44929</v>
      </c>
      <c r="C1126" s="1" t="n">
        <v>45666</v>
      </c>
      <c r="D1126" t="inlineStr">
        <is>
          <t>JÄMTLANDS LÄN</t>
        </is>
      </c>
      <c r="E1126" t="inlineStr">
        <is>
          <t>BRÄCKE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643-2023</t>
        </is>
      </c>
      <c r="B1127" s="1" t="n">
        <v>44930</v>
      </c>
      <c r="C1127" s="1" t="n">
        <v>45666</v>
      </c>
      <c r="D1127" t="inlineStr">
        <is>
          <t>JÄMTLANDS LÄN</t>
        </is>
      </c>
      <c r="E1127" t="inlineStr">
        <is>
          <t>BRÄCKE</t>
        </is>
      </c>
      <c r="F1127" t="inlineStr">
        <is>
          <t>Övriga Aktiebolag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1178-2023</t>
        </is>
      </c>
      <c r="B1128" s="1" t="n">
        <v>44930</v>
      </c>
      <c r="C1128" s="1" t="n">
        <v>45666</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676-2023</t>
        </is>
      </c>
      <c r="B1129" s="1" t="n">
        <v>44930</v>
      </c>
      <c r="C1129" s="1" t="n">
        <v>45666</v>
      </c>
      <c r="D1129" t="inlineStr">
        <is>
          <t>JÄMTLANDS LÄN</t>
        </is>
      </c>
      <c r="E1129" t="inlineStr">
        <is>
          <t>BRÄCKE</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724-2023</t>
        </is>
      </c>
      <c r="B1130" s="1" t="n">
        <v>44930</v>
      </c>
      <c r="C1130" s="1" t="n">
        <v>45666</v>
      </c>
      <c r="D1130" t="inlineStr">
        <is>
          <t>JÄMTLANDS LÄN</t>
        </is>
      </c>
      <c r="E1130" t="inlineStr">
        <is>
          <t>BRÄCKE</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1204-2023</t>
        </is>
      </c>
      <c r="B1131" s="1" t="n">
        <v>44930</v>
      </c>
      <c r="C1131" s="1" t="n">
        <v>45666</v>
      </c>
      <c r="D1131" t="inlineStr">
        <is>
          <t>JÄMTLANDS LÄN</t>
        </is>
      </c>
      <c r="E1131" t="inlineStr">
        <is>
          <t>BRÄCKE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1230-2023</t>
        </is>
      </c>
      <c r="B1132" s="1" t="n">
        <v>44936</v>
      </c>
      <c r="C1132" s="1" t="n">
        <v>45666</v>
      </c>
      <c r="D1132" t="inlineStr">
        <is>
          <t>JÄMTLANDS LÄN</t>
        </is>
      </c>
      <c r="E1132" t="inlineStr">
        <is>
          <t>BRÄCKE</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2254-2023</t>
        </is>
      </c>
      <c r="B1133" s="1" t="n">
        <v>44939</v>
      </c>
      <c r="C1133" s="1" t="n">
        <v>45666</v>
      </c>
      <c r="D1133" t="inlineStr">
        <is>
          <t>JÄMTLANDS LÄN</t>
        </is>
      </c>
      <c r="E1133" t="inlineStr">
        <is>
          <t>BRÄCKE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2954-2023</t>
        </is>
      </c>
      <c r="B1134" s="1" t="n">
        <v>44945</v>
      </c>
      <c r="C1134" s="1" t="n">
        <v>45666</v>
      </c>
      <c r="D1134" t="inlineStr">
        <is>
          <t>JÄMTLANDS LÄN</t>
        </is>
      </c>
      <c r="E1134" t="inlineStr">
        <is>
          <t>BRÄCKE</t>
        </is>
      </c>
      <c r="F1134" t="inlineStr">
        <is>
          <t>Övriga Aktiebolag</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3032-2023</t>
        </is>
      </c>
      <c r="B1135" s="1" t="n">
        <v>44945</v>
      </c>
      <c r="C1135" s="1" t="n">
        <v>45666</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3036-2023</t>
        </is>
      </c>
      <c r="B1136" s="1" t="n">
        <v>44945</v>
      </c>
      <c r="C1136" s="1" t="n">
        <v>45666</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3020-2023</t>
        </is>
      </c>
      <c r="B1137" s="1" t="n">
        <v>44945</v>
      </c>
      <c r="C1137" s="1" t="n">
        <v>45666</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3031-2023</t>
        </is>
      </c>
      <c r="B1138" s="1" t="n">
        <v>44945</v>
      </c>
      <c r="C1138" s="1" t="n">
        <v>45666</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3035-2023</t>
        </is>
      </c>
      <c r="B1139" s="1" t="n">
        <v>44945</v>
      </c>
      <c r="C1139" s="1" t="n">
        <v>45666</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3033-2023</t>
        </is>
      </c>
      <c r="B1140" s="1" t="n">
        <v>44945</v>
      </c>
      <c r="C1140" s="1" t="n">
        <v>45666</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2985-2023</t>
        </is>
      </c>
      <c r="B1141" s="1" t="n">
        <v>44945</v>
      </c>
      <c r="C1141" s="1" t="n">
        <v>45666</v>
      </c>
      <c r="D1141" t="inlineStr">
        <is>
          <t>JÄMTLANDS LÄN</t>
        </is>
      </c>
      <c r="E1141" t="inlineStr">
        <is>
          <t>BRÄCKE</t>
        </is>
      </c>
      <c r="F1141" t="inlineStr">
        <is>
          <t>Övriga Aktiebolag</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3698-2023</t>
        </is>
      </c>
      <c r="B1142" s="1" t="n">
        <v>44950</v>
      </c>
      <c r="C1142" s="1" t="n">
        <v>45666</v>
      </c>
      <c r="D1142" t="inlineStr">
        <is>
          <t>JÄMTLANDS LÄN</t>
        </is>
      </c>
      <c r="E1142" t="inlineStr">
        <is>
          <t>BRÄCKE</t>
        </is>
      </c>
      <c r="F1142" t="inlineStr">
        <is>
          <t>SCA</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3702-2023</t>
        </is>
      </c>
      <c r="B1143" s="1" t="n">
        <v>44950</v>
      </c>
      <c r="C1143" s="1" t="n">
        <v>45666</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3845-2023</t>
        </is>
      </c>
      <c r="B1144" s="1" t="n">
        <v>44950</v>
      </c>
      <c r="C1144" s="1" t="n">
        <v>45666</v>
      </c>
      <c r="D1144" t="inlineStr">
        <is>
          <t>JÄMTLANDS LÄN</t>
        </is>
      </c>
      <c r="E1144" t="inlineStr">
        <is>
          <t>BRÄCKE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3892-2023</t>
        </is>
      </c>
      <c r="B1145" s="1" t="n">
        <v>44951</v>
      </c>
      <c r="C1145" s="1" t="n">
        <v>45666</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3895-2023</t>
        </is>
      </c>
      <c r="B1146" s="1" t="n">
        <v>44951</v>
      </c>
      <c r="C1146" s="1" t="n">
        <v>45666</v>
      </c>
      <c r="D1146" t="inlineStr">
        <is>
          <t>JÄMTLANDS LÄN</t>
        </is>
      </c>
      <c r="E1146" t="inlineStr">
        <is>
          <t>BRÄCKE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4273-2023</t>
        </is>
      </c>
      <c r="B1147" s="1" t="n">
        <v>44953</v>
      </c>
      <c r="C1147" s="1" t="n">
        <v>45666</v>
      </c>
      <c r="D1147" t="inlineStr">
        <is>
          <t>JÄMTLANDS LÄN</t>
        </is>
      </c>
      <c r="E1147" t="inlineStr">
        <is>
          <t>BRÄCKE</t>
        </is>
      </c>
      <c r="F1147" t="inlineStr">
        <is>
          <t>Övriga Aktiebolag</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4365-2023</t>
        </is>
      </c>
      <c r="B1148" s="1" t="n">
        <v>44954</v>
      </c>
      <c r="C1148" s="1" t="n">
        <v>45666</v>
      </c>
      <c r="D1148" t="inlineStr">
        <is>
          <t>JÄMTLANDS LÄN</t>
        </is>
      </c>
      <c r="E1148" t="inlineStr">
        <is>
          <t>BRÄCKE</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4366-2023</t>
        </is>
      </c>
      <c r="B1149" s="1" t="n">
        <v>44954</v>
      </c>
      <c r="C1149" s="1" t="n">
        <v>45666</v>
      </c>
      <c r="D1149" t="inlineStr">
        <is>
          <t>JÄMTLANDS LÄN</t>
        </is>
      </c>
      <c r="E1149" t="inlineStr">
        <is>
          <t>BRÄCKE</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4381-2023</t>
        </is>
      </c>
      <c r="B1150" s="1" t="n">
        <v>44955</v>
      </c>
      <c r="C1150" s="1" t="n">
        <v>45666</v>
      </c>
      <c r="D1150" t="inlineStr">
        <is>
          <t>JÄMTLANDS LÄN</t>
        </is>
      </c>
      <c r="E1150" t="inlineStr">
        <is>
          <t>BRÄCKE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5004-2023</t>
        </is>
      </c>
      <c r="B1151" s="1" t="n">
        <v>44956</v>
      </c>
      <c r="C1151" s="1" t="n">
        <v>45666</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5160-2023</t>
        </is>
      </c>
      <c r="B1152" s="1" t="n">
        <v>44958</v>
      </c>
      <c r="C1152" s="1" t="n">
        <v>45666</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5180-2023</t>
        </is>
      </c>
      <c r="B1153" s="1" t="n">
        <v>44958</v>
      </c>
      <c r="C1153" s="1" t="n">
        <v>45666</v>
      </c>
      <c r="D1153" t="inlineStr">
        <is>
          <t>JÄMTLANDS LÄN</t>
        </is>
      </c>
      <c r="E1153" t="inlineStr">
        <is>
          <t>BRÄCKE</t>
        </is>
      </c>
      <c r="F1153" t="inlineStr">
        <is>
          <t>SCA</t>
        </is>
      </c>
      <c r="G1153" t="n">
        <v>13.3</v>
      </c>
      <c r="H1153" t="n">
        <v>0</v>
      </c>
      <c r="I1153" t="n">
        <v>0</v>
      </c>
      <c r="J1153" t="n">
        <v>0</v>
      </c>
      <c r="K1153" t="n">
        <v>0</v>
      </c>
      <c r="L1153" t="n">
        <v>0</v>
      </c>
      <c r="M1153" t="n">
        <v>0</v>
      </c>
      <c r="N1153" t="n">
        <v>0</v>
      </c>
      <c r="O1153" t="n">
        <v>0</v>
      </c>
      <c r="P1153" t="n">
        <v>0</v>
      </c>
      <c r="Q1153" t="n">
        <v>0</v>
      </c>
      <c r="R1153" s="2" t="inlineStr"/>
    </row>
    <row r="1154" ht="15" customHeight="1">
      <c r="A1154" t="inlineStr">
        <is>
          <t>A 6345-2023</t>
        </is>
      </c>
      <c r="B1154" s="1" t="n">
        <v>44960</v>
      </c>
      <c r="C1154" s="1" t="n">
        <v>45666</v>
      </c>
      <c r="D1154" t="inlineStr">
        <is>
          <t>JÄMTLANDS LÄN</t>
        </is>
      </c>
      <c r="E1154" t="inlineStr">
        <is>
          <t>BRÄCKE</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6852-2023</t>
        </is>
      </c>
      <c r="B1155" s="1" t="n">
        <v>44964</v>
      </c>
      <c r="C1155" s="1" t="n">
        <v>45666</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6701-2023</t>
        </is>
      </c>
      <c r="B1156" s="1" t="n">
        <v>44964</v>
      </c>
      <c r="C1156" s="1" t="n">
        <v>45666</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6390-2023</t>
        </is>
      </c>
      <c r="B1157" s="1" t="n">
        <v>44965</v>
      </c>
      <c r="C1157" s="1" t="n">
        <v>45666</v>
      </c>
      <c r="D1157" t="inlineStr">
        <is>
          <t>JÄMTLANDS LÄN</t>
        </is>
      </c>
      <c r="E1157" t="inlineStr">
        <is>
          <t>BRÄCKE</t>
        </is>
      </c>
      <c r="F1157" t="inlineStr">
        <is>
          <t>Övriga Aktiebolag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6764-2023</t>
        </is>
      </c>
      <c r="B1158" s="1" t="n">
        <v>44966</v>
      </c>
      <c r="C1158" s="1" t="n">
        <v>45666</v>
      </c>
      <c r="D1158" t="inlineStr">
        <is>
          <t>JÄMTLANDS LÄN</t>
        </is>
      </c>
      <c r="E1158" t="inlineStr">
        <is>
          <t>BRÄCKE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6768-2023</t>
        </is>
      </c>
      <c r="B1159" s="1" t="n">
        <v>44966</v>
      </c>
      <c r="C1159" s="1" t="n">
        <v>45666</v>
      </c>
      <c r="D1159" t="inlineStr">
        <is>
          <t>JÄMTLANDS LÄN</t>
        </is>
      </c>
      <c r="E1159" t="inlineStr">
        <is>
          <t>BRÄCKE</t>
        </is>
      </c>
      <c r="G1159" t="n">
        <v>3.4</v>
      </c>
      <c r="H1159" t="n">
        <v>0</v>
      </c>
      <c r="I1159" t="n">
        <v>0</v>
      </c>
      <c r="J1159" t="n">
        <v>0</v>
      </c>
      <c r="K1159" t="n">
        <v>0</v>
      </c>
      <c r="L1159" t="n">
        <v>0</v>
      </c>
      <c r="M1159" t="n">
        <v>0</v>
      </c>
      <c r="N1159" t="n">
        <v>0</v>
      </c>
      <c r="O1159" t="n">
        <v>0</v>
      </c>
      <c r="P1159" t="n">
        <v>0</v>
      </c>
      <c r="Q1159" t="n">
        <v>0</v>
      </c>
      <c r="R1159" s="2" t="inlineStr"/>
      <c r="U1159">
        <f>HYPERLINK("https://klasma.github.io/Logging_2305/knärot/A 6768-2023 karta knärot.png", "A 6768-2023")</f>
        <v/>
      </c>
      <c r="V1159">
        <f>HYPERLINK("https://klasma.github.io/Logging_2305/klagomål/A 6768-2023 FSC-klagomål.docx", "A 6768-2023")</f>
        <v/>
      </c>
      <c r="W1159">
        <f>HYPERLINK("https://klasma.github.io/Logging_2305/klagomålsmail/A 6768-2023 FSC-klagomål mail.docx", "A 6768-2023")</f>
        <v/>
      </c>
      <c r="X1159">
        <f>HYPERLINK("https://klasma.github.io/Logging_2305/tillsyn/A 6768-2023 tillsynsbegäran.docx", "A 6768-2023")</f>
        <v/>
      </c>
      <c r="Y1159">
        <f>HYPERLINK("https://klasma.github.io/Logging_2305/tillsynsmail/A 6768-2023 tillsynsbegäran mail.docx", "A 6768-2023")</f>
        <v/>
      </c>
    </row>
    <row r="1160" ht="15" customHeight="1">
      <c r="A1160" t="inlineStr">
        <is>
          <t>A 6766-2023</t>
        </is>
      </c>
      <c r="B1160" s="1" t="n">
        <v>44966</v>
      </c>
      <c r="C1160" s="1" t="n">
        <v>45666</v>
      </c>
      <c r="D1160" t="inlineStr">
        <is>
          <t>JÄMTLANDS LÄN</t>
        </is>
      </c>
      <c r="E1160" t="inlineStr">
        <is>
          <t>BRÄCKE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6763-2023</t>
        </is>
      </c>
      <c r="B1161" s="1" t="n">
        <v>44966</v>
      </c>
      <c r="C1161" s="1" t="n">
        <v>45666</v>
      </c>
      <c r="D1161" t="inlineStr">
        <is>
          <t>JÄMTLANDS LÄN</t>
        </is>
      </c>
      <c r="E1161" t="inlineStr">
        <is>
          <t>BRÄCKE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6870-2023</t>
        </is>
      </c>
      <c r="B1162" s="1" t="n">
        <v>44967</v>
      </c>
      <c r="C1162" s="1" t="n">
        <v>45666</v>
      </c>
      <c r="D1162" t="inlineStr">
        <is>
          <t>JÄMTLANDS LÄN</t>
        </is>
      </c>
      <c r="E1162" t="inlineStr">
        <is>
          <t>BRÄCKE</t>
        </is>
      </c>
      <c r="F1162" t="inlineStr">
        <is>
          <t>Övriga Aktiebolag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7549-2023</t>
        </is>
      </c>
      <c r="B1163" s="1" t="n">
        <v>44972</v>
      </c>
      <c r="C1163" s="1" t="n">
        <v>45666</v>
      </c>
      <c r="D1163" t="inlineStr">
        <is>
          <t>JÄMTLANDS LÄN</t>
        </is>
      </c>
      <c r="E1163" t="inlineStr">
        <is>
          <t>BRÄCKE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8975-2023</t>
        </is>
      </c>
      <c r="B1164" s="1" t="n">
        <v>44974</v>
      </c>
      <c r="C1164" s="1" t="n">
        <v>45666</v>
      </c>
      <c r="D1164" t="inlineStr">
        <is>
          <t>JÄMTLANDS LÄN</t>
        </is>
      </c>
      <c r="E1164" t="inlineStr">
        <is>
          <t>BRÄCKE</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8657-2023</t>
        </is>
      </c>
      <c r="B1165" s="1" t="n">
        <v>44978</v>
      </c>
      <c r="C1165" s="1" t="n">
        <v>45666</v>
      </c>
      <c r="D1165" t="inlineStr">
        <is>
          <t>JÄMTLANDS LÄN</t>
        </is>
      </c>
      <c r="E1165" t="inlineStr">
        <is>
          <t>BRÄCKE</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8674-2023</t>
        </is>
      </c>
      <c r="B1166" s="1" t="n">
        <v>44977</v>
      </c>
      <c r="C1166" s="1" t="n">
        <v>45666</v>
      </c>
      <c r="D1166" t="inlineStr">
        <is>
          <t>JÄMTLANDS LÄN</t>
        </is>
      </c>
      <c r="E1166" t="inlineStr">
        <is>
          <t>BRÄCKE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8864-2023</t>
        </is>
      </c>
      <c r="B1167" s="1" t="n">
        <v>44978</v>
      </c>
      <c r="C1167" s="1" t="n">
        <v>45666</v>
      </c>
      <c r="D1167" t="inlineStr">
        <is>
          <t>JÄMTLANDS LÄN</t>
        </is>
      </c>
      <c r="E1167" t="inlineStr">
        <is>
          <t>BRÄCKE</t>
        </is>
      </c>
      <c r="G1167" t="n">
        <v>17.3</v>
      </c>
      <c r="H1167" t="n">
        <v>0</v>
      </c>
      <c r="I1167" t="n">
        <v>0</v>
      </c>
      <c r="J1167" t="n">
        <v>0</v>
      </c>
      <c r="K1167" t="n">
        <v>0</v>
      </c>
      <c r="L1167" t="n">
        <v>0</v>
      </c>
      <c r="M1167" t="n">
        <v>0</v>
      </c>
      <c r="N1167" t="n">
        <v>0</v>
      </c>
      <c r="O1167" t="n">
        <v>0</v>
      </c>
      <c r="P1167" t="n">
        <v>0</v>
      </c>
      <c r="Q1167" t="n">
        <v>0</v>
      </c>
      <c r="R1167" s="2" t="inlineStr"/>
    </row>
    <row r="1168" ht="15" customHeight="1">
      <c r="A1168" t="inlineStr">
        <is>
          <t>A 8865-2023</t>
        </is>
      </c>
      <c r="B1168" s="1" t="n">
        <v>44978</v>
      </c>
      <c r="C1168" s="1" t="n">
        <v>45666</v>
      </c>
      <c r="D1168" t="inlineStr">
        <is>
          <t>JÄMTLANDS LÄN</t>
        </is>
      </c>
      <c r="E1168" t="inlineStr">
        <is>
          <t>BRÄCKE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8958-2023</t>
        </is>
      </c>
      <c r="B1169" s="1" t="n">
        <v>44979</v>
      </c>
      <c r="C1169" s="1" t="n">
        <v>45666</v>
      </c>
      <c r="D1169" t="inlineStr">
        <is>
          <t>JÄMTLANDS LÄN</t>
        </is>
      </c>
      <c r="E1169" t="inlineStr">
        <is>
          <t>BRÄCKE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9194-2023</t>
        </is>
      </c>
      <c r="B1170" s="1" t="n">
        <v>44980</v>
      </c>
      <c r="C1170" s="1" t="n">
        <v>45666</v>
      </c>
      <c r="D1170" t="inlineStr">
        <is>
          <t>JÄMTLANDS LÄN</t>
        </is>
      </c>
      <c r="E1170" t="inlineStr">
        <is>
          <t>BRÄCKE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9348-2023</t>
        </is>
      </c>
      <c r="B1171" s="1" t="n">
        <v>44980</v>
      </c>
      <c r="C1171" s="1" t="n">
        <v>45666</v>
      </c>
      <c r="D1171" t="inlineStr">
        <is>
          <t>JÄMTLANDS LÄN</t>
        </is>
      </c>
      <c r="E1171" t="inlineStr">
        <is>
          <t>BRÄCKE</t>
        </is>
      </c>
      <c r="F1171" t="inlineStr">
        <is>
          <t>SCA</t>
        </is>
      </c>
      <c r="G1171" t="n">
        <v>64.5</v>
      </c>
      <c r="H1171" t="n">
        <v>0</v>
      </c>
      <c r="I1171" t="n">
        <v>0</v>
      </c>
      <c r="J1171" t="n">
        <v>0</v>
      </c>
      <c r="K1171" t="n">
        <v>0</v>
      </c>
      <c r="L1171" t="n">
        <v>0</v>
      </c>
      <c r="M1171" t="n">
        <v>0</v>
      </c>
      <c r="N1171" t="n">
        <v>0</v>
      </c>
      <c r="O1171" t="n">
        <v>0</v>
      </c>
      <c r="P1171" t="n">
        <v>0</v>
      </c>
      <c r="Q1171" t="n">
        <v>0</v>
      </c>
      <c r="R1171" s="2" t="inlineStr"/>
    </row>
    <row r="1172" ht="15" customHeight="1">
      <c r="A1172" t="inlineStr">
        <is>
          <t>A 9356-2023</t>
        </is>
      </c>
      <c r="B1172" s="1" t="n">
        <v>44980</v>
      </c>
      <c r="C1172" s="1" t="n">
        <v>45666</v>
      </c>
      <c r="D1172" t="inlineStr">
        <is>
          <t>JÄMTLANDS LÄN</t>
        </is>
      </c>
      <c r="E1172" t="inlineStr">
        <is>
          <t>BRÄCKE</t>
        </is>
      </c>
      <c r="F1172" t="inlineStr">
        <is>
          <t>SCA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9357-2023</t>
        </is>
      </c>
      <c r="B1173" s="1" t="n">
        <v>44980</v>
      </c>
      <c r="C1173" s="1" t="n">
        <v>45666</v>
      </c>
      <c r="D1173" t="inlineStr">
        <is>
          <t>JÄMTLANDS LÄN</t>
        </is>
      </c>
      <c r="E1173" t="inlineStr">
        <is>
          <t>BRÄCKE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10309-2023</t>
        </is>
      </c>
      <c r="B1174" s="1" t="n">
        <v>44986</v>
      </c>
      <c r="C1174" s="1" t="n">
        <v>45666</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10763-2023</t>
        </is>
      </c>
      <c r="B1175" s="1" t="n">
        <v>44988</v>
      </c>
      <c r="C1175" s="1" t="n">
        <v>45666</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11548-2023</t>
        </is>
      </c>
      <c r="B1176" s="1" t="n">
        <v>44993</v>
      </c>
      <c r="C1176" s="1" t="n">
        <v>45666</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11550-2023</t>
        </is>
      </c>
      <c r="B1177" s="1" t="n">
        <v>44993</v>
      </c>
      <c r="C1177" s="1" t="n">
        <v>45666</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11563-2023</t>
        </is>
      </c>
      <c r="B1178" s="1" t="n">
        <v>44993</v>
      </c>
      <c r="C1178" s="1" t="n">
        <v>45666</v>
      </c>
      <c r="D1178" t="inlineStr">
        <is>
          <t>JÄMTLANDS LÄN</t>
        </is>
      </c>
      <c r="E1178" t="inlineStr">
        <is>
          <t>BRÄCKE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11821-2023</t>
        </is>
      </c>
      <c r="B1179" s="1" t="n">
        <v>44994</v>
      </c>
      <c r="C1179" s="1" t="n">
        <v>45666</v>
      </c>
      <c r="D1179" t="inlineStr">
        <is>
          <t>JÄMTLANDS LÄN</t>
        </is>
      </c>
      <c r="E1179" t="inlineStr">
        <is>
          <t>BRÄCKE</t>
        </is>
      </c>
      <c r="F1179" t="inlineStr">
        <is>
          <t>SCA</t>
        </is>
      </c>
      <c r="G1179" t="n">
        <v>36.6</v>
      </c>
      <c r="H1179" t="n">
        <v>0</v>
      </c>
      <c r="I1179" t="n">
        <v>0</v>
      </c>
      <c r="J1179" t="n">
        <v>0</v>
      </c>
      <c r="K1179" t="n">
        <v>0</v>
      </c>
      <c r="L1179" t="n">
        <v>0</v>
      </c>
      <c r="M1179" t="n">
        <v>0</v>
      </c>
      <c r="N1179" t="n">
        <v>0</v>
      </c>
      <c r="O1179" t="n">
        <v>0</v>
      </c>
      <c r="P1179" t="n">
        <v>0</v>
      </c>
      <c r="Q1179" t="n">
        <v>0</v>
      </c>
      <c r="R1179" s="2" t="inlineStr"/>
    </row>
    <row r="1180" ht="15" customHeight="1">
      <c r="A1180" t="inlineStr">
        <is>
          <t>A 12023-2023</t>
        </is>
      </c>
      <c r="B1180" s="1" t="n">
        <v>44995</v>
      </c>
      <c r="C1180" s="1" t="n">
        <v>45666</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12034-2023</t>
        </is>
      </c>
      <c r="B1181" s="1" t="n">
        <v>44995</v>
      </c>
      <c r="C1181" s="1" t="n">
        <v>45666</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12036-2023</t>
        </is>
      </c>
      <c r="B1182" s="1" t="n">
        <v>44995</v>
      </c>
      <c r="C1182" s="1" t="n">
        <v>45666</v>
      </c>
      <c r="D1182" t="inlineStr">
        <is>
          <t>JÄMTLANDS LÄN</t>
        </is>
      </c>
      <c r="E1182" t="inlineStr">
        <is>
          <t>BRÄCKE</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12063-2023</t>
        </is>
      </c>
      <c r="B1183" s="1" t="n">
        <v>44996</v>
      </c>
      <c r="C1183" s="1" t="n">
        <v>45666</v>
      </c>
      <c r="D1183" t="inlineStr">
        <is>
          <t>JÄMTLANDS LÄN</t>
        </is>
      </c>
      <c r="E1183" t="inlineStr">
        <is>
          <t>BRÄCKE</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12061-2023</t>
        </is>
      </c>
      <c r="B1184" s="1" t="n">
        <v>44996</v>
      </c>
      <c r="C1184" s="1" t="n">
        <v>45666</v>
      </c>
      <c r="D1184" t="inlineStr">
        <is>
          <t>JÄMTLANDS LÄN</t>
        </is>
      </c>
      <c r="E1184" t="inlineStr">
        <is>
          <t>BRÄCKE</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12518-2023</t>
        </is>
      </c>
      <c r="B1185" s="1" t="n">
        <v>45000</v>
      </c>
      <c r="C1185" s="1" t="n">
        <v>45666</v>
      </c>
      <c r="D1185" t="inlineStr">
        <is>
          <t>JÄMTLANDS LÄN</t>
        </is>
      </c>
      <c r="E1185" t="inlineStr">
        <is>
          <t>BRÄCKE</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12900-2023</t>
        </is>
      </c>
      <c r="B1186" s="1" t="n">
        <v>45001</v>
      </c>
      <c r="C1186" s="1" t="n">
        <v>45666</v>
      </c>
      <c r="D1186" t="inlineStr">
        <is>
          <t>JÄMTLANDS LÄN</t>
        </is>
      </c>
      <c r="E1186" t="inlineStr">
        <is>
          <t>BRÄCKE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13033-2023</t>
        </is>
      </c>
      <c r="B1187" s="1" t="n">
        <v>45001</v>
      </c>
      <c r="C1187" s="1" t="n">
        <v>45666</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13019-2023</t>
        </is>
      </c>
      <c r="B1188" s="1" t="n">
        <v>45001</v>
      </c>
      <c r="C1188" s="1" t="n">
        <v>45666</v>
      </c>
      <c r="D1188" t="inlineStr">
        <is>
          <t>JÄMTLANDS LÄN</t>
        </is>
      </c>
      <c r="E1188" t="inlineStr">
        <is>
          <t>BRÄCKE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12977-2023</t>
        </is>
      </c>
      <c r="B1189" s="1" t="n">
        <v>45001</v>
      </c>
      <c r="C1189" s="1" t="n">
        <v>45666</v>
      </c>
      <c r="D1189" t="inlineStr">
        <is>
          <t>JÄMTLANDS LÄN</t>
        </is>
      </c>
      <c r="E1189" t="inlineStr">
        <is>
          <t>BRÄCKE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13258-2023</t>
        </is>
      </c>
      <c r="B1190" s="1" t="n">
        <v>45002</v>
      </c>
      <c r="C1190" s="1" t="n">
        <v>45666</v>
      </c>
      <c r="D1190" t="inlineStr">
        <is>
          <t>JÄMTLANDS LÄN</t>
        </is>
      </c>
      <c r="E1190" t="inlineStr">
        <is>
          <t>BRÄCKE</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13244-2023</t>
        </is>
      </c>
      <c r="B1191" s="1" t="n">
        <v>45002</v>
      </c>
      <c r="C1191" s="1" t="n">
        <v>45666</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13709-2023</t>
        </is>
      </c>
      <c r="B1192" s="1" t="n">
        <v>45006</v>
      </c>
      <c r="C1192" s="1" t="n">
        <v>45666</v>
      </c>
      <c r="D1192" t="inlineStr">
        <is>
          <t>JÄMTLANDS LÄN</t>
        </is>
      </c>
      <c r="E1192" t="inlineStr">
        <is>
          <t>BRÄCKE</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13708-2023</t>
        </is>
      </c>
      <c r="B1193" s="1" t="n">
        <v>45006</v>
      </c>
      <c r="C1193" s="1" t="n">
        <v>45666</v>
      </c>
      <c r="D1193" t="inlineStr">
        <is>
          <t>JÄMTLANDS LÄN</t>
        </is>
      </c>
      <c r="E1193" t="inlineStr">
        <is>
          <t>BRÄCKE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13707-2023</t>
        </is>
      </c>
      <c r="B1194" s="1" t="n">
        <v>45006</v>
      </c>
      <c r="C1194" s="1" t="n">
        <v>45666</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13925-2023</t>
        </is>
      </c>
      <c r="B1195" s="1" t="n">
        <v>45008</v>
      </c>
      <c r="C1195" s="1" t="n">
        <v>45666</v>
      </c>
      <c r="D1195" t="inlineStr">
        <is>
          <t>JÄMTLANDS LÄN</t>
        </is>
      </c>
      <c r="E1195" t="inlineStr">
        <is>
          <t>BRÄCKE</t>
        </is>
      </c>
      <c r="F1195" t="inlineStr">
        <is>
          <t>Kyrkan</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13999-2023</t>
        </is>
      </c>
      <c r="B1196" s="1" t="n">
        <v>45008</v>
      </c>
      <c r="C1196" s="1" t="n">
        <v>45666</v>
      </c>
      <c r="D1196" t="inlineStr">
        <is>
          <t>JÄMTLANDS LÄN</t>
        </is>
      </c>
      <c r="E1196" t="inlineStr">
        <is>
          <t>BRÄCKE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14262-2023</t>
        </is>
      </c>
      <c r="B1197" s="1" t="n">
        <v>45009</v>
      </c>
      <c r="C1197" s="1" t="n">
        <v>45666</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14266-2023</t>
        </is>
      </c>
      <c r="B1198" s="1" t="n">
        <v>45010</v>
      </c>
      <c r="C1198" s="1" t="n">
        <v>45666</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14274-2023</t>
        </is>
      </c>
      <c r="B1199" s="1" t="n">
        <v>45009</v>
      </c>
      <c r="C1199" s="1" t="n">
        <v>45666</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14275-2023</t>
        </is>
      </c>
      <c r="B1200" s="1" t="n">
        <v>45009</v>
      </c>
      <c r="C1200" s="1" t="n">
        <v>45666</v>
      </c>
      <c r="D1200" t="inlineStr">
        <is>
          <t>JÄMTLANDS LÄN</t>
        </is>
      </c>
      <c r="E1200" t="inlineStr">
        <is>
          <t>BRÄCKE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14276-2023</t>
        </is>
      </c>
      <c r="B1201" s="1" t="n">
        <v>45010</v>
      </c>
      <c r="C1201" s="1" t="n">
        <v>45666</v>
      </c>
      <c r="D1201" t="inlineStr">
        <is>
          <t>JÄMTLANDS LÄN</t>
        </is>
      </c>
      <c r="E1201" t="inlineStr">
        <is>
          <t>BRÄCKE</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14278-2023</t>
        </is>
      </c>
      <c r="B1202" s="1" t="n">
        <v>45009</v>
      </c>
      <c r="C1202" s="1" t="n">
        <v>45666</v>
      </c>
      <c r="D1202" t="inlineStr">
        <is>
          <t>JÄMTLANDS LÄN</t>
        </is>
      </c>
      <c r="E1202" t="inlineStr">
        <is>
          <t>BRÄCKE</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14530-2023</t>
        </is>
      </c>
      <c r="B1203" s="1" t="n">
        <v>45013</v>
      </c>
      <c r="C1203" s="1" t="n">
        <v>45666</v>
      </c>
      <c r="D1203" t="inlineStr">
        <is>
          <t>JÄMTLANDS LÄN</t>
        </is>
      </c>
      <c r="E1203" t="inlineStr">
        <is>
          <t>BRÄCKE</t>
        </is>
      </c>
      <c r="F1203" t="inlineStr">
        <is>
          <t>SCA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14642-2023</t>
        </is>
      </c>
      <c r="B1204" s="1" t="n">
        <v>45012</v>
      </c>
      <c r="C1204" s="1" t="n">
        <v>45666</v>
      </c>
      <c r="D1204" t="inlineStr">
        <is>
          <t>JÄMTLANDS LÄN</t>
        </is>
      </c>
      <c r="E1204" t="inlineStr">
        <is>
          <t>BRÄCKE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14693-2023</t>
        </is>
      </c>
      <c r="B1205" s="1" t="n">
        <v>45012</v>
      </c>
      <c r="C1205" s="1" t="n">
        <v>45666</v>
      </c>
      <c r="D1205" t="inlineStr">
        <is>
          <t>JÄMTLANDS LÄN</t>
        </is>
      </c>
      <c r="E1205" t="inlineStr">
        <is>
          <t>BRÄCKE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14798-2023</t>
        </is>
      </c>
      <c r="B1206" s="1" t="n">
        <v>45014</v>
      </c>
      <c r="C1206" s="1" t="n">
        <v>45666</v>
      </c>
      <c r="D1206" t="inlineStr">
        <is>
          <t>JÄMTLANDS LÄN</t>
        </is>
      </c>
      <c r="E1206" t="inlineStr">
        <is>
          <t>BRÄCKE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15366-2023</t>
        </is>
      </c>
      <c r="B1207" s="1" t="n">
        <v>45019</v>
      </c>
      <c r="C1207" s="1" t="n">
        <v>45666</v>
      </c>
      <c r="D1207" t="inlineStr">
        <is>
          <t>JÄMTLANDS LÄN</t>
        </is>
      </c>
      <c r="E1207" t="inlineStr">
        <is>
          <t>BRÄCKE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15824-2023</t>
        </is>
      </c>
      <c r="B1208" s="1" t="n">
        <v>45022</v>
      </c>
      <c r="C1208" s="1" t="n">
        <v>45666</v>
      </c>
      <c r="D1208" t="inlineStr">
        <is>
          <t>JÄMTLANDS LÄN</t>
        </is>
      </c>
      <c r="E1208" t="inlineStr">
        <is>
          <t>BRÄCKE</t>
        </is>
      </c>
      <c r="F1208" t="inlineStr">
        <is>
          <t>SCA</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15813-2023</t>
        </is>
      </c>
      <c r="B1209" s="1" t="n">
        <v>45021</v>
      </c>
      <c r="C1209" s="1" t="n">
        <v>45666</v>
      </c>
      <c r="D1209" t="inlineStr">
        <is>
          <t>JÄMTLANDS LÄN</t>
        </is>
      </c>
      <c r="E1209" t="inlineStr">
        <is>
          <t>BRÄCKE</t>
        </is>
      </c>
      <c r="F1209" t="inlineStr">
        <is>
          <t>SCA</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16180-2023</t>
        </is>
      </c>
      <c r="B1210" s="1" t="n">
        <v>45027</v>
      </c>
      <c r="C1210" s="1" t="n">
        <v>45666</v>
      </c>
      <c r="D1210" t="inlineStr">
        <is>
          <t>JÄMTLANDS LÄN</t>
        </is>
      </c>
      <c r="E1210" t="inlineStr">
        <is>
          <t>BRÄCKE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16232-2023</t>
        </is>
      </c>
      <c r="B1211" s="1" t="n">
        <v>45028</v>
      </c>
      <c r="C1211" s="1" t="n">
        <v>45666</v>
      </c>
      <c r="D1211" t="inlineStr">
        <is>
          <t>JÄMTLANDS LÄN</t>
        </is>
      </c>
      <c r="E1211" t="inlineStr">
        <is>
          <t>BRÄCKE</t>
        </is>
      </c>
      <c r="G1211" t="n">
        <v>16.2</v>
      </c>
      <c r="H1211" t="n">
        <v>0</v>
      </c>
      <c r="I1211" t="n">
        <v>0</v>
      </c>
      <c r="J1211" t="n">
        <v>0</v>
      </c>
      <c r="K1211" t="n">
        <v>0</v>
      </c>
      <c r="L1211" t="n">
        <v>0</v>
      </c>
      <c r="M1211" t="n">
        <v>0</v>
      </c>
      <c r="N1211" t="n">
        <v>0</v>
      </c>
      <c r="O1211" t="n">
        <v>0</v>
      </c>
      <c r="P1211" t="n">
        <v>0</v>
      </c>
      <c r="Q1211" t="n">
        <v>0</v>
      </c>
      <c r="R1211" s="2" t="inlineStr"/>
    </row>
    <row r="1212" ht="15" customHeight="1">
      <c r="A1212" t="inlineStr">
        <is>
          <t>A 16372-2023</t>
        </is>
      </c>
      <c r="B1212" s="1" t="n">
        <v>45029</v>
      </c>
      <c r="C1212" s="1" t="n">
        <v>45666</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16649-2023</t>
        </is>
      </c>
      <c r="B1213" s="1" t="n">
        <v>45028</v>
      </c>
      <c r="C1213" s="1" t="n">
        <v>45666</v>
      </c>
      <c r="D1213" t="inlineStr">
        <is>
          <t>JÄMTLANDS LÄN</t>
        </is>
      </c>
      <c r="E1213" t="inlineStr">
        <is>
          <t>BRÄCKE</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16371-2023</t>
        </is>
      </c>
      <c r="B1214" s="1" t="n">
        <v>45029</v>
      </c>
      <c r="C1214" s="1" t="n">
        <v>45666</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16573-2023</t>
        </is>
      </c>
      <c r="B1215" s="1" t="n">
        <v>45030</v>
      </c>
      <c r="C1215" s="1" t="n">
        <v>45666</v>
      </c>
      <c r="D1215" t="inlineStr">
        <is>
          <t>JÄMTLANDS LÄN</t>
        </is>
      </c>
      <c r="E1215" t="inlineStr">
        <is>
          <t>BRÄCKE</t>
        </is>
      </c>
      <c r="F1215" t="inlineStr">
        <is>
          <t>SCA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16574-2023</t>
        </is>
      </c>
      <c r="B1216" s="1" t="n">
        <v>45029</v>
      </c>
      <c r="C1216" s="1" t="n">
        <v>45666</v>
      </c>
      <c r="D1216" t="inlineStr">
        <is>
          <t>JÄMTLANDS LÄN</t>
        </is>
      </c>
      <c r="E1216" t="inlineStr">
        <is>
          <t>BRÄCKE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16751-2023</t>
        </is>
      </c>
      <c r="B1217" s="1" t="n">
        <v>45030</v>
      </c>
      <c r="C1217" s="1" t="n">
        <v>45666</v>
      </c>
      <c r="D1217" t="inlineStr">
        <is>
          <t>JÄMTLANDS LÄN</t>
        </is>
      </c>
      <c r="E1217" t="inlineStr">
        <is>
          <t>BRÄCKE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16752-2023</t>
        </is>
      </c>
      <c r="B1218" s="1" t="n">
        <v>45030</v>
      </c>
      <c r="C1218" s="1" t="n">
        <v>45666</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16982-2023</t>
        </is>
      </c>
      <c r="B1219" s="1" t="n">
        <v>45033</v>
      </c>
      <c r="C1219" s="1" t="n">
        <v>45666</v>
      </c>
      <c r="D1219" t="inlineStr">
        <is>
          <t>JÄMTLANDS LÄN</t>
        </is>
      </c>
      <c r="E1219" t="inlineStr">
        <is>
          <t>BRÄCKE</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17209-2023</t>
        </is>
      </c>
      <c r="B1220" s="1" t="n">
        <v>45034</v>
      </c>
      <c r="C1220" s="1" t="n">
        <v>45666</v>
      </c>
      <c r="D1220" t="inlineStr">
        <is>
          <t>JÄMTLANDS LÄN</t>
        </is>
      </c>
      <c r="E1220" t="inlineStr">
        <is>
          <t>BRÄCKE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17223-2023</t>
        </is>
      </c>
      <c r="B1221" s="1" t="n">
        <v>45034</v>
      </c>
      <c r="C1221" s="1" t="n">
        <v>45666</v>
      </c>
      <c r="D1221" t="inlineStr">
        <is>
          <t>JÄMTLANDS LÄN</t>
        </is>
      </c>
      <c r="E1221" t="inlineStr">
        <is>
          <t>BRÄCKE</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17568-2023</t>
        </is>
      </c>
      <c r="B1222" s="1" t="n">
        <v>45036</v>
      </c>
      <c r="C1222" s="1" t="n">
        <v>45666</v>
      </c>
      <c r="D1222" t="inlineStr">
        <is>
          <t>JÄMTLANDS LÄN</t>
        </is>
      </c>
      <c r="E1222" t="inlineStr">
        <is>
          <t>BRÄCKE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17665-2023</t>
        </is>
      </c>
      <c r="B1223" s="1" t="n">
        <v>45036</v>
      </c>
      <c r="C1223" s="1" t="n">
        <v>45666</v>
      </c>
      <c r="D1223" t="inlineStr">
        <is>
          <t>JÄMTLANDS LÄN</t>
        </is>
      </c>
      <c r="E1223" t="inlineStr">
        <is>
          <t>BRÄCKE</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17857-2023</t>
        </is>
      </c>
      <c r="B1224" s="1" t="n">
        <v>45037</v>
      </c>
      <c r="C1224" s="1" t="n">
        <v>45666</v>
      </c>
      <c r="D1224" t="inlineStr">
        <is>
          <t>JÄMTLANDS LÄN</t>
        </is>
      </c>
      <c r="E1224" t="inlineStr">
        <is>
          <t>BRÄCKE</t>
        </is>
      </c>
      <c r="F1224" t="inlineStr">
        <is>
          <t>SCA</t>
        </is>
      </c>
      <c r="G1224" t="n">
        <v>20</v>
      </c>
      <c r="H1224" t="n">
        <v>0</v>
      </c>
      <c r="I1224" t="n">
        <v>0</v>
      </c>
      <c r="J1224" t="n">
        <v>0</v>
      </c>
      <c r="K1224" t="n">
        <v>0</v>
      </c>
      <c r="L1224" t="n">
        <v>0</v>
      </c>
      <c r="M1224" t="n">
        <v>0</v>
      </c>
      <c r="N1224" t="n">
        <v>0</v>
      </c>
      <c r="O1224" t="n">
        <v>0</v>
      </c>
      <c r="P1224" t="n">
        <v>0</v>
      </c>
      <c r="Q1224" t="n">
        <v>0</v>
      </c>
      <c r="R1224" s="2" t="inlineStr"/>
    </row>
    <row r="1225" ht="15" customHeight="1">
      <c r="A1225" t="inlineStr">
        <is>
          <t>A 17888-2023</t>
        </is>
      </c>
      <c r="B1225" s="1" t="n">
        <v>45037</v>
      </c>
      <c r="C1225" s="1" t="n">
        <v>45666</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18152-2023</t>
        </is>
      </c>
      <c r="B1226" s="1" t="n">
        <v>45040</v>
      </c>
      <c r="C1226" s="1" t="n">
        <v>45666</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18150-2023</t>
        </is>
      </c>
      <c r="B1227" s="1" t="n">
        <v>45041</v>
      </c>
      <c r="C1227" s="1" t="n">
        <v>45666</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18164-2023</t>
        </is>
      </c>
      <c r="B1228" s="1" t="n">
        <v>45041</v>
      </c>
      <c r="C1228" s="1" t="n">
        <v>45666</v>
      </c>
      <c r="D1228" t="inlineStr">
        <is>
          <t>JÄMTLANDS LÄN</t>
        </is>
      </c>
      <c r="E1228" t="inlineStr">
        <is>
          <t>BRÄCKE</t>
        </is>
      </c>
      <c r="F1228" t="inlineStr">
        <is>
          <t>SCA</t>
        </is>
      </c>
      <c r="G1228" t="n">
        <v>31.4</v>
      </c>
      <c r="H1228" t="n">
        <v>0</v>
      </c>
      <c r="I1228" t="n">
        <v>0</v>
      </c>
      <c r="J1228" t="n">
        <v>0</v>
      </c>
      <c r="K1228" t="n">
        <v>0</v>
      </c>
      <c r="L1228" t="n">
        <v>0</v>
      </c>
      <c r="M1228" t="n">
        <v>0</v>
      </c>
      <c r="N1228" t="n">
        <v>0</v>
      </c>
      <c r="O1228" t="n">
        <v>0</v>
      </c>
      <c r="P1228" t="n">
        <v>0</v>
      </c>
      <c r="Q1228" t="n">
        <v>0</v>
      </c>
      <c r="R1228" s="2" t="inlineStr"/>
    </row>
    <row r="1229" ht="15" customHeight="1">
      <c r="A1229" t="inlineStr">
        <is>
          <t>A 18229-2023</t>
        </is>
      </c>
      <c r="B1229" s="1" t="n">
        <v>45040</v>
      </c>
      <c r="C1229" s="1" t="n">
        <v>45666</v>
      </c>
      <c r="D1229" t="inlineStr">
        <is>
          <t>JÄMTLANDS LÄN</t>
        </is>
      </c>
      <c r="E1229" t="inlineStr">
        <is>
          <t>BRÄCKE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18151-2023</t>
        </is>
      </c>
      <c r="B1230" s="1" t="n">
        <v>45040</v>
      </c>
      <c r="C1230" s="1" t="n">
        <v>45666</v>
      </c>
      <c r="D1230" t="inlineStr">
        <is>
          <t>JÄMTLANDS LÄN</t>
        </is>
      </c>
      <c r="E1230" t="inlineStr">
        <is>
          <t>BRÄCKE</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18236-2023</t>
        </is>
      </c>
      <c r="B1231" s="1" t="n">
        <v>45040</v>
      </c>
      <c r="C1231" s="1" t="n">
        <v>45666</v>
      </c>
      <c r="D1231" t="inlineStr">
        <is>
          <t>JÄMTLANDS LÄN</t>
        </is>
      </c>
      <c r="E1231" t="inlineStr">
        <is>
          <t>BRÄCKE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18206-2023</t>
        </is>
      </c>
      <c r="B1232" s="1" t="n">
        <v>45041</v>
      </c>
      <c r="C1232" s="1" t="n">
        <v>45666</v>
      </c>
      <c r="D1232" t="inlineStr">
        <is>
          <t>JÄMTLANDS LÄN</t>
        </is>
      </c>
      <c r="E1232" t="inlineStr">
        <is>
          <t>BRÄCKE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18559-2023</t>
        </is>
      </c>
      <c r="B1233" s="1" t="n">
        <v>45043</v>
      </c>
      <c r="C1233" s="1" t="n">
        <v>45666</v>
      </c>
      <c r="D1233" t="inlineStr">
        <is>
          <t>JÄMTLANDS LÄN</t>
        </is>
      </c>
      <c r="E1233" t="inlineStr">
        <is>
          <t>BRÄCKE</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18552-2023</t>
        </is>
      </c>
      <c r="B1234" s="1" t="n">
        <v>45043</v>
      </c>
      <c r="C1234" s="1" t="n">
        <v>45666</v>
      </c>
      <c r="D1234" t="inlineStr">
        <is>
          <t>JÄMTLANDS LÄN</t>
        </is>
      </c>
      <c r="E1234" t="inlineStr">
        <is>
          <t>BRÄCKE</t>
        </is>
      </c>
      <c r="F1234" t="inlineStr">
        <is>
          <t>SCA</t>
        </is>
      </c>
      <c r="G1234" t="n">
        <v>15.6</v>
      </c>
      <c r="H1234" t="n">
        <v>0</v>
      </c>
      <c r="I1234" t="n">
        <v>0</v>
      </c>
      <c r="J1234" t="n">
        <v>0</v>
      </c>
      <c r="K1234" t="n">
        <v>0</v>
      </c>
      <c r="L1234" t="n">
        <v>0</v>
      </c>
      <c r="M1234" t="n">
        <v>0</v>
      </c>
      <c r="N1234" t="n">
        <v>0</v>
      </c>
      <c r="O1234" t="n">
        <v>0</v>
      </c>
      <c r="P1234" t="n">
        <v>0</v>
      </c>
      <c r="Q1234" t="n">
        <v>0</v>
      </c>
      <c r="R1234" s="2" t="inlineStr"/>
    </row>
    <row r="1235" ht="15" customHeight="1">
      <c r="A1235" t="inlineStr">
        <is>
          <t>A 18698-2023</t>
        </is>
      </c>
      <c r="B1235" s="1" t="n">
        <v>45042</v>
      </c>
      <c r="C1235" s="1" t="n">
        <v>45666</v>
      </c>
      <c r="D1235" t="inlineStr">
        <is>
          <t>JÄMTLANDS LÄN</t>
        </is>
      </c>
      <c r="E1235" t="inlineStr">
        <is>
          <t>BRÄCKE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18555-2023</t>
        </is>
      </c>
      <c r="B1236" s="1" t="n">
        <v>45042</v>
      </c>
      <c r="C1236" s="1" t="n">
        <v>45666</v>
      </c>
      <c r="D1236" t="inlineStr">
        <is>
          <t>JÄMTLANDS LÄN</t>
        </is>
      </c>
      <c r="E1236" t="inlineStr">
        <is>
          <t>BRÄCKE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18674-2023</t>
        </is>
      </c>
      <c r="B1237" s="1" t="n">
        <v>45043</v>
      </c>
      <c r="C1237" s="1" t="n">
        <v>45666</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19237-2023</t>
        </is>
      </c>
      <c r="B1238" s="1" t="n">
        <v>45049</v>
      </c>
      <c r="C1238" s="1" t="n">
        <v>45666</v>
      </c>
      <c r="D1238" t="inlineStr">
        <is>
          <t>JÄMTLANDS LÄN</t>
        </is>
      </c>
      <c r="E1238" t="inlineStr">
        <is>
          <t>BRÄCKE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19436-2023</t>
        </is>
      </c>
      <c r="B1239" s="1" t="n">
        <v>45050</v>
      </c>
      <c r="C1239" s="1" t="n">
        <v>45666</v>
      </c>
      <c r="D1239" t="inlineStr">
        <is>
          <t>JÄMTLANDS LÄN</t>
        </is>
      </c>
      <c r="E1239" t="inlineStr">
        <is>
          <t>BRÄCKE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19465-2023</t>
        </is>
      </c>
      <c r="B1240" s="1" t="n">
        <v>45049</v>
      </c>
      <c r="C1240" s="1" t="n">
        <v>45666</v>
      </c>
      <c r="D1240" t="inlineStr">
        <is>
          <t>JÄMTLANDS LÄN</t>
        </is>
      </c>
      <c r="E1240" t="inlineStr">
        <is>
          <t>BRÄCKE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19486-2023</t>
        </is>
      </c>
      <c r="B1241" s="1" t="n">
        <v>45049</v>
      </c>
      <c r="C1241" s="1" t="n">
        <v>45666</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19485-2023</t>
        </is>
      </c>
      <c r="B1242" s="1" t="n">
        <v>45049</v>
      </c>
      <c r="C1242" s="1" t="n">
        <v>45666</v>
      </c>
      <c r="D1242" t="inlineStr">
        <is>
          <t>JÄMTLANDS LÄN</t>
        </is>
      </c>
      <c r="E1242" t="inlineStr">
        <is>
          <t>BRÄCKE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19496-2023</t>
        </is>
      </c>
      <c r="B1243" s="1" t="n">
        <v>45049</v>
      </c>
      <c r="C1243" s="1" t="n">
        <v>45666</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19533-2023</t>
        </is>
      </c>
      <c r="B1244" s="1" t="n">
        <v>45050</v>
      </c>
      <c r="C1244" s="1" t="n">
        <v>45666</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19461-2023</t>
        </is>
      </c>
      <c r="B1245" s="1" t="n">
        <v>45050</v>
      </c>
      <c r="C1245" s="1" t="n">
        <v>45666</v>
      </c>
      <c r="D1245" t="inlineStr">
        <is>
          <t>JÄMTLANDS LÄN</t>
        </is>
      </c>
      <c r="E1245" t="inlineStr">
        <is>
          <t>BRÄCKE</t>
        </is>
      </c>
      <c r="G1245" t="n">
        <v>14.8</v>
      </c>
      <c r="H1245" t="n">
        <v>0</v>
      </c>
      <c r="I1245" t="n">
        <v>0</v>
      </c>
      <c r="J1245" t="n">
        <v>0</v>
      </c>
      <c r="K1245" t="n">
        <v>0</v>
      </c>
      <c r="L1245" t="n">
        <v>0</v>
      </c>
      <c r="M1245" t="n">
        <v>0</v>
      </c>
      <c r="N1245" t="n">
        <v>0</v>
      </c>
      <c r="O1245" t="n">
        <v>0</v>
      </c>
      <c r="P1245" t="n">
        <v>0</v>
      </c>
      <c r="Q1245" t="n">
        <v>0</v>
      </c>
      <c r="R1245" s="2" t="inlineStr"/>
    </row>
    <row r="1246" ht="15" customHeight="1">
      <c r="A1246" t="inlineStr">
        <is>
          <t>A 19819-2023</t>
        </is>
      </c>
      <c r="B1246" s="1" t="n">
        <v>45052</v>
      </c>
      <c r="C1246" s="1" t="n">
        <v>45666</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19823-2023</t>
        </is>
      </c>
      <c r="B1247" s="1" t="n">
        <v>45052</v>
      </c>
      <c r="C1247" s="1" t="n">
        <v>45666</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19820-2023</t>
        </is>
      </c>
      <c r="B1248" s="1" t="n">
        <v>45051</v>
      </c>
      <c r="C1248" s="1" t="n">
        <v>45666</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19824-2023</t>
        </is>
      </c>
      <c r="B1249" s="1" t="n">
        <v>45051</v>
      </c>
      <c r="C1249" s="1" t="n">
        <v>45666</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19822-2023</t>
        </is>
      </c>
      <c r="B1250" s="1" t="n">
        <v>45052</v>
      </c>
      <c r="C1250" s="1" t="n">
        <v>45666</v>
      </c>
      <c r="D1250" t="inlineStr">
        <is>
          <t>JÄMTLANDS LÄN</t>
        </is>
      </c>
      <c r="E1250" t="inlineStr">
        <is>
          <t>BRÄCKE</t>
        </is>
      </c>
      <c r="F1250" t="inlineStr">
        <is>
          <t>SCA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19821-2023</t>
        </is>
      </c>
      <c r="B1251" s="1" t="n">
        <v>45051</v>
      </c>
      <c r="C1251" s="1" t="n">
        <v>45666</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19941-2023</t>
        </is>
      </c>
      <c r="B1252" s="1" t="n">
        <v>45051</v>
      </c>
      <c r="C1252" s="1" t="n">
        <v>45666</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20095-2023</t>
        </is>
      </c>
      <c r="B1253" s="1" t="n">
        <v>45055</v>
      </c>
      <c r="C1253" s="1" t="n">
        <v>45666</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20100-2023</t>
        </is>
      </c>
      <c r="B1254" s="1" t="n">
        <v>45055</v>
      </c>
      <c r="C1254" s="1" t="n">
        <v>45666</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20101-2023</t>
        </is>
      </c>
      <c r="B1255" s="1" t="n">
        <v>45055</v>
      </c>
      <c r="C1255" s="1" t="n">
        <v>45666</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20093-2023</t>
        </is>
      </c>
      <c r="B1256" s="1" t="n">
        <v>45055</v>
      </c>
      <c r="C1256" s="1" t="n">
        <v>45666</v>
      </c>
      <c r="D1256" t="inlineStr">
        <is>
          <t>JÄMTLANDS LÄN</t>
        </is>
      </c>
      <c r="E1256" t="inlineStr">
        <is>
          <t>BRÄCKE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20265-2023</t>
        </is>
      </c>
      <c r="B1257" s="1" t="n">
        <v>45056</v>
      </c>
      <c r="C1257" s="1" t="n">
        <v>45666</v>
      </c>
      <c r="D1257" t="inlineStr">
        <is>
          <t>JÄMTLANDS LÄN</t>
        </is>
      </c>
      <c r="E1257" t="inlineStr">
        <is>
          <t>BRÄCKE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20270-2023</t>
        </is>
      </c>
      <c r="B1258" s="1" t="n">
        <v>45056</v>
      </c>
      <c r="C1258" s="1" t="n">
        <v>45666</v>
      </c>
      <c r="D1258" t="inlineStr">
        <is>
          <t>JÄMTLANDS LÄN</t>
        </is>
      </c>
      <c r="E1258" t="inlineStr">
        <is>
          <t>BRÄCKE</t>
        </is>
      </c>
      <c r="F1258" t="inlineStr">
        <is>
          <t>SCA</t>
        </is>
      </c>
      <c r="G1258" t="n">
        <v>21.6</v>
      </c>
      <c r="H1258" t="n">
        <v>0</v>
      </c>
      <c r="I1258" t="n">
        <v>0</v>
      </c>
      <c r="J1258" t="n">
        <v>0</v>
      </c>
      <c r="K1258" t="n">
        <v>0</v>
      </c>
      <c r="L1258" t="n">
        <v>0</v>
      </c>
      <c r="M1258" t="n">
        <v>0</v>
      </c>
      <c r="N1258" t="n">
        <v>0</v>
      </c>
      <c r="O1258" t="n">
        <v>0</v>
      </c>
      <c r="P1258" t="n">
        <v>0</v>
      </c>
      <c r="Q1258" t="n">
        <v>0</v>
      </c>
      <c r="R1258" s="2" t="inlineStr"/>
    </row>
    <row r="1259" ht="15" customHeight="1">
      <c r="A1259" t="inlineStr">
        <is>
          <t>A 20276-2023</t>
        </is>
      </c>
      <c r="B1259" s="1" t="n">
        <v>45056</v>
      </c>
      <c r="C1259" s="1" t="n">
        <v>45666</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20603-2023</t>
        </is>
      </c>
      <c r="B1260" s="1" t="n">
        <v>45057</v>
      </c>
      <c r="C1260" s="1" t="n">
        <v>45666</v>
      </c>
      <c r="D1260" t="inlineStr">
        <is>
          <t>JÄMTLANDS LÄN</t>
        </is>
      </c>
      <c r="E1260" t="inlineStr">
        <is>
          <t>BRÄCKE</t>
        </is>
      </c>
      <c r="F1260" t="inlineStr">
        <is>
          <t>SCA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20612-2023</t>
        </is>
      </c>
      <c r="B1261" s="1" t="n">
        <v>45057</v>
      </c>
      <c r="C1261" s="1" t="n">
        <v>45666</v>
      </c>
      <c r="D1261" t="inlineStr">
        <is>
          <t>JÄMTLANDS LÄN</t>
        </is>
      </c>
      <c r="E1261" t="inlineStr">
        <is>
          <t>BRÄCKE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20616-2023</t>
        </is>
      </c>
      <c r="B1262" s="1" t="n">
        <v>45057</v>
      </c>
      <c r="C1262" s="1" t="n">
        <v>45666</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20602-2023</t>
        </is>
      </c>
      <c r="B1263" s="1" t="n">
        <v>45058</v>
      </c>
      <c r="C1263" s="1" t="n">
        <v>45666</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20615-2023</t>
        </is>
      </c>
      <c r="B1264" s="1" t="n">
        <v>45058</v>
      </c>
      <c r="C1264" s="1" t="n">
        <v>45666</v>
      </c>
      <c r="D1264" t="inlineStr">
        <is>
          <t>JÄMTLANDS LÄN</t>
        </is>
      </c>
      <c r="E1264" t="inlineStr">
        <is>
          <t>BRÄCKE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20625-2023</t>
        </is>
      </c>
      <c r="B1265" s="1" t="n">
        <v>45058</v>
      </c>
      <c r="C1265" s="1" t="n">
        <v>45666</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20630-2023</t>
        </is>
      </c>
      <c r="B1266" s="1" t="n">
        <v>45057</v>
      </c>
      <c r="C1266" s="1" t="n">
        <v>45666</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20605-2023</t>
        </is>
      </c>
      <c r="B1267" s="1" t="n">
        <v>45057</v>
      </c>
      <c r="C1267" s="1" t="n">
        <v>45666</v>
      </c>
      <c r="D1267" t="inlineStr">
        <is>
          <t>JÄMTLANDS LÄN</t>
        </is>
      </c>
      <c r="E1267" t="inlineStr">
        <is>
          <t>BRÄCKE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20614-2023</t>
        </is>
      </c>
      <c r="B1268" s="1" t="n">
        <v>45057</v>
      </c>
      <c r="C1268" s="1" t="n">
        <v>45666</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20624-2023</t>
        </is>
      </c>
      <c r="B1269" s="1" t="n">
        <v>45058</v>
      </c>
      <c r="C1269" s="1" t="n">
        <v>45666</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20613-2023</t>
        </is>
      </c>
      <c r="B1270" s="1" t="n">
        <v>45057</v>
      </c>
      <c r="C1270" s="1" t="n">
        <v>45666</v>
      </c>
      <c r="D1270" t="inlineStr">
        <is>
          <t>JÄMTLANDS LÄN</t>
        </is>
      </c>
      <c r="E1270" t="inlineStr">
        <is>
          <t>BRÄCKE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20864-2023</t>
        </is>
      </c>
      <c r="B1271" s="1" t="n">
        <v>45058</v>
      </c>
      <c r="C1271" s="1" t="n">
        <v>45666</v>
      </c>
      <c r="D1271" t="inlineStr">
        <is>
          <t>JÄMTLANDS LÄN</t>
        </is>
      </c>
      <c r="E1271" t="inlineStr">
        <is>
          <t>BRÄCKE</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20866-2023</t>
        </is>
      </c>
      <c r="B1272" s="1" t="n">
        <v>45058</v>
      </c>
      <c r="C1272" s="1" t="n">
        <v>45666</v>
      </c>
      <c r="D1272" t="inlineStr">
        <is>
          <t>JÄMTLANDS LÄN</t>
        </is>
      </c>
      <c r="E1272" t="inlineStr">
        <is>
          <t>BRÄCKE</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20863-2023</t>
        </is>
      </c>
      <c r="B1273" s="1" t="n">
        <v>45058</v>
      </c>
      <c r="C1273" s="1" t="n">
        <v>45666</v>
      </c>
      <c r="D1273" t="inlineStr">
        <is>
          <t>JÄMTLANDS LÄN</t>
        </is>
      </c>
      <c r="E1273" t="inlineStr">
        <is>
          <t>BRÄCKE</t>
        </is>
      </c>
      <c r="F1273" t="inlineStr">
        <is>
          <t>SCA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20867-2023</t>
        </is>
      </c>
      <c r="B1274" s="1" t="n">
        <v>45058</v>
      </c>
      <c r="C1274" s="1" t="n">
        <v>45666</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20865-2023</t>
        </is>
      </c>
      <c r="B1275" s="1" t="n">
        <v>45059</v>
      </c>
      <c r="C1275" s="1" t="n">
        <v>45666</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20869-2023</t>
        </is>
      </c>
      <c r="B1276" s="1" t="n">
        <v>45058</v>
      </c>
      <c r="C1276" s="1" t="n">
        <v>45666</v>
      </c>
      <c r="D1276" t="inlineStr">
        <is>
          <t>JÄMTLANDS LÄN</t>
        </is>
      </c>
      <c r="E1276" t="inlineStr">
        <is>
          <t>BRÄCKE</t>
        </is>
      </c>
      <c r="F1276" t="inlineStr">
        <is>
          <t>SCA</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20870-2023</t>
        </is>
      </c>
      <c r="B1277" s="1" t="n">
        <v>45059</v>
      </c>
      <c r="C1277" s="1" t="n">
        <v>45666</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20868-2023</t>
        </is>
      </c>
      <c r="B1278" s="1" t="n">
        <v>45059</v>
      </c>
      <c r="C1278" s="1" t="n">
        <v>45666</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20879-2023</t>
        </is>
      </c>
      <c r="B1279" s="1" t="n">
        <v>45059</v>
      </c>
      <c r="C1279" s="1" t="n">
        <v>45666</v>
      </c>
      <c r="D1279" t="inlineStr">
        <is>
          <t>JÄMTLANDS LÄN</t>
        </is>
      </c>
      <c r="E1279" t="inlineStr">
        <is>
          <t>BRÄCKE</t>
        </is>
      </c>
      <c r="F1279" t="inlineStr">
        <is>
          <t>Naturvårdsverket</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21183-2023</t>
        </is>
      </c>
      <c r="B1280" s="1" t="n">
        <v>45058</v>
      </c>
      <c r="C1280" s="1" t="n">
        <v>45666</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21243-2023</t>
        </is>
      </c>
      <c r="B1281" s="1" t="n">
        <v>45058</v>
      </c>
      <c r="C1281" s="1" t="n">
        <v>45666</v>
      </c>
      <c r="D1281" t="inlineStr">
        <is>
          <t>JÄMTLANDS LÄN</t>
        </is>
      </c>
      <c r="E1281" t="inlineStr">
        <is>
          <t>BRÄCKE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21114-2023</t>
        </is>
      </c>
      <c r="B1282" s="1" t="n">
        <v>45062</v>
      </c>
      <c r="C1282" s="1" t="n">
        <v>45666</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21118-2023</t>
        </is>
      </c>
      <c r="B1283" s="1" t="n">
        <v>45062</v>
      </c>
      <c r="C1283" s="1" t="n">
        <v>45666</v>
      </c>
      <c r="D1283" t="inlineStr">
        <is>
          <t>JÄMTLANDS LÄN</t>
        </is>
      </c>
      <c r="E1283" t="inlineStr">
        <is>
          <t>BRÄCKE</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21116-2023</t>
        </is>
      </c>
      <c r="B1284" s="1" t="n">
        <v>45062</v>
      </c>
      <c r="C1284" s="1" t="n">
        <v>45666</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21113-2023</t>
        </is>
      </c>
      <c r="B1285" s="1" t="n">
        <v>45062</v>
      </c>
      <c r="C1285" s="1" t="n">
        <v>45666</v>
      </c>
      <c r="D1285" t="inlineStr">
        <is>
          <t>JÄMTLANDS LÄN</t>
        </is>
      </c>
      <c r="E1285" t="inlineStr">
        <is>
          <t>BRÄCKE</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21117-2023</t>
        </is>
      </c>
      <c r="B1286" s="1" t="n">
        <v>45061</v>
      </c>
      <c r="C1286" s="1" t="n">
        <v>45666</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21308-2023</t>
        </is>
      </c>
      <c r="B1287" s="1" t="n">
        <v>45062</v>
      </c>
      <c r="C1287" s="1" t="n">
        <v>45666</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21350-2023</t>
        </is>
      </c>
      <c r="B1288" s="1" t="n">
        <v>45063</v>
      </c>
      <c r="C1288" s="1" t="n">
        <v>45666</v>
      </c>
      <c r="D1288" t="inlineStr">
        <is>
          <t>JÄMTLANDS LÄN</t>
        </is>
      </c>
      <c r="E1288" t="inlineStr">
        <is>
          <t>BRÄCKE</t>
        </is>
      </c>
      <c r="F1288" t="inlineStr">
        <is>
          <t>Naturvårdsverket</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21359-2023</t>
        </is>
      </c>
      <c r="B1289" s="1" t="n">
        <v>45062</v>
      </c>
      <c r="C1289" s="1" t="n">
        <v>45666</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21360-2023</t>
        </is>
      </c>
      <c r="B1290" s="1" t="n">
        <v>45062</v>
      </c>
      <c r="C1290" s="1" t="n">
        <v>45666</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21673-2023</t>
        </is>
      </c>
      <c r="B1291" s="1" t="n">
        <v>45064</v>
      </c>
      <c r="C1291" s="1" t="n">
        <v>45666</v>
      </c>
      <c r="D1291" t="inlineStr">
        <is>
          <t>JÄMTLANDS LÄN</t>
        </is>
      </c>
      <c r="E1291" t="inlineStr">
        <is>
          <t>BRÄCKE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21780-2023</t>
        </is>
      </c>
      <c r="B1292" s="1" t="n">
        <v>45066</v>
      </c>
      <c r="C1292" s="1" t="n">
        <v>45666</v>
      </c>
      <c r="D1292" t="inlineStr">
        <is>
          <t>JÄMTLANDS LÄN</t>
        </is>
      </c>
      <c r="E1292" t="inlineStr">
        <is>
          <t>BRÄCKE</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21781-2023</t>
        </is>
      </c>
      <c r="B1293" s="1" t="n">
        <v>45065</v>
      </c>
      <c r="C1293" s="1" t="n">
        <v>45666</v>
      </c>
      <c r="D1293" t="inlineStr">
        <is>
          <t>JÄMTLANDS LÄN</t>
        </is>
      </c>
      <c r="E1293" t="inlineStr">
        <is>
          <t>BRÄCKE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21779-2023</t>
        </is>
      </c>
      <c r="B1294" s="1" t="n">
        <v>45065</v>
      </c>
      <c r="C1294" s="1" t="n">
        <v>45666</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21782-2023</t>
        </is>
      </c>
      <c r="B1295" s="1" t="n">
        <v>45066</v>
      </c>
      <c r="C1295" s="1" t="n">
        <v>45666</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22012-2023</t>
        </is>
      </c>
      <c r="B1296" s="1" t="n">
        <v>45069</v>
      </c>
      <c r="C1296" s="1" t="n">
        <v>45666</v>
      </c>
      <c r="D1296" t="inlineStr">
        <is>
          <t>JÄMTLANDS LÄN</t>
        </is>
      </c>
      <c r="E1296" t="inlineStr">
        <is>
          <t>BRÄCKE</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22010-2023</t>
        </is>
      </c>
      <c r="B1297" s="1" t="n">
        <v>45068</v>
      </c>
      <c r="C1297" s="1" t="n">
        <v>45666</v>
      </c>
      <c r="D1297" t="inlineStr">
        <is>
          <t>JÄMTLANDS LÄN</t>
        </is>
      </c>
      <c r="E1297" t="inlineStr">
        <is>
          <t>BRÄCKE</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22231-2023</t>
        </is>
      </c>
      <c r="B1298" s="1" t="n">
        <v>45069</v>
      </c>
      <c r="C1298" s="1" t="n">
        <v>45666</v>
      </c>
      <c r="D1298" t="inlineStr">
        <is>
          <t>JÄMTLANDS LÄN</t>
        </is>
      </c>
      <c r="E1298" t="inlineStr">
        <is>
          <t>BRÄCKE</t>
        </is>
      </c>
      <c r="F1298" t="inlineStr">
        <is>
          <t>SCA</t>
        </is>
      </c>
      <c r="G1298" t="n">
        <v>30.6</v>
      </c>
      <c r="H1298" t="n">
        <v>0</v>
      </c>
      <c r="I1298" t="n">
        <v>0</v>
      </c>
      <c r="J1298" t="n">
        <v>0</v>
      </c>
      <c r="K1298" t="n">
        <v>0</v>
      </c>
      <c r="L1298" t="n">
        <v>0</v>
      </c>
      <c r="M1298" t="n">
        <v>0</v>
      </c>
      <c r="N1298" t="n">
        <v>0</v>
      </c>
      <c r="O1298" t="n">
        <v>0</v>
      </c>
      <c r="P1298" t="n">
        <v>0</v>
      </c>
      <c r="Q1298" t="n">
        <v>0</v>
      </c>
      <c r="R1298" s="2" t="inlineStr"/>
    </row>
    <row r="1299" ht="15" customHeight="1">
      <c r="A1299" t="inlineStr">
        <is>
          <t>A 22232-2023</t>
        </is>
      </c>
      <c r="B1299" s="1" t="n">
        <v>45069</v>
      </c>
      <c r="C1299" s="1" t="n">
        <v>45666</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22471-2023</t>
        </is>
      </c>
      <c r="B1300" s="1" t="n">
        <v>45070</v>
      </c>
      <c r="C1300" s="1" t="n">
        <v>45666</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22748-2023</t>
        </is>
      </c>
      <c r="B1301" s="1" t="n">
        <v>45071</v>
      </c>
      <c r="C1301" s="1" t="n">
        <v>45666</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22986-2023</t>
        </is>
      </c>
      <c r="B1302" s="1" t="n">
        <v>45073</v>
      </c>
      <c r="C1302" s="1" t="n">
        <v>45666</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22983-2023</t>
        </is>
      </c>
      <c r="B1303" s="1" t="n">
        <v>45073</v>
      </c>
      <c r="C1303" s="1" t="n">
        <v>45666</v>
      </c>
      <c r="D1303" t="inlineStr">
        <is>
          <t>JÄMTLANDS LÄN</t>
        </is>
      </c>
      <c r="E1303" t="inlineStr">
        <is>
          <t>BRÄCKE</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22988-2023</t>
        </is>
      </c>
      <c r="B1304" s="1" t="n">
        <v>45072</v>
      </c>
      <c r="C1304" s="1" t="n">
        <v>45666</v>
      </c>
      <c r="D1304" t="inlineStr">
        <is>
          <t>JÄMTLANDS LÄN</t>
        </is>
      </c>
      <c r="E1304" t="inlineStr">
        <is>
          <t>BRÄCKE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23000-2023</t>
        </is>
      </c>
      <c r="B1305" s="1" t="n">
        <v>45073</v>
      </c>
      <c r="C1305" s="1" t="n">
        <v>45666</v>
      </c>
      <c r="D1305" t="inlineStr">
        <is>
          <t>JÄMTLANDS LÄN</t>
        </is>
      </c>
      <c r="E1305" t="inlineStr">
        <is>
          <t>BRÄCKE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22985-2023</t>
        </is>
      </c>
      <c r="B1306" s="1" t="n">
        <v>45072</v>
      </c>
      <c r="C1306" s="1" t="n">
        <v>45666</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23312-2023</t>
        </is>
      </c>
      <c r="B1307" s="1" t="n">
        <v>45076</v>
      </c>
      <c r="C1307" s="1" t="n">
        <v>45666</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23301-2023</t>
        </is>
      </c>
      <c r="B1308" s="1" t="n">
        <v>45075</v>
      </c>
      <c r="C1308" s="1" t="n">
        <v>45666</v>
      </c>
      <c r="D1308" t="inlineStr">
        <is>
          <t>JÄMTLANDS LÄN</t>
        </is>
      </c>
      <c r="E1308" t="inlineStr">
        <is>
          <t>BRÄCKE</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23313-2023</t>
        </is>
      </c>
      <c r="B1309" s="1" t="n">
        <v>45076</v>
      </c>
      <c r="C1309" s="1" t="n">
        <v>45666</v>
      </c>
      <c r="D1309" t="inlineStr">
        <is>
          <t>JÄMTLANDS LÄN</t>
        </is>
      </c>
      <c r="E1309" t="inlineStr">
        <is>
          <t>BRÄCKE</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23306-2023</t>
        </is>
      </c>
      <c r="B1310" s="1" t="n">
        <v>45075</v>
      </c>
      <c r="C1310" s="1" t="n">
        <v>45666</v>
      </c>
      <c r="D1310" t="inlineStr">
        <is>
          <t>JÄMTLANDS LÄN</t>
        </is>
      </c>
      <c r="E1310" t="inlineStr">
        <is>
          <t>BRÄCKE</t>
        </is>
      </c>
      <c r="F1310" t="inlineStr">
        <is>
          <t>SCA</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23517-2023</t>
        </is>
      </c>
      <c r="B1311" s="1" t="n">
        <v>45077</v>
      </c>
      <c r="C1311" s="1" t="n">
        <v>45666</v>
      </c>
      <c r="D1311" t="inlineStr">
        <is>
          <t>JÄMTLANDS LÄN</t>
        </is>
      </c>
      <c r="E1311" t="inlineStr">
        <is>
          <t>BRÄCKE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23526-2023</t>
        </is>
      </c>
      <c r="B1312" s="1" t="n">
        <v>45077</v>
      </c>
      <c r="C1312" s="1" t="n">
        <v>45666</v>
      </c>
      <c r="D1312" t="inlineStr">
        <is>
          <t>JÄMTLANDS LÄN</t>
        </is>
      </c>
      <c r="E1312" t="inlineStr">
        <is>
          <t>BRÄCKE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23752-2023</t>
        </is>
      </c>
      <c r="B1313" s="1" t="n">
        <v>45078</v>
      </c>
      <c r="C1313" s="1" t="n">
        <v>45666</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23756-2023</t>
        </is>
      </c>
      <c r="B1314" s="1" t="n">
        <v>45078</v>
      </c>
      <c r="C1314" s="1" t="n">
        <v>45666</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23764-2023</t>
        </is>
      </c>
      <c r="B1315" s="1" t="n">
        <v>45078</v>
      </c>
      <c r="C1315" s="1" t="n">
        <v>45666</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23773-2023</t>
        </is>
      </c>
      <c r="B1316" s="1" t="n">
        <v>45078</v>
      </c>
      <c r="C1316" s="1" t="n">
        <v>45666</v>
      </c>
      <c r="D1316" t="inlineStr">
        <is>
          <t>JÄMTLANDS LÄN</t>
        </is>
      </c>
      <c r="E1316" t="inlineStr">
        <is>
          <t>BRÄCKE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23766-2023</t>
        </is>
      </c>
      <c r="B1317" s="1" t="n">
        <v>45078</v>
      </c>
      <c r="C1317" s="1" t="n">
        <v>45666</v>
      </c>
      <c r="D1317" t="inlineStr">
        <is>
          <t>JÄMTLANDS LÄN</t>
        </is>
      </c>
      <c r="E1317" t="inlineStr">
        <is>
          <t>BRÄCKE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23778-2023</t>
        </is>
      </c>
      <c r="B1318" s="1" t="n">
        <v>45077</v>
      </c>
      <c r="C1318" s="1" t="n">
        <v>45666</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23754-2023</t>
        </is>
      </c>
      <c r="B1319" s="1" t="n">
        <v>45078</v>
      </c>
      <c r="C1319" s="1" t="n">
        <v>45666</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23767-2023</t>
        </is>
      </c>
      <c r="B1320" s="1" t="n">
        <v>45077</v>
      </c>
      <c r="C1320" s="1" t="n">
        <v>45666</v>
      </c>
      <c r="D1320" t="inlineStr">
        <is>
          <t>JÄMTLANDS LÄN</t>
        </is>
      </c>
      <c r="E1320" t="inlineStr">
        <is>
          <t>BRÄCKE</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23771-2023</t>
        </is>
      </c>
      <c r="B1321" s="1" t="n">
        <v>45077</v>
      </c>
      <c r="C1321" s="1" t="n">
        <v>45666</v>
      </c>
      <c r="D1321" t="inlineStr">
        <is>
          <t>JÄMTLANDS LÄN</t>
        </is>
      </c>
      <c r="E1321" t="inlineStr">
        <is>
          <t>BRÄCKE</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23755-2023</t>
        </is>
      </c>
      <c r="B1322" s="1" t="n">
        <v>45078</v>
      </c>
      <c r="C1322" s="1" t="n">
        <v>45666</v>
      </c>
      <c r="D1322" t="inlineStr">
        <is>
          <t>JÄMTLANDS LÄN</t>
        </is>
      </c>
      <c r="E1322" t="inlineStr">
        <is>
          <t>BRÄCKE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23763-2023</t>
        </is>
      </c>
      <c r="B1323" s="1" t="n">
        <v>45078</v>
      </c>
      <c r="C1323" s="1" t="n">
        <v>45666</v>
      </c>
      <c r="D1323" t="inlineStr">
        <is>
          <t>JÄMTLANDS LÄN</t>
        </is>
      </c>
      <c r="E1323" t="inlineStr">
        <is>
          <t>BRÄCKE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23772-2023</t>
        </is>
      </c>
      <c r="B1324" s="1" t="n">
        <v>45077</v>
      </c>
      <c r="C1324" s="1" t="n">
        <v>45666</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24043-2023</t>
        </is>
      </c>
      <c r="B1325" s="1" t="n">
        <v>45078</v>
      </c>
      <c r="C1325" s="1" t="n">
        <v>45666</v>
      </c>
      <c r="D1325" t="inlineStr">
        <is>
          <t>JÄMTLANDS LÄN</t>
        </is>
      </c>
      <c r="E1325" t="inlineStr">
        <is>
          <t>BRÄCKE</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24045-2023</t>
        </is>
      </c>
      <c r="B1326" s="1" t="n">
        <v>45078</v>
      </c>
      <c r="C1326" s="1" t="n">
        <v>45666</v>
      </c>
      <c r="D1326" t="inlineStr">
        <is>
          <t>JÄMTLANDS LÄN</t>
        </is>
      </c>
      <c r="E1326" t="inlineStr">
        <is>
          <t>BRÄCKE</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24049-2023</t>
        </is>
      </c>
      <c r="B1327" s="1" t="n">
        <v>45079</v>
      </c>
      <c r="C1327" s="1" t="n">
        <v>45666</v>
      </c>
      <c r="D1327" t="inlineStr">
        <is>
          <t>JÄMTLANDS LÄN</t>
        </is>
      </c>
      <c r="E1327" t="inlineStr">
        <is>
          <t>BRÄCKE</t>
        </is>
      </c>
      <c r="G1327" t="n">
        <v>15.2</v>
      </c>
      <c r="H1327" t="n">
        <v>0</v>
      </c>
      <c r="I1327" t="n">
        <v>0</v>
      </c>
      <c r="J1327" t="n">
        <v>0</v>
      </c>
      <c r="K1327" t="n">
        <v>0</v>
      </c>
      <c r="L1327" t="n">
        <v>0</v>
      </c>
      <c r="M1327" t="n">
        <v>0</v>
      </c>
      <c r="N1327" t="n">
        <v>0</v>
      </c>
      <c r="O1327" t="n">
        <v>0</v>
      </c>
      <c r="P1327" t="n">
        <v>0</v>
      </c>
      <c r="Q1327" t="n">
        <v>0</v>
      </c>
      <c r="R1327" s="2" t="inlineStr"/>
    </row>
    <row r="1328" ht="15" customHeight="1">
      <c r="A1328" t="inlineStr">
        <is>
          <t>A 24046-2023</t>
        </is>
      </c>
      <c r="B1328" s="1" t="n">
        <v>45078</v>
      </c>
      <c r="C1328" s="1" t="n">
        <v>45666</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24048-2023</t>
        </is>
      </c>
      <c r="B1329" s="1" t="n">
        <v>45079</v>
      </c>
      <c r="C1329" s="1" t="n">
        <v>45666</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24047-2023</t>
        </is>
      </c>
      <c r="B1330" s="1" t="n">
        <v>45079</v>
      </c>
      <c r="C1330" s="1" t="n">
        <v>45666</v>
      </c>
      <c r="D1330" t="inlineStr">
        <is>
          <t>JÄMTLANDS LÄN</t>
        </is>
      </c>
      <c r="E1330" t="inlineStr">
        <is>
          <t>BRÄCKE</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24195-2023</t>
        </is>
      </c>
      <c r="B1331" s="1" t="n">
        <v>45079</v>
      </c>
      <c r="C1331" s="1" t="n">
        <v>45666</v>
      </c>
      <c r="D1331" t="inlineStr">
        <is>
          <t>JÄMTLANDS LÄN</t>
        </is>
      </c>
      <c r="E1331" t="inlineStr">
        <is>
          <t>BRÄCKE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24214-2023</t>
        </is>
      </c>
      <c r="B1332" s="1" t="n">
        <v>45079</v>
      </c>
      <c r="C1332" s="1" t="n">
        <v>45666</v>
      </c>
      <c r="D1332" t="inlineStr">
        <is>
          <t>JÄMTLANDS LÄN</t>
        </is>
      </c>
      <c r="E1332" t="inlineStr">
        <is>
          <t>BRÄCKE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24206-2023</t>
        </is>
      </c>
      <c r="B1333" s="1" t="n">
        <v>45079</v>
      </c>
      <c r="C1333" s="1" t="n">
        <v>45666</v>
      </c>
      <c r="D1333" t="inlineStr">
        <is>
          <t>JÄMTLANDS LÄN</t>
        </is>
      </c>
      <c r="E1333" t="inlineStr">
        <is>
          <t>BRÄCKE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24182-2023</t>
        </is>
      </c>
      <c r="B1334" s="1" t="n">
        <v>45079</v>
      </c>
      <c r="C1334" s="1" t="n">
        <v>45666</v>
      </c>
      <c r="D1334" t="inlineStr">
        <is>
          <t>JÄMTLANDS LÄN</t>
        </is>
      </c>
      <c r="E1334" t="inlineStr">
        <is>
          <t>BRÄCKE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24550-2023</t>
        </is>
      </c>
      <c r="B1335" s="1" t="n">
        <v>45082</v>
      </c>
      <c r="C1335" s="1" t="n">
        <v>45666</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25043-2023</t>
        </is>
      </c>
      <c r="B1336" s="1" t="n">
        <v>45085</v>
      </c>
      <c r="C1336" s="1" t="n">
        <v>45666</v>
      </c>
      <c r="D1336" t="inlineStr">
        <is>
          <t>JÄMTLANDS LÄN</t>
        </is>
      </c>
      <c r="E1336" t="inlineStr">
        <is>
          <t>BRÄCKE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25056-2023</t>
        </is>
      </c>
      <c r="B1337" s="1" t="n">
        <v>45086</v>
      </c>
      <c r="C1337" s="1" t="n">
        <v>45666</v>
      </c>
      <c r="D1337" t="inlineStr">
        <is>
          <t>JÄMTLANDS LÄN</t>
        </is>
      </c>
      <c r="E1337" t="inlineStr">
        <is>
          <t>BRÄCKE</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25060-2023</t>
        </is>
      </c>
      <c r="B1338" s="1" t="n">
        <v>45086</v>
      </c>
      <c r="C1338" s="1" t="n">
        <v>45666</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25041-2023</t>
        </is>
      </c>
      <c r="B1339" s="1" t="n">
        <v>45085</v>
      </c>
      <c r="C1339" s="1" t="n">
        <v>45666</v>
      </c>
      <c r="D1339" t="inlineStr">
        <is>
          <t>JÄMTLANDS LÄN</t>
        </is>
      </c>
      <c r="E1339" t="inlineStr">
        <is>
          <t>BRÄCKE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25058-2023</t>
        </is>
      </c>
      <c r="B1340" s="1" t="n">
        <v>45086</v>
      </c>
      <c r="C1340" s="1" t="n">
        <v>45666</v>
      </c>
      <c r="D1340" t="inlineStr">
        <is>
          <t>JÄMTLANDS LÄN</t>
        </is>
      </c>
      <c r="E1340" t="inlineStr">
        <is>
          <t>BRÄCKE</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25057-2023</t>
        </is>
      </c>
      <c r="B1341" s="1" t="n">
        <v>45086</v>
      </c>
      <c r="C1341" s="1" t="n">
        <v>45666</v>
      </c>
      <c r="D1341" t="inlineStr">
        <is>
          <t>JÄMTLANDS LÄN</t>
        </is>
      </c>
      <c r="E1341" t="inlineStr">
        <is>
          <t>BRÄCKE</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25061-2023</t>
        </is>
      </c>
      <c r="B1342" s="1" t="n">
        <v>45085</v>
      </c>
      <c r="C1342" s="1" t="n">
        <v>45666</v>
      </c>
      <c r="D1342" t="inlineStr">
        <is>
          <t>JÄMTLANDS LÄN</t>
        </is>
      </c>
      <c r="E1342" t="inlineStr">
        <is>
          <t>BRÄCKE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25895-2023</t>
        </is>
      </c>
      <c r="B1343" s="1" t="n">
        <v>45085</v>
      </c>
      <c r="C1343" s="1" t="n">
        <v>45666</v>
      </c>
      <c r="D1343" t="inlineStr">
        <is>
          <t>JÄMTLANDS LÄN</t>
        </is>
      </c>
      <c r="E1343" t="inlineStr">
        <is>
          <t>BRÄCKE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25042-2023</t>
        </is>
      </c>
      <c r="B1344" s="1" t="n">
        <v>45086</v>
      </c>
      <c r="C1344" s="1" t="n">
        <v>45666</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25055-2023</t>
        </is>
      </c>
      <c r="B1345" s="1" t="n">
        <v>45086</v>
      </c>
      <c r="C1345" s="1" t="n">
        <v>45666</v>
      </c>
      <c r="D1345" t="inlineStr">
        <is>
          <t>JÄMTLANDS LÄN</t>
        </is>
      </c>
      <c r="E1345" t="inlineStr">
        <is>
          <t>BRÄCKE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25059-2023</t>
        </is>
      </c>
      <c r="B1346" s="1" t="n">
        <v>45086</v>
      </c>
      <c r="C1346" s="1" t="n">
        <v>45666</v>
      </c>
      <c r="D1346" t="inlineStr">
        <is>
          <t>JÄMTLANDS LÄN</t>
        </is>
      </c>
      <c r="E1346" t="inlineStr">
        <is>
          <t>BRÄCKE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25909-2023</t>
        </is>
      </c>
      <c r="B1347" s="1" t="n">
        <v>45085</v>
      </c>
      <c r="C1347" s="1" t="n">
        <v>45666</v>
      </c>
      <c r="D1347" t="inlineStr">
        <is>
          <t>JÄMTLANDS LÄN</t>
        </is>
      </c>
      <c r="E1347" t="inlineStr">
        <is>
          <t>BRÄCKE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25319-2023</t>
        </is>
      </c>
      <c r="B1348" s="1" t="n">
        <v>45087</v>
      </c>
      <c r="C1348" s="1" t="n">
        <v>45666</v>
      </c>
      <c r="D1348" t="inlineStr">
        <is>
          <t>JÄMTLANDS LÄN</t>
        </is>
      </c>
      <c r="E1348" t="inlineStr">
        <is>
          <t>BRÄCKE</t>
        </is>
      </c>
      <c r="F1348" t="inlineStr">
        <is>
          <t>SCA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25317-2023</t>
        </is>
      </c>
      <c r="B1349" s="1" t="n">
        <v>45087</v>
      </c>
      <c r="C1349" s="1" t="n">
        <v>45666</v>
      </c>
      <c r="D1349" t="inlineStr">
        <is>
          <t>JÄMTLANDS LÄN</t>
        </is>
      </c>
      <c r="E1349" t="inlineStr">
        <is>
          <t>BRÄCKE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25329-2023</t>
        </is>
      </c>
      <c r="B1350" s="1" t="n">
        <v>45087</v>
      </c>
      <c r="C1350" s="1" t="n">
        <v>45666</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25318-2023</t>
        </is>
      </c>
      <c r="B1351" s="1" t="n">
        <v>45086</v>
      </c>
      <c r="C1351" s="1" t="n">
        <v>45666</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25330-2023</t>
        </is>
      </c>
      <c r="B1352" s="1" t="n">
        <v>45087</v>
      </c>
      <c r="C1352" s="1" t="n">
        <v>45666</v>
      </c>
      <c r="D1352" t="inlineStr">
        <is>
          <t>JÄMTLANDS LÄN</t>
        </is>
      </c>
      <c r="E1352" t="inlineStr">
        <is>
          <t>BRÄCKE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25352-2023</t>
        </is>
      </c>
      <c r="B1353" s="1" t="n">
        <v>45088</v>
      </c>
      <c r="C1353" s="1" t="n">
        <v>45666</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25374-2023</t>
        </is>
      </c>
      <c r="B1354" s="1" t="n">
        <v>45088</v>
      </c>
      <c r="C1354" s="1" t="n">
        <v>45666</v>
      </c>
      <c r="D1354" t="inlineStr">
        <is>
          <t>JÄMTLANDS LÄN</t>
        </is>
      </c>
      <c r="E1354" t="inlineStr">
        <is>
          <t>BRÄCKE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25373-2023</t>
        </is>
      </c>
      <c r="B1355" s="1" t="n">
        <v>45089</v>
      </c>
      <c r="C1355" s="1" t="n">
        <v>45666</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25689-2023</t>
        </is>
      </c>
      <c r="B1356" s="1" t="n">
        <v>45090</v>
      </c>
      <c r="C1356" s="1" t="n">
        <v>45666</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25677-2023</t>
        </is>
      </c>
      <c r="B1357" s="1" t="n">
        <v>45090</v>
      </c>
      <c r="C1357" s="1" t="n">
        <v>45666</v>
      </c>
      <c r="D1357" t="inlineStr">
        <is>
          <t>JÄMTLANDS LÄN</t>
        </is>
      </c>
      <c r="E1357" t="inlineStr">
        <is>
          <t>BRÄCKE</t>
        </is>
      </c>
      <c r="F1357" t="inlineStr">
        <is>
          <t>SCA</t>
        </is>
      </c>
      <c r="G1357" t="n">
        <v>26.2</v>
      </c>
      <c r="H1357" t="n">
        <v>0</v>
      </c>
      <c r="I1357" t="n">
        <v>0</v>
      </c>
      <c r="J1357" t="n">
        <v>0</v>
      </c>
      <c r="K1357" t="n">
        <v>0</v>
      </c>
      <c r="L1357" t="n">
        <v>0</v>
      </c>
      <c r="M1357" t="n">
        <v>0</v>
      </c>
      <c r="N1357" t="n">
        <v>0</v>
      </c>
      <c r="O1357" t="n">
        <v>0</v>
      </c>
      <c r="P1357" t="n">
        <v>0</v>
      </c>
      <c r="Q1357" t="n">
        <v>0</v>
      </c>
      <c r="R1357" s="2" t="inlineStr"/>
    </row>
    <row r="1358" ht="15" customHeight="1">
      <c r="A1358" t="inlineStr">
        <is>
          <t>A 25675-2023</t>
        </is>
      </c>
      <c r="B1358" s="1" t="n">
        <v>45089</v>
      </c>
      <c r="C1358" s="1" t="n">
        <v>45666</v>
      </c>
      <c r="D1358" t="inlineStr">
        <is>
          <t>JÄMTLANDS LÄN</t>
        </is>
      </c>
      <c r="E1358" t="inlineStr">
        <is>
          <t>BRÄCKE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25687-2023</t>
        </is>
      </c>
      <c r="B1359" s="1" t="n">
        <v>45090</v>
      </c>
      <c r="C1359" s="1" t="n">
        <v>45666</v>
      </c>
      <c r="D1359" t="inlineStr">
        <is>
          <t>JÄMTLANDS LÄN</t>
        </is>
      </c>
      <c r="E1359" t="inlineStr">
        <is>
          <t>BRÄCKE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25676-2023</t>
        </is>
      </c>
      <c r="B1360" s="1" t="n">
        <v>45090</v>
      </c>
      <c r="C1360" s="1" t="n">
        <v>45666</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45666</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25686-2023</t>
        </is>
      </c>
      <c r="B1362" s="1" t="n">
        <v>45090</v>
      </c>
      <c r="C1362" s="1" t="n">
        <v>45666</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25678-2023</t>
        </is>
      </c>
      <c r="B1363" s="1" t="n">
        <v>45089</v>
      </c>
      <c r="C1363" s="1" t="n">
        <v>45666</v>
      </c>
      <c r="D1363" t="inlineStr">
        <is>
          <t>JÄMTLANDS LÄN</t>
        </is>
      </c>
      <c r="E1363" t="inlineStr">
        <is>
          <t>BRÄCKE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25684-2023</t>
        </is>
      </c>
      <c r="B1364" s="1" t="n">
        <v>45090</v>
      </c>
      <c r="C1364" s="1" t="n">
        <v>45666</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25685-2023</t>
        </is>
      </c>
      <c r="B1365" s="1" t="n">
        <v>45090</v>
      </c>
      <c r="C1365" s="1" t="n">
        <v>45666</v>
      </c>
      <c r="D1365" t="inlineStr">
        <is>
          <t>JÄMTLANDS LÄN</t>
        </is>
      </c>
      <c r="E1365" t="inlineStr">
        <is>
          <t>BRÄCKE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26004-2023</t>
        </is>
      </c>
      <c r="B1366" s="1" t="n">
        <v>45090</v>
      </c>
      <c r="C1366" s="1" t="n">
        <v>45666</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26370-2023</t>
        </is>
      </c>
      <c r="B1367" s="1" t="n">
        <v>45092</v>
      </c>
      <c r="C1367" s="1" t="n">
        <v>45666</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26350-2023</t>
        </is>
      </c>
      <c r="B1368" s="1" t="n">
        <v>45092</v>
      </c>
      <c r="C1368" s="1" t="n">
        <v>45666</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26351-2023</t>
        </is>
      </c>
      <c r="B1369" s="1" t="n">
        <v>45091</v>
      </c>
      <c r="C1369" s="1" t="n">
        <v>45666</v>
      </c>
      <c r="D1369" t="inlineStr">
        <is>
          <t>JÄMTLANDS LÄN</t>
        </is>
      </c>
      <c r="E1369" t="inlineStr">
        <is>
          <t>BRÄCKE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26353-2023</t>
        </is>
      </c>
      <c r="B1370" s="1" t="n">
        <v>45092</v>
      </c>
      <c r="C1370" s="1" t="n">
        <v>45666</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26345-2023</t>
        </is>
      </c>
      <c r="B1371" s="1" t="n">
        <v>45091</v>
      </c>
      <c r="C1371" s="1" t="n">
        <v>45666</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26352-2023</t>
        </is>
      </c>
      <c r="B1372" s="1" t="n">
        <v>45092</v>
      </c>
      <c r="C1372" s="1" t="n">
        <v>45666</v>
      </c>
      <c r="D1372" t="inlineStr">
        <is>
          <t>JÄMTLANDS LÄN</t>
        </is>
      </c>
      <c r="E1372" t="inlineStr">
        <is>
          <t>BRÄCKE</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26664-2023</t>
        </is>
      </c>
      <c r="B1373" s="1" t="n">
        <v>45093</v>
      </c>
      <c r="C1373" s="1" t="n">
        <v>45666</v>
      </c>
      <c r="D1373" t="inlineStr">
        <is>
          <t>JÄMTLANDS LÄN</t>
        </is>
      </c>
      <c r="E1373" t="inlineStr">
        <is>
          <t>BRÄCKE</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27354-2023</t>
        </is>
      </c>
      <c r="B1374" s="1" t="n">
        <v>45096</v>
      </c>
      <c r="C1374" s="1" t="n">
        <v>45666</v>
      </c>
      <c r="D1374" t="inlineStr">
        <is>
          <t>JÄMTLANDS LÄN</t>
        </is>
      </c>
      <c r="E1374" t="inlineStr">
        <is>
          <t>BRÄCKE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28801-2023</t>
        </is>
      </c>
      <c r="B1375" s="1" t="n">
        <v>45096</v>
      </c>
      <c r="C1375" s="1" t="n">
        <v>45666</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27363-2023</t>
        </is>
      </c>
      <c r="B1376" s="1" t="n">
        <v>45097</v>
      </c>
      <c r="C1376" s="1" t="n">
        <v>45666</v>
      </c>
      <c r="D1376" t="inlineStr">
        <is>
          <t>JÄMTLANDS LÄN</t>
        </is>
      </c>
      <c r="E1376" t="inlineStr">
        <is>
          <t>BRÄCKE</t>
        </is>
      </c>
      <c r="F1376" t="inlineStr">
        <is>
          <t>SCA</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28796-2023</t>
        </is>
      </c>
      <c r="B1377" s="1" t="n">
        <v>45096</v>
      </c>
      <c r="C1377" s="1" t="n">
        <v>45666</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27691-2023</t>
        </is>
      </c>
      <c r="B1378" s="1" t="n">
        <v>45098</v>
      </c>
      <c r="C1378" s="1" t="n">
        <v>45666</v>
      </c>
      <c r="D1378" t="inlineStr">
        <is>
          <t>JÄMTLANDS LÄN</t>
        </is>
      </c>
      <c r="E1378" t="inlineStr">
        <is>
          <t>BRÄCKE</t>
        </is>
      </c>
      <c r="F1378" t="inlineStr">
        <is>
          <t>SCA</t>
        </is>
      </c>
      <c r="G1378" t="n">
        <v>26.5</v>
      </c>
      <c r="H1378" t="n">
        <v>0</v>
      </c>
      <c r="I1378" t="n">
        <v>0</v>
      </c>
      <c r="J1378" t="n">
        <v>0</v>
      </c>
      <c r="K1378" t="n">
        <v>0</v>
      </c>
      <c r="L1378" t="n">
        <v>0</v>
      </c>
      <c r="M1378" t="n">
        <v>0</v>
      </c>
      <c r="N1378" t="n">
        <v>0</v>
      </c>
      <c r="O1378" t="n">
        <v>0</v>
      </c>
      <c r="P1378" t="n">
        <v>0</v>
      </c>
      <c r="Q1378" t="n">
        <v>0</v>
      </c>
      <c r="R1378" s="2" t="inlineStr"/>
    </row>
    <row r="1379" ht="15" customHeight="1">
      <c r="A1379" t="inlineStr">
        <is>
          <t>A 27690-2023</t>
        </is>
      </c>
      <c r="B1379" s="1" t="n">
        <v>45098</v>
      </c>
      <c r="C1379" s="1" t="n">
        <v>45666</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28392-2023</t>
        </is>
      </c>
      <c r="B1380" s="1" t="n">
        <v>45099</v>
      </c>
      <c r="C1380" s="1" t="n">
        <v>45666</v>
      </c>
      <c r="D1380" t="inlineStr">
        <is>
          <t>JÄMTLANDS LÄN</t>
        </is>
      </c>
      <c r="E1380" t="inlineStr">
        <is>
          <t>BRÄCKE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28762-2023</t>
        </is>
      </c>
      <c r="B1381" s="1" t="n">
        <v>45104</v>
      </c>
      <c r="C1381" s="1" t="n">
        <v>45666</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28759-2023</t>
        </is>
      </c>
      <c r="B1382" s="1" t="n">
        <v>45104</v>
      </c>
      <c r="C1382" s="1" t="n">
        <v>45666</v>
      </c>
      <c r="D1382" t="inlineStr">
        <is>
          <t>JÄMTLANDS LÄN</t>
        </is>
      </c>
      <c r="E1382" t="inlineStr">
        <is>
          <t>BRÄCKE</t>
        </is>
      </c>
      <c r="F1382" t="inlineStr">
        <is>
          <t>SCA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28764-2023</t>
        </is>
      </c>
      <c r="B1383" s="1" t="n">
        <v>45104</v>
      </c>
      <c r="C1383" s="1" t="n">
        <v>45666</v>
      </c>
      <c r="D1383" t="inlineStr">
        <is>
          <t>JÄMTLANDS LÄN</t>
        </is>
      </c>
      <c r="E1383" t="inlineStr">
        <is>
          <t>BRÄCKE</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28760-2023</t>
        </is>
      </c>
      <c r="B1384" s="1" t="n">
        <v>45104</v>
      </c>
      <c r="C1384" s="1" t="n">
        <v>45666</v>
      </c>
      <c r="D1384" t="inlineStr">
        <is>
          <t>JÄMTLANDS LÄN</t>
        </is>
      </c>
      <c r="E1384" t="inlineStr">
        <is>
          <t>BRÄCKE</t>
        </is>
      </c>
      <c r="F1384" t="inlineStr">
        <is>
          <t>SCA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31467-2023</t>
        </is>
      </c>
      <c r="B1385" s="1" t="n">
        <v>45104</v>
      </c>
      <c r="C1385" s="1" t="n">
        <v>45666</v>
      </c>
      <c r="D1385" t="inlineStr">
        <is>
          <t>JÄMTLANDS LÄN</t>
        </is>
      </c>
      <c r="E1385" t="inlineStr">
        <is>
          <t>BRÄCKE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31471-2023</t>
        </is>
      </c>
      <c r="B1386" s="1" t="n">
        <v>45104</v>
      </c>
      <c r="C1386" s="1" t="n">
        <v>45666</v>
      </c>
      <c r="D1386" t="inlineStr">
        <is>
          <t>JÄMTLANDS LÄN</t>
        </is>
      </c>
      <c r="E1386" t="inlineStr">
        <is>
          <t>BRÄCKE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31470-2023</t>
        </is>
      </c>
      <c r="B1387" s="1" t="n">
        <v>45104</v>
      </c>
      <c r="C1387" s="1" t="n">
        <v>45666</v>
      </c>
      <c r="D1387" t="inlineStr">
        <is>
          <t>JÄMTLANDS LÄN</t>
        </is>
      </c>
      <c r="E1387" t="inlineStr">
        <is>
          <t>BRÄCKE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29322-2023</t>
        </is>
      </c>
      <c r="B1388" s="1" t="n">
        <v>45105</v>
      </c>
      <c r="C1388" s="1" t="n">
        <v>45666</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29334-2023</t>
        </is>
      </c>
      <c r="B1389" s="1" t="n">
        <v>45105</v>
      </c>
      <c r="C1389" s="1" t="n">
        <v>45666</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29323-2023</t>
        </is>
      </c>
      <c r="B1390" s="1" t="n">
        <v>45105</v>
      </c>
      <c r="C1390" s="1" t="n">
        <v>45666</v>
      </c>
      <c r="D1390" t="inlineStr">
        <is>
          <t>JÄMTLANDS LÄN</t>
        </is>
      </c>
      <c r="E1390" t="inlineStr">
        <is>
          <t>BRÄCKE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29621-2023</t>
        </is>
      </c>
      <c r="B1391" s="1" t="n">
        <v>45107</v>
      </c>
      <c r="C1391" s="1" t="n">
        <v>45666</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29805-2023</t>
        </is>
      </c>
      <c r="B1392" s="1" t="n">
        <v>45107</v>
      </c>
      <c r="C1392" s="1" t="n">
        <v>45666</v>
      </c>
      <c r="D1392" t="inlineStr">
        <is>
          <t>JÄMTLANDS LÄN</t>
        </is>
      </c>
      <c r="E1392" t="inlineStr">
        <is>
          <t>BRÄCKE</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29751-2023</t>
        </is>
      </c>
      <c r="B1393" s="1" t="n">
        <v>45107</v>
      </c>
      <c r="C1393" s="1" t="n">
        <v>45666</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29941-2023</t>
        </is>
      </c>
      <c r="B1394" s="1" t="n">
        <v>45107</v>
      </c>
      <c r="C1394" s="1" t="n">
        <v>45666</v>
      </c>
      <c r="D1394" t="inlineStr">
        <is>
          <t>JÄMTLANDS LÄN</t>
        </is>
      </c>
      <c r="E1394" t="inlineStr">
        <is>
          <t>BRÄCKE</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29942-2023</t>
        </is>
      </c>
      <c r="B1395" s="1" t="n">
        <v>45107</v>
      </c>
      <c r="C1395" s="1" t="n">
        <v>45666</v>
      </c>
      <c r="D1395" t="inlineStr">
        <is>
          <t>JÄMTLANDS LÄN</t>
        </is>
      </c>
      <c r="E1395" t="inlineStr">
        <is>
          <t>BRÄCKE</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32000-2023</t>
        </is>
      </c>
      <c r="B1396" s="1" t="n">
        <v>45107</v>
      </c>
      <c r="C1396" s="1" t="n">
        <v>45666</v>
      </c>
      <c r="D1396" t="inlineStr">
        <is>
          <t>JÄMTLANDS LÄN</t>
        </is>
      </c>
      <c r="E1396" t="inlineStr">
        <is>
          <t>BRÄCKE</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30312-2023</t>
        </is>
      </c>
      <c r="B1397" s="1" t="n">
        <v>45111</v>
      </c>
      <c r="C1397" s="1" t="n">
        <v>45666</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30311-2023</t>
        </is>
      </c>
      <c r="B1398" s="1" t="n">
        <v>45111</v>
      </c>
      <c r="C1398" s="1" t="n">
        <v>45666</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30309-2023</t>
        </is>
      </c>
      <c r="B1399" s="1" t="n">
        <v>45111</v>
      </c>
      <c r="C1399" s="1" t="n">
        <v>45666</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30313-2023</t>
        </is>
      </c>
      <c r="B1400" s="1" t="n">
        <v>45111</v>
      </c>
      <c r="C1400" s="1" t="n">
        <v>45666</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30310-2023</t>
        </is>
      </c>
      <c r="B1401" s="1" t="n">
        <v>45110</v>
      </c>
      <c r="C1401" s="1" t="n">
        <v>45666</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30854-2023</t>
        </is>
      </c>
      <c r="B1402" s="1" t="n">
        <v>45113</v>
      </c>
      <c r="C1402" s="1" t="n">
        <v>45666</v>
      </c>
      <c r="D1402" t="inlineStr">
        <is>
          <t>JÄMTLANDS LÄN</t>
        </is>
      </c>
      <c r="E1402" t="inlineStr">
        <is>
          <t>BRÄCKE</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30833-2023</t>
        </is>
      </c>
      <c r="B1403" s="1" t="n">
        <v>45112</v>
      </c>
      <c r="C1403" s="1" t="n">
        <v>45666</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30685-2023</t>
        </is>
      </c>
      <c r="B1404" s="1" t="n">
        <v>45112</v>
      </c>
      <c r="C1404" s="1" t="n">
        <v>45666</v>
      </c>
      <c r="D1404" t="inlineStr">
        <is>
          <t>JÄMTLANDS LÄN</t>
        </is>
      </c>
      <c r="E1404" t="inlineStr">
        <is>
          <t>BRÄCKE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31195-2023</t>
        </is>
      </c>
      <c r="B1405" s="1" t="n">
        <v>45114</v>
      </c>
      <c r="C1405" s="1" t="n">
        <v>45666</v>
      </c>
      <c r="D1405" t="inlineStr">
        <is>
          <t>JÄMTLANDS LÄN</t>
        </is>
      </c>
      <c r="E1405" t="inlineStr">
        <is>
          <t>BRÄCKE</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31933-2023</t>
        </is>
      </c>
      <c r="B1406" s="1" t="n">
        <v>45119</v>
      </c>
      <c r="C1406" s="1" t="n">
        <v>45666</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32228-2023</t>
        </is>
      </c>
      <c r="B1407" s="1" t="n">
        <v>45120</v>
      </c>
      <c r="C1407" s="1" t="n">
        <v>45666</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32229-2023</t>
        </is>
      </c>
      <c r="B1408" s="1" t="n">
        <v>45120</v>
      </c>
      <c r="C1408" s="1" t="n">
        <v>45666</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32479-2023</t>
        </is>
      </c>
      <c r="B1409" s="1" t="n">
        <v>45121</v>
      </c>
      <c r="C1409" s="1" t="n">
        <v>45666</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32477-2023</t>
        </is>
      </c>
      <c r="B1410" s="1" t="n">
        <v>45120</v>
      </c>
      <c r="C1410" s="1" t="n">
        <v>45666</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32476-2023</t>
        </is>
      </c>
      <c r="B1411" s="1" t="n">
        <v>45120</v>
      </c>
      <c r="C1411" s="1" t="n">
        <v>45666</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32481-2023</t>
        </is>
      </c>
      <c r="B1412" s="1" t="n">
        <v>45120</v>
      </c>
      <c r="C1412" s="1" t="n">
        <v>45666</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32732-2023</t>
        </is>
      </c>
      <c r="B1413" s="1" t="n">
        <v>45122</v>
      </c>
      <c r="C1413" s="1" t="n">
        <v>45666</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33031-2023</t>
        </is>
      </c>
      <c r="B1414" s="1" t="n">
        <v>45125</v>
      </c>
      <c r="C1414" s="1" t="n">
        <v>45666</v>
      </c>
      <c r="D1414" t="inlineStr">
        <is>
          <t>JÄMTLANDS LÄN</t>
        </is>
      </c>
      <c r="E1414" t="inlineStr">
        <is>
          <t>BRÄCKE</t>
        </is>
      </c>
      <c r="F1414" t="inlineStr">
        <is>
          <t>SCA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33032-2023</t>
        </is>
      </c>
      <c r="B1415" s="1" t="n">
        <v>45126</v>
      </c>
      <c r="C1415" s="1" t="n">
        <v>45666</v>
      </c>
      <c r="D1415" t="inlineStr">
        <is>
          <t>JÄMTLANDS LÄN</t>
        </is>
      </c>
      <c r="E1415" t="inlineStr">
        <is>
          <t>BRÄCKE</t>
        </is>
      </c>
      <c r="F1415" t="inlineStr">
        <is>
          <t>SCA</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33033-2023</t>
        </is>
      </c>
      <c r="B1416" s="1" t="n">
        <v>45126</v>
      </c>
      <c r="C1416" s="1" t="n">
        <v>45666</v>
      </c>
      <c r="D1416" t="inlineStr">
        <is>
          <t>JÄMTLANDS LÄN</t>
        </is>
      </c>
      <c r="E1416" t="inlineStr">
        <is>
          <t>BRÄCKE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45127</v>
      </c>
      <c r="C1417" s="1" t="n">
        <v>45666</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33174-2023</t>
        </is>
      </c>
      <c r="B1418" s="1" t="n">
        <v>45127</v>
      </c>
      <c r="C1418" s="1" t="n">
        <v>45666</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33585-2023</t>
        </is>
      </c>
      <c r="B1419" s="1" t="n">
        <v>45132</v>
      </c>
      <c r="C1419" s="1" t="n">
        <v>45666</v>
      </c>
      <c r="D1419" t="inlineStr">
        <is>
          <t>JÄMTLANDS LÄN</t>
        </is>
      </c>
      <c r="E1419" t="inlineStr">
        <is>
          <t>BRÄCKE</t>
        </is>
      </c>
      <c r="F1419" t="inlineStr">
        <is>
          <t>SCA</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33584-2023</t>
        </is>
      </c>
      <c r="B1420" s="1" t="n">
        <v>45132</v>
      </c>
      <c r="C1420" s="1" t="n">
        <v>45666</v>
      </c>
      <c r="D1420" t="inlineStr">
        <is>
          <t>JÄMTLANDS LÄN</t>
        </is>
      </c>
      <c r="E1420" t="inlineStr">
        <is>
          <t>BRÄCKE</t>
        </is>
      </c>
      <c r="F1420" t="inlineStr">
        <is>
          <t>SCA</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33872-2023</t>
        </is>
      </c>
      <c r="B1421" s="1" t="n">
        <v>45134</v>
      </c>
      <c r="C1421" s="1" t="n">
        <v>45666</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33869-2023</t>
        </is>
      </c>
      <c r="B1422" s="1" t="n">
        <v>45134</v>
      </c>
      <c r="C1422" s="1" t="n">
        <v>45666</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33873-2023</t>
        </is>
      </c>
      <c r="B1423" s="1" t="n">
        <v>45134</v>
      </c>
      <c r="C1423" s="1" t="n">
        <v>45666</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33870-2023</t>
        </is>
      </c>
      <c r="B1424" s="1" t="n">
        <v>45134</v>
      </c>
      <c r="C1424" s="1" t="n">
        <v>45666</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33878-2023</t>
        </is>
      </c>
      <c r="B1425" s="1" t="n">
        <v>45133</v>
      </c>
      <c r="C1425" s="1" t="n">
        <v>45666</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33998-2023</t>
        </is>
      </c>
      <c r="B1426" s="1" t="n">
        <v>45134</v>
      </c>
      <c r="C1426" s="1" t="n">
        <v>45666</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34137-2023</t>
        </is>
      </c>
      <c r="B1427" s="1" t="n">
        <v>45135</v>
      </c>
      <c r="C1427" s="1" t="n">
        <v>45666</v>
      </c>
      <c r="D1427" t="inlineStr">
        <is>
          <t>JÄMTLANDS LÄN</t>
        </is>
      </c>
      <c r="E1427" t="inlineStr">
        <is>
          <t>BRÄCKE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34136-2023</t>
        </is>
      </c>
      <c r="B1428" s="1" t="n">
        <v>45135</v>
      </c>
      <c r="C1428" s="1" t="n">
        <v>45666</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34138-2023</t>
        </is>
      </c>
      <c r="B1429" s="1" t="n">
        <v>45135</v>
      </c>
      <c r="C1429" s="1" t="n">
        <v>45666</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34587-2023</t>
        </is>
      </c>
      <c r="B1430" s="1" t="n">
        <v>45135</v>
      </c>
      <c r="C1430" s="1" t="n">
        <v>45666</v>
      </c>
      <c r="D1430" t="inlineStr">
        <is>
          <t>JÄMTLANDS LÄN</t>
        </is>
      </c>
      <c r="E1430" t="inlineStr">
        <is>
          <t>BRÄCKE</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34320-2023</t>
        </is>
      </c>
      <c r="B1431" s="1" t="n">
        <v>45139</v>
      </c>
      <c r="C1431" s="1" t="n">
        <v>45666</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34693-2023</t>
        </is>
      </c>
      <c r="B1432" s="1" t="n">
        <v>45140</v>
      </c>
      <c r="C1432" s="1" t="n">
        <v>45666</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34704-2023</t>
        </is>
      </c>
      <c r="B1433" s="1" t="n">
        <v>45140</v>
      </c>
      <c r="C1433" s="1" t="n">
        <v>45666</v>
      </c>
      <c r="D1433" t="inlineStr">
        <is>
          <t>JÄMTLANDS LÄN</t>
        </is>
      </c>
      <c r="E1433" t="inlineStr">
        <is>
          <t>BRÄCKE</t>
        </is>
      </c>
      <c r="F1433" t="inlineStr">
        <is>
          <t>SCA</t>
        </is>
      </c>
      <c r="G1433" t="n">
        <v>16.8</v>
      </c>
      <c r="H1433" t="n">
        <v>0</v>
      </c>
      <c r="I1433" t="n">
        <v>0</v>
      </c>
      <c r="J1433" t="n">
        <v>0</v>
      </c>
      <c r="K1433" t="n">
        <v>0</v>
      </c>
      <c r="L1433" t="n">
        <v>0</v>
      </c>
      <c r="M1433" t="n">
        <v>0</v>
      </c>
      <c r="N1433" t="n">
        <v>0</v>
      </c>
      <c r="O1433" t="n">
        <v>0</v>
      </c>
      <c r="P1433" t="n">
        <v>0</v>
      </c>
      <c r="Q1433" t="n">
        <v>0</v>
      </c>
      <c r="R1433" s="2" t="inlineStr"/>
    </row>
    <row r="1434" ht="15" customHeight="1">
      <c r="A1434" t="inlineStr">
        <is>
          <t>A 34947-2023</t>
        </is>
      </c>
      <c r="B1434" s="1" t="n">
        <v>45142</v>
      </c>
      <c r="C1434" s="1" t="n">
        <v>45666</v>
      </c>
      <c r="D1434" t="inlineStr">
        <is>
          <t>JÄMTLANDS LÄN</t>
        </is>
      </c>
      <c r="E1434" t="inlineStr">
        <is>
          <t>BRÄCKE</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35013-2023</t>
        </is>
      </c>
      <c r="B1435" s="1" t="n">
        <v>45143</v>
      </c>
      <c r="C1435" s="1" t="n">
        <v>45666</v>
      </c>
      <c r="D1435" t="inlineStr">
        <is>
          <t>JÄMTLANDS LÄN</t>
        </is>
      </c>
      <c r="E1435" t="inlineStr">
        <is>
          <t>BRÄCKE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35017-2023</t>
        </is>
      </c>
      <c r="B1436" s="1" t="n">
        <v>45142</v>
      </c>
      <c r="C1436" s="1" t="n">
        <v>45666</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35014-2023</t>
        </is>
      </c>
      <c r="B1437" s="1" t="n">
        <v>45143</v>
      </c>
      <c r="C1437" s="1" t="n">
        <v>45666</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35015-2023</t>
        </is>
      </c>
      <c r="B1438" s="1" t="n">
        <v>45143</v>
      </c>
      <c r="C1438" s="1" t="n">
        <v>45666</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35255-2023</t>
        </is>
      </c>
      <c r="B1439" s="1" t="n">
        <v>45145</v>
      </c>
      <c r="C1439" s="1" t="n">
        <v>45666</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35256-2023</t>
        </is>
      </c>
      <c r="B1440" s="1" t="n">
        <v>45145</v>
      </c>
      <c r="C1440" s="1" t="n">
        <v>45666</v>
      </c>
      <c r="D1440" t="inlineStr">
        <is>
          <t>JÄMTLANDS LÄN</t>
        </is>
      </c>
      <c r="E1440" t="inlineStr">
        <is>
          <t>BRÄCKE</t>
        </is>
      </c>
      <c r="F1440" t="inlineStr">
        <is>
          <t>SCA</t>
        </is>
      </c>
      <c r="G1440" t="n">
        <v>34.5</v>
      </c>
      <c r="H1440" t="n">
        <v>0</v>
      </c>
      <c r="I1440" t="n">
        <v>0</v>
      </c>
      <c r="J1440" t="n">
        <v>0</v>
      </c>
      <c r="K1440" t="n">
        <v>0</v>
      </c>
      <c r="L1440" t="n">
        <v>0</v>
      </c>
      <c r="M1440" t="n">
        <v>0</v>
      </c>
      <c r="N1440" t="n">
        <v>0</v>
      </c>
      <c r="O1440" t="n">
        <v>0</v>
      </c>
      <c r="P1440" t="n">
        <v>0</v>
      </c>
      <c r="Q1440" t="n">
        <v>0</v>
      </c>
      <c r="R1440" s="2" t="inlineStr"/>
    </row>
    <row r="1441" ht="15" customHeight="1">
      <c r="A1441" t="inlineStr">
        <is>
          <t>A 35503-2023</t>
        </is>
      </c>
      <c r="B1441" s="1" t="n">
        <v>45147</v>
      </c>
      <c r="C1441" s="1" t="n">
        <v>45666</v>
      </c>
      <c r="D1441" t="inlineStr">
        <is>
          <t>JÄMTLANDS LÄN</t>
        </is>
      </c>
      <c r="E1441" t="inlineStr">
        <is>
          <t>BRÄCKE</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35506-2023</t>
        </is>
      </c>
      <c r="B1442" s="1" t="n">
        <v>45146</v>
      </c>
      <c r="C1442" s="1" t="n">
        <v>45666</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35424-2023</t>
        </is>
      </c>
      <c r="B1443" s="1" t="n">
        <v>45146</v>
      </c>
      <c r="C1443" s="1" t="n">
        <v>45666</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35742-2023</t>
        </is>
      </c>
      <c r="B1444" s="1" t="n">
        <v>45147</v>
      </c>
      <c r="C1444" s="1" t="n">
        <v>45666</v>
      </c>
      <c r="D1444" t="inlineStr">
        <is>
          <t>JÄMTLANDS LÄN</t>
        </is>
      </c>
      <c r="E1444" t="inlineStr">
        <is>
          <t>BRÄCKE</t>
        </is>
      </c>
      <c r="F1444" t="inlineStr">
        <is>
          <t>SCA</t>
        </is>
      </c>
      <c r="G1444" t="n">
        <v>26.8</v>
      </c>
      <c r="H1444" t="n">
        <v>0</v>
      </c>
      <c r="I1444" t="n">
        <v>0</v>
      </c>
      <c r="J1444" t="n">
        <v>0</v>
      </c>
      <c r="K1444" t="n">
        <v>0</v>
      </c>
      <c r="L1444" t="n">
        <v>0</v>
      </c>
      <c r="M1444" t="n">
        <v>0</v>
      </c>
      <c r="N1444" t="n">
        <v>0</v>
      </c>
      <c r="O1444" t="n">
        <v>0</v>
      </c>
      <c r="P1444" t="n">
        <v>0</v>
      </c>
      <c r="Q1444" t="n">
        <v>0</v>
      </c>
      <c r="R1444" s="2" t="inlineStr"/>
    </row>
    <row r="1445" ht="15" customHeight="1">
      <c r="A1445" t="inlineStr">
        <is>
          <t>A 35766-2023</t>
        </is>
      </c>
      <c r="B1445" s="1" t="n">
        <v>45147</v>
      </c>
      <c r="C1445" s="1" t="n">
        <v>45666</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35862-2023</t>
        </is>
      </c>
      <c r="B1446" s="1" t="n">
        <v>45147</v>
      </c>
      <c r="C1446" s="1" t="n">
        <v>45666</v>
      </c>
      <c r="D1446" t="inlineStr">
        <is>
          <t>JÄMTLANDS LÄN</t>
        </is>
      </c>
      <c r="E1446" t="inlineStr">
        <is>
          <t>BRÄCKE</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35741-2023</t>
        </is>
      </c>
      <c r="B1447" s="1" t="n">
        <v>45147</v>
      </c>
      <c r="C1447" s="1" t="n">
        <v>45666</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35896-2023</t>
        </is>
      </c>
      <c r="B1448" s="1" t="n">
        <v>45148</v>
      </c>
      <c r="C1448" s="1" t="n">
        <v>45666</v>
      </c>
      <c r="D1448" t="inlineStr">
        <is>
          <t>JÄMTLANDS LÄN</t>
        </is>
      </c>
      <c r="E1448" t="inlineStr">
        <is>
          <t>BRÄCKE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35880-2023</t>
        </is>
      </c>
      <c r="B1449" s="1" t="n">
        <v>45148</v>
      </c>
      <c r="C1449" s="1" t="n">
        <v>45666</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35972-2023</t>
        </is>
      </c>
      <c r="B1450" s="1" t="n">
        <v>45148</v>
      </c>
      <c r="C1450" s="1" t="n">
        <v>45666</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36205-2023</t>
        </is>
      </c>
      <c r="B1451" s="1" t="n">
        <v>45149</v>
      </c>
      <c r="C1451" s="1" t="n">
        <v>45666</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36209-2023</t>
        </is>
      </c>
      <c r="B1452" s="1" t="n">
        <v>45149</v>
      </c>
      <c r="C1452" s="1" t="n">
        <v>45666</v>
      </c>
      <c r="D1452" t="inlineStr">
        <is>
          <t>JÄMTLANDS LÄN</t>
        </is>
      </c>
      <c r="E1452" t="inlineStr">
        <is>
          <t>BRÄCKE</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36497-2023</t>
        </is>
      </c>
      <c r="B1453" s="1" t="n">
        <v>45152</v>
      </c>
      <c r="C1453" s="1" t="n">
        <v>45666</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36753-2023</t>
        </is>
      </c>
      <c r="B1454" s="1" t="n">
        <v>45153</v>
      </c>
      <c r="C1454" s="1" t="n">
        <v>45666</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36988-2023</t>
        </is>
      </c>
      <c r="B1455" s="1" t="n">
        <v>45154</v>
      </c>
      <c r="C1455" s="1" t="n">
        <v>45666</v>
      </c>
      <c r="D1455" t="inlineStr">
        <is>
          <t>JÄMTLANDS LÄN</t>
        </is>
      </c>
      <c r="E1455" t="inlineStr">
        <is>
          <t>BRÄCKE</t>
        </is>
      </c>
      <c r="F1455" t="inlineStr">
        <is>
          <t>SCA</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37265-2023</t>
        </is>
      </c>
      <c r="B1456" s="1" t="n">
        <v>45156</v>
      </c>
      <c r="C1456" s="1" t="n">
        <v>45666</v>
      </c>
      <c r="D1456" t="inlineStr">
        <is>
          <t>JÄMTLANDS LÄN</t>
        </is>
      </c>
      <c r="E1456" t="inlineStr">
        <is>
          <t>BRÄCKE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37264-2023</t>
        </is>
      </c>
      <c r="B1457" s="1" t="n">
        <v>45155</v>
      </c>
      <c r="C1457" s="1" t="n">
        <v>45666</v>
      </c>
      <c r="D1457" t="inlineStr">
        <is>
          <t>JÄMTLANDS LÄN</t>
        </is>
      </c>
      <c r="E1457" t="inlineStr">
        <is>
          <t>BRÄCKE</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37268-2023</t>
        </is>
      </c>
      <c r="B1458" s="1" t="n">
        <v>45156</v>
      </c>
      <c r="C1458" s="1" t="n">
        <v>45666</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37238-2023</t>
        </is>
      </c>
      <c r="B1459" s="1" t="n">
        <v>45156</v>
      </c>
      <c r="C1459" s="1" t="n">
        <v>45666</v>
      </c>
      <c r="D1459" t="inlineStr">
        <is>
          <t>JÄMTLANDS LÄN</t>
        </is>
      </c>
      <c r="E1459" t="inlineStr">
        <is>
          <t>BRÄCKE</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37239-2023</t>
        </is>
      </c>
      <c r="B1460" s="1" t="n">
        <v>45156</v>
      </c>
      <c r="C1460" s="1" t="n">
        <v>45666</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37263-2023</t>
        </is>
      </c>
      <c r="B1461" s="1" t="n">
        <v>45156</v>
      </c>
      <c r="C1461" s="1" t="n">
        <v>45666</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37267-2023</t>
        </is>
      </c>
      <c r="B1462" s="1" t="n">
        <v>45156</v>
      </c>
      <c r="C1462" s="1" t="n">
        <v>45666</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37492-2023</t>
        </is>
      </c>
      <c r="B1463" s="1" t="n">
        <v>45156</v>
      </c>
      <c r="C1463" s="1" t="n">
        <v>45666</v>
      </c>
      <c r="D1463" t="inlineStr">
        <is>
          <t>JÄMTLANDS LÄN</t>
        </is>
      </c>
      <c r="E1463" t="inlineStr">
        <is>
          <t>BRÄCKE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37472-2023</t>
        </is>
      </c>
      <c r="B1464" s="1" t="n">
        <v>45157</v>
      </c>
      <c r="C1464" s="1" t="n">
        <v>45666</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37504-2023</t>
        </is>
      </c>
      <c r="B1465" s="1" t="n">
        <v>45157</v>
      </c>
      <c r="C1465" s="1" t="n">
        <v>45666</v>
      </c>
      <c r="D1465" t="inlineStr">
        <is>
          <t>JÄMTLANDS LÄN</t>
        </is>
      </c>
      <c r="E1465" t="inlineStr">
        <is>
          <t>BRÄCKE</t>
        </is>
      </c>
      <c r="F1465" t="inlineStr">
        <is>
          <t>Sveaskog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37806-2023</t>
        </is>
      </c>
      <c r="B1466" s="1" t="n">
        <v>45159</v>
      </c>
      <c r="C1466" s="1" t="n">
        <v>45666</v>
      </c>
      <c r="D1466" t="inlineStr">
        <is>
          <t>JÄMTLANDS LÄN</t>
        </is>
      </c>
      <c r="E1466" t="inlineStr">
        <is>
          <t>BRÄCKE</t>
        </is>
      </c>
      <c r="F1466" t="inlineStr">
        <is>
          <t>SCA</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38087-2023</t>
        </is>
      </c>
      <c r="B1467" s="1" t="n">
        <v>45160</v>
      </c>
      <c r="C1467" s="1" t="n">
        <v>45666</v>
      </c>
      <c r="D1467" t="inlineStr">
        <is>
          <t>JÄMTLANDS LÄN</t>
        </is>
      </c>
      <c r="E1467" t="inlineStr">
        <is>
          <t>BRÄCKE</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38091-2023</t>
        </is>
      </c>
      <c r="B1468" s="1" t="n">
        <v>45160</v>
      </c>
      <c r="C1468" s="1" t="n">
        <v>45666</v>
      </c>
      <c r="D1468" t="inlineStr">
        <is>
          <t>JÄMTLANDS LÄN</t>
        </is>
      </c>
      <c r="E1468" t="inlineStr">
        <is>
          <t>BRÄCKE</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38359-2023</t>
        </is>
      </c>
      <c r="B1469" s="1" t="n">
        <v>45162</v>
      </c>
      <c r="C1469" s="1" t="n">
        <v>45666</v>
      </c>
      <c r="D1469" t="inlineStr">
        <is>
          <t>JÄMTLANDS LÄN</t>
        </is>
      </c>
      <c r="E1469" t="inlineStr">
        <is>
          <t>BRÄCKE</t>
        </is>
      </c>
      <c r="F1469" t="inlineStr">
        <is>
          <t>Naturvårdsverket</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38533-2023</t>
        </is>
      </c>
      <c r="B1470" s="1" t="n">
        <v>45162</v>
      </c>
      <c r="C1470" s="1" t="n">
        <v>45666</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38856-2023</t>
        </is>
      </c>
      <c r="B1471" s="1" t="n">
        <v>45162</v>
      </c>
      <c r="C1471" s="1" t="n">
        <v>45666</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39004-2023</t>
        </is>
      </c>
      <c r="B1472" s="1" t="n">
        <v>45162</v>
      </c>
      <c r="C1472" s="1" t="n">
        <v>45666</v>
      </c>
      <c r="D1472" t="inlineStr">
        <is>
          <t>JÄMTLANDS LÄN</t>
        </is>
      </c>
      <c r="E1472" t="inlineStr">
        <is>
          <t>BRÄCKE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38841-2023</t>
        </is>
      </c>
      <c r="B1473" s="1" t="n">
        <v>45162</v>
      </c>
      <c r="C1473" s="1" t="n">
        <v>45666</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39007-2023</t>
        </is>
      </c>
      <c r="B1474" s="1" t="n">
        <v>45162</v>
      </c>
      <c r="C1474" s="1" t="n">
        <v>45666</v>
      </c>
      <c r="D1474" t="inlineStr">
        <is>
          <t>JÄMTLANDS LÄN</t>
        </is>
      </c>
      <c r="E1474" t="inlineStr">
        <is>
          <t>BRÄCKE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38996-2023</t>
        </is>
      </c>
      <c r="B1475" s="1" t="n">
        <v>45162</v>
      </c>
      <c r="C1475" s="1" t="n">
        <v>45666</v>
      </c>
      <c r="D1475" t="inlineStr">
        <is>
          <t>JÄMTLANDS LÄN</t>
        </is>
      </c>
      <c r="E1475" t="inlineStr">
        <is>
          <t>BRÄCKE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38688-2023</t>
        </is>
      </c>
      <c r="B1476" s="1" t="n">
        <v>45163</v>
      </c>
      <c r="C1476" s="1" t="n">
        <v>45666</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38692-2023</t>
        </is>
      </c>
      <c r="B1477" s="1" t="n">
        <v>45163</v>
      </c>
      <c r="C1477" s="1" t="n">
        <v>45666</v>
      </c>
      <c r="D1477" t="inlineStr">
        <is>
          <t>JÄMTLANDS LÄN</t>
        </is>
      </c>
      <c r="E1477" t="inlineStr">
        <is>
          <t>BRÄCKE</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38675-2023</t>
        </is>
      </c>
      <c r="B1478" s="1" t="n">
        <v>45162</v>
      </c>
      <c r="C1478" s="1" t="n">
        <v>45666</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38691-2023</t>
        </is>
      </c>
      <c r="B1479" s="1" t="n">
        <v>45163</v>
      </c>
      <c r="C1479" s="1" t="n">
        <v>45666</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38693-2023</t>
        </is>
      </c>
      <c r="B1480" s="1" t="n">
        <v>45162</v>
      </c>
      <c r="C1480" s="1" t="n">
        <v>45666</v>
      </c>
      <c r="D1480" t="inlineStr">
        <is>
          <t>JÄMTLANDS LÄN</t>
        </is>
      </c>
      <c r="E1480" t="inlineStr">
        <is>
          <t>BRÄCKE</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38689-2023</t>
        </is>
      </c>
      <c r="B1481" s="1" t="n">
        <v>45162</v>
      </c>
      <c r="C1481" s="1" t="n">
        <v>45666</v>
      </c>
      <c r="D1481" t="inlineStr">
        <is>
          <t>JÄMTLANDS LÄN</t>
        </is>
      </c>
      <c r="E1481" t="inlineStr">
        <is>
          <t>BRÄCKE</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38690-2023</t>
        </is>
      </c>
      <c r="B1482" s="1" t="n">
        <v>45163</v>
      </c>
      <c r="C1482" s="1" t="n">
        <v>45666</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39439-2023</t>
        </is>
      </c>
      <c r="B1483" s="1" t="n">
        <v>45163</v>
      </c>
      <c r="C1483" s="1" t="n">
        <v>45666</v>
      </c>
      <c r="D1483" t="inlineStr">
        <is>
          <t>JÄMTLANDS LÄN</t>
        </is>
      </c>
      <c r="E1483" t="inlineStr">
        <is>
          <t>BRÄCKE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39509-2023</t>
        </is>
      </c>
      <c r="B1484" s="1" t="n">
        <v>45167</v>
      </c>
      <c r="C1484" s="1" t="n">
        <v>45666</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40096-2023</t>
        </is>
      </c>
      <c r="B1485" s="1" t="n">
        <v>45168</v>
      </c>
      <c r="C1485" s="1" t="n">
        <v>45666</v>
      </c>
      <c r="D1485" t="inlineStr">
        <is>
          <t>JÄMTLANDS LÄN</t>
        </is>
      </c>
      <c r="E1485" t="inlineStr">
        <is>
          <t>BRÄCKE</t>
        </is>
      </c>
      <c r="F1485" t="inlineStr">
        <is>
          <t>SCA</t>
        </is>
      </c>
      <c r="G1485" t="n">
        <v>28.9</v>
      </c>
      <c r="H1485" t="n">
        <v>0</v>
      </c>
      <c r="I1485" t="n">
        <v>0</v>
      </c>
      <c r="J1485" t="n">
        <v>0</v>
      </c>
      <c r="K1485" t="n">
        <v>0</v>
      </c>
      <c r="L1485" t="n">
        <v>0</v>
      </c>
      <c r="M1485" t="n">
        <v>0</v>
      </c>
      <c r="N1485" t="n">
        <v>0</v>
      </c>
      <c r="O1485" t="n">
        <v>0</v>
      </c>
      <c r="P1485" t="n">
        <v>0</v>
      </c>
      <c r="Q1485" t="n">
        <v>0</v>
      </c>
      <c r="R1485" s="2" t="inlineStr"/>
    </row>
    <row r="1486" ht="15" customHeight="1">
      <c r="A1486" t="inlineStr">
        <is>
          <t>A 40114-2023</t>
        </is>
      </c>
      <c r="B1486" s="1" t="n">
        <v>45169</v>
      </c>
      <c r="C1486" s="1" t="n">
        <v>45666</v>
      </c>
      <c r="D1486" t="inlineStr">
        <is>
          <t>JÄMTLANDS LÄN</t>
        </is>
      </c>
      <c r="E1486" t="inlineStr">
        <is>
          <t>BRÄCKE</t>
        </is>
      </c>
      <c r="F1486" t="inlineStr">
        <is>
          <t>Naturvårdsverket</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40108-2023</t>
        </is>
      </c>
      <c r="B1487" s="1" t="n">
        <v>45169</v>
      </c>
      <c r="C1487" s="1" t="n">
        <v>45666</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40094-2023</t>
        </is>
      </c>
      <c r="B1488" s="1" t="n">
        <v>45168</v>
      </c>
      <c r="C1488" s="1" t="n">
        <v>45666</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39907-2023</t>
        </is>
      </c>
      <c r="B1489" s="1" t="n">
        <v>45168</v>
      </c>
      <c r="C1489" s="1" t="n">
        <v>45666</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40389-2023</t>
        </is>
      </c>
      <c r="B1490" s="1" t="n">
        <v>45170</v>
      </c>
      <c r="C1490" s="1" t="n">
        <v>45666</v>
      </c>
      <c r="D1490" t="inlineStr">
        <is>
          <t>JÄMTLANDS LÄN</t>
        </is>
      </c>
      <c r="E1490" t="inlineStr">
        <is>
          <t>BRÄCKE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40394-2023</t>
        </is>
      </c>
      <c r="B1491" s="1" t="n">
        <v>45170</v>
      </c>
      <c r="C1491" s="1" t="n">
        <v>45666</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40410-2023</t>
        </is>
      </c>
      <c r="B1492" s="1" t="n">
        <v>45169</v>
      </c>
      <c r="C1492" s="1" t="n">
        <v>45666</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40430-2023</t>
        </is>
      </c>
      <c r="B1493" s="1" t="n">
        <v>45169</v>
      </c>
      <c r="C1493" s="1" t="n">
        <v>45666</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40387-2023</t>
        </is>
      </c>
      <c r="B1494" s="1" t="n">
        <v>45170</v>
      </c>
      <c r="C1494" s="1" t="n">
        <v>45666</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40405-2023</t>
        </is>
      </c>
      <c r="B1495" s="1" t="n">
        <v>45170</v>
      </c>
      <c r="C1495" s="1" t="n">
        <v>45666</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40761-2023</t>
        </is>
      </c>
      <c r="B1496" s="1" t="n">
        <v>45171</v>
      </c>
      <c r="C1496" s="1" t="n">
        <v>45666</v>
      </c>
      <c r="D1496" t="inlineStr">
        <is>
          <t>JÄMTLANDS LÄN</t>
        </is>
      </c>
      <c r="E1496" t="inlineStr">
        <is>
          <t>BRÄCKE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40765-2023</t>
        </is>
      </c>
      <c r="B1497" s="1" t="n">
        <v>45170</v>
      </c>
      <c r="C1497" s="1" t="n">
        <v>45666</v>
      </c>
      <c r="D1497" t="inlineStr">
        <is>
          <t>JÄMTLANDS LÄN</t>
        </is>
      </c>
      <c r="E1497" t="inlineStr">
        <is>
          <t>BRÄCKE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41175-2023</t>
        </is>
      </c>
      <c r="B1498" s="1" t="n">
        <v>45170</v>
      </c>
      <c r="C1498" s="1" t="n">
        <v>45666</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40775-2023</t>
        </is>
      </c>
      <c r="B1499" s="1" t="n">
        <v>45171</v>
      </c>
      <c r="C1499" s="1" t="n">
        <v>45666</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41183-2023</t>
        </is>
      </c>
      <c r="B1500" s="1" t="n">
        <v>45170</v>
      </c>
      <c r="C1500" s="1" t="n">
        <v>45666</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41188-2023</t>
        </is>
      </c>
      <c r="B1501" s="1" t="n">
        <v>45170</v>
      </c>
      <c r="C1501" s="1" t="n">
        <v>45666</v>
      </c>
      <c r="D1501" t="inlineStr">
        <is>
          <t>JÄMTLANDS LÄN</t>
        </is>
      </c>
      <c r="E1501" t="inlineStr">
        <is>
          <t>BRÄCKE</t>
        </is>
      </c>
      <c r="F1501" t="inlineStr">
        <is>
          <t>Kommuner</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40844-2023</t>
        </is>
      </c>
      <c r="B1502" s="1" t="n">
        <v>45173</v>
      </c>
      <c r="C1502" s="1" t="n">
        <v>45666</v>
      </c>
      <c r="D1502" t="inlineStr">
        <is>
          <t>JÄMTLANDS LÄN</t>
        </is>
      </c>
      <c r="E1502" t="inlineStr">
        <is>
          <t>BRÄCKE</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41148-2023</t>
        </is>
      </c>
      <c r="B1503" s="1" t="n">
        <v>45173</v>
      </c>
      <c r="C1503" s="1" t="n">
        <v>45666</v>
      </c>
      <c r="D1503" t="inlineStr">
        <is>
          <t>JÄMTLANDS LÄN</t>
        </is>
      </c>
      <c r="E1503" t="inlineStr">
        <is>
          <t>BRÄCKE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41401-2023</t>
        </is>
      </c>
      <c r="B1504" s="1" t="n">
        <v>45174</v>
      </c>
      <c r="C1504" s="1" t="n">
        <v>45666</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41412-2023</t>
        </is>
      </c>
      <c r="B1505" s="1" t="n">
        <v>45175</v>
      </c>
      <c r="C1505" s="1" t="n">
        <v>45666</v>
      </c>
      <c r="D1505" t="inlineStr">
        <is>
          <t>JÄMTLANDS LÄN</t>
        </is>
      </c>
      <c r="E1505" t="inlineStr">
        <is>
          <t>BRÄCKE</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41647-2023</t>
        </is>
      </c>
      <c r="B1506" s="1" t="n">
        <v>45176</v>
      </c>
      <c r="C1506" s="1" t="n">
        <v>45666</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41663-2023</t>
        </is>
      </c>
      <c r="B1507" s="1" t="n">
        <v>45176</v>
      </c>
      <c r="C1507" s="1" t="n">
        <v>45666</v>
      </c>
      <c r="D1507" t="inlineStr">
        <is>
          <t>JÄMTLANDS LÄN</t>
        </is>
      </c>
      <c r="E1507" t="inlineStr">
        <is>
          <t>BRÄCKE</t>
        </is>
      </c>
      <c r="F1507" t="inlineStr">
        <is>
          <t>SCA</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42103-2023</t>
        </is>
      </c>
      <c r="B1508" s="1" t="n">
        <v>45175</v>
      </c>
      <c r="C1508" s="1" t="n">
        <v>45666</v>
      </c>
      <c r="D1508" t="inlineStr">
        <is>
          <t>JÄMTLANDS LÄN</t>
        </is>
      </c>
      <c r="E1508" t="inlineStr">
        <is>
          <t>BRÄCKE</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41923-2023</t>
        </is>
      </c>
      <c r="B1509" s="1" t="n">
        <v>45176</v>
      </c>
      <c r="C1509" s="1" t="n">
        <v>45666</v>
      </c>
      <c r="D1509" t="inlineStr">
        <is>
          <t>JÄMTLANDS LÄN</t>
        </is>
      </c>
      <c r="E1509" t="inlineStr">
        <is>
          <t>BRÄCKE</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41722-2023</t>
        </is>
      </c>
      <c r="B1510" s="1" t="n">
        <v>45176</v>
      </c>
      <c r="C1510" s="1" t="n">
        <v>45666</v>
      </c>
      <c r="D1510" t="inlineStr">
        <is>
          <t>JÄMTLANDS LÄN</t>
        </is>
      </c>
      <c r="E1510" t="inlineStr">
        <is>
          <t>BRÄCKE</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41922-2023</t>
        </is>
      </c>
      <c r="B1511" s="1" t="n">
        <v>45176</v>
      </c>
      <c r="C1511" s="1" t="n">
        <v>45666</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41738-2023</t>
        </is>
      </c>
      <c r="B1512" s="1" t="n">
        <v>45176</v>
      </c>
      <c r="C1512" s="1" t="n">
        <v>45666</v>
      </c>
      <c r="D1512" t="inlineStr">
        <is>
          <t>JÄMTLANDS LÄN</t>
        </is>
      </c>
      <c r="E1512" t="inlineStr">
        <is>
          <t>BRÄCKE</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41936-2023</t>
        </is>
      </c>
      <c r="B1513" s="1" t="n">
        <v>45177</v>
      </c>
      <c r="C1513" s="1" t="n">
        <v>45666</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42159-2023</t>
        </is>
      </c>
      <c r="B1514" s="1" t="n">
        <v>45177</v>
      </c>
      <c r="C1514" s="1" t="n">
        <v>45666</v>
      </c>
      <c r="D1514" t="inlineStr">
        <is>
          <t>JÄMTLANDS LÄN</t>
        </is>
      </c>
      <c r="E1514" t="inlineStr">
        <is>
          <t>BRÄCKE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42500-2023</t>
        </is>
      </c>
      <c r="B1515" s="1" t="n">
        <v>45181</v>
      </c>
      <c r="C1515" s="1" t="n">
        <v>45666</v>
      </c>
      <c r="D1515" t="inlineStr">
        <is>
          <t>JÄMTLANDS LÄN</t>
        </is>
      </c>
      <c r="E1515" t="inlineStr">
        <is>
          <t>BRÄCKE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43180-2023</t>
        </is>
      </c>
      <c r="B1516" s="1" t="n">
        <v>45180</v>
      </c>
      <c r="C1516" s="1" t="n">
        <v>45666</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43551-2023</t>
        </is>
      </c>
      <c r="B1517" s="1" t="n">
        <v>45181</v>
      </c>
      <c r="C1517" s="1" t="n">
        <v>45666</v>
      </c>
      <c r="D1517" t="inlineStr">
        <is>
          <t>JÄMTLANDS LÄN</t>
        </is>
      </c>
      <c r="E1517" t="inlineStr">
        <is>
          <t>BRÄCKE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43591-2023</t>
        </is>
      </c>
      <c r="B1518" s="1" t="n">
        <v>45181</v>
      </c>
      <c r="C1518" s="1" t="n">
        <v>45666</v>
      </c>
      <c r="D1518" t="inlineStr">
        <is>
          <t>JÄMTLANDS LÄN</t>
        </is>
      </c>
      <c r="E1518" t="inlineStr">
        <is>
          <t>BRÄCKE</t>
        </is>
      </c>
      <c r="F1518" t="inlineStr">
        <is>
          <t>SCA</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43596-2023</t>
        </is>
      </c>
      <c r="B1519" s="1" t="n">
        <v>45181</v>
      </c>
      <c r="C1519" s="1" t="n">
        <v>45666</v>
      </c>
      <c r="D1519" t="inlineStr">
        <is>
          <t>JÄMTLANDS LÄN</t>
        </is>
      </c>
      <c r="E1519" t="inlineStr">
        <is>
          <t>BRÄCKE</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43123-2023</t>
        </is>
      </c>
      <c r="B1520" s="1" t="n">
        <v>45182</v>
      </c>
      <c r="C1520" s="1" t="n">
        <v>45666</v>
      </c>
      <c r="D1520" t="inlineStr">
        <is>
          <t>JÄMTLANDS LÄN</t>
        </is>
      </c>
      <c r="E1520" t="inlineStr">
        <is>
          <t>BRÄCKE</t>
        </is>
      </c>
      <c r="F1520" t="inlineStr">
        <is>
          <t>Naturvårdsverket</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43108-2023</t>
        </is>
      </c>
      <c r="B1521" s="1" t="n">
        <v>45183</v>
      </c>
      <c r="C1521" s="1" t="n">
        <v>45666</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43906-2023</t>
        </is>
      </c>
      <c r="B1522" s="1" t="n">
        <v>45182</v>
      </c>
      <c r="C1522" s="1" t="n">
        <v>45666</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43910-2023</t>
        </is>
      </c>
      <c r="B1523" s="1" t="n">
        <v>45182</v>
      </c>
      <c r="C1523" s="1" t="n">
        <v>45666</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43093-2023</t>
        </is>
      </c>
      <c r="B1524" s="1" t="n">
        <v>45182</v>
      </c>
      <c r="C1524" s="1" t="n">
        <v>45666</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43869-2023</t>
        </is>
      </c>
      <c r="B1525" s="1" t="n">
        <v>45182</v>
      </c>
      <c r="C1525" s="1" t="n">
        <v>45666</v>
      </c>
      <c r="D1525" t="inlineStr">
        <is>
          <t>JÄMTLANDS LÄN</t>
        </is>
      </c>
      <c r="E1525" t="inlineStr">
        <is>
          <t>BRÄCKE</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43292-2023</t>
        </is>
      </c>
      <c r="B1526" s="1" t="n">
        <v>45183</v>
      </c>
      <c r="C1526" s="1" t="n">
        <v>45666</v>
      </c>
      <c r="D1526" t="inlineStr">
        <is>
          <t>JÄMTLANDS LÄN</t>
        </is>
      </c>
      <c r="E1526" t="inlineStr">
        <is>
          <t>BRÄCKE</t>
        </is>
      </c>
      <c r="F1526" t="inlineStr">
        <is>
          <t>Kyrkan</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43957-2023</t>
        </is>
      </c>
      <c r="B1527" s="1" t="n">
        <v>45187</v>
      </c>
      <c r="C1527" s="1" t="n">
        <v>45666</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43969-2023</t>
        </is>
      </c>
      <c r="B1528" s="1" t="n">
        <v>45187</v>
      </c>
      <c r="C1528" s="1" t="n">
        <v>45666</v>
      </c>
      <c r="D1528" t="inlineStr">
        <is>
          <t>JÄMTLANDS LÄN</t>
        </is>
      </c>
      <c r="E1528" t="inlineStr">
        <is>
          <t>BRÄCKE</t>
        </is>
      </c>
      <c r="F1528" t="inlineStr">
        <is>
          <t>SCA</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43977-2023</t>
        </is>
      </c>
      <c r="B1529" s="1" t="n">
        <v>45187</v>
      </c>
      <c r="C1529" s="1" t="n">
        <v>45666</v>
      </c>
      <c r="D1529" t="inlineStr">
        <is>
          <t>JÄMTLANDS LÄN</t>
        </is>
      </c>
      <c r="E1529" t="inlineStr">
        <is>
          <t>BRÄCKE</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43971-2023</t>
        </is>
      </c>
      <c r="B1530" s="1" t="n">
        <v>45188</v>
      </c>
      <c r="C1530" s="1" t="n">
        <v>45666</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43958-2023</t>
        </is>
      </c>
      <c r="B1531" s="1" t="n">
        <v>45187</v>
      </c>
      <c r="C1531" s="1" t="n">
        <v>45666</v>
      </c>
      <c r="D1531" t="inlineStr">
        <is>
          <t>JÄMTLANDS LÄN</t>
        </is>
      </c>
      <c r="E1531" t="inlineStr">
        <is>
          <t>BRÄCKE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43970-2023</t>
        </is>
      </c>
      <c r="B1532" s="1" t="n">
        <v>45187</v>
      </c>
      <c r="C1532" s="1" t="n">
        <v>45666</v>
      </c>
      <c r="D1532" t="inlineStr">
        <is>
          <t>JÄMTLANDS LÄN</t>
        </is>
      </c>
      <c r="E1532" t="inlineStr">
        <is>
          <t>BRÄCKE</t>
        </is>
      </c>
      <c r="F1532" t="inlineStr">
        <is>
          <t>SCA</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44324-2023</t>
        </is>
      </c>
      <c r="B1533" s="1" t="n">
        <v>45188</v>
      </c>
      <c r="C1533" s="1" t="n">
        <v>45666</v>
      </c>
      <c r="D1533" t="inlineStr">
        <is>
          <t>JÄMTLANDS LÄN</t>
        </is>
      </c>
      <c r="E1533" t="inlineStr">
        <is>
          <t>BRÄCKE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44318-2023</t>
        </is>
      </c>
      <c r="B1534" s="1" t="n">
        <v>45188</v>
      </c>
      <c r="C1534" s="1" t="n">
        <v>45666</v>
      </c>
      <c r="D1534" t="inlineStr">
        <is>
          <t>JÄMTLANDS LÄN</t>
        </is>
      </c>
      <c r="E1534" t="inlineStr">
        <is>
          <t>BRÄCKE</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44321-2023</t>
        </is>
      </c>
      <c r="B1535" s="1" t="n">
        <v>45188</v>
      </c>
      <c r="C1535" s="1" t="n">
        <v>45666</v>
      </c>
      <c r="D1535" t="inlineStr">
        <is>
          <t>JÄMTLANDS LÄN</t>
        </is>
      </c>
      <c r="E1535" t="inlineStr">
        <is>
          <t>BRÄCKE</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44328-2023</t>
        </is>
      </c>
      <c r="B1536" s="1" t="n">
        <v>45188</v>
      </c>
      <c r="C1536" s="1" t="n">
        <v>45666</v>
      </c>
      <c r="D1536" t="inlineStr">
        <is>
          <t>JÄMTLANDS LÄN</t>
        </is>
      </c>
      <c r="E1536" t="inlineStr">
        <is>
          <t>BRÄCKE</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44357-2023</t>
        </is>
      </c>
      <c r="B1537" s="1" t="n">
        <v>45188</v>
      </c>
      <c r="C1537" s="1" t="n">
        <v>45666</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44381-2023</t>
        </is>
      </c>
      <c r="B1538" s="1" t="n">
        <v>45188</v>
      </c>
      <c r="C1538" s="1" t="n">
        <v>45666</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44400-2023</t>
        </is>
      </c>
      <c r="B1539" s="1" t="n">
        <v>45189</v>
      </c>
      <c r="C1539" s="1" t="n">
        <v>45666</v>
      </c>
      <c r="D1539" t="inlineStr">
        <is>
          <t>JÄMTLANDS LÄN</t>
        </is>
      </c>
      <c r="E1539" t="inlineStr">
        <is>
          <t>BRÄCKE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44399-2023</t>
        </is>
      </c>
      <c r="B1540" s="1" t="n">
        <v>45189</v>
      </c>
      <c r="C1540" s="1" t="n">
        <v>45666</v>
      </c>
      <c r="D1540" t="inlineStr">
        <is>
          <t>JÄMTLANDS LÄN</t>
        </is>
      </c>
      <c r="E1540" t="inlineStr">
        <is>
          <t>BRÄCKE</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44403-2023</t>
        </is>
      </c>
      <c r="B1541" s="1" t="n">
        <v>45189</v>
      </c>
      <c r="C1541" s="1" t="n">
        <v>45666</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44358-2023</t>
        </is>
      </c>
      <c r="B1542" s="1" t="n">
        <v>45188</v>
      </c>
      <c r="C1542" s="1" t="n">
        <v>45666</v>
      </c>
      <c r="D1542" t="inlineStr">
        <is>
          <t>JÄMTLANDS LÄN</t>
        </is>
      </c>
      <c r="E1542" t="inlineStr">
        <is>
          <t>BRÄCKE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44693-2023</t>
        </is>
      </c>
      <c r="B1543" s="1" t="n">
        <v>45190</v>
      </c>
      <c r="C1543" s="1" t="n">
        <v>45666</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44694-2023</t>
        </is>
      </c>
      <c r="B1544" s="1" t="n">
        <v>45190</v>
      </c>
      <c r="C1544" s="1" t="n">
        <v>45666</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45019-2023</t>
        </is>
      </c>
      <c r="B1545" s="1" t="n">
        <v>45191</v>
      </c>
      <c r="C1545" s="1" t="n">
        <v>45666</v>
      </c>
      <c r="D1545" t="inlineStr">
        <is>
          <t>JÄMTLANDS LÄN</t>
        </is>
      </c>
      <c r="E1545" t="inlineStr">
        <is>
          <t>BRÄCKE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45002-2023</t>
        </is>
      </c>
      <c r="B1546" s="1" t="n">
        <v>45191</v>
      </c>
      <c r="C1546" s="1" t="n">
        <v>45666</v>
      </c>
      <c r="D1546" t="inlineStr">
        <is>
          <t>JÄMTLANDS LÄN</t>
        </is>
      </c>
      <c r="E1546" t="inlineStr">
        <is>
          <t>BRÄCKE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45010-2023</t>
        </is>
      </c>
      <c r="B1547" s="1" t="n">
        <v>45191</v>
      </c>
      <c r="C1547" s="1" t="n">
        <v>45666</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44989-2023</t>
        </is>
      </c>
      <c r="B1548" s="1" t="n">
        <v>45190</v>
      </c>
      <c r="C1548" s="1" t="n">
        <v>45666</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45005-2023</t>
        </is>
      </c>
      <c r="B1549" s="1" t="n">
        <v>45190</v>
      </c>
      <c r="C1549" s="1" t="n">
        <v>45666</v>
      </c>
      <c r="D1549" t="inlineStr">
        <is>
          <t>JÄMTLANDS LÄN</t>
        </is>
      </c>
      <c r="E1549" t="inlineStr">
        <is>
          <t>BRÄCKE</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45009-2023</t>
        </is>
      </c>
      <c r="B1550" s="1" t="n">
        <v>45191</v>
      </c>
      <c r="C1550" s="1" t="n">
        <v>45666</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45013-2023</t>
        </is>
      </c>
      <c r="B1551" s="1" t="n">
        <v>45191</v>
      </c>
      <c r="C1551" s="1" t="n">
        <v>45666</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45028-2023</t>
        </is>
      </c>
      <c r="B1552" s="1" t="n">
        <v>45190</v>
      </c>
      <c r="C1552" s="1" t="n">
        <v>45666</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45029-2023</t>
        </is>
      </c>
      <c r="B1553" s="1" t="n">
        <v>45191</v>
      </c>
      <c r="C1553" s="1" t="n">
        <v>45666</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45337-2023</t>
        </is>
      </c>
      <c r="B1554" s="1" t="n">
        <v>45191</v>
      </c>
      <c r="C1554" s="1" t="n">
        <v>45666</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45345-2023</t>
        </is>
      </c>
      <c r="B1555" s="1" t="n">
        <v>45192</v>
      </c>
      <c r="C1555" s="1" t="n">
        <v>45666</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45344-2023</t>
        </is>
      </c>
      <c r="B1556" s="1" t="n">
        <v>45191</v>
      </c>
      <c r="C1556" s="1" t="n">
        <v>45666</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45334-2023</t>
        </is>
      </c>
      <c r="B1557" s="1" t="n">
        <v>45192</v>
      </c>
      <c r="C1557" s="1" t="n">
        <v>45666</v>
      </c>
      <c r="D1557" t="inlineStr">
        <is>
          <t>JÄMTLANDS LÄN</t>
        </is>
      </c>
      <c r="E1557" t="inlineStr">
        <is>
          <t>BRÄCKE</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45342-2023</t>
        </is>
      </c>
      <c r="B1558" s="1" t="n">
        <v>45192</v>
      </c>
      <c r="C1558" s="1" t="n">
        <v>45666</v>
      </c>
      <c r="D1558" t="inlineStr">
        <is>
          <t>JÄMTLANDS LÄN</t>
        </is>
      </c>
      <c r="E1558" t="inlineStr">
        <is>
          <t>BRÄCKE</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45370-2023</t>
        </is>
      </c>
      <c r="B1559" s="1" t="n">
        <v>45193</v>
      </c>
      <c r="C1559" s="1" t="n">
        <v>45666</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45369-2023</t>
        </is>
      </c>
      <c r="B1560" s="1" t="n">
        <v>45193</v>
      </c>
      <c r="C1560" s="1" t="n">
        <v>45666</v>
      </c>
      <c r="D1560" t="inlineStr">
        <is>
          <t>JÄMTLANDS LÄN</t>
        </is>
      </c>
      <c r="E1560" t="inlineStr">
        <is>
          <t>BRÄCKE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45577-2023</t>
        </is>
      </c>
      <c r="B1561" s="1" t="n">
        <v>45194</v>
      </c>
      <c r="C1561" s="1" t="n">
        <v>45666</v>
      </c>
      <c r="D1561" t="inlineStr">
        <is>
          <t>JÄMTLANDS LÄN</t>
        </is>
      </c>
      <c r="E1561" t="inlineStr">
        <is>
          <t>BRÄCKE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45950-2023</t>
        </is>
      </c>
      <c r="B1562" s="1" t="n">
        <v>45195</v>
      </c>
      <c r="C1562" s="1" t="n">
        <v>45666</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45963-2023</t>
        </is>
      </c>
      <c r="B1563" s="1" t="n">
        <v>45196</v>
      </c>
      <c r="C1563" s="1" t="n">
        <v>45666</v>
      </c>
      <c r="D1563" t="inlineStr">
        <is>
          <t>JÄMTLANDS LÄN</t>
        </is>
      </c>
      <c r="E1563" t="inlineStr">
        <is>
          <t>BRÄCKE</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46939-2023</t>
        </is>
      </c>
      <c r="B1564" s="1" t="n">
        <v>45195</v>
      </c>
      <c r="C1564" s="1" t="n">
        <v>45666</v>
      </c>
      <c r="D1564" t="inlineStr">
        <is>
          <t>JÄMTLANDS LÄN</t>
        </is>
      </c>
      <c r="E1564" t="inlineStr">
        <is>
          <t>BRÄCKE</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45936-2023</t>
        </is>
      </c>
      <c r="B1565" s="1" t="n">
        <v>45196</v>
      </c>
      <c r="C1565" s="1" t="n">
        <v>45666</v>
      </c>
      <c r="D1565" t="inlineStr">
        <is>
          <t>JÄMTLANDS LÄN</t>
        </is>
      </c>
      <c r="E1565" t="inlineStr">
        <is>
          <t>BRÄCKE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46952-2023</t>
        </is>
      </c>
      <c r="B1566" s="1" t="n">
        <v>45195</v>
      </c>
      <c r="C1566" s="1" t="n">
        <v>45666</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45951-2023</t>
        </is>
      </c>
      <c r="B1567" s="1" t="n">
        <v>45196</v>
      </c>
      <c r="C1567" s="1" t="n">
        <v>45666</v>
      </c>
      <c r="D1567" t="inlineStr">
        <is>
          <t>JÄMTLANDS LÄN</t>
        </is>
      </c>
      <c r="E1567" t="inlineStr">
        <is>
          <t>BRÄCKE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46274-2023</t>
        </is>
      </c>
      <c r="B1568" s="1" t="n">
        <v>45197</v>
      </c>
      <c r="C1568" s="1" t="n">
        <v>45666</v>
      </c>
      <c r="D1568" t="inlineStr">
        <is>
          <t>JÄMTLANDS LÄN</t>
        </is>
      </c>
      <c r="E1568" t="inlineStr">
        <is>
          <t>BRÄCKE</t>
        </is>
      </c>
      <c r="F1568" t="inlineStr">
        <is>
          <t>Naturvårdsverket</t>
        </is>
      </c>
      <c r="G1568" t="n">
        <v>70.3</v>
      </c>
      <c r="H1568" t="n">
        <v>0</v>
      </c>
      <c r="I1568" t="n">
        <v>0</v>
      </c>
      <c r="J1568" t="n">
        <v>0</v>
      </c>
      <c r="K1568" t="n">
        <v>0</v>
      </c>
      <c r="L1568" t="n">
        <v>0</v>
      </c>
      <c r="M1568" t="n">
        <v>0</v>
      </c>
      <c r="N1568" t="n">
        <v>0</v>
      </c>
      <c r="O1568" t="n">
        <v>0</v>
      </c>
      <c r="P1568" t="n">
        <v>0</v>
      </c>
      <c r="Q1568" t="n">
        <v>0</v>
      </c>
      <c r="R1568" s="2" t="inlineStr"/>
    </row>
    <row r="1569" ht="15" customHeight="1">
      <c r="A1569" t="inlineStr">
        <is>
          <t>A 46257-2023</t>
        </is>
      </c>
      <c r="B1569" s="1" t="n">
        <v>45197</v>
      </c>
      <c r="C1569" s="1" t="n">
        <v>45666</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46273-2023</t>
        </is>
      </c>
      <c r="B1570" s="1" t="n">
        <v>45197</v>
      </c>
      <c r="C1570" s="1" t="n">
        <v>45666</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46263-2023</t>
        </is>
      </c>
      <c r="B1571" s="1" t="n">
        <v>45196</v>
      </c>
      <c r="C1571" s="1" t="n">
        <v>45666</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46551-2023</t>
        </is>
      </c>
      <c r="B1572" s="1" t="n">
        <v>45198</v>
      </c>
      <c r="C1572" s="1" t="n">
        <v>45666</v>
      </c>
      <c r="D1572" t="inlineStr">
        <is>
          <t>JÄMTLANDS LÄN</t>
        </is>
      </c>
      <c r="E1572" t="inlineStr">
        <is>
          <t>BRÄCKE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46812-2023</t>
        </is>
      </c>
      <c r="B1573" s="1" t="n">
        <v>45198</v>
      </c>
      <c r="C1573" s="1" t="n">
        <v>45666</v>
      </c>
      <c r="D1573" t="inlineStr">
        <is>
          <t>JÄMTLANDS LÄN</t>
        </is>
      </c>
      <c r="E1573" t="inlineStr">
        <is>
          <t>BRÄCKE</t>
        </is>
      </c>
      <c r="F1573" t="inlineStr">
        <is>
          <t>SCA</t>
        </is>
      </c>
      <c r="G1573" t="n">
        <v>17.5</v>
      </c>
      <c r="H1573" t="n">
        <v>0</v>
      </c>
      <c r="I1573" t="n">
        <v>0</v>
      </c>
      <c r="J1573" t="n">
        <v>0</v>
      </c>
      <c r="K1573" t="n">
        <v>0</v>
      </c>
      <c r="L1573" t="n">
        <v>0</v>
      </c>
      <c r="M1573" t="n">
        <v>0</v>
      </c>
      <c r="N1573" t="n">
        <v>0</v>
      </c>
      <c r="O1573" t="n">
        <v>0</v>
      </c>
      <c r="P1573" t="n">
        <v>0</v>
      </c>
      <c r="Q1573" t="n">
        <v>0</v>
      </c>
      <c r="R1573" s="2" t="inlineStr"/>
    </row>
    <row r="1574" ht="15" customHeight="1">
      <c r="A1574" t="inlineStr">
        <is>
          <t>A 46798-2023</t>
        </is>
      </c>
      <c r="B1574" s="1" t="n">
        <v>45198</v>
      </c>
      <c r="C1574" s="1" t="n">
        <v>45666</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46805-2023</t>
        </is>
      </c>
      <c r="B1575" s="1" t="n">
        <v>45198</v>
      </c>
      <c r="C1575" s="1" t="n">
        <v>45666</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46809-2023</t>
        </is>
      </c>
      <c r="B1576" s="1" t="n">
        <v>45199</v>
      </c>
      <c r="C1576" s="1" t="n">
        <v>45666</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46799-2023</t>
        </is>
      </c>
      <c r="B1577" s="1" t="n">
        <v>45198</v>
      </c>
      <c r="C1577" s="1" t="n">
        <v>45666</v>
      </c>
      <c r="D1577" t="inlineStr">
        <is>
          <t>JÄMTLANDS LÄN</t>
        </is>
      </c>
      <c r="E1577" t="inlineStr">
        <is>
          <t>BRÄCKE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46810-2023</t>
        </is>
      </c>
      <c r="B1578" s="1" t="n">
        <v>45199</v>
      </c>
      <c r="C1578" s="1" t="n">
        <v>45666</v>
      </c>
      <c r="D1578" t="inlineStr">
        <is>
          <t>JÄMTLANDS LÄN</t>
        </is>
      </c>
      <c r="E1578" t="inlineStr">
        <is>
          <t>BRÄCKE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46860-2023</t>
        </is>
      </c>
      <c r="B1579" s="1" t="n">
        <v>45200</v>
      </c>
      <c r="C1579" s="1" t="n">
        <v>45666</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47163-2023</t>
        </is>
      </c>
      <c r="B1580" s="1" t="n">
        <v>45202</v>
      </c>
      <c r="C1580" s="1" t="n">
        <v>45666</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47186-2023</t>
        </is>
      </c>
      <c r="B1581" s="1" t="n">
        <v>45201</v>
      </c>
      <c r="C1581" s="1" t="n">
        <v>45666</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47169-2023</t>
        </is>
      </c>
      <c r="B1582" s="1" t="n">
        <v>45202</v>
      </c>
      <c r="C1582" s="1" t="n">
        <v>45666</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48349-2023</t>
        </is>
      </c>
      <c r="B1583" s="1" t="n">
        <v>45201</v>
      </c>
      <c r="C1583" s="1" t="n">
        <v>45666</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48390-2023</t>
        </is>
      </c>
      <c r="B1584" s="1" t="n">
        <v>45201</v>
      </c>
      <c r="C1584" s="1" t="n">
        <v>45666</v>
      </c>
      <c r="D1584" t="inlineStr">
        <is>
          <t>JÄMTLANDS LÄN</t>
        </is>
      </c>
      <c r="E1584" t="inlineStr">
        <is>
          <t>BRÄCKE</t>
        </is>
      </c>
      <c r="F1584" t="inlineStr">
        <is>
          <t>SCA</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47365-2023</t>
        </is>
      </c>
      <c r="B1585" s="1" t="n">
        <v>45202</v>
      </c>
      <c r="C1585" s="1" t="n">
        <v>45666</v>
      </c>
      <c r="D1585" t="inlineStr">
        <is>
          <t>JÄMTLANDS LÄN</t>
        </is>
      </c>
      <c r="E1585" t="inlineStr">
        <is>
          <t>BRÄCKE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47486-2023</t>
        </is>
      </c>
      <c r="B1586" s="1" t="n">
        <v>45203</v>
      </c>
      <c r="C1586" s="1" t="n">
        <v>45666</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47500-2023</t>
        </is>
      </c>
      <c r="B1587" s="1" t="n">
        <v>45203</v>
      </c>
      <c r="C1587" s="1" t="n">
        <v>45666</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47487-2023</t>
        </is>
      </c>
      <c r="B1588" s="1" t="n">
        <v>45203</v>
      </c>
      <c r="C1588" s="1" t="n">
        <v>45666</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47788-2023</t>
        </is>
      </c>
      <c r="B1589" s="1" t="n">
        <v>45204</v>
      </c>
      <c r="C1589" s="1" t="n">
        <v>45666</v>
      </c>
      <c r="D1589" t="inlineStr">
        <is>
          <t>JÄMTLANDS LÄN</t>
        </is>
      </c>
      <c r="E1589" t="inlineStr">
        <is>
          <t>BRÄCKE</t>
        </is>
      </c>
      <c r="F1589" t="inlineStr">
        <is>
          <t>SCA</t>
        </is>
      </c>
      <c r="G1589" t="n">
        <v>22.4</v>
      </c>
      <c r="H1589" t="n">
        <v>0</v>
      </c>
      <c r="I1589" t="n">
        <v>0</v>
      </c>
      <c r="J1589" t="n">
        <v>0</v>
      </c>
      <c r="K1589" t="n">
        <v>0</v>
      </c>
      <c r="L1589" t="n">
        <v>0</v>
      </c>
      <c r="M1589" t="n">
        <v>0</v>
      </c>
      <c r="N1589" t="n">
        <v>0</v>
      </c>
      <c r="O1589" t="n">
        <v>0</v>
      </c>
      <c r="P1589" t="n">
        <v>0</v>
      </c>
      <c r="Q1589" t="n">
        <v>0</v>
      </c>
      <c r="R1589" s="2" t="inlineStr"/>
    </row>
    <row r="1590" ht="15" customHeight="1">
      <c r="A1590" t="inlineStr">
        <is>
          <t>A 48079-2023</t>
        </is>
      </c>
      <c r="B1590" s="1" t="n">
        <v>45204</v>
      </c>
      <c r="C1590" s="1" t="n">
        <v>45666</v>
      </c>
      <c r="D1590" t="inlineStr">
        <is>
          <t>JÄMTLANDS LÄN</t>
        </is>
      </c>
      <c r="E1590" t="inlineStr">
        <is>
          <t>BRÄCKE</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48058-2023</t>
        </is>
      </c>
      <c r="B1591" s="1" t="n">
        <v>45205</v>
      </c>
      <c r="C1591" s="1" t="n">
        <v>45666</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48064-2023</t>
        </is>
      </c>
      <c r="B1592" s="1" t="n">
        <v>45204</v>
      </c>
      <c r="C1592" s="1" t="n">
        <v>45666</v>
      </c>
      <c r="D1592" t="inlineStr">
        <is>
          <t>JÄMTLANDS LÄN</t>
        </is>
      </c>
      <c r="E1592" t="inlineStr">
        <is>
          <t>BRÄCKE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48068-2023</t>
        </is>
      </c>
      <c r="B1593" s="1" t="n">
        <v>45205</v>
      </c>
      <c r="C1593" s="1" t="n">
        <v>45666</v>
      </c>
      <c r="D1593" t="inlineStr">
        <is>
          <t>JÄMTLANDS LÄN</t>
        </is>
      </c>
      <c r="E1593" t="inlineStr">
        <is>
          <t>BRÄCKE</t>
        </is>
      </c>
      <c r="F1593" t="inlineStr">
        <is>
          <t>SCA</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48080-2023</t>
        </is>
      </c>
      <c r="B1594" s="1" t="n">
        <v>45205</v>
      </c>
      <c r="C1594" s="1" t="n">
        <v>45666</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49085-2023</t>
        </is>
      </c>
      <c r="B1595" s="1" t="n">
        <v>45204</v>
      </c>
      <c r="C1595" s="1" t="n">
        <v>45666</v>
      </c>
      <c r="D1595" t="inlineStr">
        <is>
          <t>JÄMTLANDS LÄN</t>
        </is>
      </c>
      <c r="E1595" t="inlineStr">
        <is>
          <t>BRÄCKE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48159-2023</t>
        </is>
      </c>
      <c r="B1596" s="1" t="n">
        <v>45205</v>
      </c>
      <c r="C1596" s="1" t="n">
        <v>45666</v>
      </c>
      <c r="D1596" t="inlineStr">
        <is>
          <t>JÄMTLANDS LÄN</t>
        </is>
      </c>
      <c r="E1596" t="inlineStr">
        <is>
          <t>BRÄCKE</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48434-2023</t>
        </is>
      </c>
      <c r="B1597" s="1" t="n">
        <v>45205</v>
      </c>
      <c r="C1597" s="1" t="n">
        <v>45666</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48419-2023</t>
        </is>
      </c>
      <c r="B1598" s="1" t="n">
        <v>45205</v>
      </c>
      <c r="C1598" s="1" t="n">
        <v>45666</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48433-2023</t>
        </is>
      </c>
      <c r="B1599" s="1" t="n">
        <v>45205</v>
      </c>
      <c r="C1599" s="1" t="n">
        <v>45666</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48432-2023</t>
        </is>
      </c>
      <c r="B1600" s="1" t="n">
        <v>45205</v>
      </c>
      <c r="C1600" s="1" t="n">
        <v>45666</v>
      </c>
      <c r="D1600" t="inlineStr">
        <is>
          <t>JÄMTLANDS LÄN</t>
        </is>
      </c>
      <c r="E1600" t="inlineStr">
        <is>
          <t>BRÄCKE</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48425-2023</t>
        </is>
      </c>
      <c r="B1601" s="1" t="n">
        <v>45205</v>
      </c>
      <c r="C1601" s="1" t="n">
        <v>45666</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48435-2023</t>
        </is>
      </c>
      <c r="B1602" s="1" t="n">
        <v>45205</v>
      </c>
      <c r="C1602" s="1" t="n">
        <v>45666</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48482-2023</t>
        </is>
      </c>
      <c r="B1603" s="1" t="n">
        <v>45207</v>
      </c>
      <c r="C1603" s="1" t="n">
        <v>45666</v>
      </c>
      <c r="D1603" t="inlineStr">
        <is>
          <t>JÄMTLANDS LÄN</t>
        </is>
      </c>
      <c r="E1603" t="inlineStr">
        <is>
          <t>BRÄCKE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48473-2023</t>
        </is>
      </c>
      <c r="B1604" s="1" t="n">
        <v>45207</v>
      </c>
      <c r="C1604" s="1" t="n">
        <v>45666</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48481-2023</t>
        </is>
      </c>
      <c r="B1605" s="1" t="n">
        <v>45206</v>
      </c>
      <c r="C1605" s="1" t="n">
        <v>45666</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48480-2023</t>
        </is>
      </c>
      <c r="B1606" s="1" t="n">
        <v>45207</v>
      </c>
      <c r="C1606" s="1" t="n">
        <v>45666</v>
      </c>
      <c r="D1606" t="inlineStr">
        <is>
          <t>JÄMTLANDS LÄN</t>
        </is>
      </c>
      <c r="E1606" t="inlineStr">
        <is>
          <t>BRÄCKE</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48507-2023</t>
        </is>
      </c>
      <c r="B1607" s="1" t="n">
        <v>45208</v>
      </c>
      <c r="C1607" s="1" t="n">
        <v>45666</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48509-2023</t>
        </is>
      </c>
      <c r="B1608" s="1" t="n">
        <v>45207</v>
      </c>
      <c r="C1608" s="1" t="n">
        <v>45666</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48672-2023</t>
        </is>
      </c>
      <c r="B1609" s="1" t="n">
        <v>45208</v>
      </c>
      <c r="C1609" s="1" t="n">
        <v>45666</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48770-2023</t>
        </is>
      </c>
      <c r="B1610" s="1" t="n">
        <v>45209</v>
      </c>
      <c r="C1610" s="1" t="n">
        <v>45666</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48779-2023</t>
        </is>
      </c>
      <c r="B1611" s="1" t="n">
        <v>45209</v>
      </c>
      <c r="C1611" s="1" t="n">
        <v>45666</v>
      </c>
      <c r="D1611" t="inlineStr">
        <is>
          <t>JÄMTLANDS LÄN</t>
        </is>
      </c>
      <c r="E1611" t="inlineStr">
        <is>
          <t>BRÄCKE</t>
        </is>
      </c>
      <c r="F1611" t="inlineStr">
        <is>
          <t>Naturvårdsverket</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48781-2023</t>
        </is>
      </c>
      <c r="B1612" s="1" t="n">
        <v>45209</v>
      </c>
      <c r="C1612" s="1" t="n">
        <v>45666</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50151-2023</t>
        </is>
      </c>
      <c r="B1613" s="1" t="n">
        <v>45208</v>
      </c>
      <c r="C1613" s="1" t="n">
        <v>45666</v>
      </c>
      <c r="D1613" t="inlineStr">
        <is>
          <t>JÄMTLANDS LÄN</t>
        </is>
      </c>
      <c r="E1613" t="inlineStr">
        <is>
          <t>BRÄCKE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48900-2023</t>
        </is>
      </c>
      <c r="B1614" s="1" t="n">
        <v>45209</v>
      </c>
      <c r="C1614" s="1" t="n">
        <v>45666</v>
      </c>
      <c r="D1614" t="inlineStr">
        <is>
          <t>JÄMTLANDS LÄN</t>
        </is>
      </c>
      <c r="E1614" t="inlineStr">
        <is>
          <t>BRÄCKE</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49035-2023</t>
        </is>
      </c>
      <c r="B1615" s="1" t="n">
        <v>45210</v>
      </c>
      <c r="C1615" s="1" t="n">
        <v>45666</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49043-2023</t>
        </is>
      </c>
      <c r="B1616" s="1" t="n">
        <v>45210</v>
      </c>
      <c r="C1616" s="1" t="n">
        <v>45666</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49044-2023</t>
        </is>
      </c>
      <c r="B1617" s="1" t="n">
        <v>45209</v>
      </c>
      <c r="C1617" s="1" t="n">
        <v>45666</v>
      </c>
      <c r="D1617" t="inlineStr">
        <is>
          <t>JÄMTLANDS LÄN</t>
        </is>
      </c>
      <c r="E1617" t="inlineStr">
        <is>
          <t>BRÄCKE</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49034-2023</t>
        </is>
      </c>
      <c r="B1618" s="1" t="n">
        <v>45210</v>
      </c>
      <c r="C1618" s="1" t="n">
        <v>45666</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49042-2023</t>
        </is>
      </c>
      <c r="B1619" s="1" t="n">
        <v>45210</v>
      </c>
      <c r="C1619" s="1" t="n">
        <v>45666</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49037-2023</t>
        </is>
      </c>
      <c r="B1620" s="1" t="n">
        <v>45210</v>
      </c>
      <c r="C1620" s="1" t="n">
        <v>45666</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49326-2023</t>
        </is>
      </c>
      <c r="B1621" s="1" t="n">
        <v>45211</v>
      </c>
      <c r="C1621" s="1" t="n">
        <v>45666</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49330-2023</t>
        </is>
      </c>
      <c r="B1622" s="1" t="n">
        <v>45211</v>
      </c>
      <c r="C1622" s="1" t="n">
        <v>45666</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49315-2023</t>
        </is>
      </c>
      <c r="B1623" s="1" t="n">
        <v>45210</v>
      </c>
      <c r="C1623" s="1" t="n">
        <v>45666</v>
      </c>
      <c r="D1623" t="inlineStr">
        <is>
          <t>JÄMTLANDS LÄN</t>
        </is>
      </c>
      <c r="E1623" t="inlineStr">
        <is>
          <t>BRÄCKE</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49316-2023</t>
        </is>
      </c>
      <c r="B1624" s="1" t="n">
        <v>45211</v>
      </c>
      <c r="C1624" s="1" t="n">
        <v>45666</v>
      </c>
      <c r="D1624" t="inlineStr">
        <is>
          <t>JÄMTLANDS LÄN</t>
        </is>
      </c>
      <c r="E1624" t="inlineStr">
        <is>
          <t>BRÄCKE</t>
        </is>
      </c>
      <c r="F1624" t="inlineStr">
        <is>
          <t>SCA</t>
        </is>
      </c>
      <c r="G1624" t="n">
        <v>13.4</v>
      </c>
      <c r="H1624" t="n">
        <v>0</v>
      </c>
      <c r="I1624" t="n">
        <v>0</v>
      </c>
      <c r="J1624" t="n">
        <v>0</v>
      </c>
      <c r="K1624" t="n">
        <v>0</v>
      </c>
      <c r="L1624" t="n">
        <v>0</v>
      </c>
      <c r="M1624" t="n">
        <v>0</v>
      </c>
      <c r="N1624" t="n">
        <v>0</v>
      </c>
      <c r="O1624" t="n">
        <v>0</v>
      </c>
      <c r="P1624" t="n">
        <v>0</v>
      </c>
      <c r="Q1624" t="n">
        <v>0</v>
      </c>
      <c r="R1624" s="2" t="inlineStr"/>
    </row>
    <row r="1625" ht="15" customHeight="1">
      <c r="A1625" t="inlineStr">
        <is>
          <t>A 49646-2023</t>
        </is>
      </c>
      <c r="B1625" s="1" t="n">
        <v>45211</v>
      </c>
      <c r="C1625" s="1" t="n">
        <v>45666</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49653-2023</t>
        </is>
      </c>
      <c r="B1626" s="1" t="n">
        <v>45211</v>
      </c>
      <c r="C1626" s="1" t="n">
        <v>45666</v>
      </c>
      <c r="D1626" t="inlineStr">
        <is>
          <t>JÄMTLANDS LÄN</t>
        </is>
      </c>
      <c r="E1626" t="inlineStr">
        <is>
          <t>BRÄCKE</t>
        </is>
      </c>
      <c r="F1626" t="inlineStr">
        <is>
          <t>SCA</t>
        </is>
      </c>
      <c r="G1626" t="n">
        <v>66.7</v>
      </c>
      <c r="H1626" t="n">
        <v>0</v>
      </c>
      <c r="I1626" t="n">
        <v>0</v>
      </c>
      <c r="J1626" t="n">
        <v>0</v>
      </c>
      <c r="K1626" t="n">
        <v>0</v>
      </c>
      <c r="L1626" t="n">
        <v>0</v>
      </c>
      <c r="M1626" t="n">
        <v>0</v>
      </c>
      <c r="N1626" t="n">
        <v>0</v>
      </c>
      <c r="O1626" t="n">
        <v>0</v>
      </c>
      <c r="P1626" t="n">
        <v>0</v>
      </c>
      <c r="Q1626" t="n">
        <v>0</v>
      </c>
      <c r="R1626" s="2" t="inlineStr"/>
    </row>
    <row r="1627" ht="15" customHeight="1">
      <c r="A1627" t="inlineStr">
        <is>
          <t>A 49864-2023</t>
        </is>
      </c>
      <c r="B1627" s="1" t="n">
        <v>45212</v>
      </c>
      <c r="C1627" s="1" t="n">
        <v>45666</v>
      </c>
      <c r="D1627" t="inlineStr">
        <is>
          <t>JÄMTLANDS LÄN</t>
        </is>
      </c>
      <c r="E1627" t="inlineStr">
        <is>
          <t>BRÄCKE</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51140-2023</t>
        </is>
      </c>
      <c r="B1628" s="1" t="n">
        <v>45212</v>
      </c>
      <c r="C1628" s="1" t="n">
        <v>45666</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50222-2023</t>
        </is>
      </c>
      <c r="B1629" s="1" t="n">
        <v>45216</v>
      </c>
      <c r="C1629" s="1" t="n">
        <v>45666</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50060-2023</t>
        </is>
      </c>
      <c r="B1630" s="1" t="n">
        <v>45215</v>
      </c>
      <c r="C1630" s="1" t="n">
        <v>45666</v>
      </c>
      <c r="D1630" t="inlineStr">
        <is>
          <t>JÄMTLANDS LÄN</t>
        </is>
      </c>
      <c r="E1630" t="inlineStr">
        <is>
          <t>BRÄCKE</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50223-2023</t>
        </is>
      </c>
      <c r="B1631" s="1" t="n">
        <v>45216</v>
      </c>
      <c r="C1631" s="1" t="n">
        <v>45666</v>
      </c>
      <c r="D1631" t="inlineStr">
        <is>
          <t>JÄMTLANDS LÄN</t>
        </is>
      </c>
      <c r="E1631" t="inlineStr">
        <is>
          <t>BRÄCKE</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50221-2023</t>
        </is>
      </c>
      <c r="B1632" s="1" t="n">
        <v>45216</v>
      </c>
      <c r="C1632" s="1" t="n">
        <v>45666</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50220-2023</t>
        </is>
      </c>
      <c r="B1633" s="1" t="n">
        <v>45215</v>
      </c>
      <c r="C1633" s="1" t="n">
        <v>45666</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50515-2023</t>
        </is>
      </c>
      <c r="B1634" s="1" t="n">
        <v>45216</v>
      </c>
      <c r="C1634" s="1" t="n">
        <v>45666</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50514-2023</t>
        </is>
      </c>
      <c r="B1635" s="1" t="n">
        <v>45217</v>
      </c>
      <c r="C1635" s="1" t="n">
        <v>45666</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50609-2023</t>
        </is>
      </c>
      <c r="B1636" s="1" t="n">
        <v>45217</v>
      </c>
      <c r="C1636" s="1" t="n">
        <v>45666</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50637-2023</t>
        </is>
      </c>
      <c r="B1637" s="1" t="n">
        <v>45217</v>
      </c>
      <c r="C1637" s="1" t="n">
        <v>45666</v>
      </c>
      <c r="D1637" t="inlineStr">
        <is>
          <t>JÄMTLANDS LÄN</t>
        </is>
      </c>
      <c r="E1637" t="inlineStr">
        <is>
          <t>BRÄCKE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50827-2023</t>
        </is>
      </c>
      <c r="B1638" s="1" t="n">
        <v>45218</v>
      </c>
      <c r="C1638" s="1" t="n">
        <v>45666</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50828-2023</t>
        </is>
      </c>
      <c r="B1639" s="1" t="n">
        <v>45218</v>
      </c>
      <c r="C1639" s="1" t="n">
        <v>45666</v>
      </c>
      <c r="D1639" t="inlineStr">
        <is>
          <t>JÄMTLANDS LÄN</t>
        </is>
      </c>
      <c r="E1639" t="inlineStr">
        <is>
          <t>BRÄCKE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50840-2023</t>
        </is>
      </c>
      <c r="B1640" s="1" t="n">
        <v>45217</v>
      </c>
      <c r="C1640" s="1" t="n">
        <v>45666</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52269-2023</t>
        </is>
      </c>
      <c r="B1641" s="1" t="n">
        <v>45217</v>
      </c>
      <c r="C1641" s="1" t="n">
        <v>45666</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51029-2023</t>
        </is>
      </c>
      <c r="B1642" s="1" t="n">
        <v>45218</v>
      </c>
      <c r="C1642" s="1" t="n">
        <v>45666</v>
      </c>
      <c r="D1642" t="inlineStr">
        <is>
          <t>JÄMTLANDS LÄN</t>
        </is>
      </c>
      <c r="E1642" t="inlineStr">
        <is>
          <t>BRÄCKE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51042-2023</t>
        </is>
      </c>
      <c r="B1643" s="1" t="n">
        <v>45218</v>
      </c>
      <c r="C1643" s="1" t="n">
        <v>45666</v>
      </c>
      <c r="D1643" t="inlineStr">
        <is>
          <t>JÄMTLANDS LÄN</t>
        </is>
      </c>
      <c r="E1643" t="inlineStr">
        <is>
          <t>BRÄCKE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51039-2023</t>
        </is>
      </c>
      <c r="B1644" s="1" t="n">
        <v>45218</v>
      </c>
      <c r="C1644" s="1" t="n">
        <v>45666</v>
      </c>
      <c r="D1644" t="inlineStr">
        <is>
          <t>JÄMTLANDS LÄN</t>
        </is>
      </c>
      <c r="E1644" t="inlineStr">
        <is>
          <t>BRÄCKE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51161-2023</t>
        </is>
      </c>
      <c r="B1645" s="1" t="n">
        <v>45219</v>
      </c>
      <c r="C1645" s="1" t="n">
        <v>45666</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51421-2023</t>
        </is>
      </c>
      <c r="B1646" s="1" t="n">
        <v>45219</v>
      </c>
      <c r="C1646" s="1" t="n">
        <v>45666</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51433-2023</t>
        </is>
      </c>
      <c r="B1647" s="1" t="n">
        <v>45220</v>
      </c>
      <c r="C1647" s="1" t="n">
        <v>45666</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51441-2023</t>
        </is>
      </c>
      <c r="B1648" s="1" t="n">
        <v>45220</v>
      </c>
      <c r="C1648" s="1" t="n">
        <v>45666</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51424-2023</t>
        </is>
      </c>
      <c r="B1649" s="1" t="n">
        <v>45220</v>
      </c>
      <c r="C1649" s="1" t="n">
        <v>45666</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51432-2023</t>
        </is>
      </c>
      <c r="B1650" s="1" t="n">
        <v>45220</v>
      </c>
      <c r="C1650" s="1" t="n">
        <v>45666</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51440-2023</t>
        </is>
      </c>
      <c r="B1651" s="1" t="n">
        <v>45220</v>
      </c>
      <c r="C1651" s="1" t="n">
        <v>45666</v>
      </c>
      <c r="D1651" t="inlineStr">
        <is>
          <t>JÄMTLANDS LÄN</t>
        </is>
      </c>
      <c r="E1651" t="inlineStr">
        <is>
          <t>BRÄCKE</t>
        </is>
      </c>
      <c r="F1651" t="inlineStr">
        <is>
          <t>SCA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51431-2023</t>
        </is>
      </c>
      <c r="B1652" s="1" t="n">
        <v>45220</v>
      </c>
      <c r="C1652" s="1" t="n">
        <v>45666</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51423-2023</t>
        </is>
      </c>
      <c r="B1653" s="1" t="n">
        <v>45220</v>
      </c>
      <c r="C1653" s="1" t="n">
        <v>45666</v>
      </c>
      <c r="D1653" t="inlineStr">
        <is>
          <t>JÄMTLANDS LÄN</t>
        </is>
      </c>
      <c r="E1653" t="inlineStr">
        <is>
          <t>BRÄCKE</t>
        </is>
      </c>
      <c r="F1653" t="inlineStr">
        <is>
          <t>SCA</t>
        </is>
      </c>
      <c r="G1653" t="n">
        <v>15.1</v>
      </c>
      <c r="H1653" t="n">
        <v>0</v>
      </c>
      <c r="I1653" t="n">
        <v>0</v>
      </c>
      <c r="J1653" t="n">
        <v>0</v>
      </c>
      <c r="K1653" t="n">
        <v>0</v>
      </c>
      <c r="L1653" t="n">
        <v>0</v>
      </c>
      <c r="M1653" t="n">
        <v>0</v>
      </c>
      <c r="N1653" t="n">
        <v>0</v>
      </c>
      <c r="O1653" t="n">
        <v>0</v>
      </c>
      <c r="P1653" t="n">
        <v>0</v>
      </c>
      <c r="Q1653" t="n">
        <v>0</v>
      </c>
      <c r="R1653" s="2" t="inlineStr"/>
    </row>
    <row r="1654" ht="15" customHeight="1">
      <c r="A1654" t="inlineStr">
        <is>
          <t>A 51167-2023</t>
        </is>
      </c>
      <c r="B1654" s="1" t="n">
        <v>45219</v>
      </c>
      <c r="C1654" s="1" t="n">
        <v>45666</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51422-2023</t>
        </is>
      </c>
      <c r="B1655" s="1" t="n">
        <v>45219</v>
      </c>
      <c r="C1655" s="1" t="n">
        <v>45666</v>
      </c>
      <c r="D1655" t="inlineStr">
        <is>
          <t>JÄMTLANDS LÄN</t>
        </is>
      </c>
      <c r="E1655" t="inlineStr">
        <is>
          <t>BRÄCKE</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51434-2023</t>
        </is>
      </c>
      <c r="B1656" s="1" t="n">
        <v>45220</v>
      </c>
      <c r="C1656" s="1" t="n">
        <v>45666</v>
      </c>
      <c r="D1656" t="inlineStr">
        <is>
          <t>JÄMTLANDS LÄN</t>
        </is>
      </c>
      <c r="E1656" t="inlineStr">
        <is>
          <t>BRÄCKE</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51808-2023</t>
        </is>
      </c>
      <c r="B1657" s="1" t="n">
        <v>45222</v>
      </c>
      <c r="C1657" s="1" t="n">
        <v>45666</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51809-2023</t>
        </is>
      </c>
      <c r="B1658" s="1" t="n">
        <v>45223</v>
      </c>
      <c r="C1658" s="1" t="n">
        <v>45666</v>
      </c>
      <c r="D1658" t="inlineStr">
        <is>
          <t>JÄMTLANDS LÄN</t>
        </is>
      </c>
      <c r="E1658" t="inlineStr">
        <is>
          <t>BRÄCKE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51821-2023</t>
        </is>
      </c>
      <c r="B1659" s="1" t="n">
        <v>45222</v>
      </c>
      <c r="C1659" s="1" t="n">
        <v>45666</v>
      </c>
      <c r="D1659" t="inlineStr">
        <is>
          <t>JÄMTLANDS LÄN</t>
        </is>
      </c>
      <c r="E1659" t="inlineStr">
        <is>
          <t>BRÄCKE</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51832-2023</t>
        </is>
      </c>
      <c r="B1660" s="1" t="n">
        <v>45223</v>
      </c>
      <c r="C1660" s="1" t="n">
        <v>45666</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51827-2023</t>
        </is>
      </c>
      <c r="B1661" s="1" t="n">
        <v>45223</v>
      </c>
      <c r="C1661" s="1" t="n">
        <v>45666</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53027-2023</t>
        </is>
      </c>
      <c r="B1662" s="1" t="n">
        <v>45222</v>
      </c>
      <c r="C1662" s="1" t="n">
        <v>45666</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52124-2023</t>
        </is>
      </c>
      <c r="B1663" s="1" t="n">
        <v>45224</v>
      </c>
      <c r="C1663" s="1" t="n">
        <v>45666</v>
      </c>
      <c r="D1663" t="inlineStr">
        <is>
          <t>JÄMTLANDS LÄN</t>
        </is>
      </c>
      <c r="E1663" t="inlineStr">
        <is>
          <t>BRÄCKE</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52127-2023</t>
        </is>
      </c>
      <c r="B1664" s="1" t="n">
        <v>45224</v>
      </c>
      <c r="C1664" s="1" t="n">
        <v>45666</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52133-2023</t>
        </is>
      </c>
      <c r="B1665" s="1" t="n">
        <v>45224</v>
      </c>
      <c r="C1665" s="1" t="n">
        <v>45666</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52137-2023</t>
        </is>
      </c>
      <c r="B1666" s="1" t="n">
        <v>45224</v>
      </c>
      <c r="C1666" s="1" t="n">
        <v>45666</v>
      </c>
      <c r="D1666" t="inlineStr">
        <is>
          <t>JÄMTLANDS LÄN</t>
        </is>
      </c>
      <c r="E1666" t="inlineStr">
        <is>
          <t>BRÄCKE</t>
        </is>
      </c>
      <c r="F1666" t="inlineStr">
        <is>
          <t>SCA</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53522-2023</t>
        </is>
      </c>
      <c r="B1667" s="1" t="n">
        <v>45223</v>
      </c>
      <c r="C1667" s="1" t="n">
        <v>45666</v>
      </c>
      <c r="D1667" t="inlineStr">
        <is>
          <t>JÄMTLANDS LÄN</t>
        </is>
      </c>
      <c r="E1667" t="inlineStr">
        <is>
          <t>BRÄCKE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53480-2023</t>
        </is>
      </c>
      <c r="B1668" s="1" t="n">
        <v>45223</v>
      </c>
      <c r="C1668" s="1" t="n">
        <v>45666</v>
      </c>
      <c r="D1668" t="inlineStr">
        <is>
          <t>JÄMTLANDS LÄN</t>
        </is>
      </c>
      <c r="E1668" t="inlineStr">
        <is>
          <t>BRÄCKE</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52723-2023</t>
        </is>
      </c>
      <c r="B1669" s="1" t="n">
        <v>45225</v>
      </c>
      <c r="C1669" s="1" t="n">
        <v>45666</v>
      </c>
      <c r="D1669" t="inlineStr">
        <is>
          <t>JÄMTLANDS LÄN</t>
        </is>
      </c>
      <c r="E1669" t="inlineStr">
        <is>
          <t>BRÄCKE</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52760-2023</t>
        </is>
      </c>
      <c r="B1670" s="1" t="n">
        <v>45225</v>
      </c>
      <c r="C1670" s="1" t="n">
        <v>45666</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52761-2023</t>
        </is>
      </c>
      <c r="B1671" s="1" t="n">
        <v>45225</v>
      </c>
      <c r="C1671" s="1" t="n">
        <v>45666</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52754-2023</t>
        </is>
      </c>
      <c r="B1672" s="1" t="n">
        <v>45226</v>
      </c>
      <c r="C1672" s="1" t="n">
        <v>45666</v>
      </c>
      <c r="D1672" t="inlineStr">
        <is>
          <t>JÄMTLANDS LÄN</t>
        </is>
      </c>
      <c r="E1672" t="inlineStr">
        <is>
          <t>BRÄCKE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52739-2023</t>
        </is>
      </c>
      <c r="B1673" s="1" t="n">
        <v>45225</v>
      </c>
      <c r="C1673" s="1" t="n">
        <v>45666</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52743-2023</t>
        </is>
      </c>
      <c r="B1674" s="1" t="n">
        <v>45226</v>
      </c>
      <c r="C1674" s="1" t="n">
        <v>45666</v>
      </c>
      <c r="D1674" t="inlineStr">
        <is>
          <t>JÄMTLANDS LÄN</t>
        </is>
      </c>
      <c r="E1674" t="inlineStr">
        <is>
          <t>BRÄCKE</t>
        </is>
      </c>
      <c r="F1674" t="inlineStr">
        <is>
          <t>SCA</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53054-2023</t>
        </is>
      </c>
      <c r="B1675" s="1" t="n">
        <v>45227</v>
      </c>
      <c r="C1675" s="1" t="n">
        <v>45666</v>
      </c>
      <c r="D1675" t="inlineStr">
        <is>
          <t>JÄMTLANDS LÄN</t>
        </is>
      </c>
      <c r="E1675" t="inlineStr">
        <is>
          <t>BRÄCKE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53046-2023</t>
        </is>
      </c>
      <c r="B1676" s="1" t="n">
        <v>45227</v>
      </c>
      <c r="C1676" s="1" t="n">
        <v>45666</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53047-2023</t>
        </is>
      </c>
      <c r="B1677" s="1" t="n">
        <v>45227</v>
      </c>
      <c r="C1677" s="1" t="n">
        <v>45666</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53760-2023</t>
        </is>
      </c>
      <c r="B1678" s="1" t="n">
        <v>45230</v>
      </c>
      <c r="C1678" s="1" t="n">
        <v>45666</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53555-2023</t>
        </is>
      </c>
      <c r="B1679" s="1" t="n">
        <v>45230</v>
      </c>
      <c r="C1679" s="1" t="n">
        <v>45666</v>
      </c>
      <c r="D1679" t="inlineStr">
        <is>
          <t>JÄMTLANDS LÄN</t>
        </is>
      </c>
      <c r="E1679" t="inlineStr">
        <is>
          <t>BRÄCKE</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53761-2023</t>
        </is>
      </c>
      <c r="B1680" s="1" t="n">
        <v>45231</v>
      </c>
      <c r="C1680" s="1" t="n">
        <v>45666</v>
      </c>
      <c r="D1680" t="inlineStr">
        <is>
          <t>JÄMTLANDS LÄN</t>
        </is>
      </c>
      <c r="E1680" t="inlineStr">
        <is>
          <t>BRÄCKE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54070-2023</t>
        </is>
      </c>
      <c r="B1681" s="1" t="n">
        <v>45232</v>
      </c>
      <c r="C1681" s="1" t="n">
        <v>45666</v>
      </c>
      <c r="D1681" t="inlineStr">
        <is>
          <t>JÄMTLANDS LÄN</t>
        </is>
      </c>
      <c r="E1681" t="inlineStr">
        <is>
          <t>BRÄCKE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54074-2023</t>
        </is>
      </c>
      <c r="B1682" s="1" t="n">
        <v>45232</v>
      </c>
      <c r="C1682" s="1" t="n">
        <v>45666</v>
      </c>
      <c r="D1682" t="inlineStr">
        <is>
          <t>JÄMTLANDS LÄN</t>
        </is>
      </c>
      <c r="E1682" t="inlineStr">
        <is>
          <t>BRÄCKE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54072-2023</t>
        </is>
      </c>
      <c r="B1683" s="1" t="n">
        <v>45231</v>
      </c>
      <c r="C1683" s="1" t="n">
        <v>45666</v>
      </c>
      <c r="D1683" t="inlineStr">
        <is>
          <t>JÄMTLANDS LÄN</t>
        </is>
      </c>
      <c r="E1683" t="inlineStr">
        <is>
          <t>BRÄCKE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55242-2023</t>
        </is>
      </c>
      <c r="B1684" s="1" t="n">
        <v>45231</v>
      </c>
      <c r="C1684" s="1" t="n">
        <v>45666</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54073-2023</t>
        </is>
      </c>
      <c r="B1685" s="1" t="n">
        <v>45231</v>
      </c>
      <c r="C1685" s="1" t="n">
        <v>45666</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54334-2023</t>
        </is>
      </c>
      <c r="B1686" s="1" t="n">
        <v>45232</v>
      </c>
      <c r="C1686" s="1" t="n">
        <v>45666</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54355-2023</t>
        </is>
      </c>
      <c r="B1687" s="1" t="n">
        <v>45233</v>
      </c>
      <c r="C1687" s="1" t="n">
        <v>45666</v>
      </c>
      <c r="D1687" t="inlineStr">
        <is>
          <t>JÄMTLANDS LÄN</t>
        </is>
      </c>
      <c r="E1687" t="inlineStr">
        <is>
          <t>BRÄCKE</t>
        </is>
      </c>
      <c r="F1687" t="inlineStr">
        <is>
          <t>Kyrkan</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54350-2023</t>
        </is>
      </c>
      <c r="B1688" s="1" t="n">
        <v>45232</v>
      </c>
      <c r="C1688" s="1" t="n">
        <v>45666</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54328-2023</t>
        </is>
      </c>
      <c r="B1689" s="1" t="n">
        <v>45232</v>
      </c>
      <c r="C1689" s="1" t="n">
        <v>45666</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54332-2023</t>
        </is>
      </c>
      <c r="B1690" s="1" t="n">
        <v>45232</v>
      </c>
      <c r="C1690" s="1" t="n">
        <v>45666</v>
      </c>
      <c r="D1690" t="inlineStr">
        <is>
          <t>JÄMTLANDS LÄN</t>
        </is>
      </c>
      <c r="E1690" t="inlineStr">
        <is>
          <t>BRÄCKE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54331-2023</t>
        </is>
      </c>
      <c r="B1691" s="1" t="n">
        <v>45232</v>
      </c>
      <c r="C1691" s="1" t="n">
        <v>45666</v>
      </c>
      <c r="D1691" t="inlineStr">
        <is>
          <t>JÄMTLANDS LÄN</t>
        </is>
      </c>
      <c r="E1691" t="inlineStr">
        <is>
          <t>BRÄCKE</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54335-2023</t>
        </is>
      </c>
      <c r="B1692" s="1" t="n">
        <v>45232</v>
      </c>
      <c r="C1692" s="1" t="n">
        <v>45666</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54352-2023</t>
        </is>
      </c>
      <c r="B1693" s="1" t="n">
        <v>45233</v>
      </c>
      <c r="C1693" s="1" t="n">
        <v>45666</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55548-2023</t>
        </is>
      </c>
      <c r="B1694" s="1" t="n">
        <v>45232</v>
      </c>
      <c r="C1694" s="1" t="n">
        <v>45666</v>
      </c>
      <c r="D1694" t="inlineStr">
        <is>
          <t>JÄMTLANDS LÄN</t>
        </is>
      </c>
      <c r="E1694" t="inlineStr">
        <is>
          <t>BRÄCKE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54612-2023</t>
        </is>
      </c>
      <c r="B1695" s="1" t="n">
        <v>45233</v>
      </c>
      <c r="C1695" s="1" t="n">
        <v>45666</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54460-2023</t>
        </is>
      </c>
      <c r="B1696" s="1" t="n">
        <v>45233</v>
      </c>
      <c r="C1696" s="1" t="n">
        <v>45666</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54600-2023</t>
        </is>
      </c>
      <c r="B1697" s="1" t="n">
        <v>45233</v>
      </c>
      <c r="C1697" s="1" t="n">
        <v>45666</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54447-2023</t>
        </is>
      </c>
      <c r="B1698" s="1" t="n">
        <v>45233</v>
      </c>
      <c r="C1698" s="1" t="n">
        <v>45666</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v>
      </c>
      <c r="C1699" s="1" t="n">
        <v>45666</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54986-2023</t>
        </is>
      </c>
      <c r="B1700" s="1" t="n">
        <v>45237</v>
      </c>
      <c r="C1700" s="1" t="n">
        <v>45666</v>
      </c>
      <c r="D1700" t="inlineStr">
        <is>
          <t>JÄMTLANDS LÄN</t>
        </is>
      </c>
      <c r="E1700" t="inlineStr">
        <is>
          <t>BRÄCKE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54789-2023</t>
        </is>
      </c>
      <c r="B1701" s="1" t="n">
        <v>45236</v>
      </c>
      <c r="C1701" s="1" t="n">
        <v>45666</v>
      </c>
      <c r="D1701" t="inlineStr">
        <is>
          <t>JÄMTLANDS LÄN</t>
        </is>
      </c>
      <c r="E1701" t="inlineStr">
        <is>
          <t>BRÄCKE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54949-2023</t>
        </is>
      </c>
      <c r="B1702" s="1" t="n">
        <v>45236</v>
      </c>
      <c r="C1702" s="1" t="n">
        <v>45666</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56499-2023</t>
        </is>
      </c>
      <c r="B1703" s="1" t="n">
        <v>45237</v>
      </c>
      <c r="C1703" s="1" t="n">
        <v>45666</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55665-2023</t>
        </is>
      </c>
      <c r="B1704" s="1" t="n">
        <v>45239</v>
      </c>
      <c r="C1704" s="1" t="n">
        <v>45666</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55662-2023</t>
        </is>
      </c>
      <c r="B1705" s="1" t="n">
        <v>45239</v>
      </c>
      <c r="C1705" s="1" t="n">
        <v>45666</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55668-2023</t>
        </is>
      </c>
      <c r="B1706" s="1" t="n">
        <v>45238</v>
      </c>
      <c r="C1706" s="1" t="n">
        <v>45666</v>
      </c>
      <c r="D1706" t="inlineStr">
        <is>
          <t>JÄMTLANDS LÄN</t>
        </is>
      </c>
      <c r="E1706" t="inlineStr">
        <is>
          <t>BRÄCKE</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55659-2023</t>
        </is>
      </c>
      <c r="B1707" s="1" t="n">
        <v>45239</v>
      </c>
      <c r="C1707" s="1" t="n">
        <v>45666</v>
      </c>
      <c r="D1707" t="inlineStr">
        <is>
          <t>JÄMTLANDS LÄN</t>
        </is>
      </c>
      <c r="E1707" t="inlineStr">
        <is>
          <t>BRÄCKE</t>
        </is>
      </c>
      <c r="F1707" t="inlineStr">
        <is>
          <t>SCA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55663-2023</t>
        </is>
      </c>
      <c r="B1708" s="1" t="n">
        <v>45239</v>
      </c>
      <c r="C1708" s="1" t="n">
        <v>45666</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55667-2023</t>
        </is>
      </c>
      <c r="B1709" s="1" t="n">
        <v>45239</v>
      </c>
      <c r="C1709" s="1" t="n">
        <v>45666</v>
      </c>
      <c r="D1709" t="inlineStr">
        <is>
          <t>JÄMTLANDS LÄN</t>
        </is>
      </c>
      <c r="E1709" t="inlineStr">
        <is>
          <t>BRÄCKE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56253-2023</t>
        </is>
      </c>
      <c r="B1710" s="1" t="n">
        <v>45240</v>
      </c>
      <c r="C1710" s="1" t="n">
        <v>45666</v>
      </c>
      <c r="D1710" t="inlineStr">
        <is>
          <t>JÄMTLANDS LÄN</t>
        </is>
      </c>
      <c r="E1710" t="inlineStr">
        <is>
          <t>BRÄCKE</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56688-2023</t>
        </is>
      </c>
      <c r="B1711" s="1" t="n">
        <v>45244</v>
      </c>
      <c r="C1711" s="1" t="n">
        <v>45666</v>
      </c>
      <c r="D1711" t="inlineStr">
        <is>
          <t>JÄMTLANDS LÄN</t>
        </is>
      </c>
      <c r="E1711" t="inlineStr">
        <is>
          <t>BRÄCKE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56686-2023</t>
        </is>
      </c>
      <c r="B1712" s="1" t="n">
        <v>45244</v>
      </c>
      <c r="C1712" s="1" t="n">
        <v>45666</v>
      </c>
      <c r="D1712" t="inlineStr">
        <is>
          <t>JÄMTLANDS LÄN</t>
        </is>
      </c>
      <c r="E1712" t="inlineStr">
        <is>
          <t>BRÄCKE</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56690-2023</t>
        </is>
      </c>
      <c r="B1713" s="1" t="n">
        <v>45244</v>
      </c>
      <c r="C1713" s="1" t="n">
        <v>45666</v>
      </c>
      <c r="D1713" t="inlineStr">
        <is>
          <t>JÄMTLANDS LÄN</t>
        </is>
      </c>
      <c r="E1713" t="inlineStr">
        <is>
          <t>BRÄCKE</t>
        </is>
      </c>
      <c r="G1713" t="n">
        <v>24.3</v>
      </c>
      <c r="H1713" t="n">
        <v>0</v>
      </c>
      <c r="I1713" t="n">
        <v>0</v>
      </c>
      <c r="J1713" t="n">
        <v>0</v>
      </c>
      <c r="K1713" t="n">
        <v>0</v>
      </c>
      <c r="L1713" t="n">
        <v>0</v>
      </c>
      <c r="M1713" t="n">
        <v>0</v>
      </c>
      <c r="N1713" t="n">
        <v>0</v>
      </c>
      <c r="O1713" t="n">
        <v>0</v>
      </c>
      <c r="P1713" t="n">
        <v>0</v>
      </c>
      <c r="Q1713" t="n">
        <v>0</v>
      </c>
      <c r="R1713" s="2" t="inlineStr"/>
    </row>
    <row r="1714" ht="15" customHeight="1">
      <c r="A1714" t="inlineStr">
        <is>
          <t>A 56525-2023</t>
        </is>
      </c>
      <c r="B1714" s="1" t="n">
        <v>45243</v>
      </c>
      <c r="C1714" s="1" t="n">
        <v>45666</v>
      </c>
      <c r="D1714" t="inlineStr">
        <is>
          <t>JÄMTLANDS LÄN</t>
        </is>
      </c>
      <c r="E1714" t="inlineStr">
        <is>
          <t>BRÄCKE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56687-2023</t>
        </is>
      </c>
      <c r="B1715" s="1" t="n">
        <v>45244</v>
      </c>
      <c r="C1715" s="1" t="n">
        <v>45666</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57612-2023</t>
        </is>
      </c>
      <c r="B1716" s="1" t="n">
        <v>45243</v>
      </c>
      <c r="C1716" s="1" t="n">
        <v>45666</v>
      </c>
      <c r="D1716" t="inlineStr">
        <is>
          <t>JÄMTLANDS LÄN</t>
        </is>
      </c>
      <c r="E1716" t="inlineStr">
        <is>
          <t>BRÄCKE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57942-2023</t>
        </is>
      </c>
      <c r="B1717" s="1" t="n">
        <v>45244</v>
      </c>
      <c r="C1717" s="1" t="n">
        <v>45666</v>
      </c>
      <c r="D1717" t="inlineStr">
        <is>
          <t>JÄMTLANDS LÄN</t>
        </is>
      </c>
      <c r="E1717" t="inlineStr">
        <is>
          <t>BRÄCKE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57412-2023</t>
        </is>
      </c>
      <c r="B1718" s="1" t="n">
        <v>45246</v>
      </c>
      <c r="C1718" s="1" t="n">
        <v>45666</v>
      </c>
      <c r="D1718" t="inlineStr">
        <is>
          <t>JÄMTLANDS LÄN</t>
        </is>
      </c>
      <c r="E1718" t="inlineStr">
        <is>
          <t>BRÄCKE</t>
        </is>
      </c>
      <c r="F1718" t="inlineStr">
        <is>
          <t>SCA</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57420-2023</t>
        </is>
      </c>
      <c r="B1719" s="1" t="n">
        <v>45246</v>
      </c>
      <c r="C1719" s="1" t="n">
        <v>45666</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57393-2023</t>
        </is>
      </c>
      <c r="B1720" s="1" t="n">
        <v>45246</v>
      </c>
      <c r="C1720" s="1" t="n">
        <v>45666</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57397-2023</t>
        </is>
      </c>
      <c r="B1721" s="1" t="n">
        <v>45245</v>
      </c>
      <c r="C1721" s="1" t="n">
        <v>45666</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57414-2023</t>
        </is>
      </c>
      <c r="B1722" s="1" t="n">
        <v>45246</v>
      </c>
      <c r="C1722" s="1" t="n">
        <v>45666</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57405-2023</t>
        </is>
      </c>
      <c r="B1723" s="1" t="n">
        <v>45245</v>
      </c>
      <c r="C1723" s="1" t="n">
        <v>45666</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57417-2023</t>
        </is>
      </c>
      <c r="B1724" s="1" t="n">
        <v>45246</v>
      </c>
      <c r="C1724" s="1" t="n">
        <v>45666</v>
      </c>
      <c r="D1724" t="inlineStr">
        <is>
          <t>JÄMTLANDS LÄN</t>
        </is>
      </c>
      <c r="E1724" t="inlineStr">
        <is>
          <t>BRÄCKE</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57407-2023</t>
        </is>
      </c>
      <c r="B1725" s="1" t="n">
        <v>45245</v>
      </c>
      <c r="C1725" s="1" t="n">
        <v>45666</v>
      </c>
      <c r="D1725" t="inlineStr">
        <is>
          <t>JÄMTLANDS LÄN</t>
        </is>
      </c>
      <c r="E1725" t="inlineStr">
        <is>
          <t>BRÄCKE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57419-2023</t>
        </is>
      </c>
      <c r="B1726" s="1" t="n">
        <v>45246</v>
      </c>
      <c r="C1726" s="1" t="n">
        <v>45666</v>
      </c>
      <c r="D1726" t="inlineStr">
        <is>
          <t>JÄMTLANDS LÄN</t>
        </is>
      </c>
      <c r="E1726" t="inlineStr">
        <is>
          <t>BRÄCKE</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57779-2023</t>
        </is>
      </c>
      <c r="B1727" s="1" t="n">
        <v>45247</v>
      </c>
      <c r="C1727" s="1" t="n">
        <v>45666</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57783-2023</t>
        </is>
      </c>
      <c r="B1728" s="1" t="n">
        <v>45247</v>
      </c>
      <c r="C1728" s="1" t="n">
        <v>45666</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57798-2023</t>
        </is>
      </c>
      <c r="B1729" s="1" t="n">
        <v>45247</v>
      </c>
      <c r="C1729" s="1" t="n">
        <v>45666</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45248</v>
      </c>
      <c r="C1730" s="1" t="n">
        <v>45666</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58082-2023</t>
        </is>
      </c>
      <c r="B1731" s="1" t="n">
        <v>45248</v>
      </c>
      <c r="C1731" s="1" t="n">
        <v>45666</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58083-2023</t>
        </is>
      </c>
      <c r="B1732" s="1" t="n">
        <v>45248</v>
      </c>
      <c r="C1732" s="1" t="n">
        <v>45666</v>
      </c>
      <c r="D1732" t="inlineStr">
        <is>
          <t>JÄMTLANDS LÄN</t>
        </is>
      </c>
      <c r="E1732" t="inlineStr">
        <is>
          <t>BRÄCKE</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58079-2023</t>
        </is>
      </c>
      <c r="B1733" s="1" t="n">
        <v>45248</v>
      </c>
      <c r="C1733" s="1" t="n">
        <v>45666</v>
      </c>
      <c r="D1733" t="inlineStr">
        <is>
          <t>JÄMTLANDS LÄN</t>
        </is>
      </c>
      <c r="E1733" t="inlineStr">
        <is>
          <t>BRÄCKE</t>
        </is>
      </c>
      <c r="F1733" t="inlineStr">
        <is>
          <t>SCA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58468-2023</t>
        </is>
      </c>
      <c r="B1734" s="1" t="n">
        <v>45251</v>
      </c>
      <c r="C1734" s="1" t="n">
        <v>45666</v>
      </c>
      <c r="D1734" t="inlineStr">
        <is>
          <t>JÄMTLANDS LÄN</t>
        </is>
      </c>
      <c r="E1734" t="inlineStr">
        <is>
          <t>BRÄCKE</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58467-2023</t>
        </is>
      </c>
      <c r="B1735" s="1" t="n">
        <v>45251</v>
      </c>
      <c r="C1735" s="1" t="n">
        <v>45666</v>
      </c>
      <c r="D1735" t="inlineStr">
        <is>
          <t>JÄMTLANDS LÄN</t>
        </is>
      </c>
      <c r="E1735" t="inlineStr">
        <is>
          <t>BRÄCKE</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58471-2023</t>
        </is>
      </c>
      <c r="B1736" s="1" t="n">
        <v>45251</v>
      </c>
      <c r="C1736" s="1" t="n">
        <v>45666</v>
      </c>
      <c r="D1736" t="inlineStr">
        <is>
          <t>JÄMTLANDS LÄN</t>
        </is>
      </c>
      <c r="E1736" t="inlineStr">
        <is>
          <t>BRÄCKE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58368-2023</t>
        </is>
      </c>
      <c r="B1737" s="1" t="n">
        <v>45250</v>
      </c>
      <c r="C1737" s="1" t="n">
        <v>45666</v>
      </c>
      <c r="D1737" t="inlineStr">
        <is>
          <t>JÄMTLANDS LÄN</t>
        </is>
      </c>
      <c r="E1737" t="inlineStr">
        <is>
          <t>BRÄCKE</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58461-2023</t>
        </is>
      </c>
      <c r="B1738" s="1" t="n">
        <v>45250</v>
      </c>
      <c r="C1738" s="1" t="n">
        <v>45666</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58742-2023</t>
        </is>
      </c>
      <c r="B1739" s="1" t="n">
        <v>45251</v>
      </c>
      <c r="C1739" s="1" t="n">
        <v>45666</v>
      </c>
      <c r="D1739" t="inlineStr">
        <is>
          <t>JÄMTLANDS LÄN</t>
        </is>
      </c>
      <c r="E1739" t="inlineStr">
        <is>
          <t>BRÄCKE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58758-2023</t>
        </is>
      </c>
      <c r="B1740" s="1" t="n">
        <v>45251</v>
      </c>
      <c r="C1740" s="1" t="n">
        <v>45666</v>
      </c>
      <c r="D1740" t="inlineStr">
        <is>
          <t>JÄMTLANDS LÄN</t>
        </is>
      </c>
      <c r="E1740" t="inlineStr">
        <is>
          <t>BRÄCKE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58762-2023</t>
        </is>
      </c>
      <c r="B1741" s="1" t="n">
        <v>45252</v>
      </c>
      <c r="C1741" s="1" t="n">
        <v>45666</v>
      </c>
      <c r="D1741" t="inlineStr">
        <is>
          <t>JÄMTLANDS LÄN</t>
        </is>
      </c>
      <c r="E1741" t="inlineStr">
        <is>
          <t>BRÄCKE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58740-2023</t>
        </is>
      </c>
      <c r="B1742" s="1" t="n">
        <v>45251</v>
      </c>
      <c r="C1742" s="1" t="n">
        <v>45666</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58776-2023</t>
        </is>
      </c>
      <c r="B1743" s="1" t="n">
        <v>45252</v>
      </c>
      <c r="C1743" s="1" t="n">
        <v>45666</v>
      </c>
      <c r="D1743" t="inlineStr">
        <is>
          <t>JÄMTLANDS LÄN</t>
        </is>
      </c>
      <c r="E1743" t="inlineStr">
        <is>
          <t>BRÄCKE</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58741-2023</t>
        </is>
      </c>
      <c r="B1744" s="1" t="n">
        <v>45251</v>
      </c>
      <c r="C1744" s="1" t="n">
        <v>45666</v>
      </c>
      <c r="D1744" t="inlineStr">
        <is>
          <t>JÄMTLANDS LÄN</t>
        </is>
      </c>
      <c r="E1744" t="inlineStr">
        <is>
          <t>BRÄCKE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58767-2023</t>
        </is>
      </c>
      <c r="B1745" s="1" t="n">
        <v>45252</v>
      </c>
      <c r="C1745" s="1" t="n">
        <v>45666</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59102-2023</t>
        </is>
      </c>
      <c r="B1746" s="1" t="n">
        <v>45253</v>
      </c>
      <c r="C1746" s="1" t="n">
        <v>45666</v>
      </c>
      <c r="D1746" t="inlineStr">
        <is>
          <t>JÄMTLANDS LÄN</t>
        </is>
      </c>
      <c r="E1746" t="inlineStr">
        <is>
          <t>BRÄCKE</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59416-2023</t>
        </is>
      </c>
      <c r="B1747" s="1" t="n">
        <v>45254</v>
      </c>
      <c r="C1747" s="1" t="n">
        <v>45666</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59419-2023</t>
        </is>
      </c>
      <c r="B1748" s="1" t="n">
        <v>45254</v>
      </c>
      <c r="C1748" s="1" t="n">
        <v>45666</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59561-2023</t>
        </is>
      </c>
      <c r="B1749" s="1" t="n">
        <v>45253</v>
      </c>
      <c r="C1749" s="1" t="n">
        <v>45666</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59417-2023</t>
        </is>
      </c>
      <c r="B1750" s="1" t="n">
        <v>45254</v>
      </c>
      <c r="C1750" s="1" t="n">
        <v>45666</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59595-2023</t>
        </is>
      </c>
      <c r="B1751" s="1" t="n">
        <v>45254</v>
      </c>
      <c r="C1751" s="1" t="n">
        <v>45666</v>
      </c>
      <c r="D1751" t="inlineStr">
        <is>
          <t>JÄMTLANDS LÄN</t>
        </is>
      </c>
      <c r="E1751" t="inlineStr">
        <is>
          <t>BRÄCKE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59586-2023</t>
        </is>
      </c>
      <c r="B1752" s="1" t="n">
        <v>45254</v>
      </c>
      <c r="C1752" s="1" t="n">
        <v>45666</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60085-2023</t>
        </is>
      </c>
      <c r="B1753" s="1" t="n">
        <v>45258</v>
      </c>
      <c r="C1753" s="1" t="n">
        <v>45666</v>
      </c>
      <c r="D1753" t="inlineStr">
        <is>
          <t>JÄMTLANDS LÄN</t>
        </is>
      </c>
      <c r="E1753" t="inlineStr">
        <is>
          <t>BRÄCKE</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60415-2023</t>
        </is>
      </c>
      <c r="B1754" s="1" t="n">
        <v>45258</v>
      </c>
      <c r="C1754" s="1" t="n">
        <v>45666</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60435-2023</t>
        </is>
      </c>
      <c r="B1755" s="1" t="n">
        <v>45258</v>
      </c>
      <c r="C1755" s="1" t="n">
        <v>45666</v>
      </c>
      <c r="D1755" t="inlineStr">
        <is>
          <t>JÄMTLANDS LÄN</t>
        </is>
      </c>
      <c r="E1755" t="inlineStr">
        <is>
          <t>BRÄCKE</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60453-2023</t>
        </is>
      </c>
      <c r="B1756" s="1" t="n">
        <v>45259</v>
      </c>
      <c r="C1756" s="1" t="n">
        <v>45666</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60581-2023</t>
        </is>
      </c>
      <c r="B1757" s="1" t="n">
        <v>45260</v>
      </c>
      <c r="C1757" s="1" t="n">
        <v>45666</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60582-2023</t>
        </is>
      </c>
      <c r="B1758" s="1" t="n">
        <v>45260</v>
      </c>
      <c r="C1758" s="1" t="n">
        <v>45666</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60996-2023</t>
        </is>
      </c>
      <c r="B1759" s="1" t="n">
        <v>45259</v>
      </c>
      <c r="C1759" s="1" t="n">
        <v>45666</v>
      </c>
      <c r="D1759" t="inlineStr">
        <is>
          <t>JÄMTLANDS LÄN</t>
        </is>
      </c>
      <c r="E1759" t="inlineStr">
        <is>
          <t>BRÄCKE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60866-2023</t>
        </is>
      </c>
      <c r="B1760" s="1" t="n">
        <v>45261</v>
      </c>
      <c r="C1760" s="1" t="n">
        <v>45666</v>
      </c>
      <c r="D1760" t="inlineStr">
        <is>
          <t>JÄMTLANDS LÄN</t>
        </is>
      </c>
      <c r="E1760" t="inlineStr">
        <is>
          <t>BRÄCKE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60870-2023</t>
        </is>
      </c>
      <c r="B1761" s="1" t="n">
        <v>45261</v>
      </c>
      <c r="C1761" s="1" t="n">
        <v>45666</v>
      </c>
      <c r="D1761" t="inlineStr">
        <is>
          <t>JÄMTLANDS LÄN</t>
        </is>
      </c>
      <c r="E1761" t="inlineStr">
        <is>
          <t>BRÄCKE</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60833-2023</t>
        </is>
      </c>
      <c r="B1762" s="1" t="n">
        <v>45260</v>
      </c>
      <c r="C1762" s="1" t="n">
        <v>45666</v>
      </c>
      <c r="D1762" t="inlineStr">
        <is>
          <t>JÄMTLANDS LÄN</t>
        </is>
      </c>
      <c r="E1762" t="inlineStr">
        <is>
          <t>BRÄCKE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60865-2023</t>
        </is>
      </c>
      <c r="B1763" s="1" t="n">
        <v>45260</v>
      </c>
      <c r="C1763" s="1" t="n">
        <v>45666</v>
      </c>
      <c r="D1763" t="inlineStr">
        <is>
          <t>JÄMTLANDS LÄN</t>
        </is>
      </c>
      <c r="E1763" t="inlineStr">
        <is>
          <t>BRÄCKE</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60954-2023</t>
        </is>
      </c>
      <c r="B1764" s="1" t="n">
        <v>45261</v>
      </c>
      <c r="C1764" s="1" t="n">
        <v>45666</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61149-2023</t>
        </is>
      </c>
      <c r="B1765" s="1" t="n">
        <v>45262</v>
      </c>
      <c r="C1765" s="1" t="n">
        <v>45666</v>
      </c>
      <c r="D1765" t="inlineStr">
        <is>
          <t>JÄMTLANDS LÄN</t>
        </is>
      </c>
      <c r="E1765" t="inlineStr">
        <is>
          <t>BRÄCKE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61440-2023</t>
        </is>
      </c>
      <c r="B1766" s="1" t="n">
        <v>45261</v>
      </c>
      <c r="C1766" s="1" t="n">
        <v>45666</v>
      </c>
      <c r="D1766" t="inlineStr">
        <is>
          <t>JÄMTLANDS LÄN</t>
        </is>
      </c>
      <c r="E1766" t="inlineStr">
        <is>
          <t>BRÄCKE</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61504-2023</t>
        </is>
      </c>
      <c r="B1767" s="1" t="n">
        <v>45264</v>
      </c>
      <c r="C1767" s="1" t="n">
        <v>45666</v>
      </c>
      <c r="D1767" t="inlineStr">
        <is>
          <t>JÄMTLANDS LÄN</t>
        </is>
      </c>
      <c r="E1767" t="inlineStr">
        <is>
          <t>BRÄCKE</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61503-2023</t>
        </is>
      </c>
      <c r="B1768" s="1" t="n">
        <v>45264</v>
      </c>
      <c r="C1768" s="1" t="n">
        <v>45666</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61787-2023</t>
        </is>
      </c>
      <c r="B1769" s="1" t="n">
        <v>45265</v>
      </c>
      <c r="C1769" s="1" t="n">
        <v>45666</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61796-2023</t>
        </is>
      </c>
      <c r="B1770" s="1" t="n">
        <v>45266</v>
      </c>
      <c r="C1770" s="1" t="n">
        <v>45666</v>
      </c>
      <c r="D1770" t="inlineStr">
        <is>
          <t>JÄMTLANDS LÄN</t>
        </is>
      </c>
      <c r="E1770" t="inlineStr">
        <is>
          <t>BRÄCKE</t>
        </is>
      </c>
      <c r="F1770" t="inlineStr">
        <is>
          <t>SCA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62074-2023</t>
        </is>
      </c>
      <c r="B1771" s="1" t="n">
        <v>45266</v>
      </c>
      <c r="C1771" s="1" t="n">
        <v>45666</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62114-2023</t>
        </is>
      </c>
      <c r="B1772" s="1" t="n">
        <v>45266</v>
      </c>
      <c r="C1772" s="1" t="n">
        <v>45666</v>
      </c>
      <c r="D1772" t="inlineStr">
        <is>
          <t>JÄMTLANDS LÄN</t>
        </is>
      </c>
      <c r="E1772" t="inlineStr">
        <is>
          <t>BRÄCKE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62410-2023</t>
        </is>
      </c>
      <c r="B1773" s="1" t="n">
        <v>45266</v>
      </c>
      <c r="C1773" s="1" t="n">
        <v>45666</v>
      </c>
      <c r="D1773" t="inlineStr">
        <is>
          <t>JÄMTLANDS LÄN</t>
        </is>
      </c>
      <c r="E1773" t="inlineStr">
        <is>
          <t>BRÄCKE</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62354-2023</t>
        </is>
      </c>
      <c r="B1774" s="1" t="n">
        <v>45267</v>
      </c>
      <c r="C1774" s="1" t="n">
        <v>45666</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62899-2023</t>
        </is>
      </c>
      <c r="B1775" s="1" t="n">
        <v>45271</v>
      </c>
      <c r="C1775" s="1" t="n">
        <v>45666</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63089-2023</t>
        </is>
      </c>
      <c r="B1776" s="1" t="n">
        <v>45272</v>
      </c>
      <c r="C1776" s="1" t="n">
        <v>45666</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63292-2023</t>
        </is>
      </c>
      <c r="B1777" s="1" t="n">
        <v>45273</v>
      </c>
      <c r="C1777" s="1" t="n">
        <v>45666</v>
      </c>
      <c r="D1777" t="inlineStr">
        <is>
          <t>JÄMTLANDS LÄN</t>
        </is>
      </c>
      <c r="E1777" t="inlineStr">
        <is>
          <t>BRÄCKE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63295-2023</t>
        </is>
      </c>
      <c r="B1778" s="1" t="n">
        <v>45273</v>
      </c>
      <c r="C1778" s="1" t="n">
        <v>45666</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63534-2023</t>
        </is>
      </c>
      <c r="B1779" s="1" t="n">
        <v>45274</v>
      </c>
      <c r="C1779" s="1" t="n">
        <v>45666</v>
      </c>
      <c r="D1779" t="inlineStr">
        <is>
          <t>JÄMTLANDS LÄN</t>
        </is>
      </c>
      <c r="E1779" t="inlineStr">
        <is>
          <t>BRÄCKE</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63713-2023</t>
        </is>
      </c>
      <c r="B1780" s="1" t="n">
        <v>45275</v>
      </c>
      <c r="C1780" s="1" t="n">
        <v>45666</v>
      </c>
      <c r="D1780" t="inlineStr">
        <is>
          <t>JÄMTLANDS LÄN</t>
        </is>
      </c>
      <c r="E1780" t="inlineStr">
        <is>
          <t>BRÄCKE</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63716-2023</t>
        </is>
      </c>
      <c r="B1781" s="1" t="n">
        <v>45275</v>
      </c>
      <c r="C1781" s="1" t="n">
        <v>45666</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63706-2023</t>
        </is>
      </c>
      <c r="B1782" s="1" t="n">
        <v>45275</v>
      </c>
      <c r="C1782" s="1" t="n">
        <v>45666</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63714-2023</t>
        </is>
      </c>
      <c r="B1783" s="1" t="n">
        <v>45275</v>
      </c>
      <c r="C1783" s="1" t="n">
        <v>45666</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64025-2023</t>
        </is>
      </c>
      <c r="B1784" s="1" t="n">
        <v>45278</v>
      </c>
      <c r="C1784" s="1" t="n">
        <v>45666</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64037-2023</t>
        </is>
      </c>
      <c r="B1785" s="1" t="n">
        <v>45278</v>
      </c>
      <c r="C1785" s="1" t="n">
        <v>45666</v>
      </c>
      <c r="D1785" t="inlineStr">
        <is>
          <t>JÄMTLANDS LÄN</t>
        </is>
      </c>
      <c r="E1785" t="inlineStr">
        <is>
          <t>BRÄCKE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64034-2023</t>
        </is>
      </c>
      <c r="B1786" s="1" t="n">
        <v>45278</v>
      </c>
      <c r="C1786" s="1" t="n">
        <v>45666</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64038-2023</t>
        </is>
      </c>
      <c r="B1787" s="1" t="n">
        <v>45278</v>
      </c>
      <c r="C1787" s="1" t="n">
        <v>45666</v>
      </c>
      <c r="D1787" t="inlineStr">
        <is>
          <t>JÄMTLANDS LÄN</t>
        </is>
      </c>
      <c r="E1787" t="inlineStr">
        <is>
          <t>BRÄCKE</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64024-2023</t>
        </is>
      </c>
      <c r="B1788" s="1" t="n">
        <v>45278</v>
      </c>
      <c r="C1788" s="1" t="n">
        <v>45666</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64117-2023</t>
        </is>
      </c>
      <c r="B1789" s="1" t="n">
        <v>45279</v>
      </c>
      <c r="C1789" s="1" t="n">
        <v>45666</v>
      </c>
      <c r="D1789" t="inlineStr">
        <is>
          <t>JÄMTLANDS LÄN</t>
        </is>
      </c>
      <c r="E1789" t="inlineStr">
        <is>
          <t>BRÄCKE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64143-2023</t>
        </is>
      </c>
      <c r="B1790" s="1" t="n">
        <v>45279</v>
      </c>
      <c r="C1790" s="1" t="n">
        <v>45666</v>
      </c>
      <c r="D1790" t="inlineStr">
        <is>
          <t>JÄMTLANDS LÄN</t>
        </is>
      </c>
      <c r="E1790" t="inlineStr">
        <is>
          <t>BRÄCKE</t>
        </is>
      </c>
      <c r="G1790" t="n">
        <v>5.5</v>
      </c>
      <c r="H1790" t="n">
        <v>0</v>
      </c>
      <c r="I1790" t="n">
        <v>0</v>
      </c>
      <c r="J1790" t="n">
        <v>0</v>
      </c>
      <c r="K1790" t="n">
        <v>0</v>
      </c>
      <c r="L1790" t="n">
        <v>0</v>
      </c>
      <c r="M1790" t="n">
        <v>0</v>
      </c>
      <c r="N1790" t="n">
        <v>0</v>
      </c>
      <c r="O1790" t="n">
        <v>0</v>
      </c>
      <c r="P1790" t="n">
        <v>0</v>
      </c>
      <c r="Q1790" t="n">
        <v>0</v>
      </c>
      <c r="R1790" s="2" t="inlineStr"/>
      <c r="U1790">
        <f>HYPERLINK("https://klasma.github.io/Logging_2305/knärot/A 64143-2023 karta knärot.png", "A 64143-2023")</f>
        <v/>
      </c>
      <c r="V1790">
        <f>HYPERLINK("https://klasma.github.io/Logging_2305/klagomål/A 64143-2023 FSC-klagomål.docx", "A 64143-2023")</f>
        <v/>
      </c>
      <c r="W1790">
        <f>HYPERLINK("https://klasma.github.io/Logging_2305/klagomålsmail/A 64143-2023 FSC-klagomål mail.docx", "A 64143-2023")</f>
        <v/>
      </c>
      <c r="X1790">
        <f>HYPERLINK("https://klasma.github.io/Logging_2305/tillsyn/A 64143-2023 tillsynsbegäran.docx", "A 64143-2023")</f>
        <v/>
      </c>
      <c r="Y1790">
        <f>HYPERLINK("https://klasma.github.io/Logging_2305/tillsynsmail/A 64143-2023 tillsynsbegäran mail.docx", "A 64143-2023")</f>
        <v/>
      </c>
    </row>
    <row r="1791" ht="15" customHeight="1">
      <c r="A1791" t="inlineStr">
        <is>
          <t>A 64266-2023</t>
        </is>
      </c>
      <c r="B1791" s="1" t="n">
        <v>45279</v>
      </c>
      <c r="C1791" s="1" t="n">
        <v>45666</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64268-2023</t>
        </is>
      </c>
      <c r="B1792" s="1" t="n">
        <v>45279</v>
      </c>
      <c r="C1792" s="1" t="n">
        <v>45666</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64272-2023</t>
        </is>
      </c>
      <c r="B1793" s="1" t="n">
        <v>45279</v>
      </c>
      <c r="C1793" s="1" t="n">
        <v>45666</v>
      </c>
      <c r="D1793" t="inlineStr">
        <is>
          <t>JÄMTLANDS LÄN</t>
        </is>
      </c>
      <c r="E1793" t="inlineStr">
        <is>
          <t>BRÄCKE</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64269-2023</t>
        </is>
      </c>
      <c r="B1794" s="1" t="n">
        <v>45279</v>
      </c>
      <c r="C1794" s="1" t="n">
        <v>45666</v>
      </c>
      <c r="D1794" t="inlineStr">
        <is>
          <t>JÄMTLANDS LÄN</t>
        </is>
      </c>
      <c r="E1794" t="inlineStr">
        <is>
          <t>BRÄCKE</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64302-2023</t>
        </is>
      </c>
      <c r="B1795" s="1" t="n">
        <v>45280</v>
      </c>
      <c r="C1795" s="1" t="n">
        <v>45666</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64413-2023</t>
        </is>
      </c>
      <c r="B1796" s="1" t="n">
        <v>45280</v>
      </c>
      <c r="C1796" s="1" t="n">
        <v>45666</v>
      </c>
      <c r="D1796" t="inlineStr">
        <is>
          <t>JÄMTLANDS LÄN</t>
        </is>
      </c>
      <c r="E1796" t="inlineStr">
        <is>
          <t>BRÄCKE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64643-2023</t>
        </is>
      </c>
      <c r="B1797" s="1" t="n">
        <v>45281</v>
      </c>
      <c r="C1797" s="1" t="n">
        <v>45666</v>
      </c>
      <c r="D1797" t="inlineStr">
        <is>
          <t>JÄMTLANDS LÄN</t>
        </is>
      </c>
      <c r="E1797" t="inlineStr">
        <is>
          <t>BRÄCKE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64757-2023</t>
        </is>
      </c>
      <c r="B1798" s="1" t="n">
        <v>45281</v>
      </c>
      <c r="C1798" s="1" t="n">
        <v>45666</v>
      </c>
      <c r="D1798" t="inlineStr">
        <is>
          <t>JÄMTLANDS LÄN</t>
        </is>
      </c>
      <c r="E1798" t="inlineStr">
        <is>
          <t>BRÄCKE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65041-2023</t>
        </is>
      </c>
      <c r="B1799" s="1" t="n">
        <v>45287</v>
      </c>
      <c r="C1799" s="1" t="n">
        <v>45666</v>
      </c>
      <c r="D1799" t="inlineStr">
        <is>
          <t>JÄMTLANDS LÄN</t>
        </is>
      </c>
      <c r="E1799" t="inlineStr">
        <is>
          <t>BRÄCKE</t>
        </is>
      </c>
      <c r="G1799" t="n">
        <v>45.2</v>
      </c>
      <c r="H1799" t="n">
        <v>0</v>
      </c>
      <c r="I1799" t="n">
        <v>0</v>
      </c>
      <c r="J1799" t="n">
        <v>0</v>
      </c>
      <c r="K1799" t="n">
        <v>0</v>
      </c>
      <c r="L1799" t="n">
        <v>0</v>
      </c>
      <c r="M1799" t="n">
        <v>0</v>
      </c>
      <c r="N1799" t="n">
        <v>0</v>
      </c>
      <c r="O1799" t="n">
        <v>0</v>
      </c>
      <c r="P1799" t="n">
        <v>0</v>
      </c>
      <c r="Q1799" t="n">
        <v>0</v>
      </c>
      <c r="R1799" s="2" t="inlineStr"/>
    </row>
    <row r="1800" ht="15" customHeight="1">
      <c r="A1800" t="inlineStr">
        <is>
          <t>A 65096-2023</t>
        </is>
      </c>
      <c r="B1800" s="1" t="n">
        <v>45288</v>
      </c>
      <c r="C1800" s="1" t="n">
        <v>45666</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65226-2023</t>
        </is>
      </c>
      <c r="B1801" s="1" t="n">
        <v>45289</v>
      </c>
      <c r="C1801" s="1" t="n">
        <v>45666</v>
      </c>
      <c r="D1801" t="inlineStr">
        <is>
          <t>JÄMTLANDS LÄN</t>
        </is>
      </c>
      <c r="E1801" t="inlineStr">
        <is>
          <t>BRÄCKE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107-2024</t>
        </is>
      </c>
      <c r="B1802" s="1" t="n">
        <v>45293</v>
      </c>
      <c r="C1802" s="1" t="n">
        <v>45666</v>
      </c>
      <c r="D1802" t="inlineStr">
        <is>
          <t>JÄMTLANDS LÄN</t>
        </is>
      </c>
      <c r="E1802" t="inlineStr">
        <is>
          <t>BRÄCKE</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477-2024</t>
        </is>
      </c>
      <c r="B1803" s="1" t="n">
        <v>45298</v>
      </c>
      <c r="C1803" s="1" t="n">
        <v>45666</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662-2024</t>
        </is>
      </c>
      <c r="B1804" s="1" t="n">
        <v>45299</v>
      </c>
      <c r="C1804" s="1" t="n">
        <v>45666</v>
      </c>
      <c r="D1804" t="inlineStr">
        <is>
          <t>JÄMTLANDS LÄN</t>
        </is>
      </c>
      <c r="E1804" t="inlineStr">
        <is>
          <t>BRÄCKE</t>
        </is>
      </c>
      <c r="F1804" t="inlineStr">
        <is>
          <t>SCA</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861-2024</t>
        </is>
      </c>
      <c r="B1805" s="1" t="n">
        <v>45301</v>
      </c>
      <c r="C1805" s="1" t="n">
        <v>45666</v>
      </c>
      <c r="D1805" t="inlineStr">
        <is>
          <t>JÄMTLANDS LÄN</t>
        </is>
      </c>
      <c r="E1805" t="inlineStr">
        <is>
          <t>BRÄCKE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1277-2024</t>
        </is>
      </c>
      <c r="B1806" s="1" t="n">
        <v>45303</v>
      </c>
      <c r="C1806" s="1" t="n">
        <v>45666</v>
      </c>
      <c r="D1806" t="inlineStr">
        <is>
          <t>JÄMTLANDS LÄN</t>
        </is>
      </c>
      <c r="E1806" t="inlineStr">
        <is>
          <t>BRÄCKE</t>
        </is>
      </c>
      <c r="F1806" t="inlineStr">
        <is>
          <t>SCA</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1681-2024</t>
        </is>
      </c>
      <c r="B1807" s="1" t="n">
        <v>45307</v>
      </c>
      <c r="C1807" s="1" t="n">
        <v>45666</v>
      </c>
      <c r="D1807" t="inlineStr">
        <is>
          <t>JÄMTLANDS LÄN</t>
        </is>
      </c>
      <c r="E1807" t="inlineStr">
        <is>
          <t>BRÄCKE</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1746-2024</t>
        </is>
      </c>
      <c r="B1808" s="1" t="n">
        <v>45307</v>
      </c>
      <c r="C1808" s="1" t="n">
        <v>45666</v>
      </c>
      <c r="D1808" t="inlineStr">
        <is>
          <t>JÄMTLANDS LÄN</t>
        </is>
      </c>
      <c r="E1808" t="inlineStr">
        <is>
          <t>BRÄCKE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1881-2024</t>
        </is>
      </c>
      <c r="B1809" s="1" t="n">
        <v>45308</v>
      </c>
      <c r="C1809" s="1" t="n">
        <v>45666</v>
      </c>
      <c r="D1809" t="inlineStr">
        <is>
          <t>JÄMTLANDS LÄN</t>
        </is>
      </c>
      <c r="E1809" t="inlineStr">
        <is>
          <t>BRÄCKE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1799-2024</t>
        </is>
      </c>
      <c r="B1810" s="1" t="n">
        <v>45307</v>
      </c>
      <c r="C1810" s="1" t="n">
        <v>45666</v>
      </c>
      <c r="D1810" t="inlineStr">
        <is>
          <t>JÄMTLANDS LÄN</t>
        </is>
      </c>
      <c r="E1810" t="inlineStr">
        <is>
          <t>BRÄCKE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2064-2024</t>
        </is>
      </c>
      <c r="B1811" s="1" t="n">
        <v>45308</v>
      </c>
      <c r="C1811" s="1" t="n">
        <v>45666</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2065-2024</t>
        </is>
      </c>
      <c r="B1812" s="1" t="n">
        <v>45309</v>
      </c>
      <c r="C1812" s="1" t="n">
        <v>45666</v>
      </c>
      <c r="D1812" t="inlineStr">
        <is>
          <t>JÄMTLANDS LÄN</t>
        </is>
      </c>
      <c r="E1812" t="inlineStr">
        <is>
          <t>BRÄCKE</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2420-2024</t>
        </is>
      </c>
      <c r="B1813" s="1" t="n">
        <v>45310</v>
      </c>
      <c r="C1813" s="1" t="n">
        <v>45666</v>
      </c>
      <c r="D1813" t="inlineStr">
        <is>
          <t>JÄMTLANDS LÄN</t>
        </is>
      </c>
      <c r="E1813" t="inlineStr">
        <is>
          <t>BRÄCKE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2421-2024</t>
        </is>
      </c>
      <c r="B1814" s="1" t="n">
        <v>45310</v>
      </c>
      <c r="C1814" s="1" t="n">
        <v>45666</v>
      </c>
      <c r="D1814" t="inlineStr">
        <is>
          <t>JÄMTLANDS LÄN</t>
        </is>
      </c>
      <c r="E1814" t="inlineStr">
        <is>
          <t>BRÄCKE</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2422-2024</t>
        </is>
      </c>
      <c r="B1815" s="1" t="n">
        <v>45310</v>
      </c>
      <c r="C1815" s="1" t="n">
        <v>45666</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2621-2024</t>
        </is>
      </c>
      <c r="B1816" s="1" t="n">
        <v>45313</v>
      </c>
      <c r="C1816" s="1" t="n">
        <v>45666</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3182-2024</t>
        </is>
      </c>
      <c r="B1817" s="1" t="n">
        <v>45316</v>
      </c>
      <c r="C1817" s="1" t="n">
        <v>45666</v>
      </c>
      <c r="D1817" t="inlineStr">
        <is>
          <t>JÄMTLANDS LÄN</t>
        </is>
      </c>
      <c r="E1817" t="inlineStr">
        <is>
          <t>BRÄCKE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3179-2024</t>
        </is>
      </c>
      <c r="B1818" s="1" t="n">
        <v>45316</v>
      </c>
      <c r="C1818" s="1" t="n">
        <v>45666</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3180-2024</t>
        </is>
      </c>
      <c r="B1819" s="1" t="n">
        <v>45316</v>
      </c>
      <c r="C1819" s="1" t="n">
        <v>45666</v>
      </c>
      <c r="D1819" t="inlineStr">
        <is>
          <t>JÄMTLANDS LÄN</t>
        </is>
      </c>
      <c r="E1819" t="inlineStr">
        <is>
          <t>BRÄCKE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3233-2024</t>
        </is>
      </c>
      <c r="B1820" s="1" t="n">
        <v>45316</v>
      </c>
      <c r="C1820" s="1" t="n">
        <v>45666</v>
      </c>
      <c r="D1820" t="inlineStr">
        <is>
          <t>JÄMTLANDS LÄN</t>
        </is>
      </c>
      <c r="E1820" t="inlineStr">
        <is>
          <t>BRÄCKE</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3390-2024</t>
        </is>
      </c>
      <c r="B1821" s="1" t="n">
        <v>45317</v>
      </c>
      <c r="C1821" s="1" t="n">
        <v>45666</v>
      </c>
      <c r="D1821" t="inlineStr">
        <is>
          <t>JÄMTLANDS LÄN</t>
        </is>
      </c>
      <c r="E1821" t="inlineStr">
        <is>
          <t>BRÄCKE</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3389-2024</t>
        </is>
      </c>
      <c r="B1822" s="1" t="n">
        <v>45317</v>
      </c>
      <c r="C1822" s="1" t="n">
        <v>45666</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3487-2024</t>
        </is>
      </c>
      <c r="B1823" s="1" t="n">
        <v>45317</v>
      </c>
      <c r="C1823" s="1" t="n">
        <v>45666</v>
      </c>
      <c r="D1823" t="inlineStr">
        <is>
          <t>JÄMTLANDS LÄN</t>
        </is>
      </c>
      <c r="E1823" t="inlineStr">
        <is>
          <t>BRÄCKE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3528-2024</t>
        </is>
      </c>
      <c r="B1824" s="1" t="n">
        <v>45320</v>
      </c>
      <c r="C1824" s="1" t="n">
        <v>45666</v>
      </c>
      <c r="D1824" t="inlineStr">
        <is>
          <t>JÄMTLANDS LÄN</t>
        </is>
      </c>
      <c r="E1824" t="inlineStr">
        <is>
          <t>BRÄCKE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3626-2024</t>
        </is>
      </c>
      <c r="B1825" s="1" t="n">
        <v>45320</v>
      </c>
      <c r="C1825" s="1" t="n">
        <v>45666</v>
      </c>
      <c r="D1825" t="inlineStr">
        <is>
          <t>JÄMTLANDS LÄN</t>
        </is>
      </c>
      <c r="E1825" t="inlineStr">
        <is>
          <t>BRÄCKE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3616-2024</t>
        </is>
      </c>
      <c r="B1826" s="1" t="n">
        <v>45320</v>
      </c>
      <c r="C1826" s="1" t="n">
        <v>45666</v>
      </c>
      <c r="D1826" t="inlineStr">
        <is>
          <t>JÄMTLANDS LÄN</t>
        </is>
      </c>
      <c r="E1826" t="inlineStr">
        <is>
          <t>BRÄCKE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3840-2024</t>
        </is>
      </c>
      <c r="B1827" s="1" t="n">
        <v>45321</v>
      </c>
      <c r="C1827" s="1" t="n">
        <v>45666</v>
      </c>
      <c r="D1827" t="inlineStr">
        <is>
          <t>JÄMTLANDS LÄN</t>
        </is>
      </c>
      <c r="E1827" t="inlineStr">
        <is>
          <t>BRÄCKE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3972-2024</t>
        </is>
      </c>
      <c r="B1828" s="1" t="n">
        <v>45322</v>
      </c>
      <c r="C1828" s="1" t="n">
        <v>45666</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3995-2024</t>
        </is>
      </c>
      <c r="B1829" s="1" t="n">
        <v>45322</v>
      </c>
      <c r="C1829" s="1" t="n">
        <v>45666</v>
      </c>
      <c r="D1829" t="inlineStr">
        <is>
          <t>JÄMTLANDS LÄN</t>
        </is>
      </c>
      <c r="E1829" t="inlineStr">
        <is>
          <t>BRÄCKE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4171-2024</t>
        </is>
      </c>
      <c r="B1830" s="1" t="n">
        <v>45323</v>
      </c>
      <c r="C1830" s="1" t="n">
        <v>45666</v>
      </c>
      <c r="D1830" t="inlineStr">
        <is>
          <t>JÄMTLANDS LÄN</t>
        </is>
      </c>
      <c r="E1830" t="inlineStr">
        <is>
          <t>BRÄCKE</t>
        </is>
      </c>
      <c r="F1830" t="inlineStr">
        <is>
          <t>SCA</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4170-2024</t>
        </is>
      </c>
      <c r="B1831" s="1" t="n">
        <v>45323</v>
      </c>
      <c r="C1831" s="1" t="n">
        <v>45666</v>
      </c>
      <c r="D1831" t="inlineStr">
        <is>
          <t>JÄMTLANDS LÄN</t>
        </is>
      </c>
      <c r="E1831" t="inlineStr">
        <is>
          <t>BRÄCKE</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4491-2024</t>
        </is>
      </c>
      <c r="B1832" s="1" t="n">
        <v>45327</v>
      </c>
      <c r="C1832" s="1" t="n">
        <v>45666</v>
      </c>
      <c r="D1832" t="inlineStr">
        <is>
          <t>JÄMTLANDS LÄN</t>
        </is>
      </c>
      <c r="E1832" t="inlineStr">
        <is>
          <t>BRÄCKE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4556-2024</t>
        </is>
      </c>
      <c r="B1833" s="1" t="n">
        <v>45327</v>
      </c>
      <c r="C1833" s="1" t="n">
        <v>45666</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4585-2024</t>
        </is>
      </c>
      <c r="B1834" s="1" t="n">
        <v>45327</v>
      </c>
      <c r="C1834" s="1" t="n">
        <v>45666</v>
      </c>
      <c r="D1834" t="inlineStr">
        <is>
          <t>JÄMTLANDS LÄN</t>
        </is>
      </c>
      <c r="E1834" t="inlineStr">
        <is>
          <t>BRÄCKE</t>
        </is>
      </c>
      <c r="F1834" t="inlineStr">
        <is>
          <t>SCA</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4590-2024</t>
        </is>
      </c>
      <c r="B1835" s="1" t="n">
        <v>45327</v>
      </c>
      <c r="C1835" s="1" t="n">
        <v>45666</v>
      </c>
      <c r="D1835" t="inlineStr">
        <is>
          <t>JÄMTLANDS LÄN</t>
        </is>
      </c>
      <c r="E1835" t="inlineStr">
        <is>
          <t>BRÄCKE</t>
        </is>
      </c>
      <c r="F1835" t="inlineStr">
        <is>
          <t>SCA</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4930-2024</t>
        </is>
      </c>
      <c r="B1836" s="1" t="n">
        <v>45329</v>
      </c>
      <c r="C1836" s="1" t="n">
        <v>45666</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5053-2024</t>
        </is>
      </c>
      <c r="B1837" s="1" t="n">
        <v>45329</v>
      </c>
      <c r="C1837" s="1" t="n">
        <v>45666</v>
      </c>
      <c r="D1837" t="inlineStr">
        <is>
          <t>JÄMTLANDS LÄN</t>
        </is>
      </c>
      <c r="E1837" t="inlineStr">
        <is>
          <t>BRÄCKE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5052-2024</t>
        </is>
      </c>
      <c r="B1838" s="1" t="n">
        <v>45329</v>
      </c>
      <c r="C1838" s="1" t="n">
        <v>45666</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7843-2024</t>
        </is>
      </c>
      <c r="B1839" s="1" t="n">
        <v>45329</v>
      </c>
      <c r="C1839" s="1" t="n">
        <v>45666</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5266-2024</t>
        </is>
      </c>
      <c r="B1840" s="1" t="n">
        <v>45330</v>
      </c>
      <c r="C1840" s="1" t="n">
        <v>45666</v>
      </c>
      <c r="D1840" t="inlineStr">
        <is>
          <t>JÄMTLANDS LÄN</t>
        </is>
      </c>
      <c r="E1840" t="inlineStr">
        <is>
          <t>BRÄCKE</t>
        </is>
      </c>
      <c r="F1840" t="inlineStr">
        <is>
          <t>SCA</t>
        </is>
      </c>
      <c r="G1840" t="n">
        <v>15.2</v>
      </c>
      <c r="H1840" t="n">
        <v>0</v>
      </c>
      <c r="I1840" t="n">
        <v>0</v>
      </c>
      <c r="J1840" t="n">
        <v>0</v>
      </c>
      <c r="K1840" t="n">
        <v>0</v>
      </c>
      <c r="L1840" t="n">
        <v>0</v>
      </c>
      <c r="M1840" t="n">
        <v>0</v>
      </c>
      <c r="N1840" t="n">
        <v>0</v>
      </c>
      <c r="O1840" t="n">
        <v>0</v>
      </c>
      <c r="P1840" t="n">
        <v>0</v>
      </c>
      <c r="Q1840" t="n">
        <v>0</v>
      </c>
      <c r="R1840" s="2" t="inlineStr"/>
    </row>
    <row r="1841" ht="15" customHeight="1">
      <c r="A1841" t="inlineStr">
        <is>
          <t>A 5270-2024</t>
        </is>
      </c>
      <c r="B1841" s="1" t="n">
        <v>45331</v>
      </c>
      <c r="C1841" s="1" t="n">
        <v>45666</v>
      </c>
      <c r="D1841" t="inlineStr">
        <is>
          <t>JÄMTLANDS LÄN</t>
        </is>
      </c>
      <c r="E1841" t="inlineStr">
        <is>
          <t>BRÄCKE</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5367-2024</t>
        </is>
      </c>
      <c r="B1842" s="1" t="n">
        <v>45331</v>
      </c>
      <c r="C1842" s="1" t="n">
        <v>45666</v>
      </c>
      <c r="D1842" t="inlineStr">
        <is>
          <t>JÄMTLANDS LÄN</t>
        </is>
      </c>
      <c r="E1842" t="inlineStr">
        <is>
          <t>BRÄCKE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5441-2024</t>
        </is>
      </c>
      <c r="B1843" s="1" t="n">
        <v>45331</v>
      </c>
      <c r="C1843" s="1" t="n">
        <v>45666</v>
      </c>
      <c r="D1843" t="inlineStr">
        <is>
          <t>JÄMTLANDS LÄN</t>
        </is>
      </c>
      <c r="E1843" t="inlineStr">
        <is>
          <t>BRÄCKE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5737-2024</t>
        </is>
      </c>
      <c r="B1844" s="1" t="n">
        <v>45334</v>
      </c>
      <c r="C1844" s="1" t="n">
        <v>45666</v>
      </c>
      <c r="D1844" t="inlineStr">
        <is>
          <t>JÄMTLANDS LÄN</t>
        </is>
      </c>
      <c r="E1844" t="inlineStr">
        <is>
          <t>BRÄCKE</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5914-2024</t>
        </is>
      </c>
      <c r="B1845" s="1" t="n">
        <v>45335</v>
      </c>
      <c r="C1845" s="1" t="n">
        <v>45666</v>
      </c>
      <c r="D1845" t="inlineStr">
        <is>
          <t>JÄMTLANDS LÄN</t>
        </is>
      </c>
      <c r="E1845" t="inlineStr">
        <is>
          <t>BRÄCKE</t>
        </is>
      </c>
      <c r="F1845" t="inlineStr">
        <is>
          <t>SCA</t>
        </is>
      </c>
      <c r="G1845" t="n">
        <v>21.2</v>
      </c>
      <c r="H1845" t="n">
        <v>0</v>
      </c>
      <c r="I1845" t="n">
        <v>0</v>
      </c>
      <c r="J1845" t="n">
        <v>0</v>
      </c>
      <c r="K1845" t="n">
        <v>0</v>
      </c>
      <c r="L1845" t="n">
        <v>0</v>
      </c>
      <c r="M1845" t="n">
        <v>0</v>
      </c>
      <c r="N1845" t="n">
        <v>0</v>
      </c>
      <c r="O1845" t="n">
        <v>0</v>
      </c>
      <c r="P1845" t="n">
        <v>0</v>
      </c>
      <c r="Q1845" t="n">
        <v>0</v>
      </c>
      <c r="R1845" s="2" t="inlineStr"/>
    </row>
    <row r="1846" ht="15" customHeight="1">
      <c r="A1846" t="inlineStr">
        <is>
          <t>A 5915-2024</t>
        </is>
      </c>
      <c r="B1846" s="1" t="n">
        <v>45335</v>
      </c>
      <c r="C1846" s="1" t="n">
        <v>45666</v>
      </c>
      <c r="D1846" t="inlineStr">
        <is>
          <t>JÄMTLANDS LÄN</t>
        </is>
      </c>
      <c r="E1846" t="inlineStr">
        <is>
          <t>BRÄCKE</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6087-2024</t>
        </is>
      </c>
      <c r="B1847" s="1" t="n">
        <v>45337</v>
      </c>
      <c r="C1847" s="1" t="n">
        <v>45666</v>
      </c>
      <c r="D1847" t="inlineStr">
        <is>
          <t>JÄMTLANDS LÄN</t>
        </is>
      </c>
      <c r="E1847" t="inlineStr">
        <is>
          <t>BRÄCKE</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6086-2024</t>
        </is>
      </c>
      <c r="B1848" s="1" t="n">
        <v>45337</v>
      </c>
      <c r="C1848" s="1" t="n">
        <v>45666</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6190-2024</t>
        </is>
      </c>
      <c r="B1849" s="1" t="n">
        <v>45337</v>
      </c>
      <c r="C1849" s="1" t="n">
        <v>45666</v>
      </c>
      <c r="D1849" t="inlineStr">
        <is>
          <t>JÄMTLANDS LÄN</t>
        </is>
      </c>
      <c r="E1849" t="inlineStr">
        <is>
          <t>BRÄCKE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6185-2024</t>
        </is>
      </c>
      <c r="B1850" s="1" t="n">
        <v>45337</v>
      </c>
      <c r="C1850" s="1" t="n">
        <v>45666</v>
      </c>
      <c r="D1850" t="inlineStr">
        <is>
          <t>JÄMTLANDS LÄN</t>
        </is>
      </c>
      <c r="E1850" t="inlineStr">
        <is>
          <t>BRÄCKE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6362-2024</t>
        </is>
      </c>
      <c r="B1851" s="1" t="n">
        <v>45338</v>
      </c>
      <c r="C1851" s="1" t="n">
        <v>45666</v>
      </c>
      <c r="D1851" t="inlineStr">
        <is>
          <t>JÄMTLANDS LÄN</t>
        </is>
      </c>
      <c r="E1851" t="inlineStr">
        <is>
          <t>BRÄCKE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6516-2024</t>
        </is>
      </c>
      <c r="B1852" s="1" t="n">
        <v>45341</v>
      </c>
      <c r="C1852" s="1" t="n">
        <v>45666</v>
      </c>
      <c r="D1852" t="inlineStr">
        <is>
          <t>JÄMTLANDS LÄN</t>
        </is>
      </c>
      <c r="E1852" t="inlineStr">
        <is>
          <t>BRÄCKE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6907-2024</t>
        </is>
      </c>
      <c r="B1853" s="1" t="n">
        <v>45342</v>
      </c>
      <c r="C1853" s="1" t="n">
        <v>45666</v>
      </c>
      <c r="D1853" t="inlineStr">
        <is>
          <t>JÄMTLANDS LÄN</t>
        </is>
      </c>
      <c r="E1853" t="inlineStr">
        <is>
          <t>BRÄCKE</t>
        </is>
      </c>
      <c r="F1853" t="inlineStr">
        <is>
          <t>SCA</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6906-2024</t>
        </is>
      </c>
      <c r="B1854" s="1" t="n">
        <v>45342</v>
      </c>
      <c r="C1854" s="1" t="n">
        <v>45666</v>
      </c>
      <c r="D1854" t="inlineStr">
        <is>
          <t>JÄMTLANDS LÄN</t>
        </is>
      </c>
      <c r="E1854" t="inlineStr">
        <is>
          <t>BRÄCKE</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7283-2024</t>
        </is>
      </c>
      <c r="B1855" s="1" t="n">
        <v>45344</v>
      </c>
      <c r="C1855" s="1" t="n">
        <v>45666</v>
      </c>
      <c r="D1855" t="inlineStr">
        <is>
          <t>JÄMTLANDS LÄN</t>
        </is>
      </c>
      <c r="E1855" t="inlineStr">
        <is>
          <t>BRÄCKE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7287-2024</t>
        </is>
      </c>
      <c r="B1856" s="1" t="n">
        <v>45344</v>
      </c>
      <c r="C1856" s="1" t="n">
        <v>45666</v>
      </c>
      <c r="D1856" t="inlineStr">
        <is>
          <t>JÄMTLANDS LÄN</t>
        </is>
      </c>
      <c r="E1856" t="inlineStr">
        <is>
          <t>BRÄCKE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7286-2024</t>
        </is>
      </c>
      <c r="B1857" s="1" t="n">
        <v>45344</v>
      </c>
      <c r="C1857" s="1" t="n">
        <v>45666</v>
      </c>
      <c r="D1857" t="inlineStr">
        <is>
          <t>JÄMTLANDS LÄN</t>
        </is>
      </c>
      <c r="E1857" t="inlineStr">
        <is>
          <t>BRÄCKE</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7434-2024</t>
        </is>
      </c>
      <c r="B1858" s="1" t="n">
        <v>45345</v>
      </c>
      <c r="C1858" s="1" t="n">
        <v>45666</v>
      </c>
      <c r="D1858" t="inlineStr">
        <is>
          <t>JÄMTLANDS LÄN</t>
        </is>
      </c>
      <c r="E1858" t="inlineStr">
        <is>
          <t>BRÄCKE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7844-2024</t>
        </is>
      </c>
      <c r="B1859" s="1" t="n">
        <v>45350</v>
      </c>
      <c r="C1859" s="1" t="n">
        <v>45666</v>
      </c>
      <c r="D1859" t="inlineStr">
        <is>
          <t>JÄMTLANDS LÄN</t>
        </is>
      </c>
      <c r="E1859" t="inlineStr">
        <is>
          <t>BRÄCKE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8037-2024</t>
        </is>
      </c>
      <c r="B1860" s="1" t="n">
        <v>45350</v>
      </c>
      <c r="C1860" s="1" t="n">
        <v>45666</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8253-2024</t>
        </is>
      </c>
      <c r="B1861" s="1" t="n">
        <v>45350</v>
      </c>
      <c r="C1861" s="1" t="n">
        <v>45666</v>
      </c>
      <c r="D1861" t="inlineStr">
        <is>
          <t>JÄMTLANDS LÄN</t>
        </is>
      </c>
      <c r="E1861" t="inlineStr">
        <is>
          <t>BRÄCKE</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8242-2024</t>
        </is>
      </c>
      <c r="B1862" s="1" t="n">
        <v>45352</v>
      </c>
      <c r="C1862" s="1" t="n">
        <v>45666</v>
      </c>
      <c r="D1862" t="inlineStr">
        <is>
          <t>JÄMTLANDS LÄN</t>
        </is>
      </c>
      <c r="E1862" t="inlineStr">
        <is>
          <t>BRÄCKE</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8416-2024</t>
        </is>
      </c>
      <c r="B1863" s="1" t="n">
        <v>45353</v>
      </c>
      <c r="C1863" s="1" t="n">
        <v>45666</v>
      </c>
      <c r="D1863" t="inlineStr">
        <is>
          <t>JÄMTLANDS LÄN</t>
        </is>
      </c>
      <c r="E1863" t="inlineStr">
        <is>
          <t>BRÄCKE</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8415-2024</t>
        </is>
      </c>
      <c r="B1864" s="1" t="n">
        <v>45353</v>
      </c>
      <c r="C1864" s="1" t="n">
        <v>45666</v>
      </c>
      <c r="D1864" t="inlineStr">
        <is>
          <t>JÄMTLANDS LÄN</t>
        </is>
      </c>
      <c r="E1864" t="inlineStr">
        <is>
          <t>BRÄCKE</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8657-2024</t>
        </is>
      </c>
      <c r="B1865" s="1" t="n">
        <v>45356</v>
      </c>
      <c r="C1865" s="1" t="n">
        <v>45666</v>
      </c>
      <c r="D1865" t="inlineStr">
        <is>
          <t>JÄMTLANDS LÄN</t>
        </is>
      </c>
      <c r="E1865" t="inlineStr">
        <is>
          <t>BRÄCKE</t>
        </is>
      </c>
      <c r="F1865" t="inlineStr">
        <is>
          <t>SCA</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8882-2024</t>
        </is>
      </c>
      <c r="B1866" s="1" t="n">
        <v>45357</v>
      </c>
      <c r="C1866" s="1" t="n">
        <v>45666</v>
      </c>
      <c r="D1866" t="inlineStr">
        <is>
          <t>JÄMTLANDS LÄN</t>
        </is>
      </c>
      <c r="E1866" t="inlineStr">
        <is>
          <t>BRÄCKE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9118-2024</t>
        </is>
      </c>
      <c r="B1867" s="1" t="n">
        <v>45358</v>
      </c>
      <c r="C1867" s="1" t="n">
        <v>45666</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9332-2024</t>
        </is>
      </c>
      <c r="B1868" s="1" t="n">
        <v>45359</v>
      </c>
      <c r="C1868" s="1" t="n">
        <v>45666</v>
      </c>
      <c r="D1868" t="inlineStr">
        <is>
          <t>JÄMTLANDS LÄN</t>
        </is>
      </c>
      <c r="E1868" t="inlineStr">
        <is>
          <t>BRÄCKE</t>
        </is>
      </c>
      <c r="F1868" t="inlineStr">
        <is>
          <t>SCA</t>
        </is>
      </c>
      <c r="G1868" t="n">
        <v>30.2</v>
      </c>
      <c r="H1868" t="n">
        <v>0</v>
      </c>
      <c r="I1868" t="n">
        <v>0</v>
      </c>
      <c r="J1868" t="n">
        <v>0</v>
      </c>
      <c r="K1868" t="n">
        <v>0</v>
      </c>
      <c r="L1868" t="n">
        <v>0</v>
      </c>
      <c r="M1868" t="n">
        <v>0</v>
      </c>
      <c r="N1868" t="n">
        <v>0</v>
      </c>
      <c r="O1868" t="n">
        <v>0</v>
      </c>
      <c r="P1868" t="n">
        <v>0</v>
      </c>
      <c r="Q1868" t="n">
        <v>0</v>
      </c>
      <c r="R1868" s="2" t="inlineStr"/>
    </row>
    <row r="1869" ht="15" customHeight="1">
      <c r="A1869" t="inlineStr">
        <is>
          <t>A 9553-2024</t>
        </is>
      </c>
      <c r="B1869" s="1" t="n">
        <v>45360</v>
      </c>
      <c r="C1869" s="1" t="n">
        <v>45666</v>
      </c>
      <c r="D1869" t="inlineStr">
        <is>
          <t>JÄMTLANDS LÄN</t>
        </is>
      </c>
      <c r="E1869" t="inlineStr">
        <is>
          <t>BRÄCKE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9816-2024</t>
        </is>
      </c>
      <c r="B1870" s="1" t="n">
        <v>45363</v>
      </c>
      <c r="C1870" s="1" t="n">
        <v>45666</v>
      </c>
      <c r="D1870" t="inlineStr">
        <is>
          <t>JÄMTLANDS LÄN</t>
        </is>
      </c>
      <c r="E1870" t="inlineStr">
        <is>
          <t>BRÄCKE</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9821-2024</t>
        </is>
      </c>
      <c r="B1871" s="1" t="n">
        <v>45363</v>
      </c>
      <c r="C1871" s="1" t="n">
        <v>45666</v>
      </c>
      <c r="D1871" t="inlineStr">
        <is>
          <t>JÄMTLANDS LÄN</t>
        </is>
      </c>
      <c r="E1871" t="inlineStr">
        <is>
          <t>BRÄCKE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10037-2024</t>
        </is>
      </c>
      <c r="B1872" s="1" t="n">
        <v>45364</v>
      </c>
      <c r="C1872" s="1" t="n">
        <v>45666</v>
      </c>
      <c r="D1872" t="inlineStr">
        <is>
          <t>JÄMTLANDS LÄN</t>
        </is>
      </c>
      <c r="E1872" t="inlineStr">
        <is>
          <t>BRÄCKE</t>
        </is>
      </c>
      <c r="F1872" t="inlineStr">
        <is>
          <t>SCA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10036-2024</t>
        </is>
      </c>
      <c r="B1873" s="1" t="n">
        <v>45364</v>
      </c>
      <c r="C1873" s="1" t="n">
        <v>45666</v>
      </c>
      <c r="D1873" t="inlineStr">
        <is>
          <t>JÄMTLANDS LÄN</t>
        </is>
      </c>
      <c r="E1873" t="inlineStr">
        <is>
          <t>BRÄCKE</t>
        </is>
      </c>
      <c r="F1873" t="inlineStr">
        <is>
          <t>SCA</t>
        </is>
      </c>
      <c r="G1873" t="n">
        <v>22.6</v>
      </c>
      <c r="H1873" t="n">
        <v>0</v>
      </c>
      <c r="I1873" t="n">
        <v>0</v>
      </c>
      <c r="J1873" t="n">
        <v>0</v>
      </c>
      <c r="K1873" t="n">
        <v>0</v>
      </c>
      <c r="L1873" t="n">
        <v>0</v>
      </c>
      <c r="M1873" t="n">
        <v>0</v>
      </c>
      <c r="N1873" t="n">
        <v>0</v>
      </c>
      <c r="O1873" t="n">
        <v>0</v>
      </c>
      <c r="P1873" t="n">
        <v>0</v>
      </c>
      <c r="Q1873" t="n">
        <v>0</v>
      </c>
      <c r="R1873" s="2" t="inlineStr"/>
    </row>
    <row r="1874" ht="15" customHeight="1">
      <c r="A1874" t="inlineStr">
        <is>
          <t>A 10213-2024</t>
        </is>
      </c>
      <c r="B1874" s="1" t="n">
        <v>45364</v>
      </c>
      <c r="C1874" s="1" t="n">
        <v>45666</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10215-2024</t>
        </is>
      </c>
      <c r="B1875" s="1" t="n">
        <v>45364</v>
      </c>
      <c r="C1875" s="1" t="n">
        <v>45666</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10558-2024</t>
        </is>
      </c>
      <c r="B1876" s="1" t="n">
        <v>45366</v>
      </c>
      <c r="C1876" s="1" t="n">
        <v>45666</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10543-2024</t>
        </is>
      </c>
      <c r="B1877" s="1" t="n">
        <v>45366</v>
      </c>
      <c r="C1877" s="1" t="n">
        <v>45666</v>
      </c>
      <c r="D1877" t="inlineStr">
        <is>
          <t>JÄMTLANDS LÄN</t>
        </is>
      </c>
      <c r="E1877" t="inlineStr">
        <is>
          <t>BRÄCKE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10621-2024</t>
        </is>
      </c>
      <c r="B1878" s="1" t="n">
        <v>45367</v>
      </c>
      <c r="C1878" s="1" t="n">
        <v>45666</v>
      </c>
      <c r="D1878" t="inlineStr">
        <is>
          <t>JÄMTLANDS LÄN</t>
        </is>
      </c>
      <c r="E1878" t="inlineStr">
        <is>
          <t>BRÄCKE</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10855-2024</t>
        </is>
      </c>
      <c r="B1879" s="1" t="n">
        <v>45370</v>
      </c>
      <c r="C1879" s="1" t="n">
        <v>45666</v>
      </c>
      <c r="D1879" t="inlineStr">
        <is>
          <t>JÄMTLANDS LÄN</t>
        </is>
      </c>
      <c r="E1879" t="inlineStr">
        <is>
          <t>BRÄCKE</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10859-2024</t>
        </is>
      </c>
      <c r="B1880" s="1" t="n">
        <v>45370</v>
      </c>
      <c r="C1880" s="1" t="n">
        <v>45666</v>
      </c>
      <c r="D1880" t="inlineStr">
        <is>
          <t>JÄMTLANDS LÄN</t>
        </is>
      </c>
      <c r="E1880" t="inlineStr">
        <is>
          <t>BRÄCKE</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10858-2024</t>
        </is>
      </c>
      <c r="B1881" s="1" t="n">
        <v>45370</v>
      </c>
      <c r="C1881" s="1" t="n">
        <v>45666</v>
      </c>
      <c r="D1881" t="inlineStr">
        <is>
          <t>JÄMTLANDS LÄN</t>
        </is>
      </c>
      <c r="E1881" t="inlineStr">
        <is>
          <t>BRÄCKE</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10857-2024</t>
        </is>
      </c>
      <c r="B1882" s="1" t="n">
        <v>45370</v>
      </c>
      <c r="C1882" s="1" t="n">
        <v>45666</v>
      </c>
      <c r="D1882" t="inlineStr">
        <is>
          <t>JÄMTLANDS LÄN</t>
        </is>
      </c>
      <c r="E1882" t="inlineStr">
        <is>
          <t>BRÄCKE</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10877-2024</t>
        </is>
      </c>
      <c r="B1883" s="1" t="n">
        <v>45370</v>
      </c>
      <c r="C1883" s="1" t="n">
        <v>45666</v>
      </c>
      <c r="D1883" t="inlineStr">
        <is>
          <t>JÄMTLANDS LÄN</t>
        </is>
      </c>
      <c r="E1883" t="inlineStr">
        <is>
          <t>BRÄCKE</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10856-2024</t>
        </is>
      </c>
      <c r="B1884" s="1" t="n">
        <v>45370</v>
      </c>
      <c r="C1884" s="1" t="n">
        <v>45666</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11084-2024</t>
        </is>
      </c>
      <c r="B1885" s="1" t="n">
        <v>45370</v>
      </c>
      <c r="C1885" s="1" t="n">
        <v>45666</v>
      </c>
      <c r="D1885" t="inlineStr">
        <is>
          <t>JÄMTLANDS LÄN</t>
        </is>
      </c>
      <c r="E1885" t="inlineStr">
        <is>
          <t>BRÄCKE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11085-2024</t>
        </is>
      </c>
      <c r="B1886" s="1" t="n">
        <v>45370</v>
      </c>
      <c r="C1886" s="1" t="n">
        <v>45666</v>
      </c>
      <c r="D1886" t="inlineStr">
        <is>
          <t>JÄMTLANDS LÄN</t>
        </is>
      </c>
      <c r="E1886" t="inlineStr">
        <is>
          <t>BRÄCKE</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11093-2024</t>
        </is>
      </c>
      <c r="B1887" s="1" t="n">
        <v>45370</v>
      </c>
      <c r="C1887" s="1" t="n">
        <v>45666</v>
      </c>
      <c r="D1887" t="inlineStr">
        <is>
          <t>JÄMTLANDS LÄN</t>
        </is>
      </c>
      <c r="E1887" t="inlineStr">
        <is>
          <t>BRÄCKE</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11331-2024</t>
        </is>
      </c>
      <c r="B1888" s="1" t="n">
        <v>45372</v>
      </c>
      <c r="C1888" s="1" t="n">
        <v>45666</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11336-2024</t>
        </is>
      </c>
      <c r="B1889" s="1" t="n">
        <v>45372</v>
      </c>
      <c r="C1889" s="1" t="n">
        <v>45666</v>
      </c>
      <c r="D1889" t="inlineStr">
        <is>
          <t>JÄMTLANDS LÄN</t>
        </is>
      </c>
      <c r="E1889" t="inlineStr">
        <is>
          <t>BRÄCKE</t>
        </is>
      </c>
      <c r="F1889" t="inlineStr">
        <is>
          <t>SCA</t>
        </is>
      </c>
      <c r="G1889" t="n">
        <v>26.1</v>
      </c>
      <c r="H1889" t="n">
        <v>0</v>
      </c>
      <c r="I1889" t="n">
        <v>0</v>
      </c>
      <c r="J1889" t="n">
        <v>0</v>
      </c>
      <c r="K1889" t="n">
        <v>0</v>
      </c>
      <c r="L1889" t="n">
        <v>0</v>
      </c>
      <c r="M1889" t="n">
        <v>0</v>
      </c>
      <c r="N1889" t="n">
        <v>0</v>
      </c>
      <c r="O1889" t="n">
        <v>0</v>
      </c>
      <c r="P1889" t="n">
        <v>0</v>
      </c>
      <c r="Q1889" t="n">
        <v>0</v>
      </c>
      <c r="R1889" s="2" t="inlineStr"/>
    </row>
    <row r="1890" ht="15" customHeight="1">
      <c r="A1890" t="inlineStr">
        <is>
          <t>A 11337-2024</t>
        </is>
      </c>
      <c r="B1890" s="1" t="n">
        <v>45372</v>
      </c>
      <c r="C1890" s="1" t="n">
        <v>45666</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11543-2024</t>
        </is>
      </c>
      <c r="B1891" s="1" t="n">
        <v>45372</v>
      </c>
      <c r="C1891" s="1" t="n">
        <v>45666</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11536-2024</t>
        </is>
      </c>
      <c r="B1892" s="1" t="n">
        <v>45372</v>
      </c>
      <c r="C1892" s="1" t="n">
        <v>45666</v>
      </c>
      <c r="D1892" t="inlineStr">
        <is>
          <t>JÄMTLANDS LÄN</t>
        </is>
      </c>
      <c r="E1892" t="inlineStr">
        <is>
          <t>BRÄCKE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11545-2024</t>
        </is>
      </c>
      <c r="B1893" s="1" t="n">
        <v>45372</v>
      </c>
      <c r="C1893" s="1" t="n">
        <v>45666</v>
      </c>
      <c r="D1893" t="inlineStr">
        <is>
          <t>JÄMTLANDS LÄN</t>
        </is>
      </c>
      <c r="E1893" t="inlineStr">
        <is>
          <t>BRÄCKE</t>
        </is>
      </c>
      <c r="F1893" t="inlineStr">
        <is>
          <t>SCA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11553-2024</t>
        </is>
      </c>
      <c r="B1894" s="1" t="n">
        <v>45372</v>
      </c>
      <c r="C1894" s="1" t="n">
        <v>45666</v>
      </c>
      <c r="D1894" t="inlineStr">
        <is>
          <t>JÄMTLANDS LÄN</t>
        </is>
      </c>
      <c r="E1894" t="inlineStr">
        <is>
          <t>BRÄCKE</t>
        </is>
      </c>
      <c r="F1894" t="inlineStr">
        <is>
          <t>Naturvårdsverket</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11658-2024</t>
        </is>
      </c>
      <c r="B1895" s="1" t="n">
        <v>45373</v>
      </c>
      <c r="C1895" s="1" t="n">
        <v>45666</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11830-2024</t>
        </is>
      </c>
      <c r="B1896" s="1" t="n">
        <v>45376</v>
      </c>
      <c r="C1896" s="1" t="n">
        <v>45666</v>
      </c>
      <c r="D1896" t="inlineStr">
        <is>
          <t>JÄMTLANDS LÄN</t>
        </is>
      </c>
      <c r="E1896" t="inlineStr">
        <is>
          <t>BRÄCKE</t>
        </is>
      </c>
      <c r="G1896" t="n">
        <v>18.3</v>
      </c>
      <c r="H1896" t="n">
        <v>0</v>
      </c>
      <c r="I1896" t="n">
        <v>0</v>
      </c>
      <c r="J1896" t="n">
        <v>0</v>
      </c>
      <c r="K1896" t="n">
        <v>0</v>
      </c>
      <c r="L1896" t="n">
        <v>0</v>
      </c>
      <c r="M1896" t="n">
        <v>0</v>
      </c>
      <c r="N1896" t="n">
        <v>0</v>
      </c>
      <c r="O1896" t="n">
        <v>0</v>
      </c>
      <c r="P1896" t="n">
        <v>0</v>
      </c>
      <c r="Q1896" t="n">
        <v>0</v>
      </c>
      <c r="R1896" s="2" t="inlineStr"/>
    </row>
    <row r="1897" ht="15" customHeight="1">
      <c r="A1897" t="inlineStr">
        <is>
          <t>A 11993-2024</t>
        </is>
      </c>
      <c r="B1897" s="1" t="n">
        <v>45376</v>
      </c>
      <c r="C1897" s="1" t="n">
        <v>45666</v>
      </c>
      <c r="D1897" t="inlineStr">
        <is>
          <t>JÄMTLANDS LÄN</t>
        </is>
      </c>
      <c r="E1897" t="inlineStr">
        <is>
          <t>BRÄCKE</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11975-2024</t>
        </is>
      </c>
      <c r="B1898" s="1" t="n">
        <v>45376</v>
      </c>
      <c r="C1898" s="1" t="n">
        <v>45666</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11991-2024</t>
        </is>
      </c>
      <c r="B1899" s="1" t="n">
        <v>45376</v>
      </c>
      <c r="C1899" s="1" t="n">
        <v>45666</v>
      </c>
      <c r="D1899" t="inlineStr">
        <is>
          <t>JÄMTLANDS LÄN</t>
        </is>
      </c>
      <c r="E1899" t="inlineStr">
        <is>
          <t>BRÄCKE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11992-2024</t>
        </is>
      </c>
      <c r="B1900" s="1" t="n">
        <v>45376</v>
      </c>
      <c r="C1900" s="1" t="n">
        <v>45666</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11974-2024</t>
        </is>
      </c>
      <c r="B1901" s="1" t="n">
        <v>45376</v>
      </c>
      <c r="C1901" s="1" t="n">
        <v>45666</v>
      </c>
      <c r="D1901" t="inlineStr">
        <is>
          <t>JÄMTLANDS LÄN</t>
        </is>
      </c>
      <c r="E1901" t="inlineStr">
        <is>
          <t>BRÄCKE</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12195-2024</t>
        </is>
      </c>
      <c r="B1902" s="1" t="n">
        <v>45377</v>
      </c>
      <c r="C1902" s="1" t="n">
        <v>45666</v>
      </c>
      <c r="D1902" t="inlineStr">
        <is>
          <t>JÄMTLANDS LÄN</t>
        </is>
      </c>
      <c r="E1902" t="inlineStr">
        <is>
          <t>BRÄCKE</t>
        </is>
      </c>
      <c r="F1902" t="inlineStr">
        <is>
          <t>SCA</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12183-2024</t>
        </is>
      </c>
      <c r="B1903" s="1" t="n">
        <v>45377</v>
      </c>
      <c r="C1903" s="1" t="n">
        <v>45666</v>
      </c>
      <c r="D1903" t="inlineStr">
        <is>
          <t>JÄMTLANDS LÄN</t>
        </is>
      </c>
      <c r="E1903" t="inlineStr">
        <is>
          <t>BRÄCKE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12370-2024</t>
        </is>
      </c>
      <c r="B1904" s="1" t="n">
        <v>45378</v>
      </c>
      <c r="C1904" s="1" t="n">
        <v>45666</v>
      </c>
      <c r="D1904" t="inlineStr">
        <is>
          <t>JÄMTLANDS LÄN</t>
        </is>
      </c>
      <c r="E1904" t="inlineStr">
        <is>
          <t>BRÄCKE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12859-2024</t>
        </is>
      </c>
      <c r="B1905" s="1" t="n">
        <v>45385</v>
      </c>
      <c r="C1905" s="1" t="n">
        <v>45666</v>
      </c>
      <c r="D1905" t="inlineStr">
        <is>
          <t>JÄMTLANDS LÄN</t>
        </is>
      </c>
      <c r="E1905" t="inlineStr">
        <is>
          <t>BRÄCKE</t>
        </is>
      </c>
      <c r="F1905" t="inlineStr">
        <is>
          <t>SCA</t>
        </is>
      </c>
      <c r="G1905" t="n">
        <v>16.7</v>
      </c>
      <c r="H1905" t="n">
        <v>0</v>
      </c>
      <c r="I1905" t="n">
        <v>0</v>
      </c>
      <c r="J1905" t="n">
        <v>0</v>
      </c>
      <c r="K1905" t="n">
        <v>0</v>
      </c>
      <c r="L1905" t="n">
        <v>0</v>
      </c>
      <c r="M1905" t="n">
        <v>0</v>
      </c>
      <c r="N1905" t="n">
        <v>0</v>
      </c>
      <c r="O1905" t="n">
        <v>0</v>
      </c>
      <c r="P1905" t="n">
        <v>0</v>
      </c>
      <c r="Q1905" t="n">
        <v>0</v>
      </c>
      <c r="R1905" s="2" t="inlineStr"/>
    </row>
    <row r="1906" ht="15" customHeight="1">
      <c r="A1906" t="inlineStr">
        <is>
          <t>A 12864-2024</t>
        </is>
      </c>
      <c r="B1906" s="1" t="n">
        <v>45385</v>
      </c>
      <c r="C1906" s="1" t="n">
        <v>45666</v>
      </c>
      <c r="D1906" t="inlineStr">
        <is>
          <t>JÄMTLANDS LÄN</t>
        </is>
      </c>
      <c r="E1906" t="inlineStr">
        <is>
          <t>BRÄCKE</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12862-2024</t>
        </is>
      </c>
      <c r="B1907" s="1" t="n">
        <v>45385</v>
      </c>
      <c r="C1907" s="1" t="n">
        <v>45666</v>
      </c>
      <c r="D1907" t="inlineStr">
        <is>
          <t>JÄMTLANDS LÄN</t>
        </is>
      </c>
      <c r="E1907" t="inlineStr">
        <is>
          <t>BRÄCKE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12891-2024</t>
        </is>
      </c>
      <c r="B1908" s="1" t="n">
        <v>45385</v>
      </c>
      <c r="C1908" s="1" t="n">
        <v>45666</v>
      </c>
      <c r="D1908" t="inlineStr">
        <is>
          <t>JÄMTLANDS LÄN</t>
        </is>
      </c>
      <c r="E1908" t="inlineStr">
        <is>
          <t>BRÄCKE</t>
        </is>
      </c>
      <c r="F1908" t="inlineStr">
        <is>
          <t>Kyrkan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12889-2024</t>
        </is>
      </c>
      <c r="B1909" s="1" t="n">
        <v>45385</v>
      </c>
      <c r="C1909" s="1" t="n">
        <v>45666</v>
      </c>
      <c r="D1909" t="inlineStr">
        <is>
          <t>JÄMTLANDS LÄN</t>
        </is>
      </c>
      <c r="E1909" t="inlineStr">
        <is>
          <t>BRÄCKE</t>
        </is>
      </c>
      <c r="F1909" t="inlineStr">
        <is>
          <t>Kyrkan</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13183-2024</t>
        </is>
      </c>
      <c r="B1910" s="1" t="n">
        <v>45386</v>
      </c>
      <c r="C1910" s="1" t="n">
        <v>45666</v>
      </c>
      <c r="D1910" t="inlineStr">
        <is>
          <t>JÄMTLANDS LÄN</t>
        </is>
      </c>
      <c r="E1910" t="inlineStr">
        <is>
          <t>BRÄCKE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13166-2024</t>
        </is>
      </c>
      <c r="B1911" s="1" t="n">
        <v>45386</v>
      </c>
      <c r="C1911" s="1" t="n">
        <v>45666</v>
      </c>
      <c r="D1911" t="inlineStr">
        <is>
          <t>JÄMTLANDS LÄN</t>
        </is>
      </c>
      <c r="E1911" t="inlineStr">
        <is>
          <t>BRÄCKE</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13178-2024</t>
        </is>
      </c>
      <c r="B1912" s="1" t="n">
        <v>45386</v>
      </c>
      <c r="C1912" s="1" t="n">
        <v>45666</v>
      </c>
      <c r="D1912" t="inlineStr">
        <is>
          <t>JÄMTLANDS LÄN</t>
        </is>
      </c>
      <c r="E1912" t="inlineStr">
        <is>
          <t>BRÄCKE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13180-2024</t>
        </is>
      </c>
      <c r="B1913" s="1" t="n">
        <v>45386</v>
      </c>
      <c r="C1913" s="1" t="n">
        <v>45666</v>
      </c>
      <c r="D1913" t="inlineStr">
        <is>
          <t>JÄMTLANDS LÄN</t>
        </is>
      </c>
      <c r="E1913" t="inlineStr">
        <is>
          <t>BRÄCKE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13554-2024</t>
        </is>
      </c>
      <c r="B1914" s="1" t="n">
        <v>45387</v>
      </c>
      <c r="C1914" s="1" t="n">
        <v>45666</v>
      </c>
      <c r="D1914" t="inlineStr">
        <is>
          <t>JÄMTLANDS LÄN</t>
        </is>
      </c>
      <c r="E1914" t="inlineStr">
        <is>
          <t>BRÄCKE</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13668-2024</t>
        </is>
      </c>
      <c r="B1915" s="1" t="n">
        <v>45387</v>
      </c>
      <c r="C1915" s="1" t="n">
        <v>45666</v>
      </c>
      <c r="D1915" t="inlineStr">
        <is>
          <t>JÄMTLANDS LÄN</t>
        </is>
      </c>
      <c r="E1915" t="inlineStr">
        <is>
          <t>BRÄCKE</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13549-2024</t>
        </is>
      </c>
      <c r="B1916" s="1" t="n">
        <v>45387</v>
      </c>
      <c r="C1916" s="1" t="n">
        <v>45666</v>
      </c>
      <c r="D1916" t="inlineStr">
        <is>
          <t>JÄMTLANDS LÄN</t>
        </is>
      </c>
      <c r="E1916" t="inlineStr">
        <is>
          <t>BRÄCKE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13757-2024</t>
        </is>
      </c>
      <c r="B1917" s="1" t="n">
        <v>45391</v>
      </c>
      <c r="C1917" s="1" t="n">
        <v>45666</v>
      </c>
      <c r="D1917" t="inlineStr">
        <is>
          <t>JÄMTLANDS LÄN</t>
        </is>
      </c>
      <c r="E1917" t="inlineStr">
        <is>
          <t>BRÄCKE</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13762-2024</t>
        </is>
      </c>
      <c r="B1918" s="1" t="n">
        <v>45390</v>
      </c>
      <c r="C1918" s="1" t="n">
        <v>45666</v>
      </c>
      <c r="D1918" t="inlineStr">
        <is>
          <t>JÄMTLANDS LÄN</t>
        </is>
      </c>
      <c r="E1918" t="inlineStr">
        <is>
          <t>BRÄCKE</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13933-2024</t>
        </is>
      </c>
      <c r="B1919" s="1" t="n">
        <v>45392</v>
      </c>
      <c r="C1919" s="1" t="n">
        <v>45666</v>
      </c>
      <c r="D1919" t="inlineStr">
        <is>
          <t>JÄMTLANDS LÄN</t>
        </is>
      </c>
      <c r="E1919" t="inlineStr">
        <is>
          <t>BRÄCKE</t>
        </is>
      </c>
      <c r="F1919" t="inlineStr">
        <is>
          <t>SCA</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13938-2024</t>
        </is>
      </c>
      <c r="B1920" s="1" t="n">
        <v>45392</v>
      </c>
      <c r="C1920" s="1" t="n">
        <v>45666</v>
      </c>
      <c r="D1920" t="inlineStr">
        <is>
          <t>JÄMTLANDS LÄN</t>
        </is>
      </c>
      <c r="E1920" t="inlineStr">
        <is>
          <t>BRÄCKE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13944-2024</t>
        </is>
      </c>
      <c r="B1921" s="1" t="n">
        <v>45392</v>
      </c>
      <c r="C1921" s="1" t="n">
        <v>45666</v>
      </c>
      <c r="D1921" t="inlineStr">
        <is>
          <t>JÄMTLANDS LÄN</t>
        </is>
      </c>
      <c r="E1921" t="inlineStr">
        <is>
          <t>BRÄCKE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13932-2024</t>
        </is>
      </c>
      <c r="B1922" s="1" t="n">
        <v>45391</v>
      </c>
      <c r="C1922" s="1" t="n">
        <v>45666</v>
      </c>
      <c r="D1922" t="inlineStr">
        <is>
          <t>JÄMTLANDS LÄN</t>
        </is>
      </c>
      <c r="E1922" t="inlineStr">
        <is>
          <t>BRÄCKE</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13995-2024</t>
        </is>
      </c>
      <c r="B1923" s="1" t="n">
        <v>45392</v>
      </c>
      <c r="C1923" s="1" t="n">
        <v>45666</v>
      </c>
      <c r="D1923" t="inlineStr">
        <is>
          <t>JÄMTLANDS LÄN</t>
        </is>
      </c>
      <c r="E1923" t="inlineStr">
        <is>
          <t>BRÄCKE</t>
        </is>
      </c>
      <c r="F1923" t="inlineStr">
        <is>
          <t>Kyrkan</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14003-2024</t>
        </is>
      </c>
      <c r="B1924" s="1" t="n">
        <v>45392</v>
      </c>
      <c r="C1924" s="1" t="n">
        <v>45666</v>
      </c>
      <c r="D1924" t="inlineStr">
        <is>
          <t>JÄMTLANDS LÄN</t>
        </is>
      </c>
      <c r="E1924" t="inlineStr">
        <is>
          <t>BRÄCKE</t>
        </is>
      </c>
      <c r="F1924" t="inlineStr">
        <is>
          <t>Kyrkan</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14373-2024</t>
        </is>
      </c>
      <c r="B1925" s="1" t="n">
        <v>45393</v>
      </c>
      <c r="C1925" s="1" t="n">
        <v>45666</v>
      </c>
      <c r="D1925" t="inlineStr">
        <is>
          <t>JÄMTLANDS LÄN</t>
        </is>
      </c>
      <c r="E1925" t="inlineStr">
        <is>
          <t>BRÄCKE</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14370-2024</t>
        </is>
      </c>
      <c r="B1926" s="1" t="n">
        <v>45394</v>
      </c>
      <c r="C1926" s="1" t="n">
        <v>45666</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14450-2024</t>
        </is>
      </c>
      <c r="B1927" s="1" t="n">
        <v>45394</v>
      </c>
      <c r="C1927" s="1" t="n">
        <v>45666</v>
      </c>
      <c r="D1927" t="inlineStr">
        <is>
          <t>JÄMTLANDS LÄN</t>
        </is>
      </c>
      <c r="E1927" t="inlineStr">
        <is>
          <t>BRÄCKE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14492-2024</t>
        </is>
      </c>
      <c r="B1928" s="1" t="n">
        <v>45394</v>
      </c>
      <c r="C1928" s="1" t="n">
        <v>45666</v>
      </c>
      <c r="D1928" t="inlineStr">
        <is>
          <t>JÄMTLANDS LÄN</t>
        </is>
      </c>
      <c r="E1928" t="inlineStr">
        <is>
          <t>BRÄCKE</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14503-2024</t>
        </is>
      </c>
      <c r="B1929" s="1" t="n">
        <v>45394</v>
      </c>
      <c r="C1929" s="1" t="n">
        <v>45666</v>
      </c>
      <c r="D1929" t="inlineStr">
        <is>
          <t>JÄMTLANDS LÄN</t>
        </is>
      </c>
      <c r="E1929" t="inlineStr">
        <is>
          <t>BRÄCKE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14645-2024</t>
        </is>
      </c>
      <c r="B1930" s="1" t="n">
        <v>45397</v>
      </c>
      <c r="C1930" s="1" t="n">
        <v>45666</v>
      </c>
      <c r="D1930" t="inlineStr">
        <is>
          <t>JÄMTLANDS LÄN</t>
        </is>
      </c>
      <c r="E1930" t="inlineStr">
        <is>
          <t>BRÄCKE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14662-2024</t>
        </is>
      </c>
      <c r="B1931" s="1" t="n">
        <v>45397</v>
      </c>
      <c r="C1931" s="1" t="n">
        <v>45666</v>
      </c>
      <c r="D1931" t="inlineStr">
        <is>
          <t>JÄMTLANDS LÄN</t>
        </is>
      </c>
      <c r="E1931" t="inlineStr">
        <is>
          <t>BRÄCKE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14654-2024</t>
        </is>
      </c>
      <c r="B1932" s="1" t="n">
        <v>45397</v>
      </c>
      <c r="C1932" s="1" t="n">
        <v>45666</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14664-2024</t>
        </is>
      </c>
      <c r="B1933" s="1" t="n">
        <v>45397</v>
      </c>
      <c r="C1933" s="1" t="n">
        <v>45666</v>
      </c>
      <c r="D1933" t="inlineStr">
        <is>
          <t>JÄMTLANDS LÄN</t>
        </is>
      </c>
      <c r="E1933" t="inlineStr">
        <is>
          <t>BRÄCKE</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14969-2024</t>
        </is>
      </c>
      <c r="B1934" s="1" t="n">
        <v>45399</v>
      </c>
      <c r="C1934" s="1" t="n">
        <v>45666</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14979-2024</t>
        </is>
      </c>
      <c r="B1935" s="1" t="n">
        <v>45399</v>
      </c>
      <c r="C1935" s="1" t="n">
        <v>45666</v>
      </c>
      <c r="D1935" t="inlineStr">
        <is>
          <t>JÄMTLANDS LÄN</t>
        </is>
      </c>
      <c r="E1935" t="inlineStr">
        <is>
          <t>BRÄCKE</t>
        </is>
      </c>
      <c r="F1935" t="inlineStr">
        <is>
          <t>SCA</t>
        </is>
      </c>
      <c r="G1935" t="n">
        <v>8.800000000000001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14968-2024</t>
        </is>
      </c>
      <c r="B1936" s="1" t="n">
        <v>45399</v>
      </c>
      <c r="C1936" s="1" t="n">
        <v>45666</v>
      </c>
      <c r="D1936" t="inlineStr">
        <is>
          <t>JÄMTLANDS LÄN</t>
        </is>
      </c>
      <c r="E1936" t="inlineStr">
        <is>
          <t>BRÄCKE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15145-2024</t>
        </is>
      </c>
      <c r="B1937" s="1" t="n">
        <v>45400</v>
      </c>
      <c r="C1937" s="1" t="n">
        <v>45666</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15149-2024</t>
        </is>
      </c>
      <c r="B1938" s="1" t="n">
        <v>45400</v>
      </c>
      <c r="C1938" s="1" t="n">
        <v>45666</v>
      </c>
      <c r="D1938" t="inlineStr">
        <is>
          <t>JÄMTLANDS LÄN</t>
        </is>
      </c>
      <c r="E1938" t="inlineStr">
        <is>
          <t>BRÄCKE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15144-2024</t>
        </is>
      </c>
      <c r="B1939" s="1" t="n">
        <v>45400</v>
      </c>
      <c r="C1939" s="1" t="n">
        <v>45666</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15148-2024</t>
        </is>
      </c>
      <c r="B1940" s="1" t="n">
        <v>45400</v>
      </c>
      <c r="C1940" s="1" t="n">
        <v>45666</v>
      </c>
      <c r="D1940" t="inlineStr">
        <is>
          <t>JÄMTLANDS LÄN</t>
        </is>
      </c>
      <c r="E1940" t="inlineStr">
        <is>
          <t>BRÄCKE</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15155-2024</t>
        </is>
      </c>
      <c r="B1941" s="1" t="n">
        <v>45400</v>
      </c>
      <c r="C1941" s="1" t="n">
        <v>45666</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15201-2024</t>
        </is>
      </c>
      <c r="B1942" s="1" t="n">
        <v>45400</v>
      </c>
      <c r="C1942" s="1" t="n">
        <v>45666</v>
      </c>
      <c r="D1942" t="inlineStr">
        <is>
          <t>JÄMTLANDS LÄN</t>
        </is>
      </c>
      <c r="E1942" t="inlineStr">
        <is>
          <t>BRÄCKE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16060-2024</t>
        </is>
      </c>
      <c r="B1943" s="1" t="n">
        <v>45406</v>
      </c>
      <c r="C1943" s="1" t="n">
        <v>45666</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16059-2024</t>
        </is>
      </c>
      <c r="B1944" s="1" t="n">
        <v>45406</v>
      </c>
      <c r="C1944" s="1" t="n">
        <v>45666</v>
      </c>
      <c r="D1944" t="inlineStr">
        <is>
          <t>JÄMTLANDS LÄN</t>
        </is>
      </c>
      <c r="E1944" t="inlineStr">
        <is>
          <t>BRÄCKE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16158-2024</t>
        </is>
      </c>
      <c r="B1945" s="1" t="n">
        <v>45406</v>
      </c>
      <c r="C1945" s="1" t="n">
        <v>45666</v>
      </c>
      <c r="D1945" t="inlineStr">
        <is>
          <t>JÄMTLANDS LÄN</t>
        </is>
      </c>
      <c r="E1945" t="inlineStr">
        <is>
          <t>BRÄCKE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16196-2024</t>
        </is>
      </c>
      <c r="B1946" s="1" t="n">
        <v>45406</v>
      </c>
      <c r="C1946" s="1" t="n">
        <v>45666</v>
      </c>
      <c r="D1946" t="inlineStr">
        <is>
          <t>JÄMTLANDS LÄN</t>
        </is>
      </c>
      <c r="E1946" t="inlineStr">
        <is>
          <t>BRÄCKE</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16472-2024</t>
        </is>
      </c>
      <c r="B1947" s="1" t="n">
        <v>45408</v>
      </c>
      <c r="C1947" s="1" t="n">
        <v>45666</v>
      </c>
      <c r="D1947" t="inlineStr">
        <is>
          <t>JÄMTLANDS LÄN</t>
        </is>
      </c>
      <c r="E1947" t="inlineStr">
        <is>
          <t>BRÄCKE</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16512-2024</t>
        </is>
      </c>
      <c r="B1948" s="1" t="n">
        <v>45408</v>
      </c>
      <c r="C1948" s="1" t="n">
        <v>45666</v>
      </c>
      <c r="D1948" t="inlineStr">
        <is>
          <t>JÄMTLANDS LÄN</t>
        </is>
      </c>
      <c r="E1948" t="inlineStr">
        <is>
          <t>BRÄCKE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16462-2024</t>
        </is>
      </c>
      <c r="B1949" s="1" t="n">
        <v>45408</v>
      </c>
      <c r="C1949" s="1" t="n">
        <v>45666</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16466-2024</t>
        </is>
      </c>
      <c r="B1950" s="1" t="n">
        <v>45408</v>
      </c>
      <c r="C1950" s="1" t="n">
        <v>45666</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16708-2024</t>
        </is>
      </c>
      <c r="B1951" s="1" t="n">
        <v>45409</v>
      </c>
      <c r="C1951" s="1" t="n">
        <v>45666</v>
      </c>
      <c r="D1951" t="inlineStr">
        <is>
          <t>JÄMTLANDS LÄN</t>
        </is>
      </c>
      <c r="E1951" t="inlineStr">
        <is>
          <t>BRÄCKE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16707-2024</t>
        </is>
      </c>
      <c r="B1952" s="1" t="n">
        <v>45409</v>
      </c>
      <c r="C1952" s="1" t="n">
        <v>45666</v>
      </c>
      <c r="D1952" t="inlineStr">
        <is>
          <t>JÄMTLANDS LÄN</t>
        </is>
      </c>
      <c r="E1952" t="inlineStr">
        <is>
          <t>BRÄCKE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17016-2024</t>
        </is>
      </c>
      <c r="B1953" s="1" t="n">
        <v>45411</v>
      </c>
      <c r="C1953" s="1" t="n">
        <v>45666</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17184-2024</t>
        </is>
      </c>
      <c r="B1954" s="1" t="n">
        <v>45413</v>
      </c>
      <c r="C1954" s="1" t="n">
        <v>45666</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17183-2024</t>
        </is>
      </c>
      <c r="B1955" s="1" t="n">
        <v>45413</v>
      </c>
      <c r="C1955" s="1" t="n">
        <v>45666</v>
      </c>
      <c r="D1955" t="inlineStr">
        <is>
          <t>JÄMTLANDS LÄN</t>
        </is>
      </c>
      <c r="E1955" t="inlineStr">
        <is>
          <t>BRÄCKE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17182-2024</t>
        </is>
      </c>
      <c r="B1956" s="1" t="n">
        <v>45413</v>
      </c>
      <c r="C1956" s="1" t="n">
        <v>45666</v>
      </c>
      <c r="D1956" t="inlineStr">
        <is>
          <t>JÄMTLANDS LÄN</t>
        </is>
      </c>
      <c r="E1956" t="inlineStr">
        <is>
          <t>BRÄCKE</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17174-2024</t>
        </is>
      </c>
      <c r="B1957" s="1" t="n">
        <v>45413</v>
      </c>
      <c r="C1957" s="1" t="n">
        <v>45666</v>
      </c>
      <c r="D1957" t="inlineStr">
        <is>
          <t>JÄMTLANDS LÄN</t>
        </is>
      </c>
      <c r="E1957" t="inlineStr">
        <is>
          <t>BRÄCKE</t>
        </is>
      </c>
      <c r="F1957" t="inlineStr">
        <is>
          <t>SCA</t>
        </is>
      </c>
      <c r="G1957" t="n">
        <v>20.3</v>
      </c>
      <c r="H1957" t="n">
        <v>0</v>
      </c>
      <c r="I1957" t="n">
        <v>0</v>
      </c>
      <c r="J1957" t="n">
        <v>0</v>
      </c>
      <c r="K1957" t="n">
        <v>0</v>
      </c>
      <c r="L1957" t="n">
        <v>0</v>
      </c>
      <c r="M1957" t="n">
        <v>0</v>
      </c>
      <c r="N1957" t="n">
        <v>0</v>
      </c>
      <c r="O1957" t="n">
        <v>0</v>
      </c>
      <c r="P1957" t="n">
        <v>0</v>
      </c>
      <c r="Q1957" t="n">
        <v>0</v>
      </c>
      <c r="R1957" s="2" t="inlineStr"/>
    </row>
    <row r="1958" ht="15" customHeight="1">
      <c r="A1958" t="inlineStr">
        <is>
          <t>A 17420-2024</t>
        </is>
      </c>
      <c r="B1958" s="1" t="n">
        <v>45415</v>
      </c>
      <c r="C1958" s="1" t="n">
        <v>45666</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17597-2024</t>
        </is>
      </c>
      <c r="B1959" s="1" t="n">
        <v>45416</v>
      </c>
      <c r="C1959" s="1" t="n">
        <v>45666</v>
      </c>
      <c r="D1959" t="inlineStr">
        <is>
          <t>JÄMTLANDS LÄN</t>
        </is>
      </c>
      <c r="E1959" t="inlineStr">
        <is>
          <t>BRÄCKE</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17592-2024</t>
        </is>
      </c>
      <c r="B1960" s="1" t="n">
        <v>45416</v>
      </c>
      <c r="C1960" s="1" t="n">
        <v>45666</v>
      </c>
      <c r="D1960" t="inlineStr">
        <is>
          <t>JÄMTLANDS LÄN</t>
        </is>
      </c>
      <c r="E1960" t="inlineStr">
        <is>
          <t>BRÄCKE</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17809-2024</t>
        </is>
      </c>
      <c r="B1961" s="1" t="n">
        <v>45419</v>
      </c>
      <c r="C1961" s="1" t="n">
        <v>45666</v>
      </c>
      <c r="D1961" t="inlineStr">
        <is>
          <t>JÄMTLANDS LÄN</t>
        </is>
      </c>
      <c r="E1961" t="inlineStr">
        <is>
          <t>BRÄCKE</t>
        </is>
      </c>
      <c r="G1961" t="n">
        <v>21.7</v>
      </c>
      <c r="H1961" t="n">
        <v>0</v>
      </c>
      <c r="I1961" t="n">
        <v>0</v>
      </c>
      <c r="J1961" t="n">
        <v>0</v>
      </c>
      <c r="K1961" t="n">
        <v>0</v>
      </c>
      <c r="L1961" t="n">
        <v>0</v>
      </c>
      <c r="M1961" t="n">
        <v>0</v>
      </c>
      <c r="N1961" t="n">
        <v>0</v>
      </c>
      <c r="O1961" t="n">
        <v>0</v>
      </c>
      <c r="P1961" t="n">
        <v>0</v>
      </c>
      <c r="Q1961" t="n">
        <v>0</v>
      </c>
      <c r="R1961" s="2" t="inlineStr"/>
    </row>
    <row r="1962" ht="15" customHeight="1">
      <c r="A1962" t="inlineStr">
        <is>
          <t>A 17810-2024</t>
        </is>
      </c>
      <c r="B1962" s="1" t="n">
        <v>45419</v>
      </c>
      <c r="C1962" s="1" t="n">
        <v>45666</v>
      </c>
      <c r="D1962" t="inlineStr">
        <is>
          <t>JÄMTLANDS LÄN</t>
        </is>
      </c>
      <c r="E1962" t="inlineStr">
        <is>
          <t>BRÄCKE</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18047-2024</t>
        </is>
      </c>
      <c r="B1963" s="1" t="n">
        <v>45420</v>
      </c>
      <c r="C1963" s="1" t="n">
        <v>45666</v>
      </c>
      <c r="D1963" t="inlineStr">
        <is>
          <t>JÄMTLANDS LÄN</t>
        </is>
      </c>
      <c r="E1963" t="inlineStr">
        <is>
          <t>BRÄCKE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18600-2024</t>
        </is>
      </c>
      <c r="B1964" s="1" t="n">
        <v>45426</v>
      </c>
      <c r="C1964" s="1" t="n">
        <v>45666</v>
      </c>
      <c r="D1964" t="inlineStr">
        <is>
          <t>JÄMTLANDS LÄN</t>
        </is>
      </c>
      <c r="E1964" t="inlineStr">
        <is>
          <t>BRÄCKE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18640-2024</t>
        </is>
      </c>
      <c r="B1965" s="1" t="n">
        <v>45426</v>
      </c>
      <c r="C1965" s="1" t="n">
        <v>45666</v>
      </c>
      <c r="D1965" t="inlineStr">
        <is>
          <t>JÄMTLANDS LÄN</t>
        </is>
      </c>
      <c r="E1965" t="inlineStr">
        <is>
          <t>BRÄCKE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18637-2024</t>
        </is>
      </c>
      <c r="B1966" s="1" t="n">
        <v>45426</v>
      </c>
      <c r="C1966" s="1" t="n">
        <v>45666</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18641-2024</t>
        </is>
      </c>
      <c r="B1967" s="1" t="n">
        <v>45426</v>
      </c>
      <c r="C1967" s="1" t="n">
        <v>45666</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18645-2024</t>
        </is>
      </c>
      <c r="B1968" s="1" t="n">
        <v>45426</v>
      </c>
      <c r="C1968" s="1" t="n">
        <v>45666</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18606-2024</t>
        </is>
      </c>
      <c r="B1969" s="1" t="n">
        <v>45426</v>
      </c>
      <c r="C1969" s="1" t="n">
        <v>45666</v>
      </c>
      <c r="D1969" t="inlineStr">
        <is>
          <t>JÄMTLANDS LÄN</t>
        </is>
      </c>
      <c r="E1969" t="inlineStr">
        <is>
          <t>BRÄCKE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18626-2024</t>
        </is>
      </c>
      <c r="B1970" s="1" t="n">
        <v>45426</v>
      </c>
      <c r="C1970" s="1" t="n">
        <v>45666</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18630-2024</t>
        </is>
      </c>
      <c r="B1971" s="1" t="n">
        <v>45426</v>
      </c>
      <c r="C1971" s="1" t="n">
        <v>45666</v>
      </c>
      <c r="D1971" t="inlineStr">
        <is>
          <t>JÄMTLANDS LÄN</t>
        </is>
      </c>
      <c r="E1971" t="inlineStr">
        <is>
          <t>BRÄCKE</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18760-2024</t>
        </is>
      </c>
      <c r="B1972" s="1" t="n">
        <v>45426</v>
      </c>
      <c r="C1972" s="1" t="n">
        <v>45666</v>
      </c>
      <c r="D1972" t="inlineStr">
        <is>
          <t>JÄMTLANDS LÄN</t>
        </is>
      </c>
      <c r="E1972" t="inlineStr">
        <is>
          <t>BRÄCKE</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18729-2024</t>
        </is>
      </c>
      <c r="B1973" s="1" t="n">
        <v>45426</v>
      </c>
      <c r="C1973" s="1" t="n">
        <v>45666</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18801-2024</t>
        </is>
      </c>
      <c r="B1974" s="1" t="n">
        <v>45426</v>
      </c>
      <c r="C1974" s="1" t="n">
        <v>45666</v>
      </c>
      <c r="D1974" t="inlineStr">
        <is>
          <t>JÄMTLANDS LÄN</t>
        </is>
      </c>
      <c r="E1974" t="inlineStr">
        <is>
          <t>BRÄCKE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18755-2024</t>
        </is>
      </c>
      <c r="B1975" s="1" t="n">
        <v>45426</v>
      </c>
      <c r="C1975" s="1" t="n">
        <v>45666</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18877-2024</t>
        </is>
      </c>
      <c r="B1976" s="1" t="n">
        <v>45427</v>
      </c>
      <c r="C1976" s="1" t="n">
        <v>45666</v>
      </c>
      <c r="D1976" t="inlineStr">
        <is>
          <t>JÄMTLANDS LÄN</t>
        </is>
      </c>
      <c r="E1976" t="inlineStr">
        <is>
          <t>BRÄCKE</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18965-2024</t>
        </is>
      </c>
      <c r="B1977" s="1" t="n">
        <v>45427</v>
      </c>
      <c r="C1977" s="1" t="n">
        <v>45666</v>
      </c>
      <c r="D1977" t="inlineStr">
        <is>
          <t>JÄMTLANDS LÄN</t>
        </is>
      </c>
      <c r="E1977" t="inlineStr">
        <is>
          <t>BRÄCKE</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19291-2024</t>
        </is>
      </c>
      <c r="B1978" s="1" t="n">
        <v>45428</v>
      </c>
      <c r="C1978" s="1" t="n">
        <v>45666</v>
      </c>
      <c r="D1978" t="inlineStr">
        <is>
          <t>JÄMTLANDS LÄN</t>
        </is>
      </c>
      <c r="E1978" t="inlineStr">
        <is>
          <t>BRÄCKE</t>
        </is>
      </c>
      <c r="F1978" t="inlineStr">
        <is>
          <t>Övriga Aktiebolag</t>
        </is>
      </c>
      <c r="G1978" t="n">
        <v>20.8</v>
      </c>
      <c r="H1978" t="n">
        <v>0</v>
      </c>
      <c r="I1978" t="n">
        <v>0</v>
      </c>
      <c r="J1978" t="n">
        <v>0</v>
      </c>
      <c r="K1978" t="n">
        <v>0</v>
      </c>
      <c r="L1978" t="n">
        <v>0</v>
      </c>
      <c r="M1978" t="n">
        <v>0</v>
      </c>
      <c r="N1978" t="n">
        <v>0</v>
      </c>
      <c r="O1978" t="n">
        <v>0</v>
      </c>
      <c r="P1978" t="n">
        <v>0</v>
      </c>
      <c r="Q1978" t="n">
        <v>0</v>
      </c>
      <c r="R1978" s="2" t="inlineStr"/>
    </row>
    <row r="1979" ht="15" customHeight="1">
      <c r="A1979" t="inlineStr">
        <is>
          <t>A 19332-2024</t>
        </is>
      </c>
      <c r="B1979" s="1" t="n">
        <v>45429</v>
      </c>
      <c r="C1979" s="1" t="n">
        <v>45666</v>
      </c>
      <c r="D1979" t="inlineStr">
        <is>
          <t>JÄMTLANDS LÄN</t>
        </is>
      </c>
      <c r="E1979" t="inlineStr">
        <is>
          <t>BRÄCKE</t>
        </is>
      </c>
      <c r="F1979" t="inlineStr">
        <is>
          <t>SCA</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19344-2024</t>
        </is>
      </c>
      <c r="B1980" s="1" t="n">
        <v>45429</v>
      </c>
      <c r="C1980" s="1" t="n">
        <v>45666</v>
      </c>
      <c r="D1980" t="inlineStr">
        <is>
          <t>JÄMTLANDS LÄN</t>
        </is>
      </c>
      <c r="E1980" t="inlineStr">
        <is>
          <t>BRÄCKE</t>
        </is>
      </c>
      <c r="F1980" t="inlineStr">
        <is>
          <t>SCA</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19584-2024</t>
        </is>
      </c>
      <c r="B1981" s="1" t="n">
        <v>45429</v>
      </c>
      <c r="C1981" s="1" t="n">
        <v>45666</v>
      </c>
      <c r="D1981" t="inlineStr">
        <is>
          <t>JÄMTLANDS LÄN</t>
        </is>
      </c>
      <c r="E1981" t="inlineStr">
        <is>
          <t>BRÄCKE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20001-2024</t>
        </is>
      </c>
      <c r="B1982" s="1" t="n">
        <v>45434</v>
      </c>
      <c r="C1982" s="1" t="n">
        <v>45666</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19999-2024</t>
        </is>
      </c>
      <c r="B1983" s="1" t="n">
        <v>45434</v>
      </c>
      <c r="C1983" s="1" t="n">
        <v>45666</v>
      </c>
      <c r="D1983" t="inlineStr">
        <is>
          <t>JÄMTLANDS LÄN</t>
        </is>
      </c>
      <c r="E1983" t="inlineStr">
        <is>
          <t>BRÄCKE</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20003-2024</t>
        </is>
      </c>
      <c r="B1984" s="1" t="n">
        <v>45434</v>
      </c>
      <c r="C1984" s="1" t="n">
        <v>45666</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19996-2024</t>
        </is>
      </c>
      <c r="B1985" s="1" t="n">
        <v>45434</v>
      </c>
      <c r="C1985" s="1" t="n">
        <v>45666</v>
      </c>
      <c r="D1985" t="inlineStr">
        <is>
          <t>JÄMTLANDS LÄN</t>
        </is>
      </c>
      <c r="E1985" t="inlineStr">
        <is>
          <t>BRÄCKE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20000-2024</t>
        </is>
      </c>
      <c r="B1986" s="1" t="n">
        <v>45434</v>
      </c>
      <c r="C1986" s="1" t="n">
        <v>45666</v>
      </c>
      <c r="D1986" t="inlineStr">
        <is>
          <t>JÄMTLANDS LÄN</t>
        </is>
      </c>
      <c r="E1986" t="inlineStr">
        <is>
          <t>BRÄCKE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20009-2024</t>
        </is>
      </c>
      <c r="B1987" s="1" t="n">
        <v>45434</v>
      </c>
      <c r="C1987" s="1" t="n">
        <v>45666</v>
      </c>
      <c r="D1987" t="inlineStr">
        <is>
          <t>JÄMTLANDS LÄN</t>
        </is>
      </c>
      <c r="E1987" t="inlineStr">
        <is>
          <t>BRÄCKE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20074-2024</t>
        </is>
      </c>
      <c r="B1988" s="1" t="n">
        <v>45434</v>
      </c>
      <c r="C1988" s="1" t="n">
        <v>45666</v>
      </c>
      <c r="D1988" t="inlineStr">
        <is>
          <t>JÄMTLANDS LÄN</t>
        </is>
      </c>
      <c r="E1988" t="inlineStr">
        <is>
          <t>BRÄCKE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20261-2024</t>
        </is>
      </c>
      <c r="B1989" s="1" t="n">
        <v>45435</v>
      </c>
      <c r="C1989" s="1" t="n">
        <v>45666</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20262-2024</t>
        </is>
      </c>
      <c r="B1990" s="1" t="n">
        <v>45435</v>
      </c>
      <c r="C1990" s="1" t="n">
        <v>45666</v>
      </c>
      <c r="D1990" t="inlineStr">
        <is>
          <t>JÄMTLANDS LÄN</t>
        </is>
      </c>
      <c r="E1990" t="inlineStr">
        <is>
          <t>BRÄCKE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20263-2024</t>
        </is>
      </c>
      <c r="B1991" s="1" t="n">
        <v>45435</v>
      </c>
      <c r="C1991" s="1" t="n">
        <v>45666</v>
      </c>
      <c r="D1991" t="inlineStr">
        <is>
          <t>JÄMTLANDS LÄN</t>
        </is>
      </c>
      <c r="E1991" t="inlineStr">
        <is>
          <t>BRÄCKE</t>
        </is>
      </c>
      <c r="F1991" t="inlineStr">
        <is>
          <t>SCA</t>
        </is>
      </c>
      <c r="G1991" t="n">
        <v>22.5</v>
      </c>
      <c r="H1991" t="n">
        <v>0</v>
      </c>
      <c r="I1991" t="n">
        <v>0</v>
      </c>
      <c r="J1991" t="n">
        <v>0</v>
      </c>
      <c r="K1991" t="n">
        <v>0</v>
      </c>
      <c r="L1991" t="n">
        <v>0</v>
      </c>
      <c r="M1991" t="n">
        <v>0</v>
      </c>
      <c r="N1991" t="n">
        <v>0</v>
      </c>
      <c r="O1991" t="n">
        <v>0</v>
      </c>
      <c r="P1991" t="n">
        <v>0</v>
      </c>
      <c r="Q1991" t="n">
        <v>0</v>
      </c>
      <c r="R1991" s="2" t="inlineStr"/>
    </row>
    <row r="1992" ht="15" customHeight="1">
      <c r="A1992" t="inlineStr">
        <is>
          <t>A 20267-2024</t>
        </is>
      </c>
      <c r="B1992" s="1" t="n">
        <v>45435</v>
      </c>
      <c r="C1992" s="1" t="n">
        <v>45666</v>
      </c>
      <c r="D1992" t="inlineStr">
        <is>
          <t>JÄMTLANDS LÄN</t>
        </is>
      </c>
      <c r="E1992" t="inlineStr">
        <is>
          <t>BRÄCKE</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20260-2024</t>
        </is>
      </c>
      <c r="B1993" s="1" t="n">
        <v>45435</v>
      </c>
      <c r="C1993" s="1" t="n">
        <v>45666</v>
      </c>
      <c r="D1993" t="inlineStr">
        <is>
          <t>JÄMTLANDS LÄN</t>
        </is>
      </c>
      <c r="E1993" t="inlineStr">
        <is>
          <t>BRÄCKE</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20513-2024</t>
        </is>
      </c>
      <c r="B1994" s="1" t="n">
        <v>45436</v>
      </c>
      <c r="C1994" s="1" t="n">
        <v>45666</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20512-2024</t>
        </is>
      </c>
      <c r="B1995" s="1" t="n">
        <v>45436</v>
      </c>
      <c r="C1995" s="1" t="n">
        <v>45666</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20525-2024</t>
        </is>
      </c>
      <c r="B1996" s="1" t="n">
        <v>45436</v>
      </c>
      <c r="C1996" s="1" t="n">
        <v>45666</v>
      </c>
      <c r="D1996" t="inlineStr">
        <is>
          <t>JÄMTLANDS LÄN</t>
        </is>
      </c>
      <c r="E1996" t="inlineStr">
        <is>
          <t>BRÄCKE</t>
        </is>
      </c>
      <c r="F1996" t="inlineStr">
        <is>
          <t>SCA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20514-2024</t>
        </is>
      </c>
      <c r="B1997" s="1" t="n">
        <v>45436</v>
      </c>
      <c r="C1997" s="1" t="n">
        <v>45666</v>
      </c>
      <c r="D1997" t="inlineStr">
        <is>
          <t>JÄMTLANDS LÄN</t>
        </is>
      </c>
      <c r="E1997" t="inlineStr">
        <is>
          <t>BRÄCKE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20760-2024</t>
        </is>
      </c>
      <c r="B1998" s="1" t="n">
        <v>45437</v>
      </c>
      <c r="C1998" s="1" t="n">
        <v>45666</v>
      </c>
      <c r="D1998" t="inlineStr">
        <is>
          <t>JÄMTLANDS LÄN</t>
        </is>
      </c>
      <c r="E1998" t="inlineStr">
        <is>
          <t>BRÄCKE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20798-2024</t>
        </is>
      </c>
      <c r="B1999" s="1" t="n">
        <v>45439</v>
      </c>
      <c r="C1999" s="1" t="n">
        <v>45666</v>
      </c>
      <c r="D1999" t="inlineStr">
        <is>
          <t>JÄMTLANDS LÄN</t>
        </is>
      </c>
      <c r="E1999" t="inlineStr">
        <is>
          <t>BRÄCKE</t>
        </is>
      </c>
      <c r="F1999" t="inlineStr">
        <is>
          <t>SCA</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21086-2024</t>
        </is>
      </c>
      <c r="B2000" s="1" t="n">
        <v>45440</v>
      </c>
      <c r="C2000" s="1" t="n">
        <v>45666</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21374-2024</t>
        </is>
      </c>
      <c r="B2001" s="1" t="n">
        <v>45441</v>
      </c>
      <c r="C2001" s="1" t="n">
        <v>45666</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21378-2024</t>
        </is>
      </c>
      <c r="B2002" s="1" t="n">
        <v>45441</v>
      </c>
      <c r="C2002" s="1" t="n">
        <v>45666</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21381-2024</t>
        </is>
      </c>
      <c r="B2003" s="1" t="n">
        <v>45441</v>
      </c>
      <c r="C2003" s="1" t="n">
        <v>45666</v>
      </c>
      <c r="D2003" t="inlineStr">
        <is>
          <t>JÄMTLANDS LÄN</t>
        </is>
      </c>
      <c r="E2003" t="inlineStr">
        <is>
          <t>BRÄCKE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21382-2024</t>
        </is>
      </c>
      <c r="B2004" s="1" t="n">
        <v>45441</v>
      </c>
      <c r="C2004" s="1" t="n">
        <v>45666</v>
      </c>
      <c r="D2004" t="inlineStr">
        <is>
          <t>JÄMTLANDS LÄN</t>
        </is>
      </c>
      <c r="E2004" t="inlineStr">
        <is>
          <t>BRÄCKE</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21375-2024</t>
        </is>
      </c>
      <c r="B2005" s="1" t="n">
        <v>45441</v>
      </c>
      <c r="C2005" s="1" t="n">
        <v>45666</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21379-2024</t>
        </is>
      </c>
      <c r="B2006" s="1" t="n">
        <v>45441</v>
      </c>
      <c r="C2006" s="1" t="n">
        <v>45666</v>
      </c>
      <c r="D2006" t="inlineStr">
        <is>
          <t>JÄMTLANDS LÄN</t>
        </is>
      </c>
      <c r="E2006" t="inlineStr">
        <is>
          <t>BRÄCKE</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21449-2024</t>
        </is>
      </c>
      <c r="B2007" s="1" t="n">
        <v>45441</v>
      </c>
      <c r="C2007" s="1" t="n">
        <v>45666</v>
      </c>
      <c r="D2007" t="inlineStr">
        <is>
          <t>JÄMTLANDS LÄN</t>
        </is>
      </c>
      <c r="E2007" t="inlineStr">
        <is>
          <t>BRÄCKE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22116-2024</t>
        </is>
      </c>
      <c r="B2008" s="1" t="n">
        <v>45444</v>
      </c>
      <c r="C2008" s="1" t="n">
        <v>45666</v>
      </c>
      <c r="D2008" t="inlineStr">
        <is>
          <t>JÄMTLANDS LÄN</t>
        </is>
      </c>
      <c r="E2008" t="inlineStr">
        <is>
          <t>BRÄCKE</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22120-2024</t>
        </is>
      </c>
      <c r="B2009" s="1" t="n">
        <v>45444</v>
      </c>
      <c r="C2009" s="1" t="n">
        <v>45666</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22121-2024</t>
        </is>
      </c>
      <c r="B2010" s="1" t="n">
        <v>45444</v>
      </c>
      <c r="C2010" s="1" t="n">
        <v>45666</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22001-2024</t>
        </is>
      </c>
      <c r="B2011" s="1" t="n">
        <v>45443</v>
      </c>
      <c r="C2011" s="1" t="n">
        <v>45666</v>
      </c>
      <c r="D2011" t="inlineStr">
        <is>
          <t>JÄMTLANDS LÄN</t>
        </is>
      </c>
      <c r="E2011" t="inlineStr">
        <is>
          <t>BRÄCKE</t>
        </is>
      </c>
      <c r="F2011" t="inlineStr">
        <is>
          <t>Övriga Aktiebolag</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22160-2024</t>
        </is>
      </c>
      <c r="B2012" s="1" t="n">
        <v>45446</v>
      </c>
      <c r="C2012" s="1" t="n">
        <v>45666</v>
      </c>
      <c r="D2012" t="inlineStr">
        <is>
          <t>JÄMTLANDS LÄN</t>
        </is>
      </c>
      <c r="E2012" t="inlineStr">
        <is>
          <t>BRÄCKE</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22455-2024</t>
        </is>
      </c>
      <c r="B2013" s="1" t="n">
        <v>45447</v>
      </c>
      <c r="C2013" s="1" t="n">
        <v>45666</v>
      </c>
      <c r="D2013" t="inlineStr">
        <is>
          <t>JÄMTLANDS LÄN</t>
        </is>
      </c>
      <c r="E2013" t="inlineStr">
        <is>
          <t>BRÄCKE</t>
        </is>
      </c>
      <c r="F2013" t="inlineStr">
        <is>
          <t>SCA</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22459-2024</t>
        </is>
      </c>
      <c r="B2014" s="1" t="n">
        <v>45447</v>
      </c>
      <c r="C2014" s="1" t="n">
        <v>45666</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22267-2024</t>
        </is>
      </c>
      <c r="B2015" s="1" t="n">
        <v>45446</v>
      </c>
      <c r="C2015" s="1" t="n">
        <v>45666</v>
      </c>
      <c r="D2015" t="inlineStr">
        <is>
          <t>JÄMTLANDS LÄN</t>
        </is>
      </c>
      <c r="E2015" t="inlineStr">
        <is>
          <t>BRÄCKE</t>
        </is>
      </c>
      <c r="F2015" t="inlineStr">
        <is>
          <t>Övriga Aktiebolag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22662-2024</t>
        </is>
      </c>
      <c r="B2016" s="1" t="n">
        <v>45448</v>
      </c>
      <c r="C2016" s="1" t="n">
        <v>45666</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22940-2024</t>
        </is>
      </c>
      <c r="B2017" s="1" t="n">
        <v>45449</v>
      </c>
      <c r="C2017" s="1" t="n">
        <v>45666</v>
      </c>
      <c r="D2017" t="inlineStr">
        <is>
          <t>JÄMTLANDS LÄN</t>
        </is>
      </c>
      <c r="E2017" t="inlineStr">
        <is>
          <t>BRÄCKE</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22936-2024</t>
        </is>
      </c>
      <c r="B2018" s="1" t="n">
        <v>45449</v>
      </c>
      <c r="C2018" s="1" t="n">
        <v>45666</v>
      </c>
      <c r="D2018" t="inlineStr">
        <is>
          <t>JÄMTLANDS LÄN</t>
        </is>
      </c>
      <c r="E2018" t="inlineStr">
        <is>
          <t>BRÄCKE</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22937-2024</t>
        </is>
      </c>
      <c r="B2019" s="1" t="n">
        <v>45449</v>
      </c>
      <c r="C2019" s="1" t="n">
        <v>45666</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22934-2024</t>
        </is>
      </c>
      <c r="B2020" s="1" t="n">
        <v>45449</v>
      </c>
      <c r="C2020" s="1" t="n">
        <v>45666</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22981-2024</t>
        </is>
      </c>
      <c r="B2021" s="1" t="n">
        <v>45449</v>
      </c>
      <c r="C2021" s="1" t="n">
        <v>45666</v>
      </c>
      <c r="D2021" t="inlineStr">
        <is>
          <t>JÄMTLANDS LÄN</t>
        </is>
      </c>
      <c r="E2021" t="inlineStr">
        <is>
          <t>BRÄCKE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22980-2024</t>
        </is>
      </c>
      <c r="B2022" s="1" t="n">
        <v>45449</v>
      </c>
      <c r="C2022" s="1" t="n">
        <v>45666</v>
      </c>
      <c r="D2022" t="inlineStr">
        <is>
          <t>JÄMTLANDS LÄN</t>
        </is>
      </c>
      <c r="E2022" t="inlineStr">
        <is>
          <t>BRÄCKE</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22985-2024</t>
        </is>
      </c>
      <c r="B2023" s="1" t="n">
        <v>45450</v>
      </c>
      <c r="C2023" s="1" t="n">
        <v>45666</v>
      </c>
      <c r="D2023" t="inlineStr">
        <is>
          <t>JÄMTLANDS LÄN</t>
        </is>
      </c>
      <c r="E2023" t="inlineStr">
        <is>
          <t>BRÄCKE</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22979-2024</t>
        </is>
      </c>
      <c r="B2024" s="1" t="n">
        <v>45449</v>
      </c>
      <c r="C2024" s="1" t="n">
        <v>45666</v>
      </c>
      <c r="D2024" t="inlineStr">
        <is>
          <t>JÄMTLANDS LÄN</t>
        </is>
      </c>
      <c r="E2024" t="inlineStr">
        <is>
          <t>BRÄCKE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23081-2024</t>
        </is>
      </c>
      <c r="B2025" s="1" t="n">
        <v>45450</v>
      </c>
      <c r="C2025" s="1" t="n">
        <v>45666</v>
      </c>
      <c r="D2025" t="inlineStr">
        <is>
          <t>JÄMTLANDS LÄN</t>
        </is>
      </c>
      <c r="E2025" t="inlineStr">
        <is>
          <t>BRÄCKE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23064-2024</t>
        </is>
      </c>
      <c r="B2026" s="1" t="n">
        <v>45450</v>
      </c>
      <c r="C2026" s="1" t="n">
        <v>45666</v>
      </c>
      <c r="D2026" t="inlineStr">
        <is>
          <t>JÄMTLANDS LÄN</t>
        </is>
      </c>
      <c r="E2026" t="inlineStr">
        <is>
          <t>BRÄCKE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23178-2024</t>
        </is>
      </c>
      <c r="B2027" s="1" t="n">
        <v>45451</v>
      </c>
      <c r="C2027" s="1" t="n">
        <v>45666</v>
      </c>
      <c r="D2027" t="inlineStr">
        <is>
          <t>JÄMTLANDS LÄN</t>
        </is>
      </c>
      <c r="E2027" t="inlineStr">
        <is>
          <t>BRÄCKE</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23534-2024</t>
        </is>
      </c>
      <c r="B2028" s="1" t="n">
        <v>45454</v>
      </c>
      <c r="C2028" s="1" t="n">
        <v>45666</v>
      </c>
      <c r="D2028" t="inlineStr">
        <is>
          <t>JÄMTLANDS LÄN</t>
        </is>
      </c>
      <c r="E2028" t="inlineStr">
        <is>
          <t>BRÄCKE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23640-2024</t>
        </is>
      </c>
      <c r="B2029" s="1" t="n">
        <v>45454</v>
      </c>
      <c r="C2029" s="1" t="n">
        <v>45666</v>
      </c>
      <c r="D2029" t="inlineStr">
        <is>
          <t>JÄMTLANDS LÄN</t>
        </is>
      </c>
      <c r="E2029" t="inlineStr">
        <is>
          <t>BRÄCKE</t>
        </is>
      </c>
      <c r="G2029" t="n">
        <v>19.4</v>
      </c>
      <c r="H2029" t="n">
        <v>0</v>
      </c>
      <c r="I2029" t="n">
        <v>0</v>
      </c>
      <c r="J2029" t="n">
        <v>0</v>
      </c>
      <c r="K2029" t="n">
        <v>0</v>
      </c>
      <c r="L2029" t="n">
        <v>0</v>
      </c>
      <c r="M2029" t="n">
        <v>0</v>
      </c>
      <c r="N2029" t="n">
        <v>0</v>
      </c>
      <c r="O2029" t="n">
        <v>0</v>
      </c>
      <c r="P2029" t="n">
        <v>0</v>
      </c>
      <c r="Q2029" t="n">
        <v>0</v>
      </c>
      <c r="R2029" s="2" t="inlineStr"/>
    </row>
    <row r="2030" ht="15" customHeight="1">
      <c r="A2030" t="inlineStr">
        <is>
          <t>A 23932-2024</t>
        </is>
      </c>
      <c r="B2030" s="1" t="n">
        <v>45456</v>
      </c>
      <c r="C2030" s="1" t="n">
        <v>45666</v>
      </c>
      <c r="D2030" t="inlineStr">
        <is>
          <t>JÄMTLANDS LÄN</t>
        </is>
      </c>
      <c r="E2030" t="inlineStr">
        <is>
          <t>BRÄCKE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24006-2024</t>
        </is>
      </c>
      <c r="B2031" s="1" t="n">
        <v>45456</v>
      </c>
      <c r="C2031" s="1" t="n">
        <v>45666</v>
      </c>
      <c r="D2031" t="inlineStr">
        <is>
          <t>JÄMTLANDS LÄN</t>
        </is>
      </c>
      <c r="E2031" t="inlineStr">
        <is>
          <t>BRÄCKE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24010-2024</t>
        </is>
      </c>
      <c r="B2032" s="1" t="n">
        <v>45456</v>
      </c>
      <c r="C2032" s="1" t="n">
        <v>45666</v>
      </c>
      <c r="D2032" t="inlineStr">
        <is>
          <t>JÄMTLANDS LÄN</t>
        </is>
      </c>
      <c r="E2032" t="inlineStr">
        <is>
          <t>BRÄCKE</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24062-2024</t>
        </is>
      </c>
      <c r="B2033" s="1" t="n">
        <v>45456</v>
      </c>
      <c r="C2033" s="1" t="n">
        <v>45666</v>
      </c>
      <c r="D2033" t="inlineStr">
        <is>
          <t>JÄMTLANDS LÄN</t>
        </is>
      </c>
      <c r="E2033" t="inlineStr">
        <is>
          <t>BRÄCKE</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24026-2024</t>
        </is>
      </c>
      <c r="B2034" s="1" t="n">
        <v>45456</v>
      </c>
      <c r="C2034" s="1" t="n">
        <v>45666</v>
      </c>
      <c r="D2034" t="inlineStr">
        <is>
          <t>JÄMTLANDS LÄN</t>
        </is>
      </c>
      <c r="E2034" t="inlineStr">
        <is>
          <t>BRÄCKE</t>
        </is>
      </c>
      <c r="F2034" t="inlineStr">
        <is>
          <t>Övriga Aktiebolag</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24190-2024</t>
        </is>
      </c>
      <c r="B2035" s="1" t="n">
        <v>45457</v>
      </c>
      <c r="C2035" s="1" t="n">
        <v>45666</v>
      </c>
      <c r="D2035" t="inlineStr">
        <is>
          <t>JÄMTLANDS LÄN</t>
        </is>
      </c>
      <c r="E2035" t="inlineStr">
        <is>
          <t>BRÄCKE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24200-2024</t>
        </is>
      </c>
      <c r="B2036" s="1" t="n">
        <v>45457</v>
      </c>
      <c r="C2036" s="1" t="n">
        <v>45666</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24432-2024</t>
        </is>
      </c>
      <c r="B2037" s="1" t="n">
        <v>45458</v>
      </c>
      <c r="C2037" s="1" t="n">
        <v>45666</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24442-2024</t>
        </is>
      </c>
      <c r="B2038" s="1" t="n">
        <v>45458</v>
      </c>
      <c r="C2038" s="1" t="n">
        <v>45666</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24307-2024</t>
        </is>
      </c>
      <c r="B2039" s="1" t="n">
        <v>45457</v>
      </c>
      <c r="C2039" s="1" t="n">
        <v>45666</v>
      </c>
      <c r="D2039" t="inlineStr">
        <is>
          <t>JÄMTLANDS LÄN</t>
        </is>
      </c>
      <c r="E2039" t="inlineStr">
        <is>
          <t>BRÄCKE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24499-2024</t>
        </is>
      </c>
      <c r="B2040" s="1" t="n">
        <v>45460</v>
      </c>
      <c r="C2040" s="1" t="n">
        <v>45666</v>
      </c>
      <c r="D2040" t="inlineStr">
        <is>
          <t>JÄMTLANDS LÄN</t>
        </is>
      </c>
      <c r="E2040" t="inlineStr">
        <is>
          <t>BRÄCKE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24673-2024</t>
        </is>
      </c>
      <c r="B2041" s="1" t="n">
        <v>45460</v>
      </c>
      <c r="C2041" s="1" t="n">
        <v>45666</v>
      </c>
      <c r="D2041" t="inlineStr">
        <is>
          <t>JÄMTLANDS LÄN</t>
        </is>
      </c>
      <c r="E2041" t="inlineStr">
        <is>
          <t>BRÄCKE</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24594-2024</t>
        </is>
      </c>
      <c r="B2042" s="1" t="n">
        <v>45460</v>
      </c>
      <c r="C2042" s="1" t="n">
        <v>45666</v>
      </c>
      <c r="D2042" t="inlineStr">
        <is>
          <t>JÄMTLANDS LÄN</t>
        </is>
      </c>
      <c r="E2042" t="inlineStr">
        <is>
          <t>BRÄCKE</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24878-2024</t>
        </is>
      </c>
      <c r="B2043" s="1" t="n">
        <v>45461</v>
      </c>
      <c r="C2043" s="1" t="n">
        <v>45666</v>
      </c>
      <c r="D2043" t="inlineStr">
        <is>
          <t>JÄMTLANDS LÄN</t>
        </is>
      </c>
      <c r="E2043" t="inlineStr">
        <is>
          <t>BRÄCKE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24874-2024</t>
        </is>
      </c>
      <c r="B2044" s="1" t="n">
        <v>45461</v>
      </c>
      <c r="C2044" s="1" t="n">
        <v>45666</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25021-2024</t>
        </is>
      </c>
      <c r="B2045" s="1" t="n">
        <v>45462</v>
      </c>
      <c r="C2045" s="1" t="n">
        <v>45666</v>
      </c>
      <c r="D2045" t="inlineStr">
        <is>
          <t>JÄMTLANDS LÄN</t>
        </is>
      </c>
      <c r="E2045" t="inlineStr">
        <is>
          <t>BRÄCKE</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24974-2024</t>
        </is>
      </c>
      <c r="B2046" s="1" t="n">
        <v>45461</v>
      </c>
      <c r="C2046" s="1" t="n">
        <v>45666</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25372-2024</t>
        </is>
      </c>
      <c r="B2047" s="1" t="n">
        <v>45463</v>
      </c>
      <c r="C2047" s="1" t="n">
        <v>45666</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25413-2024</t>
        </is>
      </c>
      <c r="B2048" s="1" t="n">
        <v>45462</v>
      </c>
      <c r="C2048" s="1" t="n">
        <v>45666</v>
      </c>
      <c r="D2048" t="inlineStr">
        <is>
          <t>JÄMTLANDS LÄN</t>
        </is>
      </c>
      <c r="E2048" t="inlineStr">
        <is>
          <t>BRÄCKE</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25718-2024</t>
        </is>
      </c>
      <c r="B2049" s="1" t="n">
        <v>45464</v>
      </c>
      <c r="C2049" s="1" t="n">
        <v>45666</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25726-2024</t>
        </is>
      </c>
      <c r="B2050" s="1" t="n">
        <v>45464</v>
      </c>
      <c r="C2050" s="1" t="n">
        <v>45666</v>
      </c>
      <c r="D2050" t="inlineStr">
        <is>
          <t>JÄMTLANDS LÄN</t>
        </is>
      </c>
      <c r="E2050" t="inlineStr">
        <is>
          <t>BRÄCKE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25934-2024</t>
        </is>
      </c>
      <c r="B2051" s="1" t="n">
        <v>45467</v>
      </c>
      <c r="C2051" s="1" t="n">
        <v>45666</v>
      </c>
      <c r="D2051" t="inlineStr">
        <is>
          <t>JÄMTLANDS LÄN</t>
        </is>
      </c>
      <c r="E2051" t="inlineStr">
        <is>
          <t>BRÄCKE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25890-2024</t>
        </is>
      </c>
      <c r="B2052" s="1" t="n">
        <v>45467</v>
      </c>
      <c r="C2052" s="1" t="n">
        <v>45666</v>
      </c>
      <c r="D2052" t="inlineStr">
        <is>
          <t>JÄMTLANDS LÄN</t>
        </is>
      </c>
      <c r="E2052" t="inlineStr">
        <is>
          <t>BRÄCKE</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25883-2024</t>
        </is>
      </c>
      <c r="B2053" s="1" t="n">
        <v>45467</v>
      </c>
      <c r="C2053" s="1" t="n">
        <v>45666</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26024-2024</t>
        </is>
      </c>
      <c r="B2054" s="1" t="n">
        <v>45468</v>
      </c>
      <c r="C2054" s="1" t="n">
        <v>45666</v>
      </c>
      <c r="D2054" t="inlineStr">
        <is>
          <t>JÄMTLANDS LÄN</t>
        </is>
      </c>
      <c r="E2054" t="inlineStr">
        <is>
          <t>BRÄCKE</t>
        </is>
      </c>
      <c r="F2054" t="inlineStr">
        <is>
          <t>SCA</t>
        </is>
      </c>
      <c r="G2054" t="n">
        <v>23.3</v>
      </c>
      <c r="H2054" t="n">
        <v>0</v>
      </c>
      <c r="I2054" t="n">
        <v>0</v>
      </c>
      <c r="J2054" t="n">
        <v>0</v>
      </c>
      <c r="K2054" t="n">
        <v>0</v>
      </c>
      <c r="L2054" t="n">
        <v>0</v>
      </c>
      <c r="M2054" t="n">
        <v>0</v>
      </c>
      <c r="N2054" t="n">
        <v>0</v>
      </c>
      <c r="O2054" t="n">
        <v>0</v>
      </c>
      <c r="P2054" t="n">
        <v>0</v>
      </c>
      <c r="Q2054" t="n">
        <v>0</v>
      </c>
      <c r="R2054" s="2" t="inlineStr"/>
    </row>
    <row r="2055" ht="15" customHeight="1">
      <c r="A2055" t="inlineStr">
        <is>
          <t>A 26032-2024</t>
        </is>
      </c>
      <c r="B2055" s="1" t="n">
        <v>45468</v>
      </c>
      <c r="C2055" s="1" t="n">
        <v>45666</v>
      </c>
      <c r="D2055" t="inlineStr">
        <is>
          <t>JÄMTLANDS LÄN</t>
        </is>
      </c>
      <c r="E2055" t="inlineStr">
        <is>
          <t>BRÄCKE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26025-2024</t>
        </is>
      </c>
      <c r="B2056" s="1" t="n">
        <v>45468</v>
      </c>
      <c r="C2056" s="1" t="n">
        <v>45666</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26029-2024</t>
        </is>
      </c>
      <c r="B2057" s="1" t="n">
        <v>45468</v>
      </c>
      <c r="C2057" s="1" t="n">
        <v>45666</v>
      </c>
      <c r="D2057" t="inlineStr">
        <is>
          <t>JÄMTLANDS LÄN</t>
        </is>
      </c>
      <c r="E2057" t="inlineStr">
        <is>
          <t>BRÄCKE</t>
        </is>
      </c>
      <c r="F2057" t="inlineStr">
        <is>
          <t>SCA</t>
        </is>
      </c>
      <c r="G2057" t="n">
        <v>40.9</v>
      </c>
      <c r="H2057" t="n">
        <v>0</v>
      </c>
      <c r="I2057" t="n">
        <v>0</v>
      </c>
      <c r="J2057" t="n">
        <v>0</v>
      </c>
      <c r="K2057" t="n">
        <v>0</v>
      </c>
      <c r="L2057" t="n">
        <v>0</v>
      </c>
      <c r="M2057" t="n">
        <v>0</v>
      </c>
      <c r="N2057" t="n">
        <v>0</v>
      </c>
      <c r="O2057" t="n">
        <v>0</v>
      </c>
      <c r="P2057" t="n">
        <v>0</v>
      </c>
      <c r="Q2057" t="n">
        <v>0</v>
      </c>
      <c r="R2057" s="2" t="inlineStr"/>
      <c r="U2057">
        <f>HYPERLINK("https://klasma.github.io/Logging_2305/knärot/A 26029-2024 karta knärot.png", "A 26029-2024")</f>
        <v/>
      </c>
      <c r="V2057">
        <f>HYPERLINK("https://klasma.github.io/Logging_2305/klagomål/A 26029-2024 FSC-klagomål.docx", "A 26029-2024")</f>
        <v/>
      </c>
      <c r="W2057">
        <f>HYPERLINK("https://klasma.github.io/Logging_2305/klagomålsmail/A 26029-2024 FSC-klagomål mail.docx", "A 26029-2024")</f>
        <v/>
      </c>
      <c r="X2057">
        <f>HYPERLINK("https://klasma.github.io/Logging_2305/tillsyn/A 26029-2024 tillsynsbegäran.docx", "A 26029-2024")</f>
        <v/>
      </c>
      <c r="Y2057">
        <f>HYPERLINK("https://klasma.github.io/Logging_2305/tillsynsmail/A 26029-2024 tillsynsbegäran mail.docx", "A 26029-2024")</f>
        <v/>
      </c>
    </row>
    <row r="2058" ht="15" customHeight="1">
      <c r="A2058" t="inlineStr">
        <is>
          <t>A 26320-2024</t>
        </is>
      </c>
      <c r="B2058" s="1" t="n">
        <v>45469</v>
      </c>
      <c r="C2058" s="1" t="n">
        <v>45666</v>
      </c>
      <c r="D2058" t="inlineStr">
        <is>
          <t>JÄMTLANDS LÄN</t>
        </is>
      </c>
      <c r="E2058" t="inlineStr">
        <is>
          <t>BRÄCKE</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26302-2024</t>
        </is>
      </c>
      <c r="B2059" s="1" t="n">
        <v>45469</v>
      </c>
      <c r="C2059" s="1" t="n">
        <v>45666</v>
      </c>
      <c r="D2059" t="inlineStr">
        <is>
          <t>JÄMTLANDS LÄN</t>
        </is>
      </c>
      <c r="E2059" t="inlineStr">
        <is>
          <t>BRÄCKE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26278-2024</t>
        </is>
      </c>
      <c r="B2060" s="1" t="n">
        <v>45468</v>
      </c>
      <c r="C2060" s="1" t="n">
        <v>45666</v>
      </c>
      <c r="D2060" t="inlineStr">
        <is>
          <t>JÄMTLANDS LÄN</t>
        </is>
      </c>
      <c r="E2060" t="inlineStr">
        <is>
          <t>BRÄCKE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26342-2024</t>
        </is>
      </c>
      <c r="B2061" s="1" t="n">
        <v>45468</v>
      </c>
      <c r="C2061" s="1" t="n">
        <v>45666</v>
      </c>
      <c r="D2061" t="inlineStr">
        <is>
          <t>JÄMTLANDS LÄN</t>
        </is>
      </c>
      <c r="E2061" t="inlineStr">
        <is>
          <t>BRÄCKE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26522-2024</t>
        </is>
      </c>
      <c r="B2062" s="1" t="n">
        <v>45469</v>
      </c>
      <c r="C2062" s="1" t="n">
        <v>45666</v>
      </c>
      <c r="D2062" t="inlineStr">
        <is>
          <t>JÄMTLANDS LÄN</t>
        </is>
      </c>
      <c r="E2062" t="inlineStr">
        <is>
          <t>BRÄCKE</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26658-2024</t>
        </is>
      </c>
      <c r="B2063" s="1" t="n">
        <v>45470</v>
      </c>
      <c r="C2063" s="1" t="n">
        <v>45666</v>
      </c>
      <c r="D2063" t="inlineStr">
        <is>
          <t>JÄMTLANDS LÄN</t>
        </is>
      </c>
      <c r="E2063" t="inlineStr">
        <is>
          <t>BRÄCKE</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26910-2024</t>
        </is>
      </c>
      <c r="B2064" s="1" t="n">
        <v>45470</v>
      </c>
      <c r="C2064" s="1" t="n">
        <v>45666</v>
      </c>
      <c r="D2064" t="inlineStr">
        <is>
          <t>JÄMTLANDS LÄN</t>
        </is>
      </c>
      <c r="E2064" t="inlineStr">
        <is>
          <t>BRÄCKE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26923-2024</t>
        </is>
      </c>
      <c r="B2065" s="1" t="n">
        <v>45471</v>
      </c>
      <c r="C2065" s="1" t="n">
        <v>45666</v>
      </c>
      <c r="D2065" t="inlineStr">
        <is>
          <t>JÄMTLANDS LÄN</t>
        </is>
      </c>
      <c r="E2065" t="inlineStr">
        <is>
          <t>BRÄCKE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26919-2024</t>
        </is>
      </c>
      <c r="B2066" s="1" t="n">
        <v>45471</v>
      </c>
      <c r="C2066" s="1" t="n">
        <v>45666</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26911-2024</t>
        </is>
      </c>
      <c r="B2067" s="1" t="n">
        <v>45470</v>
      </c>
      <c r="C2067" s="1" t="n">
        <v>45666</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27280-2024</t>
        </is>
      </c>
      <c r="B2068" s="1" t="n">
        <v>45472</v>
      </c>
      <c r="C2068" s="1" t="n">
        <v>45666</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27455-2024</t>
        </is>
      </c>
      <c r="B2069" s="1" t="n">
        <v>45474</v>
      </c>
      <c r="C2069" s="1" t="n">
        <v>45666</v>
      </c>
      <c r="D2069" t="inlineStr">
        <is>
          <t>JÄMTLANDS LÄN</t>
        </is>
      </c>
      <c r="E2069" t="inlineStr">
        <is>
          <t>BRÄCKE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27460-2024</t>
        </is>
      </c>
      <c r="B2070" s="1" t="n">
        <v>45474</v>
      </c>
      <c r="C2070" s="1" t="n">
        <v>45666</v>
      </c>
      <c r="D2070" t="inlineStr">
        <is>
          <t>JÄMTLANDS LÄN</t>
        </is>
      </c>
      <c r="E2070" t="inlineStr">
        <is>
          <t>BRÄCKE</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27449-2024</t>
        </is>
      </c>
      <c r="B2071" s="1" t="n">
        <v>45474</v>
      </c>
      <c r="C2071" s="1" t="n">
        <v>45666</v>
      </c>
      <c r="D2071" t="inlineStr">
        <is>
          <t>JÄMTLANDS LÄN</t>
        </is>
      </c>
      <c r="E2071" t="inlineStr">
        <is>
          <t>BRÄCKE</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27466-2024</t>
        </is>
      </c>
      <c r="B2072" s="1" t="n">
        <v>45474</v>
      </c>
      <c r="C2072" s="1" t="n">
        <v>45666</v>
      </c>
      <c r="D2072" t="inlineStr">
        <is>
          <t>JÄMTLANDS LÄN</t>
        </is>
      </c>
      <c r="E2072" t="inlineStr">
        <is>
          <t>BRÄCKE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27549-2024</t>
        </is>
      </c>
      <c r="B2073" s="1" t="n">
        <v>45474</v>
      </c>
      <c r="C2073" s="1" t="n">
        <v>45666</v>
      </c>
      <c r="D2073" t="inlineStr">
        <is>
          <t>JÄMTLANDS LÄN</t>
        </is>
      </c>
      <c r="E2073" t="inlineStr">
        <is>
          <t>BRÄCKE</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27926-2024</t>
        </is>
      </c>
      <c r="B2074" s="1" t="n">
        <v>45476</v>
      </c>
      <c r="C2074" s="1" t="n">
        <v>45666</v>
      </c>
      <c r="D2074" t="inlineStr">
        <is>
          <t>JÄMTLANDS LÄN</t>
        </is>
      </c>
      <c r="E2074" t="inlineStr">
        <is>
          <t>BRÄCKE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27838-2024</t>
        </is>
      </c>
      <c r="B2075" s="1" t="n">
        <v>45475</v>
      </c>
      <c r="C2075" s="1" t="n">
        <v>45666</v>
      </c>
      <c r="D2075" t="inlineStr">
        <is>
          <t>JÄMTLANDS LÄN</t>
        </is>
      </c>
      <c r="E2075" t="inlineStr">
        <is>
          <t>BRÄCKE</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27799-2024</t>
        </is>
      </c>
      <c r="B2076" s="1" t="n">
        <v>45475</v>
      </c>
      <c r="C2076" s="1" t="n">
        <v>45666</v>
      </c>
      <c r="D2076" t="inlineStr">
        <is>
          <t>JÄMTLANDS LÄN</t>
        </is>
      </c>
      <c r="E2076" t="inlineStr">
        <is>
          <t>BRÄCKE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28157-2024</t>
        </is>
      </c>
      <c r="B2077" s="1" t="n">
        <v>45477</v>
      </c>
      <c r="C2077" s="1" t="n">
        <v>45666</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28077-2024</t>
        </is>
      </c>
      <c r="B2078" s="1" t="n">
        <v>45476</v>
      </c>
      <c r="C2078" s="1" t="n">
        <v>45666</v>
      </c>
      <c r="D2078" t="inlineStr">
        <is>
          <t>JÄMTLANDS LÄN</t>
        </is>
      </c>
      <c r="E2078" t="inlineStr">
        <is>
          <t>BRÄCKE</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28635-2024</t>
        </is>
      </c>
      <c r="B2079" s="1" t="n">
        <v>45478</v>
      </c>
      <c r="C2079" s="1" t="n">
        <v>45666</v>
      </c>
      <c r="D2079" t="inlineStr">
        <is>
          <t>JÄMTLANDS LÄN</t>
        </is>
      </c>
      <c r="E2079" t="inlineStr">
        <is>
          <t>BRÄCKE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28765-2024</t>
        </is>
      </c>
      <c r="B2080" s="1" t="n">
        <v>45478</v>
      </c>
      <c r="C2080" s="1" t="n">
        <v>45666</v>
      </c>
      <c r="D2080" t="inlineStr">
        <is>
          <t>JÄMTLANDS LÄN</t>
        </is>
      </c>
      <c r="E2080" t="inlineStr">
        <is>
          <t>BRÄCKE</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28616-2024</t>
        </is>
      </c>
      <c r="B2081" s="1" t="n">
        <v>45478</v>
      </c>
      <c r="C2081" s="1" t="n">
        <v>45666</v>
      </c>
      <c r="D2081" t="inlineStr">
        <is>
          <t>JÄMTLANDS LÄN</t>
        </is>
      </c>
      <c r="E2081" t="inlineStr">
        <is>
          <t>BRÄCKE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28766-2024</t>
        </is>
      </c>
      <c r="B2082" s="1" t="n">
        <v>45478</v>
      </c>
      <c r="C2082" s="1" t="n">
        <v>45666</v>
      </c>
      <c r="D2082" t="inlineStr">
        <is>
          <t>JÄMTLANDS LÄN</t>
        </is>
      </c>
      <c r="E2082" t="inlineStr">
        <is>
          <t>BRÄCKE</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29028-2024</t>
        </is>
      </c>
      <c r="B2083" s="1" t="n">
        <v>45481</v>
      </c>
      <c r="C2083" s="1" t="n">
        <v>45666</v>
      </c>
      <c r="D2083" t="inlineStr">
        <is>
          <t>JÄMTLANDS LÄN</t>
        </is>
      </c>
      <c r="E2083" t="inlineStr">
        <is>
          <t>BRÄCKE</t>
        </is>
      </c>
      <c r="F2083" t="inlineStr">
        <is>
          <t>Övriga Aktiebolag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29003-2024</t>
        </is>
      </c>
      <c r="B2084" s="1" t="n">
        <v>45481</v>
      </c>
      <c r="C2084" s="1" t="n">
        <v>45666</v>
      </c>
      <c r="D2084" t="inlineStr">
        <is>
          <t>JÄMTLANDS LÄN</t>
        </is>
      </c>
      <c r="E2084" t="inlineStr">
        <is>
          <t>BRÄCKE</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29162-2024</t>
        </is>
      </c>
      <c r="B2085" s="1" t="n">
        <v>45482</v>
      </c>
      <c r="C2085" s="1" t="n">
        <v>45666</v>
      </c>
      <c r="D2085" t="inlineStr">
        <is>
          <t>JÄMTLANDS LÄN</t>
        </is>
      </c>
      <c r="E2085" t="inlineStr">
        <is>
          <t>BRÄCKE</t>
        </is>
      </c>
      <c r="F2085" t="inlineStr">
        <is>
          <t>Övriga Aktiebolag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29203-2024</t>
        </is>
      </c>
      <c r="B2086" s="1" t="n">
        <v>45482</v>
      </c>
      <c r="C2086" s="1" t="n">
        <v>45666</v>
      </c>
      <c r="D2086" t="inlineStr">
        <is>
          <t>JÄMTLANDS LÄN</t>
        </is>
      </c>
      <c r="E2086" t="inlineStr">
        <is>
          <t>BRÄCKE</t>
        </is>
      </c>
      <c r="F2086" t="inlineStr">
        <is>
          <t>Övriga Aktiebolag</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29189-2024</t>
        </is>
      </c>
      <c r="B2087" s="1" t="n">
        <v>45482</v>
      </c>
      <c r="C2087" s="1" t="n">
        <v>45666</v>
      </c>
      <c r="D2087" t="inlineStr">
        <is>
          <t>JÄMTLANDS LÄN</t>
        </is>
      </c>
      <c r="E2087" t="inlineStr">
        <is>
          <t>BRÄCKE</t>
        </is>
      </c>
      <c r="F2087" t="inlineStr">
        <is>
          <t>Övriga Aktiebolag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29130-2024</t>
        </is>
      </c>
      <c r="B2088" s="1" t="n">
        <v>45482</v>
      </c>
      <c r="C2088" s="1" t="n">
        <v>45666</v>
      </c>
      <c r="D2088" t="inlineStr">
        <is>
          <t>JÄMTLANDS LÄN</t>
        </is>
      </c>
      <c r="E2088" t="inlineStr">
        <is>
          <t>BRÄCKE</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29262-2024</t>
        </is>
      </c>
      <c r="B2089" s="1" t="n">
        <v>45483</v>
      </c>
      <c r="C2089" s="1" t="n">
        <v>45666</v>
      </c>
      <c r="D2089" t="inlineStr">
        <is>
          <t>JÄMTLANDS LÄN</t>
        </is>
      </c>
      <c r="E2089" t="inlineStr">
        <is>
          <t>BRÄCKE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29409-2024</t>
        </is>
      </c>
      <c r="B2090" s="1" t="n">
        <v>45483</v>
      </c>
      <c r="C2090" s="1" t="n">
        <v>45666</v>
      </c>
      <c r="D2090" t="inlineStr">
        <is>
          <t>JÄMTLANDS LÄN</t>
        </is>
      </c>
      <c r="E2090" t="inlineStr">
        <is>
          <t>BRÄCKE</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29456-2024</t>
        </is>
      </c>
      <c r="B2091" s="1" t="n">
        <v>45484</v>
      </c>
      <c r="C2091" s="1" t="n">
        <v>45666</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29460-2024</t>
        </is>
      </c>
      <c r="B2092" s="1" t="n">
        <v>45484</v>
      </c>
      <c r="C2092" s="1" t="n">
        <v>45666</v>
      </c>
      <c r="D2092" t="inlineStr">
        <is>
          <t>JÄMTLANDS LÄN</t>
        </is>
      </c>
      <c r="E2092" t="inlineStr">
        <is>
          <t>BRÄCKE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29348-2024</t>
        </is>
      </c>
      <c r="B2093" s="1" t="n">
        <v>45483</v>
      </c>
      <c r="C2093" s="1" t="n">
        <v>45666</v>
      </c>
      <c r="D2093" t="inlineStr">
        <is>
          <t>JÄMTLANDS LÄN</t>
        </is>
      </c>
      <c r="E2093" t="inlineStr">
        <is>
          <t>BRÄCKE</t>
        </is>
      </c>
      <c r="F2093" t="inlineStr">
        <is>
          <t>Kommuner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29637-2024</t>
        </is>
      </c>
      <c r="B2094" s="1" t="n">
        <v>45484</v>
      </c>
      <c r="C2094" s="1" t="n">
        <v>45666</v>
      </c>
      <c r="D2094" t="inlineStr">
        <is>
          <t>JÄMTLANDS LÄN</t>
        </is>
      </c>
      <c r="E2094" t="inlineStr">
        <is>
          <t>BRÄCKE</t>
        </is>
      </c>
      <c r="F2094" t="inlineStr">
        <is>
          <t>Kommuner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29572-2024</t>
        </is>
      </c>
      <c r="B2095" s="1" t="n">
        <v>45484</v>
      </c>
      <c r="C2095" s="1" t="n">
        <v>45666</v>
      </c>
      <c r="D2095" t="inlineStr">
        <is>
          <t>JÄMTLANDS LÄN</t>
        </is>
      </c>
      <c r="E2095" t="inlineStr">
        <is>
          <t>BRÄCKE</t>
        </is>
      </c>
      <c r="F2095" t="inlineStr">
        <is>
          <t>Övriga Aktiebolag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29638-2024</t>
        </is>
      </c>
      <c r="B2096" s="1" t="n">
        <v>45484</v>
      </c>
      <c r="C2096" s="1" t="n">
        <v>45666</v>
      </c>
      <c r="D2096" t="inlineStr">
        <is>
          <t>JÄMTLANDS LÄN</t>
        </is>
      </c>
      <c r="E2096" t="inlineStr">
        <is>
          <t>BRÄCKE</t>
        </is>
      </c>
      <c r="F2096" t="inlineStr">
        <is>
          <t>Kommuner</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29546-2024</t>
        </is>
      </c>
      <c r="B2097" s="1" t="n">
        <v>45484</v>
      </c>
      <c r="C2097" s="1" t="n">
        <v>45666</v>
      </c>
      <c r="D2097" t="inlineStr">
        <is>
          <t>JÄMTLANDS LÄN</t>
        </is>
      </c>
      <c r="E2097" t="inlineStr">
        <is>
          <t>BRÄCKE</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29521-2024</t>
        </is>
      </c>
      <c r="B2098" s="1" t="n">
        <v>45484</v>
      </c>
      <c r="C2098" s="1" t="n">
        <v>45666</v>
      </c>
      <c r="D2098" t="inlineStr">
        <is>
          <t>JÄMTLANDS LÄN</t>
        </is>
      </c>
      <c r="E2098" t="inlineStr">
        <is>
          <t>BRÄCKE</t>
        </is>
      </c>
      <c r="F2098" t="inlineStr">
        <is>
          <t>Övriga Aktiebolag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29493-2024</t>
        </is>
      </c>
      <c r="B2099" s="1" t="n">
        <v>45484</v>
      </c>
      <c r="C2099" s="1" t="n">
        <v>45666</v>
      </c>
      <c r="D2099" t="inlineStr">
        <is>
          <t>JÄMTLANDS LÄN</t>
        </is>
      </c>
      <c r="E2099" t="inlineStr">
        <is>
          <t>BRÄCKE</t>
        </is>
      </c>
      <c r="F2099" t="inlineStr">
        <is>
          <t>Övriga Aktiebolag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29868-2024</t>
        </is>
      </c>
      <c r="B2100" s="1" t="n">
        <v>45486</v>
      </c>
      <c r="C2100" s="1" t="n">
        <v>45666</v>
      </c>
      <c r="D2100" t="inlineStr">
        <is>
          <t>JÄMTLANDS LÄN</t>
        </is>
      </c>
      <c r="E2100" t="inlineStr">
        <is>
          <t>BRÄCKE</t>
        </is>
      </c>
      <c r="F2100" t="inlineStr">
        <is>
          <t>SCA</t>
        </is>
      </c>
      <c r="G2100" t="n">
        <v>20.1</v>
      </c>
      <c r="H2100" t="n">
        <v>0</v>
      </c>
      <c r="I2100" t="n">
        <v>0</v>
      </c>
      <c r="J2100" t="n">
        <v>0</v>
      </c>
      <c r="K2100" t="n">
        <v>0</v>
      </c>
      <c r="L2100" t="n">
        <v>0</v>
      </c>
      <c r="M2100" t="n">
        <v>0</v>
      </c>
      <c r="N2100" t="n">
        <v>0</v>
      </c>
      <c r="O2100" t="n">
        <v>0</v>
      </c>
      <c r="P2100" t="n">
        <v>0</v>
      </c>
      <c r="Q2100" t="n">
        <v>0</v>
      </c>
      <c r="R2100" s="2" t="inlineStr"/>
    </row>
    <row r="2101" ht="15" customHeight="1">
      <c r="A2101" t="inlineStr">
        <is>
          <t>A 29872-2024</t>
        </is>
      </c>
      <c r="B2101" s="1" t="n">
        <v>45486</v>
      </c>
      <c r="C2101" s="1" t="n">
        <v>45666</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29873-2024</t>
        </is>
      </c>
      <c r="B2102" s="1" t="n">
        <v>45486</v>
      </c>
      <c r="C2102" s="1" t="n">
        <v>45666</v>
      </c>
      <c r="D2102" t="inlineStr">
        <is>
          <t>JÄMTLANDS LÄN</t>
        </is>
      </c>
      <c r="E2102" t="inlineStr">
        <is>
          <t>BRÄCKE</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30038-2024</t>
        </is>
      </c>
      <c r="B2103" s="1" t="n">
        <v>45488</v>
      </c>
      <c r="C2103" s="1" t="n">
        <v>45666</v>
      </c>
      <c r="D2103" t="inlineStr">
        <is>
          <t>JÄMTLANDS LÄN</t>
        </is>
      </c>
      <c r="E2103" t="inlineStr">
        <is>
          <t>BRÄCKE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30287-2024</t>
        </is>
      </c>
      <c r="B2104" s="1" t="n">
        <v>45490</v>
      </c>
      <c r="C2104" s="1" t="n">
        <v>45666</v>
      </c>
      <c r="D2104" t="inlineStr">
        <is>
          <t>JÄMTLANDS LÄN</t>
        </is>
      </c>
      <c r="E2104" t="inlineStr">
        <is>
          <t>BRÄCKE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30480-2024</t>
        </is>
      </c>
      <c r="B2105" s="1" t="n">
        <v>45492</v>
      </c>
      <c r="C2105" s="1" t="n">
        <v>45666</v>
      </c>
      <c r="D2105" t="inlineStr">
        <is>
          <t>JÄMTLANDS LÄN</t>
        </is>
      </c>
      <c r="E2105" t="inlineStr">
        <is>
          <t>BRÄCKE</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30488-2024</t>
        </is>
      </c>
      <c r="B2106" s="1" t="n">
        <v>45492</v>
      </c>
      <c r="C2106" s="1" t="n">
        <v>45666</v>
      </c>
      <c r="D2106" t="inlineStr">
        <is>
          <t>JÄMTLANDS LÄN</t>
        </is>
      </c>
      <c r="E2106" t="inlineStr">
        <is>
          <t>BRÄCKE</t>
        </is>
      </c>
      <c r="F2106" t="inlineStr">
        <is>
          <t>Naturvårdsverket</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30463-2024</t>
        </is>
      </c>
      <c r="B2107" s="1" t="n">
        <v>45492</v>
      </c>
      <c r="C2107" s="1" t="n">
        <v>45666</v>
      </c>
      <c r="D2107" t="inlineStr">
        <is>
          <t>JÄMTLANDS LÄN</t>
        </is>
      </c>
      <c r="E2107" t="inlineStr">
        <is>
          <t>BRÄCKE</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30487-2024</t>
        </is>
      </c>
      <c r="B2108" s="1" t="n">
        <v>45492</v>
      </c>
      <c r="C2108" s="1" t="n">
        <v>45666</v>
      </c>
      <c r="D2108" t="inlineStr">
        <is>
          <t>JÄMTLANDS LÄN</t>
        </is>
      </c>
      <c r="E2108" t="inlineStr">
        <is>
          <t>BRÄCKE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30569-2024</t>
        </is>
      </c>
      <c r="B2109" s="1" t="n">
        <v>45493</v>
      </c>
      <c r="C2109" s="1" t="n">
        <v>45666</v>
      </c>
      <c r="D2109" t="inlineStr">
        <is>
          <t>JÄMTLANDS LÄN</t>
        </is>
      </c>
      <c r="E2109" t="inlineStr">
        <is>
          <t>BRÄCKE</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30501-2024</t>
        </is>
      </c>
      <c r="B2110" s="1" t="n">
        <v>45492</v>
      </c>
      <c r="C2110" s="1" t="n">
        <v>45666</v>
      </c>
      <c r="D2110" t="inlineStr">
        <is>
          <t>JÄMTLANDS LÄN</t>
        </is>
      </c>
      <c r="E2110" t="inlineStr">
        <is>
          <t>BRÄCKE</t>
        </is>
      </c>
      <c r="G2110" t="n">
        <v>13.6</v>
      </c>
      <c r="H2110" t="n">
        <v>0</v>
      </c>
      <c r="I2110" t="n">
        <v>0</v>
      </c>
      <c r="J2110" t="n">
        <v>0</v>
      </c>
      <c r="K2110" t="n">
        <v>0</v>
      </c>
      <c r="L2110" t="n">
        <v>0</v>
      </c>
      <c r="M2110" t="n">
        <v>0</v>
      </c>
      <c r="N2110" t="n">
        <v>0</v>
      </c>
      <c r="O2110" t="n">
        <v>0</v>
      </c>
      <c r="P2110" t="n">
        <v>0</v>
      </c>
      <c r="Q2110" t="n">
        <v>0</v>
      </c>
      <c r="R2110" s="2" t="inlineStr"/>
    </row>
    <row r="2111" ht="15" customHeight="1">
      <c r="A2111" t="inlineStr">
        <is>
          <t>A 30661-2024</t>
        </is>
      </c>
      <c r="B2111" s="1" t="n">
        <v>45495</v>
      </c>
      <c r="C2111" s="1" t="n">
        <v>45666</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30685-2024</t>
        </is>
      </c>
      <c r="B2112" s="1" t="n">
        <v>45496</v>
      </c>
      <c r="C2112" s="1" t="n">
        <v>45666</v>
      </c>
      <c r="D2112" t="inlineStr">
        <is>
          <t>JÄMTLANDS LÄN</t>
        </is>
      </c>
      <c r="E2112" t="inlineStr">
        <is>
          <t>BRÄCKE</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30933-2024</t>
        </is>
      </c>
      <c r="B2113" s="1" t="n">
        <v>45498</v>
      </c>
      <c r="C2113" s="1" t="n">
        <v>45666</v>
      </c>
      <c r="D2113" t="inlineStr">
        <is>
          <t>JÄMTLANDS LÄN</t>
        </is>
      </c>
      <c r="E2113" t="inlineStr">
        <is>
          <t>BRÄCKE</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30874-2024</t>
        </is>
      </c>
      <c r="B2114" s="1" t="n">
        <v>45498</v>
      </c>
      <c r="C2114" s="1" t="n">
        <v>45666</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31035-2024</t>
        </is>
      </c>
      <c r="B2115" s="1" t="n">
        <v>45501</v>
      </c>
      <c r="C2115" s="1" t="n">
        <v>45666</v>
      </c>
      <c r="D2115" t="inlineStr">
        <is>
          <t>JÄMTLANDS LÄN</t>
        </is>
      </c>
      <c r="E2115" t="inlineStr">
        <is>
          <t>BRÄCKE</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31468-2024</t>
        </is>
      </c>
      <c r="B2116" s="1" t="n">
        <v>45506</v>
      </c>
      <c r="C2116" s="1" t="n">
        <v>45666</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31566-2024</t>
        </is>
      </c>
      <c r="B2117" s="1" t="n">
        <v>45506</v>
      </c>
      <c r="C2117" s="1" t="n">
        <v>45666</v>
      </c>
      <c r="D2117" t="inlineStr">
        <is>
          <t>JÄMTLANDS LÄN</t>
        </is>
      </c>
      <c r="E2117" t="inlineStr">
        <is>
          <t>BRÄCKE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31558-2024</t>
        </is>
      </c>
      <c r="B2118" s="1" t="n">
        <v>45505</v>
      </c>
      <c r="C2118" s="1" t="n">
        <v>45666</v>
      </c>
      <c r="D2118" t="inlineStr">
        <is>
          <t>JÄMTLANDS LÄN</t>
        </is>
      </c>
      <c r="E2118" t="inlineStr">
        <is>
          <t>BRÄCKE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31519-2024</t>
        </is>
      </c>
      <c r="B2119" s="1" t="n">
        <v>45505</v>
      </c>
      <c r="C2119" s="1" t="n">
        <v>45666</v>
      </c>
      <c r="D2119" t="inlineStr">
        <is>
          <t>JÄMTLANDS LÄN</t>
        </is>
      </c>
      <c r="E2119" t="inlineStr">
        <is>
          <t>BRÄCKE</t>
        </is>
      </c>
      <c r="F2119" t="inlineStr">
        <is>
          <t>SCA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31525-2024</t>
        </is>
      </c>
      <c r="B2120" s="1" t="n">
        <v>45506</v>
      </c>
      <c r="C2120" s="1" t="n">
        <v>45666</v>
      </c>
      <c r="D2120" t="inlineStr">
        <is>
          <t>JÄMTLANDS LÄN</t>
        </is>
      </c>
      <c r="E2120" t="inlineStr">
        <is>
          <t>BRÄCKE</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31517-2024</t>
        </is>
      </c>
      <c r="B2121" s="1" t="n">
        <v>45505</v>
      </c>
      <c r="C2121" s="1" t="n">
        <v>45666</v>
      </c>
      <c r="D2121" t="inlineStr">
        <is>
          <t>JÄMTLANDS LÄN</t>
        </is>
      </c>
      <c r="E2121" t="inlineStr">
        <is>
          <t>BRÄCKE</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31466-2024</t>
        </is>
      </c>
      <c r="B2122" s="1" t="n">
        <v>45506</v>
      </c>
      <c r="C2122" s="1" t="n">
        <v>45666</v>
      </c>
      <c r="D2122" t="inlineStr">
        <is>
          <t>JÄMTLANDS LÄN</t>
        </is>
      </c>
      <c r="E2122" t="inlineStr">
        <is>
          <t>BRÄCKE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31403-2024</t>
        </is>
      </c>
      <c r="B2123" s="1" t="n">
        <v>45505</v>
      </c>
      <c r="C2123" s="1" t="n">
        <v>45666</v>
      </c>
      <c r="D2123" t="inlineStr">
        <is>
          <t>JÄMTLANDS LÄN</t>
        </is>
      </c>
      <c r="E2123" t="inlineStr">
        <is>
          <t>BRÄCKE</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31567-2024</t>
        </is>
      </c>
      <c r="B2124" s="1" t="n">
        <v>45506</v>
      </c>
      <c r="C2124" s="1" t="n">
        <v>45666</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31508-2024</t>
        </is>
      </c>
      <c r="B2125" s="1" t="n">
        <v>45505</v>
      </c>
      <c r="C2125" s="1" t="n">
        <v>45666</v>
      </c>
      <c r="D2125" t="inlineStr">
        <is>
          <t>JÄMTLANDS LÄN</t>
        </is>
      </c>
      <c r="E2125" t="inlineStr">
        <is>
          <t>BRÄCKE</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31467-2024</t>
        </is>
      </c>
      <c r="B2126" s="1" t="n">
        <v>45506</v>
      </c>
      <c r="C2126" s="1" t="n">
        <v>45666</v>
      </c>
      <c r="D2126" t="inlineStr">
        <is>
          <t>JÄMTLANDS LÄN</t>
        </is>
      </c>
      <c r="E2126" t="inlineStr">
        <is>
          <t>BRÄCKE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31526-2024</t>
        </is>
      </c>
      <c r="B2127" s="1" t="n">
        <v>45506</v>
      </c>
      <c r="C2127" s="1" t="n">
        <v>45666</v>
      </c>
      <c r="D2127" t="inlineStr">
        <is>
          <t>JÄMTLANDS LÄN</t>
        </is>
      </c>
      <c r="E2127" t="inlineStr">
        <is>
          <t>BRÄCKE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31692-2024</t>
        </is>
      </c>
      <c r="B2128" s="1" t="n">
        <v>45508</v>
      </c>
      <c r="C2128" s="1" t="n">
        <v>45666</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31713-2024</t>
        </is>
      </c>
      <c r="B2129" s="1" t="n">
        <v>45509</v>
      </c>
      <c r="C2129" s="1" t="n">
        <v>45666</v>
      </c>
      <c r="D2129" t="inlineStr">
        <is>
          <t>JÄMTLANDS LÄN</t>
        </is>
      </c>
      <c r="E2129" t="inlineStr">
        <is>
          <t>BRÄCKE</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31745-2024</t>
        </is>
      </c>
      <c r="B2130" s="1" t="n">
        <v>45509</v>
      </c>
      <c r="C2130" s="1" t="n">
        <v>45666</v>
      </c>
      <c r="D2130" t="inlineStr">
        <is>
          <t>JÄMTLANDS LÄN</t>
        </is>
      </c>
      <c r="E2130" t="inlineStr">
        <is>
          <t>BRÄCKE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31756-2024</t>
        </is>
      </c>
      <c r="B2131" s="1" t="n">
        <v>45509</v>
      </c>
      <c r="C2131" s="1" t="n">
        <v>45666</v>
      </c>
      <c r="D2131" t="inlineStr">
        <is>
          <t>JÄMTLANDS LÄN</t>
        </is>
      </c>
      <c r="E2131" t="inlineStr">
        <is>
          <t>BRÄCKE</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31888-2024</t>
        </is>
      </c>
      <c r="B2132" s="1" t="n">
        <v>45509</v>
      </c>
      <c r="C2132" s="1" t="n">
        <v>45666</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32060-2024</t>
        </is>
      </c>
      <c r="B2133" s="1" t="n">
        <v>45511</v>
      </c>
      <c r="C2133" s="1" t="n">
        <v>45666</v>
      </c>
      <c r="D2133" t="inlineStr">
        <is>
          <t>JÄMTLANDS LÄN</t>
        </is>
      </c>
      <c r="E2133" t="inlineStr">
        <is>
          <t>BRÄCKE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32440-2024</t>
        </is>
      </c>
      <c r="B2134" s="1" t="n">
        <v>45513</v>
      </c>
      <c r="C2134" s="1" t="n">
        <v>45666</v>
      </c>
      <c r="D2134" t="inlineStr">
        <is>
          <t>JÄMTLANDS LÄN</t>
        </is>
      </c>
      <c r="E2134" t="inlineStr">
        <is>
          <t>BRÄCKE</t>
        </is>
      </c>
      <c r="F2134" t="inlineStr">
        <is>
          <t>SCA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32429-2024</t>
        </is>
      </c>
      <c r="B2135" s="1" t="n">
        <v>45513</v>
      </c>
      <c r="C2135" s="1" t="n">
        <v>45666</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32636-2024</t>
        </is>
      </c>
      <c r="B2136" s="1" t="n">
        <v>45514</v>
      </c>
      <c r="C2136" s="1" t="n">
        <v>45666</v>
      </c>
      <c r="D2136" t="inlineStr">
        <is>
          <t>JÄMTLANDS LÄN</t>
        </is>
      </c>
      <c r="E2136" t="inlineStr">
        <is>
          <t>BRÄCKE</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32637-2024</t>
        </is>
      </c>
      <c r="B2137" s="1" t="n">
        <v>45514</v>
      </c>
      <c r="C2137" s="1" t="n">
        <v>45666</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32671-2024</t>
        </is>
      </c>
      <c r="B2138" s="1" t="n">
        <v>45514</v>
      </c>
      <c r="C2138" s="1" t="n">
        <v>45666</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33112-2024</t>
        </is>
      </c>
      <c r="B2139" s="1" t="n">
        <v>45518</v>
      </c>
      <c r="C2139" s="1" t="n">
        <v>45666</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33310-2024</t>
        </is>
      </c>
      <c r="B2140" s="1" t="n">
        <v>45519</v>
      </c>
      <c r="C2140" s="1" t="n">
        <v>45666</v>
      </c>
      <c r="D2140" t="inlineStr">
        <is>
          <t>JÄMTLANDS LÄN</t>
        </is>
      </c>
      <c r="E2140" t="inlineStr">
        <is>
          <t>BRÄCKE</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33506-2024</t>
        </is>
      </c>
      <c r="B2141" s="1" t="n">
        <v>45519</v>
      </c>
      <c r="C2141" s="1" t="n">
        <v>45666</v>
      </c>
      <c r="D2141" t="inlineStr">
        <is>
          <t>JÄMTLANDS LÄN</t>
        </is>
      </c>
      <c r="E2141" t="inlineStr">
        <is>
          <t>BRÄCKE</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33773-2024</t>
        </is>
      </c>
      <c r="B2142" s="1" t="n">
        <v>45520</v>
      </c>
      <c r="C2142" s="1" t="n">
        <v>45666</v>
      </c>
      <c r="D2142" t="inlineStr">
        <is>
          <t>JÄMTLANDS LÄN</t>
        </is>
      </c>
      <c r="E2142" t="inlineStr">
        <is>
          <t>BRÄCKE</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33774-2024</t>
        </is>
      </c>
      <c r="B2143" s="1" t="n">
        <v>45520</v>
      </c>
      <c r="C2143" s="1" t="n">
        <v>45666</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33960-2024</t>
        </is>
      </c>
      <c r="B2144" s="1" t="n">
        <v>45523</v>
      </c>
      <c r="C2144" s="1" t="n">
        <v>45666</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34807-2024</t>
        </is>
      </c>
      <c r="B2145" s="1" t="n">
        <v>45526</v>
      </c>
      <c r="C2145" s="1" t="n">
        <v>45666</v>
      </c>
      <c r="D2145" t="inlineStr">
        <is>
          <t>JÄMTLANDS LÄN</t>
        </is>
      </c>
      <c r="E2145" t="inlineStr">
        <is>
          <t>BRÄCKE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34645-2024</t>
        </is>
      </c>
      <c r="B2146" s="1" t="n">
        <v>45526</v>
      </c>
      <c r="C2146" s="1" t="n">
        <v>45666</v>
      </c>
      <c r="D2146" t="inlineStr">
        <is>
          <t>JÄMTLANDS LÄN</t>
        </is>
      </c>
      <c r="E2146" t="inlineStr">
        <is>
          <t>BRÄCKE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34647-2024</t>
        </is>
      </c>
      <c r="B2147" s="1" t="n">
        <v>45526</v>
      </c>
      <c r="C2147" s="1" t="n">
        <v>45666</v>
      </c>
      <c r="D2147" t="inlineStr">
        <is>
          <t>JÄMTLANDS LÄN</t>
        </is>
      </c>
      <c r="E2147" t="inlineStr">
        <is>
          <t>BRÄCKE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34646-2024</t>
        </is>
      </c>
      <c r="B2148" s="1" t="n">
        <v>45526</v>
      </c>
      <c r="C2148" s="1" t="n">
        <v>45666</v>
      </c>
      <c r="D2148" t="inlineStr">
        <is>
          <t>JÄMTLANDS LÄN</t>
        </is>
      </c>
      <c r="E2148" t="inlineStr">
        <is>
          <t>BRÄCKE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35394-2024</t>
        </is>
      </c>
      <c r="B2149" s="1" t="n">
        <v>45531</v>
      </c>
      <c r="C2149" s="1" t="n">
        <v>45666</v>
      </c>
      <c r="D2149" t="inlineStr">
        <is>
          <t>JÄMTLANDS LÄN</t>
        </is>
      </c>
      <c r="E2149" t="inlineStr">
        <is>
          <t>BRÄCKE</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35398-2024</t>
        </is>
      </c>
      <c r="B2150" s="1" t="n">
        <v>45531</v>
      </c>
      <c r="C2150" s="1" t="n">
        <v>45666</v>
      </c>
      <c r="D2150" t="inlineStr">
        <is>
          <t>JÄMTLANDS LÄN</t>
        </is>
      </c>
      <c r="E2150" t="inlineStr">
        <is>
          <t>BRÄCKE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35395-2024</t>
        </is>
      </c>
      <c r="B2151" s="1" t="n">
        <v>45531</v>
      </c>
      <c r="C2151" s="1" t="n">
        <v>45666</v>
      </c>
      <c r="D2151" t="inlineStr">
        <is>
          <t>JÄMTLANDS LÄN</t>
        </is>
      </c>
      <c r="E2151" t="inlineStr">
        <is>
          <t>BRÄCKE</t>
        </is>
      </c>
      <c r="F2151" t="inlineStr">
        <is>
          <t>SCA</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35413-2024</t>
        </is>
      </c>
      <c r="B2152" s="1" t="n">
        <v>45531</v>
      </c>
      <c r="C2152" s="1" t="n">
        <v>45666</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35400-2024</t>
        </is>
      </c>
      <c r="B2153" s="1" t="n">
        <v>45531</v>
      </c>
      <c r="C2153" s="1" t="n">
        <v>45666</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35428-2024</t>
        </is>
      </c>
      <c r="B2154" s="1" t="n">
        <v>45531</v>
      </c>
      <c r="C2154" s="1" t="n">
        <v>45666</v>
      </c>
      <c r="D2154" t="inlineStr">
        <is>
          <t>JÄMTLANDS LÄN</t>
        </is>
      </c>
      <c r="E2154" t="inlineStr">
        <is>
          <t>BRÄCKE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35903-2024</t>
        </is>
      </c>
      <c r="B2155" s="1" t="n">
        <v>45533</v>
      </c>
      <c r="C2155" s="1" t="n">
        <v>45666</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36326-2024</t>
        </is>
      </c>
      <c r="B2156" s="1" t="n">
        <v>45534</v>
      </c>
      <c r="C2156" s="1" t="n">
        <v>45666</v>
      </c>
      <c r="D2156" t="inlineStr">
        <is>
          <t>JÄMTLANDS LÄN</t>
        </is>
      </c>
      <c r="E2156" t="inlineStr">
        <is>
          <t>BRÄCKE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36457-2024</t>
        </is>
      </c>
      <c r="B2157" s="1" t="n">
        <v>45537</v>
      </c>
      <c r="C2157" s="1" t="n">
        <v>45666</v>
      </c>
      <c r="D2157" t="inlineStr">
        <is>
          <t>JÄMTLANDS LÄN</t>
        </is>
      </c>
      <c r="E2157" t="inlineStr">
        <is>
          <t>BRÄCKE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36549-2024</t>
        </is>
      </c>
      <c r="B2158" s="1" t="n">
        <v>45537</v>
      </c>
      <c r="C2158" s="1" t="n">
        <v>45666</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36551-2024</t>
        </is>
      </c>
      <c r="B2159" s="1" t="n">
        <v>45537</v>
      </c>
      <c r="C2159" s="1" t="n">
        <v>45666</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37173-2024</t>
        </is>
      </c>
      <c r="B2160" s="1" t="n">
        <v>45539</v>
      </c>
      <c r="C2160" s="1" t="n">
        <v>45666</v>
      </c>
      <c r="D2160" t="inlineStr">
        <is>
          <t>JÄMTLANDS LÄN</t>
        </is>
      </c>
      <c r="E2160" t="inlineStr">
        <is>
          <t>BRÄCKE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37303-2024</t>
        </is>
      </c>
      <c r="B2161" s="1" t="n">
        <v>45540</v>
      </c>
      <c r="C2161" s="1" t="n">
        <v>45666</v>
      </c>
      <c r="D2161" t="inlineStr">
        <is>
          <t>JÄMTLANDS LÄN</t>
        </is>
      </c>
      <c r="E2161" t="inlineStr">
        <is>
          <t>BRÄCKE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37960-2024</t>
        </is>
      </c>
      <c r="B2162" s="1" t="n">
        <v>45544</v>
      </c>
      <c r="C2162" s="1" t="n">
        <v>45666</v>
      </c>
      <c r="D2162" t="inlineStr">
        <is>
          <t>JÄMTLANDS LÄN</t>
        </is>
      </c>
      <c r="E2162" t="inlineStr">
        <is>
          <t>BRÄCKE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37883-2024</t>
        </is>
      </c>
      <c r="B2163" s="1" t="n">
        <v>45544</v>
      </c>
      <c r="C2163" s="1" t="n">
        <v>45666</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37959-2024</t>
        </is>
      </c>
      <c r="B2164" s="1" t="n">
        <v>45544</v>
      </c>
      <c r="C2164" s="1" t="n">
        <v>45666</v>
      </c>
      <c r="D2164" t="inlineStr">
        <is>
          <t>JÄMTLANDS LÄN</t>
        </is>
      </c>
      <c r="E2164" t="inlineStr">
        <is>
          <t>BRÄCKE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38007-2024</t>
        </is>
      </c>
      <c r="B2165" s="1" t="n">
        <v>45544</v>
      </c>
      <c r="C2165" s="1" t="n">
        <v>45666</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38162-2024</t>
        </is>
      </c>
      <c r="B2166" s="1" t="n">
        <v>45545</v>
      </c>
      <c r="C2166" s="1" t="n">
        <v>45666</v>
      </c>
      <c r="D2166" t="inlineStr">
        <is>
          <t>JÄMTLANDS LÄN</t>
        </is>
      </c>
      <c r="E2166" t="inlineStr">
        <is>
          <t>BRÄCKE</t>
        </is>
      </c>
      <c r="F2166" t="inlineStr">
        <is>
          <t>SCA</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38105-2024</t>
        </is>
      </c>
      <c r="B2167" s="1" t="n">
        <v>45545</v>
      </c>
      <c r="C2167" s="1" t="n">
        <v>45666</v>
      </c>
      <c r="D2167" t="inlineStr">
        <is>
          <t>JÄMTLANDS LÄN</t>
        </is>
      </c>
      <c r="E2167" t="inlineStr">
        <is>
          <t>BRÄCKE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38164-2024</t>
        </is>
      </c>
      <c r="B2168" s="1" t="n">
        <v>45545</v>
      </c>
      <c r="C2168" s="1" t="n">
        <v>45666</v>
      </c>
      <c r="D2168" t="inlineStr">
        <is>
          <t>JÄMTLANDS LÄN</t>
        </is>
      </c>
      <c r="E2168" t="inlineStr">
        <is>
          <t>BRÄCKE</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38302-2024</t>
        </is>
      </c>
      <c r="B2169" s="1" t="n">
        <v>45545</v>
      </c>
      <c r="C2169" s="1" t="n">
        <v>45666</v>
      </c>
      <c r="D2169" t="inlineStr">
        <is>
          <t>JÄMTLANDS LÄN</t>
        </is>
      </c>
      <c r="E2169" t="inlineStr">
        <is>
          <t>BRÄCKE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38321-2024</t>
        </is>
      </c>
      <c r="B2170" s="1" t="n">
        <v>45545</v>
      </c>
      <c r="C2170" s="1" t="n">
        <v>45666</v>
      </c>
      <c r="D2170" t="inlineStr">
        <is>
          <t>JÄMTLANDS LÄN</t>
        </is>
      </c>
      <c r="E2170" t="inlineStr">
        <is>
          <t>BRÄCKE</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38336-2024</t>
        </is>
      </c>
      <c r="B2171" s="1" t="n">
        <v>45545</v>
      </c>
      <c r="C2171" s="1" t="n">
        <v>45666</v>
      </c>
      <c r="D2171" t="inlineStr">
        <is>
          <t>JÄMTLANDS LÄN</t>
        </is>
      </c>
      <c r="E2171" t="inlineStr">
        <is>
          <t>BRÄCKE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38404-2024</t>
        </is>
      </c>
      <c r="B2172" s="1" t="n">
        <v>45546</v>
      </c>
      <c r="C2172" s="1" t="n">
        <v>45666</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38401-2024</t>
        </is>
      </c>
      <c r="B2173" s="1" t="n">
        <v>45546</v>
      </c>
      <c r="C2173" s="1" t="n">
        <v>45666</v>
      </c>
      <c r="D2173" t="inlineStr">
        <is>
          <t>JÄMTLANDS LÄN</t>
        </is>
      </c>
      <c r="E2173" t="inlineStr">
        <is>
          <t>BRÄCKE</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38509-2024</t>
        </is>
      </c>
      <c r="B2174" s="1" t="n">
        <v>45546</v>
      </c>
      <c r="C2174" s="1" t="n">
        <v>45666</v>
      </c>
      <c r="D2174" t="inlineStr">
        <is>
          <t>JÄMTLANDS LÄN</t>
        </is>
      </c>
      <c r="E2174" t="inlineStr">
        <is>
          <t>BRÄCKE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38817-2024</t>
        </is>
      </c>
      <c r="B2175" s="1" t="n">
        <v>45547</v>
      </c>
      <c r="C2175" s="1" t="n">
        <v>45666</v>
      </c>
      <c r="D2175" t="inlineStr">
        <is>
          <t>JÄMTLANDS LÄN</t>
        </is>
      </c>
      <c r="E2175" t="inlineStr">
        <is>
          <t>BRÄCKE</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38865-2024</t>
        </is>
      </c>
      <c r="B2176" s="1" t="n">
        <v>45547</v>
      </c>
      <c r="C2176" s="1" t="n">
        <v>45666</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38862-2024</t>
        </is>
      </c>
      <c r="B2177" s="1" t="n">
        <v>45547</v>
      </c>
      <c r="C2177" s="1" t="n">
        <v>45666</v>
      </c>
      <c r="D2177" t="inlineStr">
        <is>
          <t>JÄMTLANDS LÄN</t>
        </is>
      </c>
      <c r="E2177" t="inlineStr">
        <is>
          <t>BRÄCKE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38943-2024</t>
        </is>
      </c>
      <c r="B2178" s="1" t="n">
        <v>45548</v>
      </c>
      <c r="C2178" s="1" t="n">
        <v>45666</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39122-2024</t>
        </is>
      </c>
      <c r="B2179" s="1" t="n">
        <v>45548</v>
      </c>
      <c r="C2179" s="1" t="n">
        <v>45666</v>
      </c>
      <c r="D2179" t="inlineStr">
        <is>
          <t>JÄMTLANDS LÄN</t>
        </is>
      </c>
      <c r="E2179" t="inlineStr">
        <is>
          <t>BRÄCKE</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39192-2024</t>
        </is>
      </c>
      <c r="B2180" s="1" t="n">
        <v>45548</v>
      </c>
      <c r="C2180" s="1" t="n">
        <v>45666</v>
      </c>
      <c r="D2180" t="inlineStr">
        <is>
          <t>JÄMTLANDS LÄN</t>
        </is>
      </c>
      <c r="E2180" t="inlineStr">
        <is>
          <t>BRÄCKE</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39281-2024</t>
        </is>
      </c>
      <c r="B2181" s="1" t="n">
        <v>45551</v>
      </c>
      <c r="C2181" s="1" t="n">
        <v>45666</v>
      </c>
      <c r="D2181" t="inlineStr">
        <is>
          <t>JÄMTLANDS LÄN</t>
        </is>
      </c>
      <c r="E2181" t="inlineStr">
        <is>
          <t>BRÄCKE</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39326-2024</t>
        </is>
      </c>
      <c r="B2182" s="1" t="n">
        <v>45551</v>
      </c>
      <c r="C2182" s="1" t="n">
        <v>45666</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39662-2024</t>
        </is>
      </c>
      <c r="B2183" s="1" t="n">
        <v>45552</v>
      </c>
      <c r="C2183" s="1" t="n">
        <v>45666</v>
      </c>
      <c r="D2183" t="inlineStr">
        <is>
          <t>JÄMTLANDS LÄN</t>
        </is>
      </c>
      <c r="E2183" t="inlineStr">
        <is>
          <t>BRÄCKE</t>
        </is>
      </c>
      <c r="F2183" t="inlineStr">
        <is>
          <t>SCA</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39742-2024</t>
        </is>
      </c>
      <c r="B2184" s="1" t="n">
        <v>45552</v>
      </c>
      <c r="C2184" s="1" t="n">
        <v>45666</v>
      </c>
      <c r="D2184" t="inlineStr">
        <is>
          <t>JÄMTLANDS LÄN</t>
        </is>
      </c>
      <c r="E2184" t="inlineStr">
        <is>
          <t>BRÄCKE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39884-2024</t>
        </is>
      </c>
      <c r="B2185" s="1" t="n">
        <v>45553</v>
      </c>
      <c r="C2185" s="1" t="n">
        <v>45666</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39945-2024</t>
        </is>
      </c>
      <c r="B2186" s="1" t="n">
        <v>45553</v>
      </c>
      <c r="C2186" s="1" t="n">
        <v>45666</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39885-2024</t>
        </is>
      </c>
      <c r="B2187" s="1" t="n">
        <v>45553</v>
      </c>
      <c r="C2187" s="1" t="n">
        <v>45666</v>
      </c>
      <c r="D2187" t="inlineStr">
        <is>
          <t>JÄMTLANDS LÄN</t>
        </is>
      </c>
      <c r="E2187" t="inlineStr">
        <is>
          <t>BRÄCKE</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39883-2024</t>
        </is>
      </c>
      <c r="B2188" s="1" t="n">
        <v>45553</v>
      </c>
      <c r="C2188" s="1" t="n">
        <v>45666</v>
      </c>
      <c r="D2188" t="inlineStr">
        <is>
          <t>JÄMTLANDS LÄN</t>
        </is>
      </c>
      <c r="E2188" t="inlineStr">
        <is>
          <t>BRÄCKE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39996-2024</t>
        </is>
      </c>
      <c r="B2189" s="1" t="n">
        <v>45553</v>
      </c>
      <c r="C2189" s="1" t="n">
        <v>45666</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40218-2024</t>
        </is>
      </c>
      <c r="B2190" s="1" t="n">
        <v>45554</v>
      </c>
      <c r="C2190" s="1" t="n">
        <v>45666</v>
      </c>
      <c r="D2190" t="inlineStr">
        <is>
          <t>JÄMTLANDS LÄN</t>
        </is>
      </c>
      <c r="E2190" t="inlineStr">
        <is>
          <t>BRÄCKE</t>
        </is>
      </c>
      <c r="F2190" t="inlineStr">
        <is>
          <t>SCA</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40343-2024</t>
        </is>
      </c>
      <c r="B2191" s="1" t="n">
        <v>45555</v>
      </c>
      <c r="C2191" s="1" t="n">
        <v>45666</v>
      </c>
      <c r="D2191" t="inlineStr">
        <is>
          <t>JÄMTLANDS LÄN</t>
        </is>
      </c>
      <c r="E2191" t="inlineStr">
        <is>
          <t>BRÄCKE</t>
        </is>
      </c>
      <c r="F2191" t="inlineStr">
        <is>
          <t>SCA</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40387-2024</t>
        </is>
      </c>
      <c r="B2192" s="1" t="n">
        <v>45555</v>
      </c>
      <c r="C2192" s="1" t="n">
        <v>45666</v>
      </c>
      <c r="D2192" t="inlineStr">
        <is>
          <t>JÄMTLANDS LÄN</t>
        </is>
      </c>
      <c r="E2192" t="inlineStr">
        <is>
          <t>BRÄCKE</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40521-2024</t>
        </is>
      </c>
      <c r="B2193" s="1" t="n">
        <v>45555</v>
      </c>
      <c r="C2193" s="1" t="n">
        <v>45666</v>
      </c>
      <c r="D2193" t="inlineStr">
        <is>
          <t>JÄMTLANDS LÄN</t>
        </is>
      </c>
      <c r="E2193" t="inlineStr">
        <is>
          <t>BRÄCKE</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40792-2024</t>
        </is>
      </c>
      <c r="B2194" s="1" t="n">
        <v>45558</v>
      </c>
      <c r="C2194" s="1" t="n">
        <v>45666</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40693-2024</t>
        </is>
      </c>
      <c r="B2195" s="1" t="n">
        <v>45558</v>
      </c>
      <c r="C2195" s="1" t="n">
        <v>45666</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40791-2024</t>
        </is>
      </c>
      <c r="B2196" s="1" t="n">
        <v>45558</v>
      </c>
      <c r="C2196" s="1" t="n">
        <v>45666</v>
      </c>
      <c r="D2196" t="inlineStr">
        <is>
          <t>JÄMTLANDS LÄN</t>
        </is>
      </c>
      <c r="E2196" t="inlineStr">
        <is>
          <t>BRÄCKE</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40950-2024</t>
        </is>
      </c>
      <c r="B2197" s="1" t="n">
        <v>45558</v>
      </c>
      <c r="C2197" s="1" t="n">
        <v>45666</v>
      </c>
      <c r="D2197" t="inlineStr">
        <is>
          <t>JÄMTLANDS LÄN</t>
        </is>
      </c>
      <c r="E2197" t="inlineStr">
        <is>
          <t>BRÄCKE</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40971-2024</t>
        </is>
      </c>
      <c r="B2198" s="1" t="n">
        <v>45558</v>
      </c>
      <c r="C2198" s="1" t="n">
        <v>45666</v>
      </c>
      <c r="D2198" t="inlineStr">
        <is>
          <t>JÄMTLANDS LÄN</t>
        </is>
      </c>
      <c r="E2198" t="inlineStr">
        <is>
          <t>BRÄCKE</t>
        </is>
      </c>
      <c r="F2198" t="inlineStr">
        <is>
          <t>SCA</t>
        </is>
      </c>
      <c r="G2198" t="n">
        <v>15.9</v>
      </c>
      <c r="H2198" t="n">
        <v>0</v>
      </c>
      <c r="I2198" t="n">
        <v>0</v>
      </c>
      <c r="J2198" t="n">
        <v>0</v>
      </c>
      <c r="K2198" t="n">
        <v>0</v>
      </c>
      <c r="L2198" t="n">
        <v>0</v>
      </c>
      <c r="M2198" t="n">
        <v>0</v>
      </c>
      <c r="N2198" t="n">
        <v>0</v>
      </c>
      <c r="O2198" t="n">
        <v>0</v>
      </c>
      <c r="P2198" t="n">
        <v>0</v>
      </c>
      <c r="Q2198" t="n">
        <v>0</v>
      </c>
      <c r="R2198" s="2" t="inlineStr"/>
    </row>
    <row r="2199" ht="15" customHeight="1">
      <c r="A2199" t="inlineStr">
        <is>
          <t>A 40790-2024</t>
        </is>
      </c>
      <c r="B2199" s="1" t="n">
        <v>45558</v>
      </c>
      <c r="C2199" s="1" t="n">
        <v>45666</v>
      </c>
      <c r="D2199" t="inlineStr">
        <is>
          <t>JÄMTLANDS LÄN</t>
        </is>
      </c>
      <c r="E2199" t="inlineStr">
        <is>
          <t>BRÄCKE</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40951-2024</t>
        </is>
      </c>
      <c r="B2200" s="1" t="n">
        <v>45558</v>
      </c>
      <c r="C2200" s="1" t="n">
        <v>45666</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41313-2024</t>
        </is>
      </c>
      <c r="B2201" s="1" t="n">
        <v>45559</v>
      </c>
      <c r="C2201" s="1" t="n">
        <v>45666</v>
      </c>
      <c r="D2201" t="inlineStr">
        <is>
          <t>JÄMTLANDS LÄN</t>
        </is>
      </c>
      <c r="E2201" t="inlineStr">
        <is>
          <t>BRÄCKE</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41311-2024</t>
        </is>
      </c>
      <c r="B2202" s="1" t="n">
        <v>45559</v>
      </c>
      <c r="C2202" s="1" t="n">
        <v>45666</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41315-2024</t>
        </is>
      </c>
      <c r="B2203" s="1" t="n">
        <v>45559</v>
      </c>
      <c r="C2203" s="1" t="n">
        <v>45666</v>
      </c>
      <c r="D2203" t="inlineStr">
        <is>
          <t>JÄMTLANDS LÄN</t>
        </is>
      </c>
      <c r="E2203" t="inlineStr">
        <is>
          <t>BRÄCKE</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41314-2024</t>
        </is>
      </c>
      <c r="B2204" s="1" t="n">
        <v>45559</v>
      </c>
      <c r="C2204" s="1" t="n">
        <v>45666</v>
      </c>
      <c r="D2204" t="inlineStr">
        <is>
          <t>JÄMTLANDS LÄN</t>
        </is>
      </c>
      <c r="E2204" t="inlineStr">
        <is>
          <t>BRÄCKE</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41552-2024</t>
        </is>
      </c>
      <c r="B2205" s="1" t="n">
        <v>45560</v>
      </c>
      <c r="C2205" s="1" t="n">
        <v>45666</v>
      </c>
      <c r="D2205" t="inlineStr">
        <is>
          <t>JÄMTLANDS LÄN</t>
        </is>
      </c>
      <c r="E2205" t="inlineStr">
        <is>
          <t>BRÄCKE</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41418-2024</t>
        </is>
      </c>
      <c r="B2206" s="1" t="n">
        <v>45560</v>
      </c>
      <c r="C2206" s="1" t="n">
        <v>45666</v>
      </c>
      <c r="D2206" t="inlineStr">
        <is>
          <t>JÄMTLANDS LÄN</t>
        </is>
      </c>
      <c r="E2206" t="inlineStr">
        <is>
          <t>BRÄCKE</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41423-2024</t>
        </is>
      </c>
      <c r="B2207" s="1" t="n">
        <v>45560</v>
      </c>
      <c r="C2207" s="1" t="n">
        <v>45666</v>
      </c>
      <c r="D2207" t="inlineStr">
        <is>
          <t>JÄMTLANDS LÄN</t>
        </is>
      </c>
      <c r="E2207" t="inlineStr">
        <is>
          <t>BRÄCKE</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41450-2024</t>
        </is>
      </c>
      <c r="B2208" s="1" t="n">
        <v>45560</v>
      </c>
      <c r="C2208" s="1" t="n">
        <v>45666</v>
      </c>
      <c r="D2208" t="inlineStr">
        <is>
          <t>JÄMTLANDS LÄN</t>
        </is>
      </c>
      <c r="E2208" t="inlineStr">
        <is>
          <t>BRÄCKE</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41424-2024</t>
        </is>
      </c>
      <c r="B2209" s="1" t="n">
        <v>45560</v>
      </c>
      <c r="C2209" s="1" t="n">
        <v>45666</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41706-2024</t>
        </is>
      </c>
      <c r="B2210" s="1" t="n">
        <v>45560</v>
      </c>
      <c r="C2210" s="1" t="n">
        <v>45666</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41773-2024</t>
        </is>
      </c>
      <c r="B2211" s="1" t="n">
        <v>45561</v>
      </c>
      <c r="C2211" s="1" t="n">
        <v>45666</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41831-2024</t>
        </is>
      </c>
      <c r="B2212" s="1" t="n">
        <v>45561</v>
      </c>
      <c r="C2212" s="1" t="n">
        <v>45666</v>
      </c>
      <c r="D2212" t="inlineStr">
        <is>
          <t>JÄMTLANDS LÄN</t>
        </is>
      </c>
      <c r="E2212" t="inlineStr">
        <is>
          <t>BRÄCKE</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41763-2024</t>
        </is>
      </c>
      <c r="B2213" s="1" t="n">
        <v>45561</v>
      </c>
      <c r="C2213" s="1" t="n">
        <v>45666</v>
      </c>
      <c r="D2213" t="inlineStr">
        <is>
          <t>JÄMTLANDS LÄN</t>
        </is>
      </c>
      <c r="E2213" t="inlineStr">
        <is>
          <t>BRÄCKE</t>
        </is>
      </c>
      <c r="F2213" t="inlineStr">
        <is>
          <t>SCA</t>
        </is>
      </c>
      <c r="G2213" t="n">
        <v>13.9</v>
      </c>
      <c r="H2213" t="n">
        <v>0</v>
      </c>
      <c r="I2213" t="n">
        <v>0</v>
      </c>
      <c r="J2213" t="n">
        <v>0</v>
      </c>
      <c r="K2213" t="n">
        <v>0</v>
      </c>
      <c r="L2213" t="n">
        <v>0</v>
      </c>
      <c r="M2213" t="n">
        <v>0</v>
      </c>
      <c r="N2213" t="n">
        <v>0</v>
      </c>
      <c r="O2213" t="n">
        <v>0</v>
      </c>
      <c r="P2213" t="n">
        <v>0</v>
      </c>
      <c r="Q2213" t="n">
        <v>0</v>
      </c>
      <c r="R2213" s="2" t="inlineStr"/>
    </row>
    <row r="2214" ht="15" customHeight="1">
      <c r="A2214" t="inlineStr">
        <is>
          <t>A 41825-2024</t>
        </is>
      </c>
      <c r="B2214" s="1" t="n">
        <v>45561</v>
      </c>
      <c r="C2214" s="1" t="n">
        <v>45666</v>
      </c>
      <c r="D2214" t="inlineStr">
        <is>
          <t>JÄMTLANDS LÄN</t>
        </is>
      </c>
      <c r="E2214" t="inlineStr">
        <is>
          <t>BRÄCKE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41829-2024</t>
        </is>
      </c>
      <c r="B2215" s="1" t="n">
        <v>45561</v>
      </c>
      <c r="C2215" s="1" t="n">
        <v>45666</v>
      </c>
      <c r="D2215" t="inlineStr">
        <is>
          <t>JÄMTLANDS LÄN</t>
        </is>
      </c>
      <c r="E2215" t="inlineStr">
        <is>
          <t>BRÄCKE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41869-2024</t>
        </is>
      </c>
      <c r="B2216" s="1" t="n">
        <v>45561</v>
      </c>
      <c r="C2216" s="1" t="n">
        <v>45666</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42306-2024</t>
        </is>
      </c>
      <c r="B2217" s="1" t="n">
        <v>45562</v>
      </c>
      <c r="C2217" s="1" t="n">
        <v>45666</v>
      </c>
      <c r="D2217" t="inlineStr">
        <is>
          <t>JÄMTLANDS LÄN</t>
        </is>
      </c>
      <c r="E2217" t="inlineStr">
        <is>
          <t>BRÄCKE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42091-2024</t>
        </is>
      </c>
      <c r="B2218" s="1" t="n">
        <v>45562</v>
      </c>
      <c r="C2218" s="1" t="n">
        <v>45666</v>
      </c>
      <c r="D2218" t="inlineStr">
        <is>
          <t>JÄMTLANDS LÄN</t>
        </is>
      </c>
      <c r="E2218" t="inlineStr">
        <is>
          <t>BRÄCKE</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42480-2024</t>
        </is>
      </c>
      <c r="B2219" s="1" t="n">
        <v>45565</v>
      </c>
      <c r="C2219" s="1" t="n">
        <v>45666</v>
      </c>
      <c r="D2219" t="inlineStr">
        <is>
          <t>JÄMTLANDS LÄN</t>
        </is>
      </c>
      <c r="E2219" t="inlineStr">
        <is>
          <t>BRÄCKE</t>
        </is>
      </c>
      <c r="F2219" t="inlineStr">
        <is>
          <t>Kyrkan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42719-2024</t>
        </is>
      </c>
      <c r="B2220" s="1" t="n">
        <v>45566</v>
      </c>
      <c r="C2220" s="1" t="n">
        <v>45666</v>
      </c>
      <c r="D2220" t="inlineStr">
        <is>
          <t>JÄMTLANDS LÄN</t>
        </is>
      </c>
      <c r="E2220" t="inlineStr">
        <is>
          <t>BRÄCKE</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42716-2024</t>
        </is>
      </c>
      <c r="B2221" s="1" t="n">
        <v>45566</v>
      </c>
      <c r="C2221" s="1" t="n">
        <v>45666</v>
      </c>
      <c r="D2221" t="inlineStr">
        <is>
          <t>JÄMTLANDS LÄN</t>
        </is>
      </c>
      <c r="E2221" t="inlineStr">
        <is>
          <t>BRÄCKE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42956-2024</t>
        </is>
      </c>
      <c r="B2222" s="1" t="n">
        <v>45567</v>
      </c>
      <c r="C2222" s="1" t="n">
        <v>45666</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42952-2024</t>
        </is>
      </c>
      <c r="B2223" s="1" t="n">
        <v>45567</v>
      </c>
      <c r="C2223" s="1" t="n">
        <v>45666</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42959-2024</t>
        </is>
      </c>
      <c r="B2224" s="1" t="n">
        <v>45567</v>
      </c>
      <c r="C2224" s="1" t="n">
        <v>45666</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43463-2024</t>
        </is>
      </c>
      <c r="B2225" s="1" t="n">
        <v>45568</v>
      </c>
      <c r="C2225" s="1" t="n">
        <v>45666</v>
      </c>
      <c r="D2225" t="inlineStr">
        <is>
          <t>JÄMTLANDS LÄN</t>
        </is>
      </c>
      <c r="E2225" t="inlineStr">
        <is>
          <t>BRÄCKE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43381-2024</t>
        </is>
      </c>
      <c r="B2226" s="1" t="n">
        <v>45568</v>
      </c>
      <c r="C2226" s="1" t="n">
        <v>45666</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43380-2024</t>
        </is>
      </c>
      <c r="B2227" s="1" t="n">
        <v>45568</v>
      </c>
      <c r="C2227" s="1" t="n">
        <v>45666</v>
      </c>
      <c r="D2227" t="inlineStr">
        <is>
          <t>JÄMTLANDS LÄN</t>
        </is>
      </c>
      <c r="E2227" t="inlineStr">
        <is>
          <t>BRÄCKE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43382-2024</t>
        </is>
      </c>
      <c r="B2228" s="1" t="n">
        <v>45568</v>
      </c>
      <c r="C2228" s="1" t="n">
        <v>45666</v>
      </c>
      <c r="D2228" t="inlineStr">
        <is>
          <t>JÄMTLANDS LÄN</t>
        </is>
      </c>
      <c r="E2228" t="inlineStr">
        <is>
          <t>BRÄCKE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44082-2024</t>
        </is>
      </c>
      <c r="B2229" s="1" t="n">
        <v>45572</v>
      </c>
      <c r="C2229" s="1" t="n">
        <v>45666</v>
      </c>
      <c r="D2229" t="inlineStr">
        <is>
          <t>JÄMTLANDS LÄN</t>
        </is>
      </c>
      <c r="E2229" t="inlineStr">
        <is>
          <t>BRÄCKE</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44607-2024</t>
        </is>
      </c>
      <c r="B2230" s="1" t="n">
        <v>45574</v>
      </c>
      <c r="C2230" s="1" t="n">
        <v>45666</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44643-2024</t>
        </is>
      </c>
      <c r="B2231" s="1" t="n">
        <v>45574</v>
      </c>
      <c r="C2231" s="1" t="n">
        <v>45666</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44841-2024</t>
        </is>
      </c>
      <c r="B2232" s="1" t="n">
        <v>45574</v>
      </c>
      <c r="C2232" s="1" t="n">
        <v>45666</v>
      </c>
      <c r="D2232" t="inlineStr">
        <is>
          <t>JÄMTLANDS LÄN</t>
        </is>
      </c>
      <c r="E2232" t="inlineStr">
        <is>
          <t>BRÄCKE</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44613-2024</t>
        </is>
      </c>
      <c r="B2233" s="1" t="n">
        <v>45574</v>
      </c>
      <c r="C2233" s="1" t="n">
        <v>45666</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44645-2024</t>
        </is>
      </c>
      <c r="B2234" s="1" t="n">
        <v>45574</v>
      </c>
      <c r="C2234" s="1" t="n">
        <v>45666</v>
      </c>
      <c r="D2234" t="inlineStr">
        <is>
          <t>JÄMTLANDS LÄN</t>
        </is>
      </c>
      <c r="E2234" t="inlineStr">
        <is>
          <t>BRÄCKE</t>
        </is>
      </c>
      <c r="F2234" t="inlineStr">
        <is>
          <t>SCA</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45204-2024</t>
        </is>
      </c>
      <c r="B2235" s="1" t="n">
        <v>45575</v>
      </c>
      <c r="C2235" s="1" t="n">
        <v>45666</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45414-2024</t>
        </is>
      </c>
      <c r="B2236" s="1" t="n">
        <v>45576</v>
      </c>
      <c r="C2236" s="1" t="n">
        <v>45666</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45375-2024</t>
        </is>
      </c>
      <c r="B2237" s="1" t="n">
        <v>45576</v>
      </c>
      <c r="C2237" s="1" t="n">
        <v>45666</v>
      </c>
      <c r="D2237" t="inlineStr">
        <is>
          <t>JÄMTLANDS LÄN</t>
        </is>
      </c>
      <c r="E2237" t="inlineStr">
        <is>
          <t>BRÄCKE</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45383-2024</t>
        </is>
      </c>
      <c r="B2238" s="1" t="n">
        <v>45576</v>
      </c>
      <c r="C2238" s="1" t="n">
        <v>45666</v>
      </c>
      <c r="D2238" t="inlineStr">
        <is>
          <t>JÄMTLANDS LÄN</t>
        </is>
      </c>
      <c r="E2238" t="inlineStr">
        <is>
          <t>BRÄCKE</t>
        </is>
      </c>
      <c r="F2238" t="inlineStr">
        <is>
          <t>Kommuner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45387-2024</t>
        </is>
      </c>
      <c r="B2239" s="1" t="n">
        <v>45576</v>
      </c>
      <c r="C2239" s="1" t="n">
        <v>45666</v>
      </c>
      <c r="D2239" t="inlineStr">
        <is>
          <t>JÄMTLANDS LÄN</t>
        </is>
      </c>
      <c r="E2239" t="inlineStr">
        <is>
          <t>BRÄCKE</t>
        </is>
      </c>
      <c r="F2239" t="inlineStr">
        <is>
          <t>Kommuner</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45381-2024</t>
        </is>
      </c>
      <c r="B2240" s="1" t="n">
        <v>45576</v>
      </c>
      <c r="C2240" s="1" t="n">
        <v>45666</v>
      </c>
      <c r="D2240" t="inlineStr">
        <is>
          <t>JÄMTLANDS LÄN</t>
        </is>
      </c>
      <c r="E2240" t="inlineStr">
        <is>
          <t>BRÄCKE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45758-2024</t>
        </is>
      </c>
      <c r="B2241" s="1" t="n">
        <v>45579</v>
      </c>
      <c r="C2241" s="1" t="n">
        <v>45666</v>
      </c>
      <c r="D2241" t="inlineStr">
        <is>
          <t>JÄMTLANDS LÄN</t>
        </is>
      </c>
      <c r="E2241" t="inlineStr">
        <is>
          <t>BRÄCKE</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45807-2024</t>
        </is>
      </c>
      <c r="B2242" s="1" t="n">
        <v>45579</v>
      </c>
      <c r="C2242" s="1" t="n">
        <v>45666</v>
      </c>
      <c r="D2242" t="inlineStr">
        <is>
          <t>JÄMTLANDS LÄN</t>
        </is>
      </c>
      <c r="E2242" t="inlineStr">
        <is>
          <t>BRÄCKE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45722-2024</t>
        </is>
      </c>
      <c r="B2243" s="1" t="n">
        <v>45579</v>
      </c>
      <c r="C2243" s="1" t="n">
        <v>45666</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45828-2024</t>
        </is>
      </c>
      <c r="B2244" s="1" t="n">
        <v>45579</v>
      </c>
      <c r="C2244" s="1" t="n">
        <v>45666</v>
      </c>
      <c r="D2244" t="inlineStr">
        <is>
          <t>JÄMTLANDS LÄN</t>
        </is>
      </c>
      <c r="E2244" t="inlineStr">
        <is>
          <t>BRÄCKE</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45939-2024</t>
        </is>
      </c>
      <c r="B2245" s="1" t="n">
        <v>45580</v>
      </c>
      <c r="C2245" s="1" t="n">
        <v>45666</v>
      </c>
      <c r="D2245" t="inlineStr">
        <is>
          <t>JÄMTLANDS LÄN</t>
        </is>
      </c>
      <c r="E2245" t="inlineStr">
        <is>
          <t>BRÄCKE</t>
        </is>
      </c>
      <c r="F2245" t="inlineStr">
        <is>
          <t>Naturvårdsverket</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45957-2024</t>
        </is>
      </c>
      <c r="B2246" s="1" t="n">
        <v>45580</v>
      </c>
      <c r="C2246" s="1" t="n">
        <v>45666</v>
      </c>
      <c r="D2246" t="inlineStr">
        <is>
          <t>JÄMTLANDS LÄN</t>
        </is>
      </c>
      <c r="E2246" t="inlineStr">
        <is>
          <t>BRÄCKE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45906-2024</t>
        </is>
      </c>
      <c r="B2247" s="1" t="n">
        <v>45580</v>
      </c>
      <c r="C2247" s="1" t="n">
        <v>45666</v>
      </c>
      <c r="D2247" t="inlineStr">
        <is>
          <t>JÄMTLANDS LÄN</t>
        </is>
      </c>
      <c r="E2247" t="inlineStr">
        <is>
          <t>BRÄCKE</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45974-2024</t>
        </is>
      </c>
      <c r="B2248" s="1" t="n">
        <v>45580</v>
      </c>
      <c r="C2248" s="1" t="n">
        <v>45666</v>
      </c>
      <c r="D2248" t="inlineStr">
        <is>
          <t>JÄMTLANDS LÄN</t>
        </is>
      </c>
      <c r="E2248" t="inlineStr">
        <is>
          <t>BRÄCKE</t>
        </is>
      </c>
      <c r="F2248" t="inlineStr">
        <is>
          <t>Naturvårdsverket</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46595-2024</t>
        </is>
      </c>
      <c r="B2249" s="1" t="n">
        <v>45582</v>
      </c>
      <c r="C2249" s="1" t="n">
        <v>45666</v>
      </c>
      <c r="D2249" t="inlineStr">
        <is>
          <t>JÄMTLANDS LÄN</t>
        </is>
      </c>
      <c r="E2249" t="inlineStr">
        <is>
          <t>BRÄCKE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46713-2024</t>
        </is>
      </c>
      <c r="B2250" s="1" t="n">
        <v>45583</v>
      </c>
      <c r="C2250" s="1" t="n">
        <v>45666</v>
      </c>
      <c r="D2250" t="inlineStr">
        <is>
          <t>JÄMTLANDS LÄN</t>
        </is>
      </c>
      <c r="E2250" t="inlineStr">
        <is>
          <t>BRÄCKE</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46763-2024</t>
        </is>
      </c>
      <c r="B2251" s="1" t="n">
        <v>45583</v>
      </c>
      <c r="C2251" s="1" t="n">
        <v>45666</v>
      </c>
      <c r="D2251" t="inlineStr">
        <is>
          <t>JÄMTLANDS LÄN</t>
        </is>
      </c>
      <c r="E2251" t="inlineStr">
        <is>
          <t>BRÄCKE</t>
        </is>
      </c>
      <c r="F2251" t="inlineStr">
        <is>
          <t>Naturvårdsverket</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47550-2024</t>
        </is>
      </c>
      <c r="B2252" s="1" t="n">
        <v>45587</v>
      </c>
      <c r="C2252" s="1" t="n">
        <v>45666</v>
      </c>
      <c r="D2252" t="inlineStr">
        <is>
          <t>JÄMTLANDS LÄN</t>
        </is>
      </c>
      <c r="E2252" t="inlineStr">
        <is>
          <t>BRÄCKE</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47747-2024</t>
        </is>
      </c>
      <c r="B2253" s="1" t="n">
        <v>45588</v>
      </c>
      <c r="C2253" s="1" t="n">
        <v>45666</v>
      </c>
      <c r="D2253" t="inlineStr">
        <is>
          <t>JÄMTLANDS LÄN</t>
        </is>
      </c>
      <c r="E2253" t="inlineStr">
        <is>
          <t>BRÄCKE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47748-2024</t>
        </is>
      </c>
      <c r="B2254" s="1" t="n">
        <v>45588</v>
      </c>
      <c r="C2254" s="1" t="n">
        <v>45666</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47729-2024</t>
        </is>
      </c>
      <c r="B2255" s="1" t="n">
        <v>45588</v>
      </c>
      <c r="C2255" s="1" t="n">
        <v>45666</v>
      </c>
      <c r="D2255" t="inlineStr">
        <is>
          <t>JÄMTLANDS LÄN</t>
        </is>
      </c>
      <c r="E2255" t="inlineStr">
        <is>
          <t>BRÄCKE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47746-2024</t>
        </is>
      </c>
      <c r="B2256" s="1" t="n">
        <v>45588</v>
      </c>
      <c r="C2256" s="1" t="n">
        <v>45666</v>
      </c>
      <c r="D2256" t="inlineStr">
        <is>
          <t>JÄMTLANDS LÄN</t>
        </is>
      </c>
      <c r="E2256" t="inlineStr">
        <is>
          <t>BRÄCKE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47845-2024</t>
        </is>
      </c>
      <c r="B2257" s="1" t="n">
        <v>45588</v>
      </c>
      <c r="C2257" s="1" t="n">
        <v>45666</v>
      </c>
      <c r="D2257" t="inlineStr">
        <is>
          <t>JÄMTLANDS LÄN</t>
        </is>
      </c>
      <c r="E2257" t="inlineStr">
        <is>
          <t>BRÄCKE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47827-2024</t>
        </is>
      </c>
      <c r="B2258" s="1" t="n">
        <v>45588</v>
      </c>
      <c r="C2258" s="1" t="n">
        <v>45666</v>
      </c>
      <c r="D2258" t="inlineStr">
        <is>
          <t>JÄMTLANDS LÄN</t>
        </is>
      </c>
      <c r="E2258" t="inlineStr">
        <is>
          <t>BRÄCKE</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47934-2024</t>
        </is>
      </c>
      <c r="B2259" s="1" t="n">
        <v>45589</v>
      </c>
      <c r="C2259" s="1" t="n">
        <v>45666</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48211-2024</t>
        </is>
      </c>
      <c r="B2260" s="1" t="n">
        <v>45590</v>
      </c>
      <c r="C2260" s="1" t="n">
        <v>45666</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c r="U2260">
        <f>HYPERLINK("https://klasma.github.io/Logging_2305/knärot/A 48211-2024 karta knärot.png", "A 48211-2024")</f>
        <v/>
      </c>
      <c r="V2260">
        <f>HYPERLINK("https://klasma.github.io/Logging_2305/klagomål/A 48211-2024 FSC-klagomål.docx", "A 48211-2024")</f>
        <v/>
      </c>
      <c r="W2260">
        <f>HYPERLINK("https://klasma.github.io/Logging_2305/klagomålsmail/A 48211-2024 FSC-klagomål mail.docx", "A 48211-2024")</f>
        <v/>
      </c>
      <c r="X2260">
        <f>HYPERLINK("https://klasma.github.io/Logging_2305/tillsyn/A 48211-2024 tillsynsbegäran.docx", "A 48211-2024")</f>
        <v/>
      </c>
      <c r="Y2260">
        <f>HYPERLINK("https://klasma.github.io/Logging_2305/tillsynsmail/A 48211-2024 tillsynsbegäran mail.docx", "A 48211-2024")</f>
        <v/>
      </c>
    </row>
    <row r="2261" ht="15" customHeight="1">
      <c r="A2261" t="inlineStr">
        <is>
          <t>A 48416-2024</t>
        </is>
      </c>
      <c r="B2261" s="1" t="n">
        <v>45590</v>
      </c>
      <c r="C2261" s="1" t="n">
        <v>45666</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48342-2024</t>
        </is>
      </c>
      <c r="B2262" s="1" t="n">
        <v>45590</v>
      </c>
      <c r="C2262" s="1" t="n">
        <v>45666</v>
      </c>
      <c r="D2262" t="inlineStr">
        <is>
          <t>JÄMTLANDS LÄN</t>
        </is>
      </c>
      <c r="E2262" t="inlineStr">
        <is>
          <t>BRÄCKE</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48439-2024</t>
        </is>
      </c>
      <c r="B2263" s="1" t="n">
        <v>45590</v>
      </c>
      <c r="C2263" s="1" t="n">
        <v>45666</v>
      </c>
      <c r="D2263" t="inlineStr">
        <is>
          <t>JÄMTLANDS LÄN</t>
        </is>
      </c>
      <c r="E2263" t="inlineStr">
        <is>
          <t>BRÄCKE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48398-2024</t>
        </is>
      </c>
      <c r="B2264" s="1" t="n">
        <v>45590</v>
      </c>
      <c r="C2264" s="1" t="n">
        <v>45666</v>
      </c>
      <c r="D2264" t="inlineStr">
        <is>
          <t>JÄMTLANDS LÄN</t>
        </is>
      </c>
      <c r="E2264" t="inlineStr">
        <is>
          <t>BRÄCKE</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48189-2024</t>
        </is>
      </c>
      <c r="B2265" s="1" t="n">
        <v>45590</v>
      </c>
      <c r="C2265" s="1" t="n">
        <v>45666</v>
      </c>
      <c r="D2265" t="inlineStr">
        <is>
          <t>JÄMTLANDS LÄN</t>
        </is>
      </c>
      <c r="E2265" t="inlineStr">
        <is>
          <t>BRÄCKE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48440-2024</t>
        </is>
      </c>
      <c r="B2266" s="1" t="n">
        <v>45590</v>
      </c>
      <c r="C2266" s="1" t="n">
        <v>45666</v>
      </c>
      <c r="D2266" t="inlineStr">
        <is>
          <t>JÄMTLANDS LÄN</t>
        </is>
      </c>
      <c r="E2266" t="inlineStr">
        <is>
          <t>BRÄCKE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48784-2024</t>
        </is>
      </c>
      <c r="B2267" s="1" t="n">
        <v>45593</v>
      </c>
      <c r="C2267" s="1" t="n">
        <v>45666</v>
      </c>
      <c r="D2267" t="inlineStr">
        <is>
          <t>JÄMTLANDS LÄN</t>
        </is>
      </c>
      <c r="E2267" t="inlineStr">
        <is>
          <t>BRÄCKE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48554-2024</t>
        </is>
      </c>
      <c r="B2268" s="1" t="n">
        <v>45593</v>
      </c>
      <c r="C2268" s="1" t="n">
        <v>45666</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49032-2024</t>
        </is>
      </c>
      <c r="B2269" s="1" t="n">
        <v>45594</v>
      </c>
      <c r="C2269" s="1" t="n">
        <v>45666</v>
      </c>
      <c r="D2269" t="inlineStr">
        <is>
          <t>JÄMTLANDS LÄN</t>
        </is>
      </c>
      <c r="E2269" t="inlineStr">
        <is>
          <t>BRÄCKE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49097-2024</t>
        </is>
      </c>
      <c r="B2270" s="1" t="n">
        <v>45594</v>
      </c>
      <c r="C2270" s="1" t="n">
        <v>45666</v>
      </c>
      <c r="D2270" t="inlineStr">
        <is>
          <t>JÄMTLANDS LÄN</t>
        </is>
      </c>
      <c r="E2270" t="inlineStr">
        <is>
          <t>BRÄCKE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49185-2024</t>
        </is>
      </c>
      <c r="B2271" s="1" t="n">
        <v>45595</v>
      </c>
      <c r="C2271" s="1" t="n">
        <v>45666</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49189-2024</t>
        </is>
      </c>
      <c r="B2272" s="1" t="n">
        <v>45595</v>
      </c>
      <c r="C2272" s="1" t="n">
        <v>45666</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49339-2024</t>
        </is>
      </c>
      <c r="B2273" s="1" t="n">
        <v>45595</v>
      </c>
      <c r="C2273" s="1" t="n">
        <v>45666</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49338-2024</t>
        </is>
      </c>
      <c r="B2274" s="1" t="n">
        <v>45595</v>
      </c>
      <c r="C2274" s="1" t="n">
        <v>45666</v>
      </c>
      <c r="D2274" t="inlineStr">
        <is>
          <t>JÄMTLANDS LÄN</t>
        </is>
      </c>
      <c r="E2274" t="inlineStr">
        <is>
          <t>BRÄCKE</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49398-2024</t>
        </is>
      </c>
      <c r="B2275" s="1" t="n">
        <v>45595</v>
      </c>
      <c r="C2275" s="1" t="n">
        <v>45666</v>
      </c>
      <c r="D2275" t="inlineStr">
        <is>
          <t>JÄMTLANDS LÄN</t>
        </is>
      </c>
      <c r="E2275" t="inlineStr">
        <is>
          <t>BRÄCKE</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49399-2024</t>
        </is>
      </c>
      <c r="B2276" s="1" t="n">
        <v>45595</v>
      </c>
      <c r="C2276" s="1" t="n">
        <v>45666</v>
      </c>
      <c r="D2276" t="inlineStr">
        <is>
          <t>JÄMTLANDS LÄN</t>
        </is>
      </c>
      <c r="E2276" t="inlineStr">
        <is>
          <t>BRÄCKE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49291-2024</t>
        </is>
      </c>
      <c r="B2277" s="1" t="n">
        <v>45595</v>
      </c>
      <c r="C2277" s="1" t="n">
        <v>45666</v>
      </c>
      <c r="D2277" t="inlineStr">
        <is>
          <t>JÄMTLANDS LÄN</t>
        </is>
      </c>
      <c r="E2277" t="inlineStr">
        <is>
          <t>BRÄCKE</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49400-2024</t>
        </is>
      </c>
      <c r="B2278" s="1" t="n">
        <v>45595</v>
      </c>
      <c r="C2278" s="1" t="n">
        <v>45666</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49307-2024</t>
        </is>
      </c>
      <c r="B2279" s="1" t="n">
        <v>45595</v>
      </c>
      <c r="C2279" s="1" t="n">
        <v>45666</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49712-2024</t>
        </is>
      </c>
      <c r="B2280" s="1" t="n">
        <v>45596</v>
      </c>
      <c r="C2280" s="1" t="n">
        <v>45666</v>
      </c>
      <c r="D2280" t="inlineStr">
        <is>
          <t>JÄMTLANDS LÄN</t>
        </is>
      </c>
      <c r="E2280" t="inlineStr">
        <is>
          <t>BRÄCKE</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49709-2024</t>
        </is>
      </c>
      <c r="B2281" s="1" t="n">
        <v>45596</v>
      </c>
      <c r="C2281" s="1" t="n">
        <v>45666</v>
      </c>
      <c r="D2281" t="inlineStr">
        <is>
          <t>JÄMTLANDS LÄN</t>
        </is>
      </c>
      <c r="E2281" t="inlineStr">
        <is>
          <t>BRÄCKE</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49721-2024</t>
        </is>
      </c>
      <c r="B2282" s="1" t="n">
        <v>45596</v>
      </c>
      <c r="C2282" s="1" t="n">
        <v>45666</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49526-2024</t>
        </is>
      </c>
      <c r="B2283" s="1" t="n">
        <v>45596</v>
      </c>
      <c r="C2283" s="1" t="n">
        <v>45666</v>
      </c>
      <c r="D2283" t="inlineStr">
        <is>
          <t>JÄMTLANDS LÄN</t>
        </is>
      </c>
      <c r="E2283" t="inlineStr">
        <is>
          <t>BRÄCKE</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49707-2024</t>
        </is>
      </c>
      <c r="B2284" s="1" t="n">
        <v>45596</v>
      </c>
      <c r="C2284" s="1" t="n">
        <v>45666</v>
      </c>
      <c r="D2284" t="inlineStr">
        <is>
          <t>JÄMTLANDS LÄN</t>
        </is>
      </c>
      <c r="E2284" t="inlineStr">
        <is>
          <t>BRÄCKE</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49591-2024</t>
        </is>
      </c>
      <c r="B2285" s="1" t="n">
        <v>45596</v>
      </c>
      <c r="C2285" s="1" t="n">
        <v>45666</v>
      </c>
      <c r="D2285" t="inlineStr">
        <is>
          <t>JÄMTLANDS LÄN</t>
        </is>
      </c>
      <c r="E2285" t="inlineStr">
        <is>
          <t>BRÄCKE</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49527-2024</t>
        </is>
      </c>
      <c r="B2286" s="1" t="n">
        <v>45596</v>
      </c>
      <c r="C2286" s="1" t="n">
        <v>45666</v>
      </c>
      <c r="D2286" t="inlineStr">
        <is>
          <t>JÄMTLANDS LÄN</t>
        </is>
      </c>
      <c r="E2286" t="inlineStr">
        <is>
          <t>BRÄCKE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49951-2024</t>
        </is>
      </c>
      <c r="B2287" s="1" t="n">
        <v>45597</v>
      </c>
      <c r="C2287" s="1" t="n">
        <v>45666</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50522-2024</t>
        </is>
      </c>
      <c r="B2288" s="1" t="n">
        <v>45601</v>
      </c>
      <c r="C2288" s="1" t="n">
        <v>45666</v>
      </c>
      <c r="D2288" t="inlineStr">
        <is>
          <t>JÄMTLANDS LÄN</t>
        </is>
      </c>
      <c r="E2288" t="inlineStr">
        <is>
          <t>BRÄCKE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50520-2024</t>
        </is>
      </c>
      <c r="B2289" s="1" t="n">
        <v>45601</v>
      </c>
      <c r="C2289" s="1" t="n">
        <v>45666</v>
      </c>
      <c r="D2289" t="inlineStr">
        <is>
          <t>JÄMTLANDS LÄN</t>
        </is>
      </c>
      <c r="E2289" t="inlineStr">
        <is>
          <t>BRÄCKE</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50591-2024</t>
        </is>
      </c>
      <c r="B2290" s="1" t="n">
        <v>45601</v>
      </c>
      <c r="C2290" s="1" t="n">
        <v>45666</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50946-2024</t>
        </is>
      </c>
      <c r="B2291" s="1" t="n">
        <v>45602</v>
      </c>
      <c r="C2291" s="1" t="n">
        <v>45666</v>
      </c>
      <c r="D2291" t="inlineStr">
        <is>
          <t>JÄMTLANDS LÄN</t>
        </is>
      </c>
      <c r="E2291" t="inlineStr">
        <is>
          <t>BRÄCKE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50813-2024</t>
        </is>
      </c>
      <c r="B2292" s="1" t="n">
        <v>45602</v>
      </c>
      <c r="C2292" s="1" t="n">
        <v>45666</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51195-2024</t>
        </is>
      </c>
      <c r="B2293" s="1" t="n">
        <v>45603</v>
      </c>
      <c r="C2293" s="1" t="n">
        <v>45666</v>
      </c>
      <c r="D2293" t="inlineStr">
        <is>
          <t>JÄMTLANDS LÄN</t>
        </is>
      </c>
      <c r="E2293" t="inlineStr">
        <is>
          <t>BRÄCKE</t>
        </is>
      </c>
      <c r="F2293" t="inlineStr">
        <is>
          <t>SCA</t>
        </is>
      </c>
      <c r="G2293" t="n">
        <v>17.4</v>
      </c>
      <c r="H2293" t="n">
        <v>0</v>
      </c>
      <c r="I2293" t="n">
        <v>0</v>
      </c>
      <c r="J2293" t="n">
        <v>0</v>
      </c>
      <c r="K2293" t="n">
        <v>0</v>
      </c>
      <c r="L2293" t="n">
        <v>0</v>
      </c>
      <c r="M2293" t="n">
        <v>0</v>
      </c>
      <c r="N2293" t="n">
        <v>0</v>
      </c>
      <c r="O2293" t="n">
        <v>0</v>
      </c>
      <c r="P2293" t="n">
        <v>0</v>
      </c>
      <c r="Q2293" t="n">
        <v>0</v>
      </c>
      <c r="R2293" s="2" t="inlineStr"/>
    </row>
    <row r="2294" ht="15" customHeight="1">
      <c r="A2294" t="inlineStr">
        <is>
          <t>A 51068-2024</t>
        </is>
      </c>
      <c r="B2294" s="1" t="n">
        <v>45603</v>
      </c>
      <c r="C2294" s="1" t="n">
        <v>45666</v>
      </c>
      <c r="D2294" t="inlineStr">
        <is>
          <t>JÄMTLANDS LÄN</t>
        </is>
      </c>
      <c r="E2294" t="inlineStr">
        <is>
          <t>BRÄCKE</t>
        </is>
      </c>
      <c r="F2294" t="inlineStr">
        <is>
          <t>SCA</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51378-2024</t>
        </is>
      </c>
      <c r="B2295" s="1" t="n">
        <v>45604</v>
      </c>
      <c r="C2295" s="1" t="n">
        <v>45666</v>
      </c>
      <c r="D2295" t="inlineStr">
        <is>
          <t>JÄMTLANDS LÄN</t>
        </is>
      </c>
      <c r="E2295" t="inlineStr">
        <is>
          <t>BRÄCKE</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51416-2024</t>
        </is>
      </c>
      <c r="B2296" s="1" t="n">
        <v>45604</v>
      </c>
      <c r="C2296" s="1" t="n">
        <v>45666</v>
      </c>
      <c r="D2296" t="inlineStr">
        <is>
          <t>JÄMTLANDS LÄN</t>
        </is>
      </c>
      <c r="E2296" t="inlineStr">
        <is>
          <t>BRÄCKE</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51428-2024</t>
        </is>
      </c>
      <c r="B2297" s="1" t="n">
        <v>45604</v>
      </c>
      <c r="C2297" s="1" t="n">
        <v>45666</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51540-2024</t>
        </is>
      </c>
      <c r="B2298" s="1" t="n">
        <v>45604</v>
      </c>
      <c r="C2298" s="1" t="n">
        <v>45666</v>
      </c>
      <c r="D2298" t="inlineStr">
        <is>
          <t>JÄMTLANDS LÄN</t>
        </is>
      </c>
      <c r="E2298" t="inlineStr">
        <is>
          <t>BRÄCKE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51913-2024</t>
        </is>
      </c>
      <c r="B2299" s="1" t="n">
        <v>45607</v>
      </c>
      <c r="C2299" s="1" t="n">
        <v>45666</v>
      </c>
      <c r="D2299" t="inlineStr">
        <is>
          <t>JÄMTLANDS LÄN</t>
        </is>
      </c>
      <c r="E2299" t="inlineStr">
        <is>
          <t>BRÄCKE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52229-2024</t>
        </is>
      </c>
      <c r="B2300" s="1" t="n">
        <v>45608</v>
      </c>
      <c r="C2300" s="1" t="n">
        <v>45666</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52227-2024</t>
        </is>
      </c>
      <c r="B2301" s="1" t="n">
        <v>45608</v>
      </c>
      <c r="C2301" s="1" t="n">
        <v>45666</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52529-2024</t>
        </is>
      </c>
      <c r="B2302" s="1" t="n">
        <v>45609</v>
      </c>
      <c r="C2302" s="1" t="n">
        <v>45666</v>
      </c>
      <c r="D2302" t="inlineStr">
        <is>
          <t>JÄMTLANDS LÄN</t>
        </is>
      </c>
      <c r="E2302" t="inlineStr">
        <is>
          <t>BRÄCKE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52610-2024</t>
        </is>
      </c>
      <c r="B2303" s="1" t="n">
        <v>45609</v>
      </c>
      <c r="C2303" s="1" t="n">
        <v>45666</v>
      </c>
      <c r="D2303" t="inlineStr">
        <is>
          <t>JÄMTLANDS LÄN</t>
        </is>
      </c>
      <c r="E2303" t="inlineStr">
        <is>
          <t>BRÄCKE</t>
        </is>
      </c>
      <c r="G2303" t="n">
        <v>16.7</v>
      </c>
      <c r="H2303" t="n">
        <v>0</v>
      </c>
      <c r="I2303" t="n">
        <v>0</v>
      </c>
      <c r="J2303" t="n">
        <v>0</v>
      </c>
      <c r="K2303" t="n">
        <v>0</v>
      </c>
      <c r="L2303" t="n">
        <v>0</v>
      </c>
      <c r="M2303" t="n">
        <v>0</v>
      </c>
      <c r="N2303" t="n">
        <v>0</v>
      </c>
      <c r="O2303" t="n">
        <v>0</v>
      </c>
      <c r="P2303" t="n">
        <v>0</v>
      </c>
      <c r="Q2303" t="n">
        <v>0</v>
      </c>
      <c r="R2303" s="2" t="inlineStr"/>
    </row>
    <row r="2304" ht="15" customHeight="1">
      <c r="A2304" t="inlineStr">
        <is>
          <t>A 53152-2024</t>
        </is>
      </c>
      <c r="B2304" s="1" t="n">
        <v>45611</v>
      </c>
      <c r="C2304" s="1" t="n">
        <v>45666</v>
      </c>
      <c r="D2304" t="inlineStr">
        <is>
          <t>JÄMTLANDS LÄN</t>
        </is>
      </c>
      <c r="E2304" t="inlineStr">
        <is>
          <t>BRÄCKE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53016-2024</t>
        </is>
      </c>
      <c r="B2305" s="1" t="n">
        <v>45611</v>
      </c>
      <c r="C2305" s="1" t="n">
        <v>45666</v>
      </c>
      <c r="D2305" t="inlineStr">
        <is>
          <t>JÄMTLANDS LÄN</t>
        </is>
      </c>
      <c r="E2305" t="inlineStr">
        <is>
          <t>BRÄCKE</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53200-2024</t>
        </is>
      </c>
      <c r="B2306" s="1" t="n">
        <v>45612</v>
      </c>
      <c r="C2306" s="1" t="n">
        <v>45666</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53273-2024</t>
        </is>
      </c>
      <c r="B2307" s="1" t="n">
        <v>45614</v>
      </c>
      <c r="C2307" s="1" t="n">
        <v>45666</v>
      </c>
      <c r="D2307" t="inlineStr">
        <is>
          <t>JÄMTLANDS LÄN</t>
        </is>
      </c>
      <c r="E2307" t="inlineStr">
        <is>
          <t>BRÄCKE</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53578-2024</t>
        </is>
      </c>
      <c r="B2308" s="1" t="n">
        <v>45614</v>
      </c>
      <c r="C2308" s="1" t="n">
        <v>45666</v>
      </c>
      <c r="D2308" t="inlineStr">
        <is>
          <t>JÄMTLANDS LÄN</t>
        </is>
      </c>
      <c r="E2308" t="inlineStr">
        <is>
          <t>BRÄCKE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53608-2024</t>
        </is>
      </c>
      <c r="B2309" s="1" t="n">
        <v>45614</v>
      </c>
      <c r="C2309" s="1" t="n">
        <v>45666</v>
      </c>
      <c r="D2309" t="inlineStr">
        <is>
          <t>JÄMTLANDS LÄN</t>
        </is>
      </c>
      <c r="E2309" t="inlineStr">
        <is>
          <t>BRÄCKE</t>
        </is>
      </c>
      <c r="F2309" t="inlineStr">
        <is>
          <t>SCA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53560-2024</t>
        </is>
      </c>
      <c r="B2310" s="1" t="n">
        <v>45614</v>
      </c>
      <c r="C2310" s="1" t="n">
        <v>45666</v>
      </c>
      <c r="D2310" t="inlineStr">
        <is>
          <t>JÄMTLANDS LÄN</t>
        </is>
      </c>
      <c r="E2310" t="inlineStr">
        <is>
          <t>BRÄCKE</t>
        </is>
      </c>
      <c r="F2310" t="inlineStr">
        <is>
          <t>SCA</t>
        </is>
      </c>
      <c r="G2310" t="n">
        <v>22.1</v>
      </c>
      <c r="H2310" t="n">
        <v>0</v>
      </c>
      <c r="I2310" t="n">
        <v>0</v>
      </c>
      <c r="J2310" t="n">
        <v>0</v>
      </c>
      <c r="K2310" t="n">
        <v>0</v>
      </c>
      <c r="L2310" t="n">
        <v>0</v>
      </c>
      <c r="M2310" t="n">
        <v>0</v>
      </c>
      <c r="N2310" t="n">
        <v>0</v>
      </c>
      <c r="O2310" t="n">
        <v>0</v>
      </c>
      <c r="P2310" t="n">
        <v>0</v>
      </c>
      <c r="Q2310" t="n">
        <v>0</v>
      </c>
      <c r="R2310" s="2" t="inlineStr"/>
    </row>
    <row r="2311" ht="15" customHeight="1">
      <c r="A2311" t="inlineStr">
        <is>
          <t>A 53604-2024</t>
        </is>
      </c>
      <c r="B2311" s="1" t="n">
        <v>45614</v>
      </c>
      <c r="C2311" s="1" t="n">
        <v>45666</v>
      </c>
      <c r="D2311" t="inlineStr">
        <is>
          <t>JÄMTLANDS LÄN</t>
        </is>
      </c>
      <c r="E2311" t="inlineStr">
        <is>
          <t>BRÄCKE</t>
        </is>
      </c>
      <c r="F2311" t="inlineStr">
        <is>
          <t>SCA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53260-2024</t>
        </is>
      </c>
      <c r="B2312" s="1" t="n">
        <v>45614</v>
      </c>
      <c r="C2312" s="1" t="n">
        <v>45666</v>
      </c>
      <c r="D2312" t="inlineStr">
        <is>
          <t>JÄMTLANDS LÄN</t>
        </is>
      </c>
      <c r="E2312" t="inlineStr">
        <is>
          <t>BRÄCKE</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53696-2024</t>
        </is>
      </c>
      <c r="B2313" s="1" t="n">
        <v>45615</v>
      </c>
      <c r="C2313" s="1" t="n">
        <v>45666</v>
      </c>
      <c r="D2313" t="inlineStr">
        <is>
          <t>JÄMTLANDS LÄN</t>
        </is>
      </c>
      <c r="E2313" t="inlineStr">
        <is>
          <t>BRÄCKE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53724-2024</t>
        </is>
      </c>
      <c r="B2314" s="1" t="n">
        <v>45615</v>
      </c>
      <c r="C2314" s="1" t="n">
        <v>45666</v>
      </c>
      <c r="D2314" t="inlineStr">
        <is>
          <t>JÄMTLANDS LÄN</t>
        </is>
      </c>
      <c r="E2314" t="inlineStr">
        <is>
          <t>BRÄCKE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53806-2024</t>
        </is>
      </c>
      <c r="B2315" s="1" t="n">
        <v>45615</v>
      </c>
      <c r="C2315" s="1" t="n">
        <v>45666</v>
      </c>
      <c r="D2315" t="inlineStr">
        <is>
          <t>JÄMTLANDS LÄN</t>
        </is>
      </c>
      <c r="E2315" t="inlineStr">
        <is>
          <t>BRÄCKE</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54479-2024</t>
        </is>
      </c>
      <c r="B2316" s="1" t="n">
        <v>45617</v>
      </c>
      <c r="C2316" s="1" t="n">
        <v>45666</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54863-2024</t>
        </is>
      </c>
      <c r="B2317" s="1" t="n">
        <v>45618</v>
      </c>
      <c r="C2317" s="1" t="n">
        <v>45666</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54865-2024</t>
        </is>
      </c>
      <c r="B2318" s="1" t="n">
        <v>45618</v>
      </c>
      <c r="C2318" s="1" t="n">
        <v>45666</v>
      </c>
      <c r="D2318" t="inlineStr">
        <is>
          <t>JÄMTLANDS LÄN</t>
        </is>
      </c>
      <c r="E2318" t="inlineStr">
        <is>
          <t>BRÄCKE</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55247-2024</t>
        </is>
      </c>
      <c r="B2319" s="1" t="n">
        <v>45621</v>
      </c>
      <c r="C2319" s="1" t="n">
        <v>45666</v>
      </c>
      <c r="D2319" t="inlineStr">
        <is>
          <t>JÄMTLANDS LÄN</t>
        </is>
      </c>
      <c r="E2319" t="inlineStr">
        <is>
          <t>BRÄCKE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55221-2024</t>
        </is>
      </c>
      <c r="B2320" s="1" t="n">
        <v>45621</v>
      </c>
      <c r="C2320" s="1" t="n">
        <v>45666</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55436-2024</t>
        </is>
      </c>
      <c r="B2321" s="1" t="n">
        <v>45622</v>
      </c>
      <c r="C2321" s="1" t="n">
        <v>45666</v>
      </c>
      <c r="D2321" t="inlineStr">
        <is>
          <t>JÄMTLANDS LÄN</t>
        </is>
      </c>
      <c r="E2321" t="inlineStr">
        <is>
          <t>BRÄCKE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55506-2024</t>
        </is>
      </c>
      <c r="B2322" s="1" t="n">
        <v>45622</v>
      </c>
      <c r="C2322" s="1" t="n">
        <v>45666</v>
      </c>
      <c r="D2322" t="inlineStr">
        <is>
          <t>JÄMTLANDS LÄN</t>
        </is>
      </c>
      <c r="E2322" t="inlineStr">
        <is>
          <t>BRÄCKE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55478-2024</t>
        </is>
      </c>
      <c r="B2323" s="1" t="n">
        <v>45622</v>
      </c>
      <c r="C2323" s="1" t="n">
        <v>45666</v>
      </c>
      <c r="D2323" t="inlineStr">
        <is>
          <t>JÄMTLANDS LÄN</t>
        </is>
      </c>
      <c r="E2323" t="inlineStr">
        <is>
          <t>BRÄCKE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55621-2024</t>
        </is>
      </c>
      <c r="B2324" s="1" t="n">
        <v>45622</v>
      </c>
      <c r="C2324" s="1" t="n">
        <v>45666</v>
      </c>
      <c r="D2324" t="inlineStr">
        <is>
          <t>JÄMTLANDS LÄN</t>
        </is>
      </c>
      <c r="E2324" t="inlineStr">
        <is>
          <t>BRÄCKE</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55468-2024</t>
        </is>
      </c>
      <c r="B2325" s="1" t="n">
        <v>45622</v>
      </c>
      <c r="C2325" s="1" t="n">
        <v>45666</v>
      </c>
      <c r="D2325" t="inlineStr">
        <is>
          <t>JÄMTLANDS LÄN</t>
        </is>
      </c>
      <c r="E2325" t="inlineStr">
        <is>
          <t>BRÄCKE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55791-2024</t>
        </is>
      </c>
      <c r="B2326" s="1" t="n">
        <v>45623</v>
      </c>
      <c r="C2326" s="1" t="n">
        <v>45666</v>
      </c>
      <c r="D2326" t="inlineStr">
        <is>
          <t>JÄMTLANDS LÄN</t>
        </is>
      </c>
      <c r="E2326" t="inlineStr">
        <is>
          <t>BRÄCKE</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55977-2024</t>
        </is>
      </c>
      <c r="B2327" s="1" t="n">
        <v>45623</v>
      </c>
      <c r="C2327" s="1" t="n">
        <v>45666</v>
      </c>
      <c r="D2327" t="inlineStr">
        <is>
          <t>JÄMTLANDS LÄN</t>
        </is>
      </c>
      <c r="E2327" t="inlineStr">
        <is>
          <t>BRÄCKE</t>
        </is>
      </c>
      <c r="F2327" t="inlineStr">
        <is>
          <t>SCA</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55976-2024</t>
        </is>
      </c>
      <c r="B2328" s="1" t="n">
        <v>45623</v>
      </c>
      <c r="C2328" s="1" t="n">
        <v>45666</v>
      </c>
      <c r="D2328" t="inlineStr">
        <is>
          <t>JÄMTLANDS LÄN</t>
        </is>
      </c>
      <c r="E2328" t="inlineStr">
        <is>
          <t>BRÄCKE</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55997-2024</t>
        </is>
      </c>
      <c r="B2329" s="1" t="n">
        <v>45623</v>
      </c>
      <c r="C2329" s="1" t="n">
        <v>45666</v>
      </c>
      <c r="D2329" t="inlineStr">
        <is>
          <t>JÄMTLANDS LÄN</t>
        </is>
      </c>
      <c r="E2329" t="inlineStr">
        <is>
          <t>BRÄCKE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56235-2024</t>
        </is>
      </c>
      <c r="B2330" s="1" t="n">
        <v>45624</v>
      </c>
      <c r="C2330" s="1" t="n">
        <v>45666</v>
      </c>
      <c r="D2330" t="inlineStr">
        <is>
          <t>JÄMTLANDS LÄN</t>
        </is>
      </c>
      <c r="E2330" t="inlineStr">
        <is>
          <t>BRÄCKE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56047-2024</t>
        </is>
      </c>
      <c r="B2331" s="1" t="n">
        <v>45624</v>
      </c>
      <c r="C2331" s="1" t="n">
        <v>45666</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45666</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56493-2024</t>
        </is>
      </c>
      <c r="B2333" s="1" t="n">
        <v>45625</v>
      </c>
      <c r="C2333" s="1" t="n">
        <v>45666</v>
      </c>
      <c r="D2333" t="inlineStr">
        <is>
          <t>JÄMTLANDS LÄN</t>
        </is>
      </c>
      <c r="E2333" t="inlineStr">
        <is>
          <t>BRÄCKE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56505-2024</t>
        </is>
      </c>
      <c r="B2334" s="1" t="n">
        <v>45625</v>
      </c>
      <c r="C2334" s="1" t="n">
        <v>45666</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56372-2024</t>
        </is>
      </c>
      <c r="B2335" s="1" t="n">
        <v>45625</v>
      </c>
      <c r="C2335" s="1" t="n">
        <v>45666</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56432-2024</t>
        </is>
      </c>
      <c r="B2336" s="1" t="n">
        <v>45625</v>
      </c>
      <c r="C2336" s="1" t="n">
        <v>45666</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56491-2024</t>
        </is>
      </c>
      <c r="B2337" s="1" t="n">
        <v>45625</v>
      </c>
      <c r="C2337" s="1" t="n">
        <v>45666</v>
      </c>
      <c r="D2337" t="inlineStr">
        <is>
          <t>JÄMTLANDS LÄN</t>
        </is>
      </c>
      <c r="E2337" t="inlineStr">
        <is>
          <t>BRÄCKE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56963-2024</t>
        </is>
      </c>
      <c r="B2338" s="1" t="n">
        <v>45628</v>
      </c>
      <c r="C2338" s="1" t="n">
        <v>45666</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45666</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45666</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57088-2024</t>
        </is>
      </c>
      <c r="B2341" s="1" t="n">
        <v>45629</v>
      </c>
      <c r="C2341" s="1" t="n">
        <v>45666</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57096-2024</t>
        </is>
      </c>
      <c r="B2342" s="1" t="n">
        <v>45629</v>
      </c>
      <c r="C2342" s="1" t="n">
        <v>45666</v>
      </c>
      <c r="D2342" t="inlineStr">
        <is>
          <t>JÄMTLANDS LÄN</t>
        </is>
      </c>
      <c r="E2342" t="inlineStr">
        <is>
          <t>BRÄCKE</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57121-2024</t>
        </is>
      </c>
      <c r="B2343" s="1" t="n">
        <v>45629</v>
      </c>
      <c r="C2343" s="1" t="n">
        <v>45666</v>
      </c>
      <c r="D2343" t="inlineStr">
        <is>
          <t>JÄMTLANDS LÄN</t>
        </is>
      </c>
      <c r="E2343" t="inlineStr">
        <is>
          <t>BRÄCKE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57069-2024</t>
        </is>
      </c>
      <c r="B2344" s="1" t="n">
        <v>45629</v>
      </c>
      <c r="C2344" s="1" t="n">
        <v>45666</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57184-2024</t>
        </is>
      </c>
      <c r="B2345" s="1" t="n">
        <v>45629</v>
      </c>
      <c r="C2345" s="1" t="n">
        <v>45666</v>
      </c>
      <c r="D2345" t="inlineStr">
        <is>
          <t>JÄMTLANDS LÄN</t>
        </is>
      </c>
      <c r="E2345" t="inlineStr">
        <is>
          <t>BRÄCKE</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57473-2024</t>
        </is>
      </c>
      <c r="B2346" s="1" t="n">
        <v>45630</v>
      </c>
      <c r="C2346" s="1" t="n">
        <v>45666</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45666</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57586-2024</t>
        </is>
      </c>
      <c r="B2348" s="1" t="n">
        <v>45630</v>
      </c>
      <c r="C2348" s="1" t="n">
        <v>45666</v>
      </c>
      <c r="D2348" t="inlineStr">
        <is>
          <t>JÄMTLANDS LÄN</t>
        </is>
      </c>
      <c r="E2348" t="inlineStr">
        <is>
          <t>BRÄCKE</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57590-2024</t>
        </is>
      </c>
      <c r="B2349" s="1" t="n">
        <v>45630</v>
      </c>
      <c r="C2349" s="1" t="n">
        <v>45666</v>
      </c>
      <c r="D2349" t="inlineStr">
        <is>
          <t>JÄMTLANDS LÄN</t>
        </is>
      </c>
      <c r="E2349" t="inlineStr">
        <is>
          <t>BRÄCKE</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57610-2024</t>
        </is>
      </c>
      <c r="B2350" s="1" t="n">
        <v>45630</v>
      </c>
      <c r="C2350" s="1" t="n">
        <v>45666</v>
      </c>
      <c r="D2350" t="inlineStr">
        <is>
          <t>JÄMTLANDS LÄN</t>
        </is>
      </c>
      <c r="E2350" t="inlineStr">
        <is>
          <t>BRÄCKE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57615-2024</t>
        </is>
      </c>
      <c r="B2351" s="1" t="n">
        <v>45630</v>
      </c>
      <c r="C2351" s="1" t="n">
        <v>45666</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57623-2024</t>
        </is>
      </c>
      <c r="B2352" s="1" t="n">
        <v>45630</v>
      </c>
      <c r="C2352" s="1" t="n">
        <v>45666</v>
      </c>
      <c r="D2352" t="inlineStr">
        <is>
          <t>JÄMTLANDS LÄN</t>
        </is>
      </c>
      <c r="E2352" t="inlineStr">
        <is>
          <t>BRÄCKE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57973-2024</t>
        </is>
      </c>
      <c r="B2353" s="1" t="n">
        <v>45631</v>
      </c>
      <c r="C2353" s="1" t="n">
        <v>45666</v>
      </c>
      <c r="D2353" t="inlineStr">
        <is>
          <t>JÄMTLANDS LÄN</t>
        </is>
      </c>
      <c r="E2353" t="inlineStr">
        <is>
          <t>BRÄCKE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58086-2024</t>
        </is>
      </c>
      <c r="B2354" s="1" t="n">
        <v>45632</v>
      </c>
      <c r="C2354" s="1" t="n">
        <v>45666</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58369-2024</t>
        </is>
      </c>
      <c r="B2355" s="1" t="n">
        <v>45632</v>
      </c>
      <c r="C2355" s="1" t="n">
        <v>45666</v>
      </c>
      <c r="D2355" t="inlineStr">
        <is>
          <t>JÄMTLANDS LÄN</t>
        </is>
      </c>
      <c r="E2355" t="inlineStr">
        <is>
          <t>BRÄCKE</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58449-2024</t>
        </is>
      </c>
      <c r="B2356" s="1" t="n">
        <v>45635</v>
      </c>
      <c r="C2356" s="1" t="n">
        <v>45666</v>
      </c>
      <c r="D2356" t="inlineStr">
        <is>
          <t>JÄMTLANDS LÄN</t>
        </is>
      </c>
      <c r="E2356" t="inlineStr">
        <is>
          <t>BRÄCKE</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58537-2024</t>
        </is>
      </c>
      <c r="B2357" s="1" t="n">
        <v>45635</v>
      </c>
      <c r="C2357" s="1" t="n">
        <v>45666</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58491-2024</t>
        </is>
      </c>
      <c r="B2358" s="1" t="n">
        <v>45635</v>
      </c>
      <c r="C2358" s="1" t="n">
        <v>45666</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45666</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58903-2024</t>
        </is>
      </c>
      <c r="B2360" s="1" t="n">
        <v>45636</v>
      </c>
      <c r="C2360" s="1" t="n">
        <v>45666</v>
      </c>
      <c r="D2360" t="inlineStr">
        <is>
          <t>JÄMTLANDS LÄN</t>
        </is>
      </c>
      <c r="E2360" t="inlineStr">
        <is>
          <t>BRÄCKE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58848-2024</t>
        </is>
      </c>
      <c r="B2361" s="1" t="n">
        <v>45636</v>
      </c>
      <c r="C2361" s="1" t="n">
        <v>45666</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59008-2024</t>
        </is>
      </c>
      <c r="B2362" s="1" t="n">
        <v>45636</v>
      </c>
      <c r="C2362" s="1" t="n">
        <v>45666</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59021-2024</t>
        </is>
      </c>
      <c r="B2363" s="1" t="n">
        <v>45636</v>
      </c>
      <c r="C2363" s="1" t="n">
        <v>45666</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59245-2024</t>
        </is>
      </c>
      <c r="B2364" s="1" t="n">
        <v>45637</v>
      </c>
      <c r="C2364" s="1" t="n">
        <v>45666</v>
      </c>
      <c r="D2364" t="inlineStr">
        <is>
          <t>JÄMTLANDS LÄN</t>
        </is>
      </c>
      <c r="E2364" t="inlineStr">
        <is>
          <t>BRÄCKE</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59746-2024</t>
        </is>
      </c>
      <c r="B2365" s="1" t="n">
        <v>45638</v>
      </c>
      <c r="C2365" s="1" t="n">
        <v>45666</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59774-2024</t>
        </is>
      </c>
      <c r="B2366" s="1" t="n">
        <v>45639</v>
      </c>
      <c r="C2366" s="1" t="n">
        <v>45666</v>
      </c>
      <c r="D2366" t="inlineStr">
        <is>
          <t>JÄMTLANDS LÄN</t>
        </is>
      </c>
      <c r="E2366" t="inlineStr">
        <is>
          <t>BRÄCKE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59763-2024</t>
        </is>
      </c>
      <c r="B2367" s="1" t="n">
        <v>45639</v>
      </c>
      <c r="C2367" s="1" t="n">
        <v>45666</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59650-2024</t>
        </is>
      </c>
      <c r="B2368" s="1" t="n">
        <v>45639</v>
      </c>
      <c r="C2368" s="1" t="n">
        <v>45666</v>
      </c>
      <c r="D2368" t="inlineStr">
        <is>
          <t>JÄMTLANDS LÄN</t>
        </is>
      </c>
      <c r="E2368" t="inlineStr">
        <is>
          <t>BRÄCKE</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60150-2024</t>
        </is>
      </c>
      <c r="B2369" s="1" t="n">
        <v>45639</v>
      </c>
      <c r="C2369" s="1" t="n">
        <v>45666</v>
      </c>
      <c r="D2369" t="inlineStr">
        <is>
          <t>JÄMTLANDS LÄN</t>
        </is>
      </c>
      <c r="E2369" t="inlineStr">
        <is>
          <t>BRÄCKE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59760-2024</t>
        </is>
      </c>
      <c r="B2370" s="1" t="n">
        <v>45639</v>
      </c>
      <c r="C2370" s="1" t="n">
        <v>45666</v>
      </c>
      <c r="D2370" t="inlineStr">
        <is>
          <t>JÄMTLANDS LÄN</t>
        </is>
      </c>
      <c r="E2370" t="inlineStr">
        <is>
          <t>BRÄCKE</t>
        </is>
      </c>
      <c r="F2370" t="inlineStr">
        <is>
          <t>SCA</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59846-2024</t>
        </is>
      </c>
      <c r="B2371" s="1" t="n">
        <v>45639</v>
      </c>
      <c r="C2371" s="1" t="n">
        <v>45666</v>
      </c>
      <c r="D2371" t="inlineStr">
        <is>
          <t>JÄMTLANDS LÄN</t>
        </is>
      </c>
      <c r="E2371" t="inlineStr">
        <is>
          <t>BRÄCKE</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60182-2024</t>
        </is>
      </c>
      <c r="B2372" s="1" t="n">
        <v>45642</v>
      </c>
      <c r="C2372" s="1" t="n">
        <v>45666</v>
      </c>
      <c r="D2372" t="inlineStr">
        <is>
          <t>JÄMTLANDS LÄN</t>
        </is>
      </c>
      <c r="E2372" t="inlineStr">
        <is>
          <t>BRÄCKE</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60196-2024</t>
        </is>
      </c>
      <c r="B2373" s="1" t="n">
        <v>45642</v>
      </c>
      <c r="C2373" s="1" t="n">
        <v>45666</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60474-2024</t>
        </is>
      </c>
      <c r="B2374" s="1" t="n">
        <v>45643</v>
      </c>
      <c r="C2374" s="1" t="n">
        <v>45666</v>
      </c>
      <c r="D2374" t="inlineStr">
        <is>
          <t>JÄMTLANDS LÄN</t>
        </is>
      </c>
      <c r="E2374" t="inlineStr">
        <is>
          <t>BRÄCKE</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60666-2024</t>
        </is>
      </c>
      <c r="B2375" s="1" t="n">
        <v>45644</v>
      </c>
      <c r="C2375" s="1" t="n">
        <v>45666</v>
      </c>
      <c r="D2375" t="inlineStr">
        <is>
          <t>JÄMTLANDS LÄN</t>
        </is>
      </c>
      <c r="E2375" t="inlineStr">
        <is>
          <t>BRÄCKE</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60654-2024</t>
        </is>
      </c>
      <c r="B2376" s="1" t="n">
        <v>45644</v>
      </c>
      <c r="C2376" s="1" t="n">
        <v>45666</v>
      </c>
      <c r="D2376" t="inlineStr">
        <is>
          <t>JÄMTLANDS LÄN</t>
        </is>
      </c>
      <c r="E2376" t="inlineStr">
        <is>
          <t>BRÄCKE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60659-2024</t>
        </is>
      </c>
      <c r="B2377" s="1" t="n">
        <v>45644</v>
      </c>
      <c r="C2377" s="1" t="n">
        <v>45666</v>
      </c>
      <c r="D2377" t="inlineStr">
        <is>
          <t>JÄMTLANDS LÄN</t>
        </is>
      </c>
      <c r="E2377" t="inlineStr">
        <is>
          <t>BRÄCKE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61079-2024</t>
        </is>
      </c>
      <c r="B2378" s="1" t="n">
        <v>45645</v>
      </c>
      <c r="C2378" s="1" t="n">
        <v>45666</v>
      </c>
      <c r="D2378" t="inlineStr">
        <is>
          <t>JÄMTLANDS LÄN</t>
        </is>
      </c>
      <c r="E2378" t="inlineStr">
        <is>
          <t>BRÄCKE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61158-2024</t>
        </is>
      </c>
      <c r="B2379" s="1" t="n">
        <v>45645</v>
      </c>
      <c r="C2379" s="1" t="n">
        <v>45666</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61483-2024</t>
        </is>
      </c>
      <c r="B2380" s="1" t="n">
        <v>45646</v>
      </c>
      <c r="C2380" s="1" t="n">
        <v>45666</v>
      </c>
      <c r="D2380" t="inlineStr">
        <is>
          <t>JÄMTLANDS LÄN</t>
        </is>
      </c>
      <c r="E2380" t="inlineStr">
        <is>
          <t>BRÄCKE</t>
        </is>
      </c>
      <c r="F2380" t="inlineStr">
        <is>
          <t>Övriga Aktiebolag</t>
        </is>
      </c>
      <c r="G2380" t="n">
        <v>13.8</v>
      </c>
      <c r="H2380" t="n">
        <v>0</v>
      </c>
      <c r="I2380" t="n">
        <v>0</v>
      </c>
      <c r="J2380" t="n">
        <v>0</v>
      </c>
      <c r="K2380" t="n">
        <v>0</v>
      </c>
      <c r="L2380" t="n">
        <v>0</v>
      </c>
      <c r="M2380" t="n">
        <v>0</v>
      </c>
      <c r="N2380" t="n">
        <v>0</v>
      </c>
      <c r="O2380" t="n">
        <v>0</v>
      </c>
      <c r="P2380" t="n">
        <v>0</v>
      </c>
      <c r="Q2380" t="n">
        <v>0</v>
      </c>
      <c r="R2380" s="2" t="inlineStr"/>
    </row>
    <row r="2381" ht="15" customHeight="1">
      <c r="A2381" t="inlineStr">
        <is>
          <t>A 61362-2024</t>
        </is>
      </c>
      <c r="B2381" s="1" t="n">
        <v>45646</v>
      </c>
      <c r="C2381" s="1" t="n">
        <v>45666</v>
      </c>
      <c r="D2381" t="inlineStr">
        <is>
          <t>JÄMTLANDS LÄN</t>
        </is>
      </c>
      <c r="E2381" t="inlineStr">
        <is>
          <t>BRÄCKE</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61466-2024</t>
        </is>
      </c>
      <c r="B2382" s="1" t="n">
        <v>45646</v>
      </c>
      <c r="C2382" s="1" t="n">
        <v>45666</v>
      </c>
      <c r="D2382" t="inlineStr">
        <is>
          <t>JÄMTLANDS LÄN</t>
        </is>
      </c>
      <c r="E2382" t="inlineStr">
        <is>
          <t>BRÄCKE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61914-2024</t>
        </is>
      </c>
      <c r="B2383" s="1" t="n">
        <v>45653</v>
      </c>
      <c r="C2383" s="1" t="n">
        <v>45666</v>
      </c>
      <c r="D2383" t="inlineStr">
        <is>
          <t>JÄMTLANDS LÄN</t>
        </is>
      </c>
      <c r="E2383" t="inlineStr">
        <is>
          <t>BRÄCKE</t>
        </is>
      </c>
      <c r="F2383" t="inlineStr">
        <is>
          <t>SCA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61973-2024</t>
        </is>
      </c>
      <c r="B2384" s="1" t="n">
        <v>45653</v>
      </c>
      <c r="C2384" s="1" t="n">
        <v>45666</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62102-2024</t>
        </is>
      </c>
      <c r="B2385" s="1" t="n">
        <v>45656</v>
      </c>
      <c r="C2385" s="1" t="n">
        <v>45666</v>
      </c>
      <c r="D2385" t="inlineStr">
        <is>
          <t>JÄMTLANDS LÄN</t>
        </is>
      </c>
      <c r="E2385" t="inlineStr">
        <is>
          <t>BRÄCKE</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104-2025</t>
        </is>
      </c>
      <c r="B2386" s="1" t="n">
        <v>45659</v>
      </c>
      <c r="C2386" s="1" t="n">
        <v>45666</v>
      </c>
      <c r="D2386" t="inlineStr">
        <is>
          <t>JÄMTLANDS LÄN</t>
        </is>
      </c>
      <c r="E2386" t="inlineStr">
        <is>
          <t>BRÄCKE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103-2025</t>
        </is>
      </c>
      <c r="B2387" s="1" t="n">
        <v>45659</v>
      </c>
      <c r="C2387" s="1" t="n">
        <v>45666</v>
      </c>
      <c r="D2387" t="inlineStr">
        <is>
          <t>JÄMTLANDS LÄN</t>
        </is>
      </c>
      <c r="E2387" t="inlineStr">
        <is>
          <t>BRÄCKE</t>
        </is>
      </c>
      <c r="F2387" t="inlineStr">
        <is>
          <t>SCA</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172-2025</t>
        </is>
      </c>
      <c r="B2388" s="1" t="n">
        <v>45659</v>
      </c>
      <c r="C2388" s="1" t="n">
        <v>45666</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231-2025</t>
        </is>
      </c>
      <c r="B2389" s="1" t="n">
        <v>45660</v>
      </c>
      <c r="C2389" s="1" t="n">
        <v>45666</v>
      </c>
      <c r="D2389" t="inlineStr">
        <is>
          <t>JÄMTLANDS LÄN</t>
        </is>
      </c>
      <c r="E2389" t="inlineStr">
        <is>
          <t>BRÄCKE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278-2025</t>
        </is>
      </c>
      <c r="B2390" s="1" t="n">
        <v>45660</v>
      </c>
      <c r="C2390" s="1" t="n">
        <v>45666</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285-2025</t>
        </is>
      </c>
      <c r="B2391" s="1" t="n">
        <v>45660</v>
      </c>
      <c r="C2391" s="1" t="n">
        <v>45666</v>
      </c>
      <c r="D2391" t="inlineStr">
        <is>
          <t>JÄMTLANDS LÄN</t>
        </is>
      </c>
      <c r="E2391" t="inlineStr">
        <is>
          <t>BRÄCKE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427-2025</t>
        </is>
      </c>
      <c r="B2392" s="1" t="n">
        <v>45664</v>
      </c>
      <c r="C2392" s="1" t="n">
        <v>45666</v>
      </c>
      <c r="D2392" t="inlineStr">
        <is>
          <t>JÄMTLANDS LÄN</t>
        </is>
      </c>
      <c r="E2392" t="inlineStr">
        <is>
          <t>BRÄCKE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506-2025</t>
        </is>
      </c>
      <c r="B2393" s="1" t="n">
        <v>45664</v>
      </c>
      <c r="C2393" s="1" t="n">
        <v>45666</v>
      </c>
      <c r="D2393" t="inlineStr">
        <is>
          <t>JÄMTLANDS LÄN</t>
        </is>
      </c>
      <c r="E2393" t="inlineStr">
        <is>
          <t>BRÄCKE</t>
        </is>
      </c>
      <c r="F2393" t="inlineStr">
        <is>
          <t>SCA</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782-2025</t>
        </is>
      </c>
      <c r="B2394" s="1" t="n">
        <v>45665</v>
      </c>
      <c r="C2394" s="1" t="n">
        <v>45666</v>
      </c>
      <c r="D2394" t="inlineStr">
        <is>
          <t>JÄMTLANDS LÄN</t>
        </is>
      </c>
      <c r="E2394" t="inlineStr">
        <is>
          <t>BRÄCKE</t>
        </is>
      </c>
      <c r="G2394" t="n">
        <v>1.1</v>
      </c>
      <c r="H2394" t="n">
        <v>0</v>
      </c>
      <c r="I2394" t="n">
        <v>0</v>
      </c>
      <c r="J2394" t="n">
        <v>0</v>
      </c>
      <c r="K2394" t="n">
        <v>0</v>
      </c>
      <c r="L2394" t="n">
        <v>0</v>
      </c>
      <c r="M2394" t="n">
        <v>0</v>
      </c>
      <c r="N2394" t="n">
        <v>0</v>
      </c>
      <c r="O2394" t="n">
        <v>0</v>
      </c>
      <c r="P2394" t="n">
        <v>0</v>
      </c>
      <c r="Q2394" t="n">
        <v>0</v>
      </c>
      <c r="R2394" s="2" t="inlineStr"/>
    </row>
    <row r="2395">
      <c r="A2395" t="inlineStr">
        <is>
          <t>A 783-2025</t>
        </is>
      </c>
      <c r="B2395" s="1" t="n">
        <v>45665</v>
      </c>
      <c r="C2395" s="1" t="n">
        <v>45666</v>
      </c>
      <c r="D2395" t="inlineStr">
        <is>
          <t>JÄMTLANDS LÄN</t>
        </is>
      </c>
      <c r="E2395" t="inlineStr">
        <is>
          <t>BRÄCKE</t>
        </is>
      </c>
      <c r="G2395" t="n">
        <v>4</v>
      </c>
      <c r="H2395" t="n">
        <v>0</v>
      </c>
      <c r="I2395" t="n">
        <v>0</v>
      </c>
      <c r="J2395" t="n">
        <v>0</v>
      </c>
      <c r="K2395" t="n">
        <v>0</v>
      </c>
      <c r="L2395" t="n">
        <v>0</v>
      </c>
      <c r="M2395" t="n">
        <v>0</v>
      </c>
      <c r="N2395" t="n">
        <v>0</v>
      </c>
      <c r="O2395" t="n">
        <v>0</v>
      </c>
      <c r="P2395" t="n">
        <v>0</v>
      </c>
      <c r="Q2395" t="n">
        <v>0</v>
      </c>
      <c r="R2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2025-01-09T16:12:59Z</dcterms:created>
  <dcterms:modified xmlns:dcterms="http://purl.org/dc/terms/" xmlns:xsi="http://www.w3.org/2001/XMLSchema-instance" xsi:type="dcterms:W3CDTF">2025-01-09T16:13:01Z</dcterms:modified>
</cp:coreProperties>
</file>