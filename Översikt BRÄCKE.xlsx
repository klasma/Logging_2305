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45361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45361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45361</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45361</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45361</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45361</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45361</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45361</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45361</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45361</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45361</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45361</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45361</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c r="Z14">
        <f>HYPERLINK("https://klasma.github.io/Logging_2305/fåglar/A 51806-2023 prioriterade fågelarter.docx", "A 51806-2023")</f>
        <v/>
      </c>
    </row>
    <row r="15" ht="15" customHeight="1">
      <c r="A15" t="inlineStr">
        <is>
          <t>A 40056-2020</t>
        </is>
      </c>
      <c r="B15" s="1" t="n">
        <v>44067</v>
      </c>
      <c r="C15" s="1" t="n">
        <v>45361</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45361</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45361</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45361</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45361</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45361</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45361</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45361</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45361</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45361</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45361</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45361</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45361</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45361</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45361</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45361</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45361</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45361</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45361</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45361</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45361</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45361</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45361</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45361</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45361</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45361</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45361</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45361</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45361</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45361</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45361</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45361</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45361</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45361</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45361</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45361</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45361</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45361</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45361</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45361</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45361</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45361</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45361</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45361</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45361</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45361</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45361</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45361</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45361</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45361</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45361</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45361</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45361</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45361</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45361</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45361</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45361</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45361</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45361</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45361</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45361</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45361</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45361</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45361</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45361</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45361</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45361</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45361</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45361</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45361</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45361</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45361</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45361</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45361</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45361</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45361</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45361</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45361</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45361</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45361</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45361</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45361</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45361</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45361</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45361</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45361</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45361</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45361</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45361</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45361</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45361</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45361</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45361</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45361</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45361</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45361</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45361</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45361</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45361</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45361</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45361</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45361</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45361</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45361</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45361</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45361</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45361</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45361</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45361</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45361</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45361</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45361</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45361</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45361</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8248-2024</t>
        </is>
      </c>
      <c r="B129" s="1" t="n">
        <v>45351</v>
      </c>
      <c r="C129" s="1" t="n">
        <v>45361</v>
      </c>
      <c r="D129" t="inlineStr">
        <is>
          <t>JÄMTLANDS LÄN</t>
        </is>
      </c>
      <c r="E129" t="inlineStr">
        <is>
          <t>BRÄCKE</t>
        </is>
      </c>
      <c r="F129" t="inlineStr">
        <is>
          <t>SCA</t>
        </is>
      </c>
      <c r="G129" t="n">
        <v>1.8</v>
      </c>
      <c r="H129" t="n">
        <v>0</v>
      </c>
      <c r="I129" t="n">
        <v>0</v>
      </c>
      <c r="J129" t="n">
        <v>2</v>
      </c>
      <c r="K129" t="n">
        <v>0</v>
      </c>
      <c r="L129" t="n">
        <v>0</v>
      </c>
      <c r="M129" t="n">
        <v>0</v>
      </c>
      <c r="N129" t="n">
        <v>0</v>
      </c>
      <c r="O129" t="n">
        <v>2</v>
      </c>
      <c r="P129" t="n">
        <v>0</v>
      </c>
      <c r="Q129" t="n">
        <v>2</v>
      </c>
      <c r="R129" s="2" t="inlineStr">
        <is>
          <t>Rosenticka
Ullticka</t>
        </is>
      </c>
      <c r="S129">
        <f>HYPERLINK("https://klasma.github.io/Logging_2305/artfynd/A 8248-2024 artfynd.xlsx", "A 8248-2024")</f>
        <v/>
      </c>
      <c r="T129">
        <f>HYPERLINK("https://klasma.github.io/Logging_2305/kartor/A 8248-2024 karta.png", "A 8248-2024")</f>
        <v/>
      </c>
      <c r="V129">
        <f>HYPERLINK("https://klasma.github.io/Logging_2305/klagomål/A 8248-2024 FSC-klagomål.docx", "A 8248-2024")</f>
        <v/>
      </c>
      <c r="W129">
        <f>HYPERLINK("https://klasma.github.io/Logging_2305/klagomålsmail/A 8248-2024 FSC-klagomål mail.docx", "A 8248-2024")</f>
        <v/>
      </c>
      <c r="X129">
        <f>HYPERLINK("https://klasma.github.io/Logging_2305/tillsyn/A 8248-2024 tillsynsbegäran.docx", "A 8248-2024")</f>
        <v/>
      </c>
      <c r="Y129">
        <f>HYPERLINK("https://klasma.github.io/Logging_2305/tillsynsmail/A 8248-2024 tillsynsbegäran mail.docx", "A 8248-2024")</f>
        <v/>
      </c>
    </row>
    <row r="130" ht="15" customHeight="1">
      <c r="A130" t="inlineStr">
        <is>
          <t>A 64311-2018</t>
        </is>
      </c>
      <c r="B130" s="1" t="n">
        <v>43430</v>
      </c>
      <c r="C130" s="1" t="n">
        <v>45361</v>
      </c>
      <c r="D130" t="inlineStr">
        <is>
          <t>JÄMTLANDS LÄN</t>
        </is>
      </c>
      <c r="E130" t="inlineStr">
        <is>
          <t>BRÄCKE</t>
        </is>
      </c>
      <c r="F130" t="inlineStr">
        <is>
          <t>Övriga Aktiebolag</t>
        </is>
      </c>
      <c r="G130" t="n">
        <v>29.1</v>
      </c>
      <c r="H130" t="n">
        <v>0</v>
      </c>
      <c r="I130" t="n">
        <v>0</v>
      </c>
      <c r="J130" t="n">
        <v>1</v>
      </c>
      <c r="K130" t="n">
        <v>0</v>
      </c>
      <c r="L130" t="n">
        <v>0</v>
      </c>
      <c r="M130" t="n">
        <v>0</v>
      </c>
      <c r="N130" t="n">
        <v>0</v>
      </c>
      <c r="O130" t="n">
        <v>1</v>
      </c>
      <c r="P130" t="n">
        <v>0</v>
      </c>
      <c r="Q130" t="n">
        <v>1</v>
      </c>
      <c r="R130" s="2" t="inlineStr">
        <is>
          <t>Brunklöver</t>
        </is>
      </c>
      <c r="S130">
        <f>HYPERLINK("https://klasma.github.io/Logging_2305/artfynd/A 64311-2018 artfynd.xlsx", "A 64311-2018")</f>
        <v/>
      </c>
      <c r="T130">
        <f>HYPERLINK("https://klasma.github.io/Logging_2305/kartor/A 64311-2018 karta.png", "A 64311-2018")</f>
        <v/>
      </c>
      <c r="V130">
        <f>HYPERLINK("https://klasma.github.io/Logging_2305/klagomål/A 64311-2018 FSC-klagomål.docx", "A 64311-2018")</f>
        <v/>
      </c>
      <c r="W130">
        <f>HYPERLINK("https://klasma.github.io/Logging_2305/klagomålsmail/A 64311-2018 FSC-klagomål mail.docx", "A 64311-2018")</f>
        <v/>
      </c>
      <c r="X130">
        <f>HYPERLINK("https://klasma.github.io/Logging_2305/tillsyn/A 64311-2018 tillsynsbegäran.docx", "A 64311-2018")</f>
        <v/>
      </c>
      <c r="Y130">
        <f>HYPERLINK("https://klasma.github.io/Logging_2305/tillsynsmail/A 64311-2018 tillsynsbegäran mail.docx", "A 64311-2018")</f>
        <v/>
      </c>
    </row>
    <row r="131" ht="15" customHeight="1">
      <c r="A131" t="inlineStr">
        <is>
          <t>A 28216-2019</t>
        </is>
      </c>
      <c r="B131" s="1" t="n">
        <v>43621</v>
      </c>
      <c r="C131" s="1" t="n">
        <v>45361</v>
      </c>
      <c r="D131" t="inlineStr">
        <is>
          <t>JÄMTLANDS LÄN</t>
        </is>
      </c>
      <c r="E131" t="inlineStr">
        <is>
          <t>BRÄCKE</t>
        </is>
      </c>
      <c r="F131" t="inlineStr">
        <is>
          <t>SCA</t>
        </is>
      </c>
      <c r="G131" t="n">
        <v>4.6</v>
      </c>
      <c r="H131" t="n">
        <v>0</v>
      </c>
      <c r="I131" t="n">
        <v>0</v>
      </c>
      <c r="J131" t="n">
        <v>1</v>
      </c>
      <c r="K131" t="n">
        <v>0</v>
      </c>
      <c r="L131" t="n">
        <v>0</v>
      </c>
      <c r="M131" t="n">
        <v>0</v>
      </c>
      <c r="N131" t="n">
        <v>0</v>
      </c>
      <c r="O131" t="n">
        <v>1</v>
      </c>
      <c r="P131" t="n">
        <v>0</v>
      </c>
      <c r="Q131" t="n">
        <v>1</v>
      </c>
      <c r="R131" s="2" t="inlineStr">
        <is>
          <t>Lunglav</t>
        </is>
      </c>
      <c r="S131">
        <f>HYPERLINK("https://klasma.github.io/Logging_2305/artfynd/A 28216-2019 artfynd.xlsx", "A 28216-2019")</f>
        <v/>
      </c>
      <c r="T131">
        <f>HYPERLINK("https://klasma.github.io/Logging_2305/kartor/A 28216-2019 karta.png", "A 28216-2019")</f>
        <v/>
      </c>
      <c r="V131">
        <f>HYPERLINK("https://klasma.github.io/Logging_2305/klagomål/A 28216-2019 FSC-klagomål.docx", "A 28216-2019")</f>
        <v/>
      </c>
      <c r="W131">
        <f>HYPERLINK("https://klasma.github.io/Logging_2305/klagomålsmail/A 28216-2019 FSC-klagomål mail.docx", "A 28216-2019")</f>
        <v/>
      </c>
      <c r="X131">
        <f>HYPERLINK("https://klasma.github.io/Logging_2305/tillsyn/A 28216-2019 tillsynsbegäran.docx", "A 28216-2019")</f>
        <v/>
      </c>
      <c r="Y131">
        <f>HYPERLINK("https://klasma.github.io/Logging_2305/tillsynsmail/A 28216-2019 tillsynsbegäran mail.docx", "A 28216-2019")</f>
        <v/>
      </c>
    </row>
    <row r="132" ht="15" customHeight="1">
      <c r="A132" t="inlineStr">
        <is>
          <t>A 48962-2019</t>
        </is>
      </c>
      <c r="B132" s="1" t="n">
        <v>43728</v>
      </c>
      <c r="C132" s="1" t="n">
        <v>45361</v>
      </c>
      <c r="D132" t="inlineStr">
        <is>
          <t>JÄMTLANDS LÄN</t>
        </is>
      </c>
      <c r="E132" t="inlineStr">
        <is>
          <t>BRÄCKE</t>
        </is>
      </c>
      <c r="F132" t="inlineStr">
        <is>
          <t>SCA</t>
        </is>
      </c>
      <c r="G132" t="n">
        <v>21.9</v>
      </c>
      <c r="H132" t="n">
        <v>1</v>
      </c>
      <c r="I132" t="n">
        <v>0</v>
      </c>
      <c r="J132" t="n">
        <v>0</v>
      </c>
      <c r="K132" t="n">
        <v>1</v>
      </c>
      <c r="L132" t="n">
        <v>0</v>
      </c>
      <c r="M132" t="n">
        <v>0</v>
      </c>
      <c r="N132" t="n">
        <v>0</v>
      </c>
      <c r="O132" t="n">
        <v>1</v>
      </c>
      <c r="P132" t="n">
        <v>1</v>
      </c>
      <c r="Q132" t="n">
        <v>1</v>
      </c>
      <c r="R132" s="2" t="inlineStr">
        <is>
          <t>Doftticka</t>
        </is>
      </c>
      <c r="S132">
        <f>HYPERLINK("https://klasma.github.io/Logging_2305/artfynd/A 48962-2019 artfynd.xlsx", "A 48962-2019")</f>
        <v/>
      </c>
      <c r="T132">
        <f>HYPERLINK("https://klasma.github.io/Logging_2305/kartor/A 48962-2019 karta.png", "A 48962-2019")</f>
        <v/>
      </c>
      <c r="U132">
        <f>HYPERLINK("https://klasma.github.io/Logging_2305/knärot/A 48962-2019 karta knärot.png", "A 48962-2019")</f>
        <v/>
      </c>
      <c r="V132">
        <f>HYPERLINK("https://klasma.github.io/Logging_2305/klagomål/A 48962-2019 FSC-klagomål.docx", "A 48962-2019")</f>
        <v/>
      </c>
      <c r="W132">
        <f>HYPERLINK("https://klasma.github.io/Logging_2305/klagomålsmail/A 48962-2019 FSC-klagomål mail.docx", "A 48962-2019")</f>
        <v/>
      </c>
      <c r="X132">
        <f>HYPERLINK("https://klasma.github.io/Logging_2305/tillsyn/A 48962-2019 tillsynsbegäran.docx", "A 48962-2019")</f>
        <v/>
      </c>
      <c r="Y132">
        <f>HYPERLINK("https://klasma.github.io/Logging_2305/tillsynsmail/A 48962-2019 tillsynsbegäran mail.docx", "A 48962-2019")</f>
        <v/>
      </c>
    </row>
    <row r="133" ht="15" customHeight="1">
      <c r="A133" t="inlineStr">
        <is>
          <t>A 49010-2019</t>
        </is>
      </c>
      <c r="B133" s="1" t="n">
        <v>43730</v>
      </c>
      <c r="C133" s="1" t="n">
        <v>45361</v>
      </c>
      <c r="D133" t="inlineStr">
        <is>
          <t>JÄMTLANDS LÄN</t>
        </is>
      </c>
      <c r="E133" t="inlineStr">
        <is>
          <t>BRÄCKE</t>
        </is>
      </c>
      <c r="F133" t="inlineStr">
        <is>
          <t>SCA</t>
        </is>
      </c>
      <c r="G133" t="n">
        <v>1.3</v>
      </c>
      <c r="H133" t="n">
        <v>1</v>
      </c>
      <c r="I133" t="n">
        <v>0</v>
      </c>
      <c r="J133" t="n">
        <v>0</v>
      </c>
      <c r="K133" t="n">
        <v>0</v>
      </c>
      <c r="L133" t="n">
        <v>0</v>
      </c>
      <c r="M133" t="n">
        <v>0</v>
      </c>
      <c r="N133" t="n">
        <v>0</v>
      </c>
      <c r="O133" t="n">
        <v>0</v>
      </c>
      <c r="P133" t="n">
        <v>0</v>
      </c>
      <c r="Q133" t="n">
        <v>1</v>
      </c>
      <c r="R133" s="2" t="inlineStr">
        <is>
          <t>Fläcknycklar</t>
        </is>
      </c>
      <c r="S133">
        <f>HYPERLINK("https://klasma.github.io/Logging_2305/artfynd/A 49010-2019 artfynd.xlsx", "A 49010-2019")</f>
        <v/>
      </c>
      <c r="T133">
        <f>HYPERLINK("https://klasma.github.io/Logging_2305/kartor/A 49010-2019 karta.png", "A 49010-2019")</f>
        <v/>
      </c>
      <c r="V133">
        <f>HYPERLINK("https://klasma.github.io/Logging_2305/klagomål/A 49010-2019 FSC-klagomål.docx", "A 49010-2019")</f>
        <v/>
      </c>
      <c r="W133">
        <f>HYPERLINK("https://klasma.github.io/Logging_2305/klagomålsmail/A 49010-2019 FSC-klagomål mail.docx", "A 49010-2019")</f>
        <v/>
      </c>
      <c r="X133">
        <f>HYPERLINK("https://klasma.github.io/Logging_2305/tillsyn/A 49010-2019 tillsynsbegäran.docx", "A 49010-2019")</f>
        <v/>
      </c>
      <c r="Y133">
        <f>HYPERLINK("https://klasma.github.io/Logging_2305/tillsynsmail/A 49010-2019 tillsynsbegäran mail.docx", "A 49010-2019")</f>
        <v/>
      </c>
    </row>
    <row r="134" ht="15" customHeight="1">
      <c r="A134" t="inlineStr">
        <is>
          <t>A 50599-2019</t>
        </is>
      </c>
      <c r="B134" s="1" t="n">
        <v>43735</v>
      </c>
      <c r="C134" s="1" t="n">
        <v>45361</v>
      </c>
      <c r="D134" t="inlineStr">
        <is>
          <t>JÄMTLANDS LÄN</t>
        </is>
      </c>
      <c r="E134" t="inlineStr">
        <is>
          <t>BRÄCKE</t>
        </is>
      </c>
      <c r="F134" t="inlineStr">
        <is>
          <t>SCA</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HYPERLINK("https://klasma.github.io/Logging_2305/artfynd/A 50599-2019 artfynd.xlsx", "A 50599-2019")</f>
        <v/>
      </c>
      <c r="T134">
        <f>HYPERLINK("https://klasma.github.io/Logging_2305/kartor/A 50599-2019 karta.png", "A 50599-2019")</f>
        <v/>
      </c>
      <c r="V134">
        <f>HYPERLINK("https://klasma.github.io/Logging_2305/klagomål/A 50599-2019 FSC-klagomål.docx", "A 50599-2019")</f>
        <v/>
      </c>
      <c r="W134">
        <f>HYPERLINK("https://klasma.github.io/Logging_2305/klagomålsmail/A 50599-2019 FSC-klagomål mail.docx", "A 50599-2019")</f>
        <v/>
      </c>
      <c r="X134">
        <f>HYPERLINK("https://klasma.github.io/Logging_2305/tillsyn/A 50599-2019 tillsynsbegäran.docx", "A 50599-2019")</f>
        <v/>
      </c>
      <c r="Y134">
        <f>HYPERLINK("https://klasma.github.io/Logging_2305/tillsynsmail/A 50599-2019 tillsynsbegäran mail.docx", "A 50599-2019")</f>
        <v/>
      </c>
    </row>
    <row r="135" ht="15" customHeight="1">
      <c r="A135" t="inlineStr">
        <is>
          <t>A 35488-2020</t>
        </is>
      </c>
      <c r="B135" s="1" t="n">
        <v>44042</v>
      </c>
      <c r="C135" s="1" t="n">
        <v>45361</v>
      </c>
      <c r="D135" t="inlineStr">
        <is>
          <t>JÄMTLANDS LÄN</t>
        </is>
      </c>
      <c r="E135" t="inlineStr">
        <is>
          <t>BRÄCKE</t>
        </is>
      </c>
      <c r="F135" t="inlineStr">
        <is>
          <t>SCA</t>
        </is>
      </c>
      <c r="G135" t="n">
        <v>1.9</v>
      </c>
      <c r="H135" t="n">
        <v>0</v>
      </c>
      <c r="I135" t="n">
        <v>0</v>
      </c>
      <c r="J135" t="n">
        <v>1</v>
      </c>
      <c r="K135" t="n">
        <v>0</v>
      </c>
      <c r="L135" t="n">
        <v>0</v>
      </c>
      <c r="M135" t="n">
        <v>0</v>
      </c>
      <c r="N135" t="n">
        <v>0</v>
      </c>
      <c r="O135" t="n">
        <v>1</v>
      </c>
      <c r="P135" t="n">
        <v>0</v>
      </c>
      <c r="Q135" t="n">
        <v>1</v>
      </c>
      <c r="R135" s="2" t="inlineStr">
        <is>
          <t>Lunglav</t>
        </is>
      </c>
      <c r="S135">
        <f>HYPERLINK("https://klasma.github.io/Logging_2305/artfynd/A 35488-2020 artfynd.xlsx", "A 35488-2020")</f>
        <v/>
      </c>
      <c r="T135">
        <f>HYPERLINK("https://klasma.github.io/Logging_2305/kartor/A 35488-2020 karta.png", "A 35488-2020")</f>
        <v/>
      </c>
      <c r="V135">
        <f>HYPERLINK("https://klasma.github.io/Logging_2305/klagomål/A 35488-2020 FSC-klagomål.docx", "A 35488-2020")</f>
        <v/>
      </c>
      <c r="W135">
        <f>HYPERLINK("https://klasma.github.io/Logging_2305/klagomålsmail/A 35488-2020 FSC-klagomål mail.docx", "A 35488-2020")</f>
        <v/>
      </c>
      <c r="X135">
        <f>HYPERLINK("https://klasma.github.io/Logging_2305/tillsyn/A 35488-2020 tillsynsbegäran.docx", "A 35488-2020")</f>
        <v/>
      </c>
      <c r="Y135">
        <f>HYPERLINK("https://klasma.github.io/Logging_2305/tillsynsmail/A 35488-2020 tillsynsbegäran mail.docx", "A 35488-2020")</f>
        <v/>
      </c>
    </row>
    <row r="136" ht="15" customHeight="1">
      <c r="A136" t="inlineStr">
        <is>
          <t>A 41897-2020</t>
        </is>
      </c>
      <c r="B136" s="1" t="n">
        <v>44074</v>
      </c>
      <c r="C136" s="1" t="n">
        <v>45361</v>
      </c>
      <c r="D136" t="inlineStr">
        <is>
          <t>JÄMTLANDS LÄN</t>
        </is>
      </c>
      <c r="E136" t="inlineStr">
        <is>
          <t>BRÄCKE</t>
        </is>
      </c>
      <c r="F136" t="inlineStr">
        <is>
          <t>SCA</t>
        </is>
      </c>
      <c r="G136" t="n">
        <v>3.9</v>
      </c>
      <c r="H136" t="n">
        <v>0</v>
      </c>
      <c r="I136" t="n">
        <v>0</v>
      </c>
      <c r="J136" t="n">
        <v>1</v>
      </c>
      <c r="K136" t="n">
        <v>0</v>
      </c>
      <c r="L136" t="n">
        <v>0</v>
      </c>
      <c r="M136" t="n">
        <v>0</v>
      </c>
      <c r="N136" t="n">
        <v>0</v>
      </c>
      <c r="O136" t="n">
        <v>1</v>
      </c>
      <c r="P136" t="n">
        <v>0</v>
      </c>
      <c r="Q136" t="n">
        <v>1</v>
      </c>
      <c r="R136" s="2" t="inlineStr">
        <is>
          <t>Stiftgelélav</t>
        </is>
      </c>
      <c r="S136">
        <f>HYPERLINK("https://klasma.github.io/Logging_2305/artfynd/A 41897-2020 artfynd.xlsx", "A 41897-2020")</f>
        <v/>
      </c>
      <c r="T136">
        <f>HYPERLINK("https://klasma.github.io/Logging_2305/kartor/A 41897-2020 karta.png", "A 41897-2020")</f>
        <v/>
      </c>
      <c r="V136">
        <f>HYPERLINK("https://klasma.github.io/Logging_2305/klagomål/A 41897-2020 FSC-klagomål.docx", "A 41897-2020")</f>
        <v/>
      </c>
      <c r="W136">
        <f>HYPERLINK("https://klasma.github.io/Logging_2305/klagomålsmail/A 41897-2020 FSC-klagomål mail.docx", "A 41897-2020")</f>
        <v/>
      </c>
      <c r="X136">
        <f>HYPERLINK("https://klasma.github.io/Logging_2305/tillsyn/A 41897-2020 tillsynsbegäran.docx", "A 41897-2020")</f>
        <v/>
      </c>
      <c r="Y136">
        <f>HYPERLINK("https://klasma.github.io/Logging_2305/tillsynsmail/A 41897-2020 tillsynsbegäran mail.docx", "A 41897-2020")</f>
        <v/>
      </c>
    </row>
    <row r="137" ht="15" customHeight="1">
      <c r="A137" t="inlineStr">
        <is>
          <t>A 60051-2020</t>
        </is>
      </c>
      <c r="B137" s="1" t="n">
        <v>44151</v>
      </c>
      <c r="C137" s="1" t="n">
        <v>45361</v>
      </c>
      <c r="D137" t="inlineStr">
        <is>
          <t>JÄMTLANDS LÄN</t>
        </is>
      </c>
      <c r="E137" t="inlineStr">
        <is>
          <t>BRÄCKE</t>
        </is>
      </c>
      <c r="F137" t="inlineStr">
        <is>
          <t>SCA</t>
        </is>
      </c>
      <c r="G137" t="n">
        <v>9.300000000000001</v>
      </c>
      <c r="H137" t="n">
        <v>0</v>
      </c>
      <c r="I137" t="n">
        <v>0</v>
      </c>
      <c r="J137" t="n">
        <v>1</v>
      </c>
      <c r="K137" t="n">
        <v>0</v>
      </c>
      <c r="L137" t="n">
        <v>0</v>
      </c>
      <c r="M137" t="n">
        <v>0</v>
      </c>
      <c r="N137" t="n">
        <v>0</v>
      </c>
      <c r="O137" t="n">
        <v>1</v>
      </c>
      <c r="P137" t="n">
        <v>0</v>
      </c>
      <c r="Q137" t="n">
        <v>1</v>
      </c>
      <c r="R137" s="2" t="inlineStr">
        <is>
          <t>Lunglav</t>
        </is>
      </c>
      <c r="S137">
        <f>HYPERLINK("https://klasma.github.io/Logging_2305/artfynd/A 60051-2020 artfynd.xlsx", "A 60051-2020")</f>
        <v/>
      </c>
      <c r="T137">
        <f>HYPERLINK("https://klasma.github.io/Logging_2305/kartor/A 60051-2020 karta.png", "A 60051-2020")</f>
        <v/>
      </c>
      <c r="V137">
        <f>HYPERLINK("https://klasma.github.io/Logging_2305/klagomål/A 60051-2020 FSC-klagomål.docx", "A 60051-2020")</f>
        <v/>
      </c>
      <c r="W137">
        <f>HYPERLINK("https://klasma.github.io/Logging_2305/klagomålsmail/A 60051-2020 FSC-klagomål mail.docx", "A 60051-2020")</f>
        <v/>
      </c>
      <c r="X137">
        <f>HYPERLINK("https://klasma.github.io/Logging_2305/tillsyn/A 60051-2020 tillsynsbegäran.docx", "A 60051-2020")</f>
        <v/>
      </c>
      <c r="Y137">
        <f>HYPERLINK("https://klasma.github.io/Logging_2305/tillsynsmail/A 60051-2020 tillsynsbegäran mail.docx", "A 60051-2020")</f>
        <v/>
      </c>
    </row>
    <row r="138" ht="15" customHeight="1">
      <c r="A138" t="inlineStr">
        <is>
          <t>A 19431-2021</t>
        </is>
      </c>
      <c r="B138" s="1" t="n">
        <v>44309</v>
      </c>
      <c r="C138" s="1" t="n">
        <v>45361</v>
      </c>
      <c r="D138" t="inlineStr">
        <is>
          <t>JÄMTLANDS LÄN</t>
        </is>
      </c>
      <c r="E138" t="inlineStr">
        <is>
          <t>BRÄCKE</t>
        </is>
      </c>
      <c r="G138" t="n">
        <v>4.8</v>
      </c>
      <c r="H138" t="n">
        <v>1</v>
      </c>
      <c r="I138" t="n">
        <v>0</v>
      </c>
      <c r="J138" t="n">
        <v>1</v>
      </c>
      <c r="K138" t="n">
        <v>0</v>
      </c>
      <c r="L138" t="n">
        <v>0</v>
      </c>
      <c r="M138" t="n">
        <v>0</v>
      </c>
      <c r="N138" t="n">
        <v>0</v>
      </c>
      <c r="O138" t="n">
        <v>1</v>
      </c>
      <c r="P138" t="n">
        <v>0</v>
      </c>
      <c r="Q138" t="n">
        <v>1</v>
      </c>
      <c r="R138" s="2" t="inlineStr">
        <is>
          <t>Utter</t>
        </is>
      </c>
      <c r="S138">
        <f>HYPERLINK("https://klasma.github.io/Logging_2305/artfynd/A 19431-2021 artfynd.xlsx", "A 19431-2021")</f>
        <v/>
      </c>
      <c r="T138">
        <f>HYPERLINK("https://klasma.github.io/Logging_2305/kartor/A 19431-2021 karta.png", "A 19431-2021")</f>
        <v/>
      </c>
      <c r="V138">
        <f>HYPERLINK("https://klasma.github.io/Logging_2305/klagomål/A 19431-2021 FSC-klagomål.docx", "A 19431-2021")</f>
        <v/>
      </c>
      <c r="W138">
        <f>HYPERLINK("https://klasma.github.io/Logging_2305/klagomålsmail/A 19431-2021 FSC-klagomål mail.docx", "A 19431-2021")</f>
        <v/>
      </c>
      <c r="X138">
        <f>HYPERLINK("https://klasma.github.io/Logging_2305/tillsyn/A 19431-2021 tillsynsbegäran.docx", "A 19431-2021")</f>
        <v/>
      </c>
      <c r="Y138">
        <f>HYPERLINK("https://klasma.github.io/Logging_2305/tillsynsmail/A 19431-2021 tillsynsbegäran mail.docx", "A 19431-2021")</f>
        <v/>
      </c>
    </row>
    <row r="139" ht="15" customHeight="1">
      <c r="A139" t="inlineStr">
        <is>
          <t>A 26135-2021</t>
        </is>
      </c>
      <c r="B139" s="1" t="n">
        <v>44346</v>
      </c>
      <c r="C139" s="1" t="n">
        <v>45361</v>
      </c>
      <c r="D139" t="inlineStr">
        <is>
          <t>JÄMTLANDS LÄN</t>
        </is>
      </c>
      <c r="E139" t="inlineStr">
        <is>
          <t>BRÄCKE</t>
        </is>
      </c>
      <c r="G139" t="n">
        <v>15.1</v>
      </c>
      <c r="H139" t="n">
        <v>0</v>
      </c>
      <c r="I139" t="n">
        <v>1</v>
      </c>
      <c r="J139" t="n">
        <v>0</v>
      </c>
      <c r="K139" t="n">
        <v>0</v>
      </c>
      <c r="L139" t="n">
        <v>0</v>
      </c>
      <c r="M139" t="n">
        <v>0</v>
      </c>
      <c r="N139" t="n">
        <v>0</v>
      </c>
      <c r="O139" t="n">
        <v>0</v>
      </c>
      <c r="P139" t="n">
        <v>0</v>
      </c>
      <c r="Q139" t="n">
        <v>1</v>
      </c>
      <c r="R139" s="2" t="inlineStr">
        <is>
          <t>Grönpyrola</t>
        </is>
      </c>
      <c r="S139">
        <f>HYPERLINK("https://klasma.github.io/Logging_2305/artfynd/A 26135-2021 artfynd.xlsx", "A 26135-2021")</f>
        <v/>
      </c>
      <c r="T139">
        <f>HYPERLINK("https://klasma.github.io/Logging_2305/kartor/A 26135-2021 karta.png", "A 26135-2021")</f>
        <v/>
      </c>
      <c r="V139">
        <f>HYPERLINK("https://klasma.github.io/Logging_2305/klagomål/A 26135-2021 FSC-klagomål.docx", "A 26135-2021")</f>
        <v/>
      </c>
      <c r="W139">
        <f>HYPERLINK("https://klasma.github.io/Logging_2305/klagomålsmail/A 26135-2021 FSC-klagomål mail.docx", "A 26135-2021")</f>
        <v/>
      </c>
      <c r="X139">
        <f>HYPERLINK("https://klasma.github.io/Logging_2305/tillsyn/A 26135-2021 tillsynsbegäran.docx", "A 26135-2021")</f>
        <v/>
      </c>
      <c r="Y139">
        <f>HYPERLINK("https://klasma.github.io/Logging_2305/tillsynsmail/A 26135-2021 tillsynsbegäran mail.docx", "A 26135-2021")</f>
        <v/>
      </c>
    </row>
    <row r="140" ht="15" customHeight="1">
      <c r="A140" t="inlineStr">
        <is>
          <t>A 31336-2021</t>
        </is>
      </c>
      <c r="B140" s="1" t="n">
        <v>44368</v>
      </c>
      <c r="C140" s="1" t="n">
        <v>45361</v>
      </c>
      <c r="D140" t="inlineStr">
        <is>
          <t>JÄMTLANDS LÄN</t>
        </is>
      </c>
      <c r="E140" t="inlineStr">
        <is>
          <t>BRÄCKE</t>
        </is>
      </c>
      <c r="F140" t="inlineStr">
        <is>
          <t>SCA</t>
        </is>
      </c>
      <c r="G140" t="n">
        <v>2.2</v>
      </c>
      <c r="H140" t="n">
        <v>0</v>
      </c>
      <c r="I140" t="n">
        <v>0</v>
      </c>
      <c r="J140" t="n">
        <v>0</v>
      </c>
      <c r="K140" t="n">
        <v>1</v>
      </c>
      <c r="L140" t="n">
        <v>0</v>
      </c>
      <c r="M140" t="n">
        <v>0</v>
      </c>
      <c r="N140" t="n">
        <v>0</v>
      </c>
      <c r="O140" t="n">
        <v>1</v>
      </c>
      <c r="P140" t="n">
        <v>1</v>
      </c>
      <c r="Q140" t="n">
        <v>1</v>
      </c>
      <c r="R140" s="2" t="inlineStr">
        <is>
          <t>Rynkskinn</t>
        </is>
      </c>
      <c r="S140">
        <f>HYPERLINK("https://klasma.github.io/Logging_2305/artfynd/A 31336-2021 artfynd.xlsx", "A 31336-2021")</f>
        <v/>
      </c>
      <c r="T140">
        <f>HYPERLINK("https://klasma.github.io/Logging_2305/kartor/A 31336-2021 karta.png", "A 31336-2021")</f>
        <v/>
      </c>
      <c r="V140">
        <f>HYPERLINK("https://klasma.github.io/Logging_2305/klagomål/A 31336-2021 FSC-klagomål.docx", "A 31336-2021")</f>
        <v/>
      </c>
      <c r="W140">
        <f>HYPERLINK("https://klasma.github.io/Logging_2305/klagomålsmail/A 31336-2021 FSC-klagomål mail.docx", "A 31336-2021")</f>
        <v/>
      </c>
      <c r="X140">
        <f>HYPERLINK("https://klasma.github.io/Logging_2305/tillsyn/A 31336-2021 tillsynsbegäran.docx", "A 31336-2021")</f>
        <v/>
      </c>
      <c r="Y140">
        <f>HYPERLINK("https://klasma.github.io/Logging_2305/tillsynsmail/A 31336-2021 tillsynsbegäran mail.docx", "A 31336-2021")</f>
        <v/>
      </c>
    </row>
    <row r="141" ht="15" customHeight="1">
      <c r="A141" t="inlineStr">
        <is>
          <t>A 69154-2021</t>
        </is>
      </c>
      <c r="B141" s="1" t="n">
        <v>44530</v>
      </c>
      <c r="C141" s="1" t="n">
        <v>45361</v>
      </c>
      <c r="D141" t="inlineStr">
        <is>
          <t>JÄMTLANDS LÄN</t>
        </is>
      </c>
      <c r="E141" t="inlineStr">
        <is>
          <t>BRÄCKE</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HYPERLINK("https://klasma.github.io/Logging_2305/artfynd/A 69154-2021 artfynd.xlsx", "A 69154-2021")</f>
        <v/>
      </c>
      <c r="T141">
        <f>HYPERLINK("https://klasma.github.io/Logging_2305/kartor/A 69154-2021 karta.png", "A 69154-2021")</f>
        <v/>
      </c>
      <c r="V141">
        <f>HYPERLINK("https://klasma.github.io/Logging_2305/klagomål/A 69154-2021 FSC-klagomål.docx", "A 69154-2021")</f>
        <v/>
      </c>
      <c r="W141">
        <f>HYPERLINK("https://klasma.github.io/Logging_2305/klagomålsmail/A 69154-2021 FSC-klagomål mail.docx", "A 69154-2021")</f>
        <v/>
      </c>
      <c r="X141">
        <f>HYPERLINK("https://klasma.github.io/Logging_2305/tillsyn/A 69154-2021 tillsynsbegäran.docx", "A 69154-2021")</f>
        <v/>
      </c>
      <c r="Y141">
        <f>HYPERLINK("https://klasma.github.io/Logging_2305/tillsynsmail/A 69154-2021 tillsynsbegäran mail.docx", "A 69154-2021")</f>
        <v/>
      </c>
    </row>
    <row r="142" ht="15" customHeight="1">
      <c r="A142" t="inlineStr">
        <is>
          <t>A 235-2022</t>
        </is>
      </c>
      <c r="B142" s="1" t="n">
        <v>44564</v>
      </c>
      <c r="C142" s="1" t="n">
        <v>45361</v>
      </c>
      <c r="D142" t="inlineStr">
        <is>
          <t>JÄMTLANDS LÄN</t>
        </is>
      </c>
      <c r="E142" t="inlineStr">
        <is>
          <t>BRÄCKE</t>
        </is>
      </c>
      <c r="F142" t="inlineStr">
        <is>
          <t>SCA</t>
        </is>
      </c>
      <c r="G142" t="n">
        <v>5.8</v>
      </c>
      <c r="H142" t="n">
        <v>0</v>
      </c>
      <c r="I142" t="n">
        <v>0</v>
      </c>
      <c r="J142" t="n">
        <v>1</v>
      </c>
      <c r="K142" t="n">
        <v>0</v>
      </c>
      <c r="L142" t="n">
        <v>0</v>
      </c>
      <c r="M142" t="n">
        <v>0</v>
      </c>
      <c r="N142" t="n">
        <v>0</v>
      </c>
      <c r="O142" t="n">
        <v>1</v>
      </c>
      <c r="P142" t="n">
        <v>0</v>
      </c>
      <c r="Q142" t="n">
        <v>1</v>
      </c>
      <c r="R142" s="2" t="inlineStr">
        <is>
          <t>Harticka</t>
        </is>
      </c>
      <c r="S142">
        <f>HYPERLINK("https://klasma.github.io/Logging_2305/artfynd/A 235-2022 artfynd.xlsx", "A 235-2022")</f>
        <v/>
      </c>
      <c r="T142">
        <f>HYPERLINK("https://klasma.github.io/Logging_2305/kartor/A 235-2022 karta.png", "A 235-2022")</f>
        <v/>
      </c>
      <c r="V142">
        <f>HYPERLINK("https://klasma.github.io/Logging_2305/klagomål/A 235-2022 FSC-klagomål.docx", "A 235-2022")</f>
        <v/>
      </c>
      <c r="W142">
        <f>HYPERLINK("https://klasma.github.io/Logging_2305/klagomålsmail/A 235-2022 FSC-klagomål mail.docx", "A 235-2022")</f>
        <v/>
      </c>
      <c r="X142">
        <f>HYPERLINK("https://klasma.github.io/Logging_2305/tillsyn/A 235-2022 tillsynsbegäran.docx", "A 235-2022")</f>
        <v/>
      </c>
      <c r="Y142">
        <f>HYPERLINK("https://klasma.github.io/Logging_2305/tillsynsmail/A 235-2022 tillsynsbegäran mail.docx", "A 235-2022")</f>
        <v/>
      </c>
    </row>
    <row r="143" ht="15" customHeight="1">
      <c r="A143" t="inlineStr">
        <is>
          <t>A 14628-2022</t>
        </is>
      </c>
      <c r="B143" s="1" t="n">
        <v>44655</v>
      </c>
      <c r="C143" s="1" t="n">
        <v>45361</v>
      </c>
      <c r="D143" t="inlineStr">
        <is>
          <t>JÄMTLANDS LÄN</t>
        </is>
      </c>
      <c r="E143" t="inlineStr">
        <is>
          <t>BRÄCKE</t>
        </is>
      </c>
      <c r="G143" t="n">
        <v>4.7</v>
      </c>
      <c r="H143" t="n">
        <v>0</v>
      </c>
      <c r="I143" t="n">
        <v>1</v>
      </c>
      <c r="J143" t="n">
        <v>0</v>
      </c>
      <c r="K143" t="n">
        <v>0</v>
      </c>
      <c r="L143" t="n">
        <v>0</v>
      </c>
      <c r="M143" t="n">
        <v>0</v>
      </c>
      <c r="N143" t="n">
        <v>0</v>
      </c>
      <c r="O143" t="n">
        <v>0</v>
      </c>
      <c r="P143" t="n">
        <v>0</v>
      </c>
      <c r="Q143" t="n">
        <v>1</v>
      </c>
      <c r="R143" s="2" t="inlineStr">
        <is>
          <t>Dropptaggsvamp</t>
        </is>
      </c>
      <c r="S143">
        <f>HYPERLINK("https://klasma.github.io/Logging_2305/artfynd/A 14628-2022 artfynd.xlsx", "A 14628-2022")</f>
        <v/>
      </c>
      <c r="T143">
        <f>HYPERLINK("https://klasma.github.io/Logging_2305/kartor/A 14628-2022 karta.png", "A 14628-2022")</f>
        <v/>
      </c>
      <c r="V143">
        <f>HYPERLINK("https://klasma.github.io/Logging_2305/klagomål/A 14628-2022 FSC-klagomål.docx", "A 14628-2022")</f>
        <v/>
      </c>
      <c r="W143">
        <f>HYPERLINK("https://klasma.github.io/Logging_2305/klagomålsmail/A 14628-2022 FSC-klagomål mail.docx", "A 14628-2022")</f>
        <v/>
      </c>
      <c r="X143">
        <f>HYPERLINK("https://klasma.github.io/Logging_2305/tillsyn/A 14628-2022 tillsynsbegäran.docx", "A 14628-2022")</f>
        <v/>
      </c>
      <c r="Y143">
        <f>HYPERLINK("https://klasma.github.io/Logging_2305/tillsynsmail/A 14628-2022 tillsynsbegäran mail.docx", "A 14628-2022")</f>
        <v/>
      </c>
    </row>
    <row r="144" ht="15" customHeight="1">
      <c r="A144" t="inlineStr">
        <is>
          <t>A 15076-2022</t>
        </is>
      </c>
      <c r="B144" s="1" t="n">
        <v>44657</v>
      </c>
      <c r="C144" s="1" t="n">
        <v>45361</v>
      </c>
      <c r="D144" t="inlineStr">
        <is>
          <t>JÄMTLANDS LÄN</t>
        </is>
      </c>
      <c r="E144" t="inlineStr">
        <is>
          <t>BRÄCKE</t>
        </is>
      </c>
      <c r="G144" t="n">
        <v>24.7</v>
      </c>
      <c r="H144" t="n">
        <v>0</v>
      </c>
      <c r="I144" t="n">
        <v>0</v>
      </c>
      <c r="J144" t="n">
        <v>1</v>
      </c>
      <c r="K144" t="n">
        <v>0</v>
      </c>
      <c r="L144" t="n">
        <v>0</v>
      </c>
      <c r="M144" t="n">
        <v>0</v>
      </c>
      <c r="N144" t="n">
        <v>0</v>
      </c>
      <c r="O144" t="n">
        <v>1</v>
      </c>
      <c r="P144" t="n">
        <v>0</v>
      </c>
      <c r="Q144" t="n">
        <v>1</v>
      </c>
      <c r="R144" s="2" t="inlineStr">
        <is>
          <t>Skrovellav</t>
        </is>
      </c>
      <c r="S144">
        <f>HYPERLINK("https://klasma.github.io/Logging_2305/artfynd/A 15076-2022 artfynd.xlsx", "A 15076-2022")</f>
        <v/>
      </c>
      <c r="T144">
        <f>HYPERLINK("https://klasma.github.io/Logging_2305/kartor/A 15076-2022 karta.png", "A 15076-2022")</f>
        <v/>
      </c>
      <c r="V144">
        <f>HYPERLINK("https://klasma.github.io/Logging_2305/klagomål/A 15076-2022 FSC-klagomål.docx", "A 15076-2022")</f>
        <v/>
      </c>
      <c r="W144">
        <f>HYPERLINK("https://klasma.github.io/Logging_2305/klagomålsmail/A 15076-2022 FSC-klagomål mail.docx", "A 15076-2022")</f>
        <v/>
      </c>
      <c r="X144">
        <f>HYPERLINK("https://klasma.github.io/Logging_2305/tillsyn/A 15076-2022 tillsynsbegäran.docx", "A 15076-2022")</f>
        <v/>
      </c>
      <c r="Y144">
        <f>HYPERLINK("https://klasma.github.io/Logging_2305/tillsynsmail/A 15076-2022 tillsynsbegäran mail.docx", "A 15076-2022")</f>
        <v/>
      </c>
    </row>
    <row r="145" ht="15" customHeight="1">
      <c r="A145" t="inlineStr">
        <is>
          <t>A 15366-2022</t>
        </is>
      </c>
      <c r="B145" s="1" t="n">
        <v>44659</v>
      </c>
      <c r="C145" s="1" t="n">
        <v>45361</v>
      </c>
      <c r="D145" t="inlineStr">
        <is>
          <t>JÄMTLANDS LÄN</t>
        </is>
      </c>
      <c r="E145" t="inlineStr">
        <is>
          <t>BRÄCKE</t>
        </is>
      </c>
      <c r="G145" t="n">
        <v>3.3</v>
      </c>
      <c r="H145" t="n">
        <v>1</v>
      </c>
      <c r="I145" t="n">
        <v>0</v>
      </c>
      <c r="J145" t="n">
        <v>0</v>
      </c>
      <c r="K145" t="n">
        <v>0</v>
      </c>
      <c r="L145" t="n">
        <v>0</v>
      </c>
      <c r="M145" t="n">
        <v>0</v>
      </c>
      <c r="N145" t="n">
        <v>0</v>
      </c>
      <c r="O145" t="n">
        <v>0</v>
      </c>
      <c r="P145" t="n">
        <v>0</v>
      </c>
      <c r="Q145" t="n">
        <v>1</v>
      </c>
      <c r="R145" s="2" t="inlineStr">
        <is>
          <t>Brudsporre</t>
        </is>
      </c>
      <c r="S145">
        <f>HYPERLINK("https://klasma.github.io/Logging_2305/artfynd/A 15366-2022 artfynd.xlsx", "A 15366-2022")</f>
        <v/>
      </c>
      <c r="T145">
        <f>HYPERLINK("https://klasma.github.io/Logging_2305/kartor/A 15366-2022 karta.png", "A 15366-2022")</f>
        <v/>
      </c>
      <c r="V145">
        <f>HYPERLINK("https://klasma.github.io/Logging_2305/klagomål/A 15366-2022 FSC-klagomål.docx", "A 15366-2022")</f>
        <v/>
      </c>
      <c r="W145">
        <f>HYPERLINK("https://klasma.github.io/Logging_2305/klagomålsmail/A 15366-2022 FSC-klagomål mail.docx", "A 15366-2022")</f>
        <v/>
      </c>
      <c r="X145">
        <f>HYPERLINK("https://klasma.github.io/Logging_2305/tillsyn/A 15366-2022 tillsynsbegäran.docx", "A 15366-2022")</f>
        <v/>
      </c>
      <c r="Y145">
        <f>HYPERLINK("https://klasma.github.io/Logging_2305/tillsynsmail/A 15366-2022 tillsynsbegäran mail.docx", "A 15366-2022")</f>
        <v/>
      </c>
    </row>
    <row r="146" ht="15" customHeight="1">
      <c r="A146" t="inlineStr">
        <is>
          <t>A 23434-2022</t>
        </is>
      </c>
      <c r="B146" s="1" t="n">
        <v>44720</v>
      </c>
      <c r="C146" s="1" t="n">
        <v>45361</v>
      </c>
      <c r="D146" t="inlineStr">
        <is>
          <t>JÄMTLANDS LÄN</t>
        </is>
      </c>
      <c r="E146" t="inlineStr">
        <is>
          <t>BRÄCKE</t>
        </is>
      </c>
      <c r="G146" t="n">
        <v>14.1</v>
      </c>
      <c r="H146" t="n">
        <v>1</v>
      </c>
      <c r="I146" t="n">
        <v>0</v>
      </c>
      <c r="J146" t="n">
        <v>0</v>
      </c>
      <c r="K146" t="n">
        <v>1</v>
      </c>
      <c r="L146" t="n">
        <v>0</v>
      </c>
      <c r="M146" t="n">
        <v>0</v>
      </c>
      <c r="N146" t="n">
        <v>0</v>
      </c>
      <c r="O146" t="n">
        <v>1</v>
      </c>
      <c r="P146" t="n">
        <v>1</v>
      </c>
      <c r="Q146" t="n">
        <v>1</v>
      </c>
      <c r="R146" s="2" t="inlineStr">
        <is>
          <t>Knärot</t>
        </is>
      </c>
      <c r="S146">
        <f>HYPERLINK("https://klasma.github.io/Logging_2305/artfynd/A 23434-2022 artfynd.xlsx", "A 23434-2022")</f>
        <v/>
      </c>
      <c r="T146">
        <f>HYPERLINK("https://klasma.github.io/Logging_2305/kartor/A 23434-2022 karta.png", "A 23434-2022")</f>
        <v/>
      </c>
      <c r="U146">
        <f>HYPERLINK("https://klasma.github.io/Logging_2305/knärot/A 23434-2022 karta knärot.png", "A 23434-2022")</f>
        <v/>
      </c>
      <c r="V146">
        <f>HYPERLINK("https://klasma.github.io/Logging_2305/klagomål/A 23434-2022 FSC-klagomål.docx", "A 23434-2022")</f>
        <v/>
      </c>
      <c r="W146">
        <f>HYPERLINK("https://klasma.github.io/Logging_2305/klagomålsmail/A 23434-2022 FSC-klagomål mail.docx", "A 23434-2022")</f>
        <v/>
      </c>
      <c r="X146">
        <f>HYPERLINK("https://klasma.github.io/Logging_2305/tillsyn/A 23434-2022 tillsynsbegäran.docx", "A 23434-2022")</f>
        <v/>
      </c>
      <c r="Y146">
        <f>HYPERLINK("https://klasma.github.io/Logging_2305/tillsynsmail/A 23434-2022 tillsynsbegäran mail.docx", "A 23434-2022")</f>
        <v/>
      </c>
    </row>
    <row r="147" ht="15" customHeight="1">
      <c r="A147" t="inlineStr">
        <is>
          <t>A 24552-2022</t>
        </is>
      </c>
      <c r="B147" s="1" t="n">
        <v>44726</v>
      </c>
      <c r="C147" s="1" t="n">
        <v>45361</v>
      </c>
      <c r="D147" t="inlineStr">
        <is>
          <t>JÄMTLANDS LÄN</t>
        </is>
      </c>
      <c r="E147" t="inlineStr">
        <is>
          <t>BRÄCKE</t>
        </is>
      </c>
      <c r="G147" t="n">
        <v>2.6</v>
      </c>
      <c r="H147" t="n">
        <v>0</v>
      </c>
      <c r="I147" t="n">
        <v>0</v>
      </c>
      <c r="J147" t="n">
        <v>1</v>
      </c>
      <c r="K147" t="n">
        <v>0</v>
      </c>
      <c r="L147" t="n">
        <v>0</v>
      </c>
      <c r="M147" t="n">
        <v>0</v>
      </c>
      <c r="N147" t="n">
        <v>0</v>
      </c>
      <c r="O147" t="n">
        <v>1</v>
      </c>
      <c r="P147" t="n">
        <v>0</v>
      </c>
      <c r="Q147" t="n">
        <v>1</v>
      </c>
      <c r="R147" s="2" t="inlineStr">
        <is>
          <t>Bredbrämad bastardsvärmare</t>
        </is>
      </c>
      <c r="S147">
        <f>HYPERLINK("https://klasma.github.io/Logging_2305/artfynd/A 24552-2022 artfynd.xlsx", "A 24552-2022")</f>
        <v/>
      </c>
      <c r="T147">
        <f>HYPERLINK("https://klasma.github.io/Logging_2305/kartor/A 24552-2022 karta.png", "A 24552-2022")</f>
        <v/>
      </c>
      <c r="V147">
        <f>HYPERLINK("https://klasma.github.io/Logging_2305/klagomål/A 24552-2022 FSC-klagomål.docx", "A 24552-2022")</f>
        <v/>
      </c>
      <c r="W147">
        <f>HYPERLINK("https://klasma.github.io/Logging_2305/klagomålsmail/A 24552-2022 FSC-klagomål mail.docx", "A 24552-2022")</f>
        <v/>
      </c>
      <c r="X147">
        <f>HYPERLINK("https://klasma.github.io/Logging_2305/tillsyn/A 24552-2022 tillsynsbegäran.docx", "A 24552-2022")</f>
        <v/>
      </c>
      <c r="Y147">
        <f>HYPERLINK("https://klasma.github.io/Logging_2305/tillsynsmail/A 24552-2022 tillsynsbegäran mail.docx", "A 24552-2022")</f>
        <v/>
      </c>
    </row>
    <row r="148" ht="15" customHeight="1">
      <c r="A148" t="inlineStr">
        <is>
          <t>A 27587-2022</t>
        </is>
      </c>
      <c r="B148" s="1" t="n">
        <v>44742</v>
      </c>
      <c r="C148" s="1" t="n">
        <v>45361</v>
      </c>
      <c r="D148" t="inlineStr">
        <is>
          <t>JÄMTLANDS LÄN</t>
        </is>
      </c>
      <c r="E148" t="inlineStr">
        <is>
          <t>BRÄCKE</t>
        </is>
      </c>
      <c r="F148" t="inlineStr">
        <is>
          <t>SCA</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HYPERLINK("https://klasma.github.io/Logging_2305/artfynd/A 27587-2022 artfynd.xlsx", "A 27587-2022")</f>
        <v/>
      </c>
      <c r="T148">
        <f>HYPERLINK("https://klasma.github.io/Logging_2305/kartor/A 27587-2022 karta.png", "A 27587-2022")</f>
        <v/>
      </c>
      <c r="V148">
        <f>HYPERLINK("https://klasma.github.io/Logging_2305/klagomål/A 27587-2022 FSC-klagomål.docx", "A 27587-2022")</f>
        <v/>
      </c>
      <c r="W148">
        <f>HYPERLINK("https://klasma.github.io/Logging_2305/klagomålsmail/A 27587-2022 FSC-klagomål mail.docx", "A 27587-2022")</f>
        <v/>
      </c>
      <c r="X148">
        <f>HYPERLINK("https://klasma.github.io/Logging_2305/tillsyn/A 27587-2022 tillsynsbegäran.docx", "A 27587-2022")</f>
        <v/>
      </c>
      <c r="Y148">
        <f>HYPERLINK("https://klasma.github.io/Logging_2305/tillsynsmail/A 27587-2022 tillsynsbegäran mail.docx", "A 27587-2022")</f>
        <v/>
      </c>
    </row>
    <row r="149" ht="15" customHeight="1">
      <c r="A149" t="inlineStr">
        <is>
          <t>A 35023-2022</t>
        </is>
      </c>
      <c r="B149" s="1" t="n">
        <v>44796</v>
      </c>
      <c r="C149" s="1" t="n">
        <v>45361</v>
      </c>
      <c r="D149" t="inlineStr">
        <is>
          <t>JÄMTLANDS LÄN</t>
        </is>
      </c>
      <c r="E149" t="inlineStr">
        <is>
          <t>BRÄCKE</t>
        </is>
      </c>
      <c r="F149" t="inlineStr">
        <is>
          <t>SCA</t>
        </is>
      </c>
      <c r="G149" t="n">
        <v>4.8</v>
      </c>
      <c r="H149" t="n">
        <v>0</v>
      </c>
      <c r="I149" t="n">
        <v>0</v>
      </c>
      <c r="J149" t="n">
        <v>1</v>
      </c>
      <c r="K149" t="n">
        <v>0</v>
      </c>
      <c r="L149" t="n">
        <v>0</v>
      </c>
      <c r="M149" t="n">
        <v>0</v>
      </c>
      <c r="N149" t="n">
        <v>0</v>
      </c>
      <c r="O149" t="n">
        <v>1</v>
      </c>
      <c r="P149" t="n">
        <v>0</v>
      </c>
      <c r="Q149" t="n">
        <v>1</v>
      </c>
      <c r="R149" s="2" t="inlineStr">
        <is>
          <t>Dvärgbägarlav</t>
        </is>
      </c>
      <c r="S149">
        <f>HYPERLINK("https://klasma.github.io/Logging_2305/artfynd/A 35023-2022 artfynd.xlsx", "A 35023-2022")</f>
        <v/>
      </c>
      <c r="T149">
        <f>HYPERLINK("https://klasma.github.io/Logging_2305/kartor/A 35023-2022 karta.png", "A 35023-2022")</f>
        <v/>
      </c>
      <c r="V149">
        <f>HYPERLINK("https://klasma.github.io/Logging_2305/klagomål/A 35023-2022 FSC-klagomål.docx", "A 35023-2022")</f>
        <v/>
      </c>
      <c r="W149">
        <f>HYPERLINK("https://klasma.github.io/Logging_2305/klagomålsmail/A 35023-2022 FSC-klagomål mail.docx", "A 35023-2022")</f>
        <v/>
      </c>
      <c r="X149">
        <f>HYPERLINK("https://klasma.github.io/Logging_2305/tillsyn/A 35023-2022 tillsynsbegäran.docx", "A 35023-2022")</f>
        <v/>
      </c>
      <c r="Y149">
        <f>HYPERLINK("https://klasma.github.io/Logging_2305/tillsynsmail/A 35023-2022 tillsynsbegäran mail.docx", "A 35023-2022")</f>
        <v/>
      </c>
    </row>
    <row r="150" ht="15" customHeight="1">
      <c r="A150" t="inlineStr">
        <is>
          <t>A 45420-2022</t>
        </is>
      </c>
      <c r="B150" s="1" t="n">
        <v>44844</v>
      </c>
      <c r="C150" s="1" t="n">
        <v>45361</v>
      </c>
      <c r="D150" t="inlineStr">
        <is>
          <t>JÄMTLANDS LÄN</t>
        </is>
      </c>
      <c r="E150" t="inlineStr">
        <is>
          <t>BRÄCKE</t>
        </is>
      </c>
      <c r="F150" t="inlineStr">
        <is>
          <t>SCA</t>
        </is>
      </c>
      <c r="G150" t="n">
        <v>1.6</v>
      </c>
      <c r="H150" t="n">
        <v>0</v>
      </c>
      <c r="I150" t="n">
        <v>0</v>
      </c>
      <c r="J150" t="n">
        <v>1</v>
      </c>
      <c r="K150" t="n">
        <v>0</v>
      </c>
      <c r="L150" t="n">
        <v>0</v>
      </c>
      <c r="M150" t="n">
        <v>0</v>
      </c>
      <c r="N150" t="n">
        <v>0</v>
      </c>
      <c r="O150" t="n">
        <v>1</v>
      </c>
      <c r="P150" t="n">
        <v>0</v>
      </c>
      <c r="Q150" t="n">
        <v>1</v>
      </c>
      <c r="R150" s="2" t="inlineStr">
        <is>
          <t>Vitgrynig nållav</t>
        </is>
      </c>
      <c r="S150">
        <f>HYPERLINK("https://klasma.github.io/Logging_2305/artfynd/A 45420-2022 artfynd.xlsx", "A 45420-2022")</f>
        <v/>
      </c>
      <c r="T150">
        <f>HYPERLINK("https://klasma.github.io/Logging_2305/kartor/A 45420-2022 karta.png", "A 45420-2022")</f>
        <v/>
      </c>
      <c r="V150">
        <f>HYPERLINK("https://klasma.github.io/Logging_2305/klagomål/A 45420-2022 FSC-klagomål.docx", "A 45420-2022")</f>
        <v/>
      </c>
      <c r="W150">
        <f>HYPERLINK("https://klasma.github.io/Logging_2305/klagomålsmail/A 45420-2022 FSC-klagomål mail.docx", "A 45420-2022")</f>
        <v/>
      </c>
      <c r="X150">
        <f>HYPERLINK("https://klasma.github.io/Logging_2305/tillsyn/A 45420-2022 tillsynsbegäran.docx", "A 45420-2022")</f>
        <v/>
      </c>
      <c r="Y150">
        <f>HYPERLINK("https://klasma.github.io/Logging_2305/tillsynsmail/A 45420-2022 tillsynsbegäran mail.docx", "A 45420-2022")</f>
        <v/>
      </c>
    </row>
    <row r="151" ht="15" customHeight="1">
      <c r="A151" t="inlineStr">
        <is>
          <t>A 49863-2022</t>
        </is>
      </c>
      <c r="B151" s="1" t="n">
        <v>44862</v>
      </c>
      <c r="C151" s="1" t="n">
        <v>45361</v>
      </c>
      <c r="D151" t="inlineStr">
        <is>
          <t>JÄMTLANDS LÄN</t>
        </is>
      </c>
      <c r="E151" t="inlineStr">
        <is>
          <t>BRÄCKE</t>
        </is>
      </c>
      <c r="F151" t="inlineStr">
        <is>
          <t>SCA</t>
        </is>
      </c>
      <c r="G151" t="n">
        <v>3.9</v>
      </c>
      <c r="H151" t="n">
        <v>1</v>
      </c>
      <c r="I151" t="n">
        <v>1</v>
      </c>
      <c r="J151" t="n">
        <v>0</v>
      </c>
      <c r="K151" t="n">
        <v>0</v>
      </c>
      <c r="L151" t="n">
        <v>0</v>
      </c>
      <c r="M151" t="n">
        <v>0</v>
      </c>
      <c r="N151" t="n">
        <v>0</v>
      </c>
      <c r="O151" t="n">
        <v>0</v>
      </c>
      <c r="P151" t="n">
        <v>0</v>
      </c>
      <c r="Q151" t="n">
        <v>1</v>
      </c>
      <c r="R151" s="2" t="inlineStr">
        <is>
          <t>Spindelblomster</t>
        </is>
      </c>
      <c r="S151">
        <f>HYPERLINK("https://klasma.github.io/Logging_2305/artfynd/A 49863-2022 artfynd.xlsx", "A 49863-2022")</f>
        <v/>
      </c>
      <c r="T151">
        <f>HYPERLINK("https://klasma.github.io/Logging_2305/kartor/A 49863-2022 karta.png", "A 49863-2022")</f>
        <v/>
      </c>
      <c r="V151">
        <f>HYPERLINK("https://klasma.github.io/Logging_2305/klagomål/A 49863-2022 FSC-klagomål.docx", "A 49863-2022")</f>
        <v/>
      </c>
      <c r="W151">
        <f>HYPERLINK("https://klasma.github.io/Logging_2305/klagomålsmail/A 49863-2022 FSC-klagomål mail.docx", "A 49863-2022")</f>
        <v/>
      </c>
      <c r="X151">
        <f>HYPERLINK("https://klasma.github.io/Logging_2305/tillsyn/A 49863-2022 tillsynsbegäran.docx", "A 49863-2022")</f>
        <v/>
      </c>
      <c r="Y151">
        <f>HYPERLINK("https://klasma.github.io/Logging_2305/tillsynsmail/A 49863-2022 tillsynsbegäran mail.docx", "A 49863-2022")</f>
        <v/>
      </c>
    </row>
    <row r="152" ht="15" customHeight="1">
      <c r="A152" t="inlineStr">
        <is>
          <t>A 52030-2022</t>
        </is>
      </c>
      <c r="B152" s="1" t="n">
        <v>44872</v>
      </c>
      <c r="C152" s="1" t="n">
        <v>45361</v>
      </c>
      <c r="D152" t="inlineStr">
        <is>
          <t>JÄMTLANDS LÄN</t>
        </is>
      </c>
      <c r="E152" t="inlineStr">
        <is>
          <t>BRÄCKE</t>
        </is>
      </c>
      <c r="F152" t="inlineStr">
        <is>
          <t>SCA</t>
        </is>
      </c>
      <c r="G152" t="n">
        <v>2.2</v>
      </c>
      <c r="H152" t="n">
        <v>1</v>
      </c>
      <c r="I152" t="n">
        <v>0</v>
      </c>
      <c r="J152" t="n">
        <v>1</v>
      </c>
      <c r="K152" t="n">
        <v>0</v>
      </c>
      <c r="L152" t="n">
        <v>0</v>
      </c>
      <c r="M152" t="n">
        <v>0</v>
      </c>
      <c r="N152" t="n">
        <v>0</v>
      </c>
      <c r="O152" t="n">
        <v>1</v>
      </c>
      <c r="P152" t="n">
        <v>0</v>
      </c>
      <c r="Q152" t="n">
        <v>1</v>
      </c>
      <c r="R152" s="2" t="inlineStr">
        <is>
          <t>Talltita</t>
        </is>
      </c>
      <c r="S152">
        <f>HYPERLINK("https://klasma.github.io/Logging_2305/artfynd/A 52030-2022 artfynd.xlsx", "A 52030-2022")</f>
        <v/>
      </c>
      <c r="T152">
        <f>HYPERLINK("https://klasma.github.io/Logging_2305/kartor/A 52030-2022 karta.png", "A 52030-2022")</f>
        <v/>
      </c>
      <c r="V152">
        <f>HYPERLINK("https://klasma.github.io/Logging_2305/klagomål/A 52030-2022 FSC-klagomål.docx", "A 52030-2022")</f>
        <v/>
      </c>
      <c r="W152">
        <f>HYPERLINK("https://klasma.github.io/Logging_2305/klagomålsmail/A 52030-2022 FSC-klagomål mail.docx", "A 52030-2022")</f>
        <v/>
      </c>
      <c r="X152">
        <f>HYPERLINK("https://klasma.github.io/Logging_2305/tillsyn/A 52030-2022 tillsynsbegäran.docx", "A 52030-2022")</f>
        <v/>
      </c>
      <c r="Y152">
        <f>HYPERLINK("https://klasma.github.io/Logging_2305/tillsynsmail/A 52030-2022 tillsynsbegäran mail.docx", "A 52030-2022")</f>
        <v/>
      </c>
      <c r="Z152">
        <f>HYPERLINK("https://klasma.github.io/Logging_2305/fåglar/A 52030-2022 prioriterade fågelarter.docx", "A 52030-2022")</f>
        <v/>
      </c>
    </row>
    <row r="153" ht="15" customHeight="1">
      <c r="A153" t="inlineStr">
        <is>
          <t>A 52018-2022</t>
        </is>
      </c>
      <c r="B153" s="1" t="n">
        <v>44872</v>
      </c>
      <c r="C153" s="1" t="n">
        <v>45361</v>
      </c>
      <c r="D153" t="inlineStr">
        <is>
          <t>JÄMTLANDS LÄN</t>
        </is>
      </c>
      <c r="E153" t="inlineStr">
        <is>
          <t>BRÄCKE</t>
        </is>
      </c>
      <c r="F153" t="inlineStr">
        <is>
          <t>SCA</t>
        </is>
      </c>
      <c r="G153" t="n">
        <v>1.3</v>
      </c>
      <c r="H153" t="n">
        <v>0</v>
      </c>
      <c r="I153" t="n">
        <v>0</v>
      </c>
      <c r="J153" t="n">
        <v>1</v>
      </c>
      <c r="K153" t="n">
        <v>0</v>
      </c>
      <c r="L153" t="n">
        <v>0</v>
      </c>
      <c r="M153" t="n">
        <v>0</v>
      </c>
      <c r="N153" t="n">
        <v>0</v>
      </c>
      <c r="O153" t="n">
        <v>1</v>
      </c>
      <c r="P153" t="n">
        <v>0</v>
      </c>
      <c r="Q153" t="n">
        <v>1</v>
      </c>
      <c r="R153" s="2" t="inlineStr">
        <is>
          <t>Lunglav</t>
        </is>
      </c>
      <c r="S153">
        <f>HYPERLINK("https://klasma.github.io/Logging_2305/artfynd/A 52018-2022 artfynd.xlsx", "A 52018-2022")</f>
        <v/>
      </c>
      <c r="T153">
        <f>HYPERLINK("https://klasma.github.io/Logging_2305/kartor/A 52018-2022 karta.png", "A 52018-2022")</f>
        <v/>
      </c>
      <c r="V153">
        <f>HYPERLINK("https://klasma.github.io/Logging_2305/klagomål/A 52018-2022 FSC-klagomål.docx", "A 52018-2022")</f>
        <v/>
      </c>
      <c r="W153">
        <f>HYPERLINK("https://klasma.github.io/Logging_2305/klagomålsmail/A 52018-2022 FSC-klagomål mail.docx", "A 52018-2022")</f>
        <v/>
      </c>
      <c r="X153">
        <f>HYPERLINK("https://klasma.github.io/Logging_2305/tillsyn/A 52018-2022 tillsynsbegäran.docx", "A 52018-2022")</f>
        <v/>
      </c>
      <c r="Y153">
        <f>HYPERLINK("https://klasma.github.io/Logging_2305/tillsynsmail/A 52018-2022 tillsynsbegäran mail.docx", "A 52018-2022")</f>
        <v/>
      </c>
    </row>
    <row r="154" ht="15" customHeight="1">
      <c r="A154" t="inlineStr">
        <is>
          <t>A 53280-2022</t>
        </is>
      </c>
      <c r="B154" s="1" t="n">
        <v>44876</v>
      </c>
      <c r="C154" s="1" t="n">
        <v>45361</v>
      </c>
      <c r="D154" t="inlineStr">
        <is>
          <t>JÄMTLANDS LÄN</t>
        </is>
      </c>
      <c r="E154" t="inlineStr">
        <is>
          <t>BRÄCKE</t>
        </is>
      </c>
      <c r="F154" t="inlineStr">
        <is>
          <t>SCA</t>
        </is>
      </c>
      <c r="G154" t="n">
        <v>2</v>
      </c>
      <c r="H154" t="n">
        <v>0</v>
      </c>
      <c r="I154" t="n">
        <v>1</v>
      </c>
      <c r="J154" t="n">
        <v>0</v>
      </c>
      <c r="K154" t="n">
        <v>0</v>
      </c>
      <c r="L154" t="n">
        <v>0</v>
      </c>
      <c r="M154" t="n">
        <v>0</v>
      </c>
      <c r="N154" t="n">
        <v>0</v>
      </c>
      <c r="O154" t="n">
        <v>0</v>
      </c>
      <c r="P154" t="n">
        <v>0</v>
      </c>
      <c r="Q154" t="n">
        <v>1</v>
      </c>
      <c r="R154" s="2" t="inlineStr">
        <is>
          <t>Stuplav</t>
        </is>
      </c>
      <c r="S154">
        <f>HYPERLINK("https://klasma.github.io/Logging_2305/artfynd/A 53280-2022 artfynd.xlsx", "A 53280-2022")</f>
        <v/>
      </c>
      <c r="T154">
        <f>HYPERLINK("https://klasma.github.io/Logging_2305/kartor/A 53280-2022 karta.png", "A 53280-2022")</f>
        <v/>
      </c>
      <c r="V154">
        <f>HYPERLINK("https://klasma.github.io/Logging_2305/klagomål/A 53280-2022 FSC-klagomål.docx", "A 53280-2022")</f>
        <v/>
      </c>
      <c r="W154">
        <f>HYPERLINK("https://klasma.github.io/Logging_2305/klagomålsmail/A 53280-2022 FSC-klagomål mail.docx", "A 53280-2022")</f>
        <v/>
      </c>
      <c r="X154">
        <f>HYPERLINK("https://klasma.github.io/Logging_2305/tillsyn/A 53280-2022 tillsynsbegäran.docx", "A 53280-2022")</f>
        <v/>
      </c>
      <c r="Y154">
        <f>HYPERLINK("https://klasma.github.io/Logging_2305/tillsynsmail/A 53280-2022 tillsynsbegäran mail.docx", "A 53280-2022")</f>
        <v/>
      </c>
    </row>
    <row r="155" ht="15" customHeight="1">
      <c r="A155" t="inlineStr">
        <is>
          <t>A 62079-2022</t>
        </is>
      </c>
      <c r="B155" s="1" t="n">
        <v>44918</v>
      </c>
      <c r="C155" s="1" t="n">
        <v>45361</v>
      </c>
      <c r="D155" t="inlineStr">
        <is>
          <t>JÄMTLANDS LÄN</t>
        </is>
      </c>
      <c r="E155" t="inlineStr">
        <is>
          <t>BRÄCKE</t>
        </is>
      </c>
      <c r="F155" t="inlineStr">
        <is>
          <t>SCA</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HYPERLINK("https://klasma.github.io/Logging_2305/artfynd/A 62079-2022 artfynd.xlsx", "A 62079-2022")</f>
        <v/>
      </c>
      <c r="T155">
        <f>HYPERLINK("https://klasma.github.io/Logging_2305/kartor/A 62079-2022 karta.png", "A 62079-2022")</f>
        <v/>
      </c>
      <c r="V155">
        <f>HYPERLINK("https://klasma.github.io/Logging_2305/klagomål/A 62079-2022 FSC-klagomål.docx", "A 62079-2022")</f>
        <v/>
      </c>
      <c r="W155">
        <f>HYPERLINK("https://klasma.github.io/Logging_2305/klagomålsmail/A 62079-2022 FSC-klagomål mail.docx", "A 62079-2022")</f>
        <v/>
      </c>
      <c r="X155">
        <f>HYPERLINK("https://klasma.github.io/Logging_2305/tillsyn/A 62079-2022 tillsynsbegäran.docx", "A 62079-2022")</f>
        <v/>
      </c>
      <c r="Y155">
        <f>HYPERLINK("https://klasma.github.io/Logging_2305/tillsynsmail/A 62079-2022 tillsynsbegäran mail.docx", "A 62079-2022")</f>
        <v/>
      </c>
    </row>
    <row r="156" ht="15" customHeight="1">
      <c r="A156" t="inlineStr">
        <is>
          <t>A 725-2023</t>
        </is>
      </c>
      <c r="B156" s="1" t="n">
        <v>44930</v>
      </c>
      <c r="C156" s="1" t="n">
        <v>45361</v>
      </c>
      <c r="D156" t="inlineStr">
        <is>
          <t>JÄMTLANDS LÄN</t>
        </is>
      </c>
      <c r="E156" t="inlineStr">
        <is>
          <t>BRÄCKE</t>
        </is>
      </c>
      <c r="F156" t="inlineStr">
        <is>
          <t>SCA</t>
        </is>
      </c>
      <c r="G156" t="n">
        <v>0.9</v>
      </c>
      <c r="H156" t="n">
        <v>0</v>
      </c>
      <c r="I156" t="n">
        <v>0</v>
      </c>
      <c r="J156" t="n">
        <v>1</v>
      </c>
      <c r="K156" t="n">
        <v>0</v>
      </c>
      <c r="L156" t="n">
        <v>0</v>
      </c>
      <c r="M156" t="n">
        <v>0</v>
      </c>
      <c r="N156" t="n">
        <v>0</v>
      </c>
      <c r="O156" t="n">
        <v>1</v>
      </c>
      <c r="P156" t="n">
        <v>0</v>
      </c>
      <c r="Q156" t="n">
        <v>1</v>
      </c>
      <c r="R156" s="2" t="inlineStr">
        <is>
          <t>Kolflarnlav</t>
        </is>
      </c>
      <c r="S156">
        <f>HYPERLINK("https://klasma.github.io/Logging_2305/artfynd/A 725-2023 artfynd.xlsx", "A 725-2023")</f>
        <v/>
      </c>
      <c r="T156">
        <f>HYPERLINK("https://klasma.github.io/Logging_2305/kartor/A 725-2023 karta.png", "A 725-2023")</f>
        <v/>
      </c>
      <c r="V156">
        <f>HYPERLINK("https://klasma.github.io/Logging_2305/klagomål/A 725-2023 FSC-klagomål.docx", "A 725-2023")</f>
        <v/>
      </c>
      <c r="W156">
        <f>HYPERLINK("https://klasma.github.io/Logging_2305/klagomålsmail/A 725-2023 FSC-klagomål mail.docx", "A 725-2023")</f>
        <v/>
      </c>
      <c r="X156">
        <f>HYPERLINK("https://klasma.github.io/Logging_2305/tillsyn/A 725-2023 tillsynsbegäran.docx", "A 725-2023")</f>
        <v/>
      </c>
      <c r="Y156">
        <f>HYPERLINK("https://klasma.github.io/Logging_2305/tillsynsmail/A 725-2023 tillsynsbegäran mail.docx", "A 725-2023")</f>
        <v/>
      </c>
    </row>
    <row r="157" ht="15" customHeight="1">
      <c r="A157" t="inlineStr">
        <is>
          <t>A 12062-2023</t>
        </is>
      </c>
      <c r="B157" s="1" t="n">
        <v>44996</v>
      </c>
      <c r="C157" s="1" t="n">
        <v>45361</v>
      </c>
      <c r="D157" t="inlineStr">
        <is>
          <t>JÄMTLANDS LÄN</t>
        </is>
      </c>
      <c r="E157" t="inlineStr">
        <is>
          <t>BRÄCKE</t>
        </is>
      </c>
      <c r="G157" t="n">
        <v>5.4</v>
      </c>
      <c r="H157" t="n">
        <v>0</v>
      </c>
      <c r="I157" t="n">
        <v>0</v>
      </c>
      <c r="J157" t="n">
        <v>1</v>
      </c>
      <c r="K157" t="n">
        <v>0</v>
      </c>
      <c r="L157" t="n">
        <v>0</v>
      </c>
      <c r="M157" t="n">
        <v>0</v>
      </c>
      <c r="N157" t="n">
        <v>0</v>
      </c>
      <c r="O157" t="n">
        <v>1</v>
      </c>
      <c r="P157" t="n">
        <v>0</v>
      </c>
      <c r="Q157" t="n">
        <v>1</v>
      </c>
      <c r="R157" s="2" t="inlineStr">
        <is>
          <t>Lunglav</t>
        </is>
      </c>
      <c r="S157">
        <f>HYPERLINK("https://klasma.github.io/Logging_2305/artfynd/A 12062-2023 artfynd.xlsx", "A 12062-2023")</f>
        <v/>
      </c>
      <c r="T157">
        <f>HYPERLINK("https://klasma.github.io/Logging_2305/kartor/A 12062-2023 karta.png", "A 12062-2023")</f>
        <v/>
      </c>
      <c r="V157">
        <f>HYPERLINK("https://klasma.github.io/Logging_2305/klagomål/A 12062-2023 FSC-klagomål.docx", "A 12062-2023")</f>
        <v/>
      </c>
      <c r="W157">
        <f>HYPERLINK("https://klasma.github.io/Logging_2305/klagomålsmail/A 12062-2023 FSC-klagomål mail.docx", "A 12062-2023")</f>
        <v/>
      </c>
      <c r="X157">
        <f>HYPERLINK("https://klasma.github.io/Logging_2305/tillsyn/A 12062-2023 tillsynsbegäran.docx", "A 12062-2023")</f>
        <v/>
      </c>
      <c r="Y157">
        <f>HYPERLINK("https://klasma.github.io/Logging_2305/tillsynsmail/A 12062-2023 tillsynsbegäran mail.docx", "A 12062-2023")</f>
        <v/>
      </c>
    </row>
    <row r="158" ht="15" customHeight="1">
      <c r="A158" t="inlineStr">
        <is>
          <t>A 12517-2023</t>
        </is>
      </c>
      <c r="B158" s="1" t="n">
        <v>45000</v>
      </c>
      <c r="C158" s="1" t="n">
        <v>45361</v>
      </c>
      <c r="D158" t="inlineStr">
        <is>
          <t>JÄMTLANDS LÄN</t>
        </is>
      </c>
      <c r="E158" t="inlineStr">
        <is>
          <t>BRÄCKE</t>
        </is>
      </c>
      <c r="G158" t="n">
        <v>11</v>
      </c>
      <c r="H158" t="n">
        <v>0</v>
      </c>
      <c r="I158" t="n">
        <v>0</v>
      </c>
      <c r="J158" t="n">
        <v>1</v>
      </c>
      <c r="K158" t="n">
        <v>0</v>
      </c>
      <c r="L158" t="n">
        <v>0</v>
      </c>
      <c r="M158" t="n">
        <v>0</v>
      </c>
      <c r="N158" t="n">
        <v>0</v>
      </c>
      <c r="O158" t="n">
        <v>1</v>
      </c>
      <c r="P158" t="n">
        <v>0</v>
      </c>
      <c r="Q158" t="n">
        <v>1</v>
      </c>
      <c r="R158" s="2" t="inlineStr">
        <is>
          <t>Lunglav</t>
        </is>
      </c>
      <c r="S158">
        <f>HYPERLINK("https://klasma.github.io/Logging_2305/artfynd/A 12517-2023 artfynd.xlsx", "A 12517-2023")</f>
        <v/>
      </c>
      <c r="T158">
        <f>HYPERLINK("https://klasma.github.io/Logging_2305/kartor/A 12517-2023 karta.png", "A 12517-2023")</f>
        <v/>
      </c>
      <c r="V158">
        <f>HYPERLINK("https://klasma.github.io/Logging_2305/klagomål/A 12517-2023 FSC-klagomål.docx", "A 12517-2023")</f>
        <v/>
      </c>
      <c r="W158">
        <f>HYPERLINK("https://klasma.github.io/Logging_2305/klagomålsmail/A 12517-2023 FSC-klagomål mail.docx", "A 12517-2023")</f>
        <v/>
      </c>
      <c r="X158">
        <f>HYPERLINK("https://klasma.github.io/Logging_2305/tillsyn/A 12517-2023 tillsynsbegäran.docx", "A 12517-2023")</f>
        <v/>
      </c>
      <c r="Y158">
        <f>HYPERLINK("https://klasma.github.io/Logging_2305/tillsynsmail/A 12517-2023 tillsynsbegäran mail.docx", "A 12517-2023")</f>
        <v/>
      </c>
    </row>
    <row r="159" ht="15" customHeight="1">
      <c r="A159" t="inlineStr">
        <is>
          <t>A 16366-2023</t>
        </is>
      </c>
      <c r="B159" s="1" t="n">
        <v>45028</v>
      </c>
      <c r="C159" s="1" t="n">
        <v>45361</v>
      </c>
      <c r="D159" t="inlineStr">
        <is>
          <t>JÄMTLANDS LÄN</t>
        </is>
      </c>
      <c r="E159" t="inlineStr">
        <is>
          <t>BRÄCKE</t>
        </is>
      </c>
      <c r="G159" t="n">
        <v>9.1</v>
      </c>
      <c r="H159" t="n">
        <v>0</v>
      </c>
      <c r="I159" t="n">
        <v>0</v>
      </c>
      <c r="J159" t="n">
        <v>1</v>
      </c>
      <c r="K159" t="n">
        <v>0</v>
      </c>
      <c r="L159" t="n">
        <v>0</v>
      </c>
      <c r="M159" t="n">
        <v>0</v>
      </c>
      <c r="N159" t="n">
        <v>0</v>
      </c>
      <c r="O159" t="n">
        <v>1</v>
      </c>
      <c r="P159" t="n">
        <v>0</v>
      </c>
      <c r="Q159" t="n">
        <v>1</v>
      </c>
      <c r="R159" s="2" t="inlineStr">
        <is>
          <t>Lunglav</t>
        </is>
      </c>
      <c r="S159">
        <f>HYPERLINK("https://klasma.github.io/Logging_2305/artfynd/A 16366-2023 artfynd.xlsx", "A 16366-2023")</f>
        <v/>
      </c>
      <c r="T159">
        <f>HYPERLINK("https://klasma.github.io/Logging_2305/kartor/A 16366-2023 karta.png", "A 16366-2023")</f>
        <v/>
      </c>
      <c r="V159">
        <f>HYPERLINK("https://klasma.github.io/Logging_2305/klagomål/A 16366-2023 FSC-klagomål.docx", "A 16366-2023")</f>
        <v/>
      </c>
      <c r="W159">
        <f>HYPERLINK("https://klasma.github.io/Logging_2305/klagomålsmail/A 16366-2023 FSC-klagomål mail.docx", "A 16366-2023")</f>
        <v/>
      </c>
      <c r="X159">
        <f>HYPERLINK("https://klasma.github.io/Logging_2305/tillsyn/A 16366-2023 tillsynsbegäran.docx", "A 16366-2023")</f>
        <v/>
      </c>
      <c r="Y159">
        <f>HYPERLINK("https://klasma.github.io/Logging_2305/tillsynsmail/A 16366-2023 tillsynsbegäran mail.docx", "A 16366-2023")</f>
        <v/>
      </c>
    </row>
    <row r="160" ht="15" customHeight="1">
      <c r="A160" t="inlineStr">
        <is>
          <t>A 16755-2023</t>
        </is>
      </c>
      <c r="B160" s="1" t="n">
        <v>45031</v>
      </c>
      <c r="C160" s="1" t="n">
        <v>45361</v>
      </c>
      <c r="D160" t="inlineStr">
        <is>
          <t>JÄMTLANDS LÄN</t>
        </is>
      </c>
      <c r="E160" t="inlineStr">
        <is>
          <t>BRÄCKE</t>
        </is>
      </c>
      <c r="F160" t="inlineStr">
        <is>
          <t>SCA</t>
        </is>
      </c>
      <c r="G160" t="n">
        <v>15.7</v>
      </c>
      <c r="H160" t="n">
        <v>0</v>
      </c>
      <c r="I160" t="n">
        <v>1</v>
      </c>
      <c r="J160" t="n">
        <v>0</v>
      </c>
      <c r="K160" t="n">
        <v>0</v>
      </c>
      <c r="L160" t="n">
        <v>0</v>
      </c>
      <c r="M160" t="n">
        <v>0</v>
      </c>
      <c r="N160" t="n">
        <v>0</v>
      </c>
      <c r="O160" t="n">
        <v>0</v>
      </c>
      <c r="P160" t="n">
        <v>0</v>
      </c>
      <c r="Q160" t="n">
        <v>1</v>
      </c>
      <c r="R160" s="2" t="inlineStr">
        <is>
          <t>Tibast</t>
        </is>
      </c>
      <c r="S160">
        <f>HYPERLINK("https://klasma.github.io/Logging_2305/artfynd/A 16755-2023 artfynd.xlsx", "A 16755-2023")</f>
        <v/>
      </c>
      <c r="T160">
        <f>HYPERLINK("https://klasma.github.io/Logging_2305/kartor/A 16755-2023 karta.png", "A 16755-2023")</f>
        <v/>
      </c>
      <c r="V160">
        <f>HYPERLINK("https://klasma.github.io/Logging_2305/klagomål/A 16755-2023 FSC-klagomål.docx", "A 16755-2023")</f>
        <v/>
      </c>
      <c r="W160">
        <f>HYPERLINK("https://klasma.github.io/Logging_2305/klagomålsmail/A 16755-2023 FSC-klagomål mail.docx", "A 16755-2023")</f>
        <v/>
      </c>
      <c r="X160">
        <f>HYPERLINK("https://klasma.github.io/Logging_2305/tillsyn/A 16755-2023 tillsynsbegäran.docx", "A 16755-2023")</f>
        <v/>
      </c>
      <c r="Y160">
        <f>HYPERLINK("https://klasma.github.io/Logging_2305/tillsynsmail/A 16755-2023 tillsynsbegäran mail.docx", "A 16755-2023")</f>
        <v/>
      </c>
    </row>
    <row r="161" ht="15" customHeight="1">
      <c r="A161" t="inlineStr">
        <is>
          <t>A 19435-2023</t>
        </is>
      </c>
      <c r="B161" s="1" t="n">
        <v>45049</v>
      </c>
      <c r="C161" s="1" t="n">
        <v>45361</v>
      </c>
      <c r="D161" t="inlineStr">
        <is>
          <t>JÄMTLANDS LÄN</t>
        </is>
      </c>
      <c r="E161" t="inlineStr">
        <is>
          <t>BRÄCKE</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HYPERLINK("https://klasma.github.io/Logging_2305/artfynd/A 19435-2023 artfynd.xlsx", "A 19435-2023")</f>
        <v/>
      </c>
      <c r="T161">
        <f>HYPERLINK("https://klasma.github.io/Logging_2305/kartor/A 19435-2023 karta.png", "A 19435-2023")</f>
        <v/>
      </c>
      <c r="V161">
        <f>HYPERLINK("https://klasma.github.io/Logging_2305/klagomål/A 19435-2023 FSC-klagomål.docx", "A 19435-2023")</f>
        <v/>
      </c>
      <c r="W161">
        <f>HYPERLINK("https://klasma.github.io/Logging_2305/klagomålsmail/A 19435-2023 FSC-klagomål mail.docx", "A 19435-2023")</f>
        <v/>
      </c>
      <c r="X161">
        <f>HYPERLINK("https://klasma.github.io/Logging_2305/tillsyn/A 19435-2023 tillsynsbegäran.docx", "A 19435-2023")</f>
        <v/>
      </c>
      <c r="Y161">
        <f>HYPERLINK("https://klasma.github.io/Logging_2305/tillsynsmail/A 19435-2023 tillsynsbegäran mail.docx", "A 19435-2023")</f>
        <v/>
      </c>
    </row>
    <row r="162" ht="15" customHeight="1">
      <c r="A162" t="inlineStr">
        <is>
          <t>A 19817-2023</t>
        </is>
      </c>
      <c r="B162" s="1" t="n">
        <v>45051</v>
      </c>
      <c r="C162" s="1" t="n">
        <v>45361</v>
      </c>
      <c r="D162" t="inlineStr">
        <is>
          <t>JÄMTLANDS LÄN</t>
        </is>
      </c>
      <c r="E162" t="inlineStr">
        <is>
          <t>BRÄCKE</t>
        </is>
      </c>
      <c r="F162" t="inlineStr">
        <is>
          <t>SCA</t>
        </is>
      </c>
      <c r="G162" t="n">
        <v>2.8</v>
      </c>
      <c r="H162" t="n">
        <v>0</v>
      </c>
      <c r="I162" t="n">
        <v>0</v>
      </c>
      <c r="J162" t="n">
        <v>1</v>
      </c>
      <c r="K162" t="n">
        <v>0</v>
      </c>
      <c r="L162" t="n">
        <v>0</v>
      </c>
      <c r="M162" t="n">
        <v>0</v>
      </c>
      <c r="N162" t="n">
        <v>0</v>
      </c>
      <c r="O162" t="n">
        <v>1</v>
      </c>
      <c r="P162" t="n">
        <v>0</v>
      </c>
      <c r="Q162" t="n">
        <v>1</v>
      </c>
      <c r="R162" s="2" t="inlineStr">
        <is>
          <t>Lunglav</t>
        </is>
      </c>
      <c r="S162">
        <f>HYPERLINK("https://klasma.github.io/Logging_2305/artfynd/A 19817-2023 artfynd.xlsx", "A 19817-2023")</f>
        <v/>
      </c>
      <c r="T162">
        <f>HYPERLINK("https://klasma.github.io/Logging_2305/kartor/A 19817-2023 karta.png", "A 19817-2023")</f>
        <v/>
      </c>
      <c r="V162">
        <f>HYPERLINK("https://klasma.github.io/Logging_2305/klagomål/A 19817-2023 FSC-klagomål.docx", "A 19817-2023")</f>
        <v/>
      </c>
      <c r="W162">
        <f>HYPERLINK("https://klasma.github.io/Logging_2305/klagomålsmail/A 19817-2023 FSC-klagomål mail.docx", "A 19817-2023")</f>
        <v/>
      </c>
      <c r="X162">
        <f>HYPERLINK("https://klasma.github.io/Logging_2305/tillsyn/A 19817-2023 tillsynsbegäran.docx", "A 19817-2023")</f>
        <v/>
      </c>
      <c r="Y162">
        <f>HYPERLINK("https://klasma.github.io/Logging_2305/tillsynsmail/A 19817-2023 tillsynsbegäran mail.docx", "A 19817-2023")</f>
        <v/>
      </c>
    </row>
    <row r="163" ht="15" customHeight="1">
      <c r="A163" t="inlineStr">
        <is>
          <t>A 20604-2023</t>
        </is>
      </c>
      <c r="B163" s="1" t="n">
        <v>45057</v>
      </c>
      <c r="C163" s="1" t="n">
        <v>45361</v>
      </c>
      <c r="D163" t="inlineStr">
        <is>
          <t>JÄMTLANDS LÄN</t>
        </is>
      </c>
      <c r="E163" t="inlineStr">
        <is>
          <t>BRÄCKE</t>
        </is>
      </c>
      <c r="F163" t="inlineStr">
        <is>
          <t>SCA</t>
        </is>
      </c>
      <c r="G163" t="n">
        <v>2.9</v>
      </c>
      <c r="H163" t="n">
        <v>0</v>
      </c>
      <c r="I163" t="n">
        <v>1</v>
      </c>
      <c r="J163" t="n">
        <v>0</v>
      </c>
      <c r="K163" t="n">
        <v>0</v>
      </c>
      <c r="L163" t="n">
        <v>0</v>
      </c>
      <c r="M163" t="n">
        <v>0</v>
      </c>
      <c r="N163" t="n">
        <v>0</v>
      </c>
      <c r="O163" t="n">
        <v>0</v>
      </c>
      <c r="P163" t="n">
        <v>0</v>
      </c>
      <c r="Q163" t="n">
        <v>1</v>
      </c>
      <c r="R163" s="2" t="inlineStr">
        <is>
          <t>Tallfingersvamp</t>
        </is>
      </c>
      <c r="S163">
        <f>HYPERLINK("https://klasma.github.io/Logging_2305/artfynd/A 20604-2023 artfynd.xlsx", "A 20604-2023")</f>
        <v/>
      </c>
      <c r="T163">
        <f>HYPERLINK("https://klasma.github.io/Logging_2305/kartor/A 20604-2023 karta.png", "A 20604-2023")</f>
        <v/>
      </c>
      <c r="V163">
        <f>HYPERLINK("https://klasma.github.io/Logging_2305/klagomål/A 20604-2023 FSC-klagomål.docx", "A 20604-2023")</f>
        <v/>
      </c>
      <c r="W163">
        <f>HYPERLINK("https://klasma.github.io/Logging_2305/klagomålsmail/A 20604-2023 FSC-klagomål mail.docx", "A 20604-2023")</f>
        <v/>
      </c>
      <c r="X163">
        <f>HYPERLINK("https://klasma.github.io/Logging_2305/tillsyn/A 20604-2023 tillsynsbegäran.docx", "A 20604-2023")</f>
        <v/>
      </c>
      <c r="Y163">
        <f>HYPERLINK("https://klasma.github.io/Logging_2305/tillsynsmail/A 20604-2023 tillsynsbegäran mail.docx", "A 20604-2023")</f>
        <v/>
      </c>
    </row>
    <row r="164" ht="15" customHeight="1">
      <c r="A164" t="inlineStr">
        <is>
          <t>A 20871-2023</t>
        </is>
      </c>
      <c r="B164" s="1" t="n">
        <v>45058</v>
      </c>
      <c r="C164" s="1" t="n">
        <v>45361</v>
      </c>
      <c r="D164" t="inlineStr">
        <is>
          <t>JÄMTLANDS LÄN</t>
        </is>
      </c>
      <c r="E164" t="inlineStr">
        <is>
          <t>BRÄCKE</t>
        </is>
      </c>
      <c r="F164" t="inlineStr">
        <is>
          <t>SCA</t>
        </is>
      </c>
      <c r="G164" t="n">
        <v>6.7</v>
      </c>
      <c r="H164" t="n">
        <v>0</v>
      </c>
      <c r="I164" t="n">
        <v>0</v>
      </c>
      <c r="J164" t="n">
        <v>1</v>
      </c>
      <c r="K164" t="n">
        <v>0</v>
      </c>
      <c r="L164" t="n">
        <v>0</v>
      </c>
      <c r="M164" t="n">
        <v>0</v>
      </c>
      <c r="N164" t="n">
        <v>0</v>
      </c>
      <c r="O164" t="n">
        <v>1</v>
      </c>
      <c r="P164" t="n">
        <v>0</v>
      </c>
      <c r="Q164" t="n">
        <v>1</v>
      </c>
      <c r="R164" s="2" t="inlineStr">
        <is>
          <t>Månlåsbräken</t>
        </is>
      </c>
      <c r="S164">
        <f>HYPERLINK("https://klasma.github.io/Logging_2305/artfynd/A 20871-2023 artfynd.xlsx", "A 20871-2023")</f>
        <v/>
      </c>
      <c r="T164">
        <f>HYPERLINK("https://klasma.github.io/Logging_2305/kartor/A 20871-2023 karta.png", "A 20871-2023")</f>
        <v/>
      </c>
      <c r="V164">
        <f>HYPERLINK("https://klasma.github.io/Logging_2305/klagomål/A 20871-2023 FSC-klagomål.docx", "A 20871-2023")</f>
        <v/>
      </c>
      <c r="W164">
        <f>HYPERLINK("https://klasma.github.io/Logging_2305/klagomålsmail/A 20871-2023 FSC-klagomål mail.docx", "A 20871-2023")</f>
        <v/>
      </c>
      <c r="X164">
        <f>HYPERLINK("https://klasma.github.io/Logging_2305/tillsyn/A 20871-2023 tillsynsbegäran.docx", "A 20871-2023")</f>
        <v/>
      </c>
      <c r="Y164">
        <f>HYPERLINK("https://klasma.github.io/Logging_2305/tillsynsmail/A 20871-2023 tillsynsbegäran mail.docx", "A 20871-2023")</f>
        <v/>
      </c>
    </row>
    <row r="165" ht="15" customHeight="1">
      <c r="A165" t="inlineStr">
        <is>
          <t>A 21112-2023</t>
        </is>
      </c>
      <c r="B165" s="1" t="n">
        <v>45062</v>
      </c>
      <c r="C165" s="1" t="n">
        <v>45361</v>
      </c>
      <c r="D165" t="inlineStr">
        <is>
          <t>JÄMTLANDS LÄN</t>
        </is>
      </c>
      <c r="E165" t="inlineStr">
        <is>
          <t>BRÄCKE</t>
        </is>
      </c>
      <c r="F165" t="inlineStr">
        <is>
          <t>SCA</t>
        </is>
      </c>
      <c r="G165" t="n">
        <v>5.1</v>
      </c>
      <c r="H165" t="n">
        <v>1</v>
      </c>
      <c r="I165" t="n">
        <v>0</v>
      </c>
      <c r="J165" t="n">
        <v>1</v>
      </c>
      <c r="K165" t="n">
        <v>0</v>
      </c>
      <c r="L165" t="n">
        <v>0</v>
      </c>
      <c r="M165" t="n">
        <v>0</v>
      </c>
      <c r="N165" t="n">
        <v>0</v>
      </c>
      <c r="O165" t="n">
        <v>1</v>
      </c>
      <c r="P165" t="n">
        <v>0</v>
      </c>
      <c r="Q165" t="n">
        <v>1</v>
      </c>
      <c r="R165" s="2" t="inlineStr">
        <is>
          <t>Järpe</t>
        </is>
      </c>
      <c r="S165">
        <f>HYPERLINK("https://klasma.github.io/Logging_2305/artfynd/A 21112-2023 artfynd.xlsx", "A 21112-2023")</f>
        <v/>
      </c>
      <c r="T165">
        <f>HYPERLINK("https://klasma.github.io/Logging_2305/kartor/A 21112-2023 karta.png", "A 21112-2023")</f>
        <v/>
      </c>
      <c r="V165">
        <f>HYPERLINK("https://klasma.github.io/Logging_2305/klagomål/A 21112-2023 FSC-klagomål.docx", "A 21112-2023")</f>
        <v/>
      </c>
      <c r="W165">
        <f>HYPERLINK("https://klasma.github.io/Logging_2305/klagomålsmail/A 21112-2023 FSC-klagomål mail.docx", "A 21112-2023")</f>
        <v/>
      </c>
      <c r="X165">
        <f>HYPERLINK("https://klasma.github.io/Logging_2305/tillsyn/A 21112-2023 tillsynsbegäran.docx", "A 21112-2023")</f>
        <v/>
      </c>
      <c r="Y165">
        <f>HYPERLINK("https://klasma.github.io/Logging_2305/tillsynsmail/A 21112-2023 tillsynsbegäran mail.docx", "A 21112-2023")</f>
        <v/>
      </c>
      <c r="Z165">
        <f>HYPERLINK("https://klasma.github.io/Logging_2305/fåglar/A 21112-2023 prioriterade fågelarter.docx", "A 21112-2023")</f>
        <v/>
      </c>
    </row>
    <row r="166" ht="15" customHeight="1">
      <c r="A166" t="inlineStr">
        <is>
          <t>A 21684-2023</t>
        </is>
      </c>
      <c r="B166" s="1" t="n">
        <v>45064</v>
      </c>
      <c r="C166" s="1" t="n">
        <v>45361</v>
      </c>
      <c r="D166" t="inlineStr">
        <is>
          <t>JÄMTLANDS LÄN</t>
        </is>
      </c>
      <c r="E166" t="inlineStr">
        <is>
          <t>BRÄCKE</t>
        </is>
      </c>
      <c r="F166" t="inlineStr">
        <is>
          <t>SCA</t>
        </is>
      </c>
      <c r="G166" t="n">
        <v>16.5</v>
      </c>
      <c r="H166" t="n">
        <v>1</v>
      </c>
      <c r="I166" t="n">
        <v>0</v>
      </c>
      <c r="J166" t="n">
        <v>1</v>
      </c>
      <c r="K166" t="n">
        <v>0</v>
      </c>
      <c r="L166" t="n">
        <v>0</v>
      </c>
      <c r="M166" t="n">
        <v>0</v>
      </c>
      <c r="N166" t="n">
        <v>0</v>
      </c>
      <c r="O166" t="n">
        <v>1</v>
      </c>
      <c r="P166" t="n">
        <v>0</v>
      </c>
      <c r="Q166" t="n">
        <v>1</v>
      </c>
      <c r="R166" s="2" t="inlineStr">
        <is>
          <t>Järpe</t>
        </is>
      </c>
      <c r="S166">
        <f>HYPERLINK("https://klasma.github.io/Logging_2305/artfynd/A 21684-2023 artfynd.xlsx", "A 21684-2023")</f>
        <v/>
      </c>
      <c r="T166">
        <f>HYPERLINK("https://klasma.github.io/Logging_2305/kartor/A 21684-2023 karta.png", "A 21684-2023")</f>
        <v/>
      </c>
      <c r="V166">
        <f>HYPERLINK("https://klasma.github.io/Logging_2305/klagomål/A 21684-2023 FSC-klagomål.docx", "A 21684-2023")</f>
        <v/>
      </c>
      <c r="W166">
        <f>HYPERLINK("https://klasma.github.io/Logging_2305/klagomålsmail/A 21684-2023 FSC-klagomål mail.docx", "A 21684-2023")</f>
        <v/>
      </c>
      <c r="X166">
        <f>HYPERLINK("https://klasma.github.io/Logging_2305/tillsyn/A 21684-2023 tillsynsbegäran.docx", "A 21684-2023")</f>
        <v/>
      </c>
      <c r="Y166">
        <f>HYPERLINK("https://klasma.github.io/Logging_2305/tillsynsmail/A 21684-2023 tillsynsbegäran mail.docx", "A 21684-2023")</f>
        <v/>
      </c>
      <c r="Z166">
        <f>HYPERLINK("https://klasma.github.io/Logging_2305/fåglar/A 21684-2023 prioriterade fågelarter.docx", "A 21684-2023")</f>
        <v/>
      </c>
    </row>
    <row r="167" ht="15" customHeight="1">
      <c r="A167" t="inlineStr">
        <is>
          <t>A 22233-2023</t>
        </is>
      </c>
      <c r="B167" s="1" t="n">
        <v>45069</v>
      </c>
      <c r="C167" s="1" t="n">
        <v>45361</v>
      </c>
      <c r="D167" t="inlineStr">
        <is>
          <t>JÄMTLANDS LÄN</t>
        </is>
      </c>
      <c r="E167" t="inlineStr">
        <is>
          <t>BRÄCKE</t>
        </is>
      </c>
      <c r="F167" t="inlineStr">
        <is>
          <t>SCA</t>
        </is>
      </c>
      <c r="G167" t="n">
        <v>28.4</v>
      </c>
      <c r="H167" t="n">
        <v>0</v>
      </c>
      <c r="I167" t="n">
        <v>0</v>
      </c>
      <c r="J167" t="n">
        <v>1</v>
      </c>
      <c r="K167" t="n">
        <v>0</v>
      </c>
      <c r="L167" t="n">
        <v>0</v>
      </c>
      <c r="M167" t="n">
        <v>0</v>
      </c>
      <c r="N167" t="n">
        <v>0</v>
      </c>
      <c r="O167" t="n">
        <v>1</v>
      </c>
      <c r="P167" t="n">
        <v>0</v>
      </c>
      <c r="Q167" t="n">
        <v>1</v>
      </c>
      <c r="R167" s="2" t="inlineStr">
        <is>
          <t>Lunglav</t>
        </is>
      </c>
      <c r="S167">
        <f>HYPERLINK("https://klasma.github.io/Logging_2305/artfynd/A 22233-2023 artfynd.xlsx", "A 22233-2023")</f>
        <v/>
      </c>
      <c r="T167">
        <f>HYPERLINK("https://klasma.github.io/Logging_2305/kartor/A 22233-2023 karta.png", "A 22233-2023")</f>
        <v/>
      </c>
      <c r="V167">
        <f>HYPERLINK("https://klasma.github.io/Logging_2305/klagomål/A 22233-2023 FSC-klagomål.docx", "A 22233-2023")</f>
        <v/>
      </c>
      <c r="W167">
        <f>HYPERLINK("https://klasma.github.io/Logging_2305/klagomålsmail/A 22233-2023 FSC-klagomål mail.docx", "A 22233-2023")</f>
        <v/>
      </c>
      <c r="X167">
        <f>HYPERLINK("https://klasma.github.io/Logging_2305/tillsyn/A 22233-2023 tillsynsbegäran.docx", "A 22233-2023")</f>
        <v/>
      </c>
      <c r="Y167">
        <f>HYPERLINK("https://klasma.github.io/Logging_2305/tillsynsmail/A 22233-2023 tillsynsbegäran mail.docx", "A 22233-2023")</f>
        <v/>
      </c>
    </row>
    <row r="168" ht="15" customHeight="1">
      <c r="A168" t="inlineStr">
        <is>
          <t>A 22990-2023</t>
        </is>
      </c>
      <c r="B168" s="1" t="n">
        <v>45072</v>
      </c>
      <c r="C168" s="1" t="n">
        <v>45361</v>
      </c>
      <c r="D168" t="inlineStr">
        <is>
          <t>JÄMTLANDS LÄN</t>
        </is>
      </c>
      <c r="E168" t="inlineStr">
        <is>
          <t>BRÄCKE</t>
        </is>
      </c>
      <c r="F168" t="inlineStr">
        <is>
          <t>SCA</t>
        </is>
      </c>
      <c r="G168" t="n">
        <v>5.2</v>
      </c>
      <c r="H168" t="n">
        <v>0</v>
      </c>
      <c r="I168" t="n">
        <v>0</v>
      </c>
      <c r="J168" t="n">
        <v>1</v>
      </c>
      <c r="K168" t="n">
        <v>0</v>
      </c>
      <c r="L168" t="n">
        <v>0</v>
      </c>
      <c r="M168" t="n">
        <v>0</v>
      </c>
      <c r="N168" t="n">
        <v>0</v>
      </c>
      <c r="O168" t="n">
        <v>1</v>
      </c>
      <c r="P168" t="n">
        <v>0</v>
      </c>
      <c r="Q168" t="n">
        <v>1</v>
      </c>
      <c r="R168" s="2" t="inlineStr">
        <is>
          <t>Rosenticka</t>
        </is>
      </c>
      <c r="S168">
        <f>HYPERLINK("https://klasma.github.io/Logging_2305/artfynd/A 22990-2023 artfynd.xlsx", "A 22990-2023")</f>
        <v/>
      </c>
      <c r="T168">
        <f>HYPERLINK("https://klasma.github.io/Logging_2305/kartor/A 22990-2023 karta.png", "A 22990-2023")</f>
        <v/>
      </c>
      <c r="V168">
        <f>HYPERLINK("https://klasma.github.io/Logging_2305/klagomål/A 22990-2023 FSC-klagomål.docx", "A 22990-2023")</f>
        <v/>
      </c>
      <c r="W168">
        <f>HYPERLINK("https://klasma.github.io/Logging_2305/klagomålsmail/A 22990-2023 FSC-klagomål mail.docx", "A 22990-2023")</f>
        <v/>
      </c>
      <c r="X168">
        <f>HYPERLINK("https://klasma.github.io/Logging_2305/tillsyn/A 22990-2023 tillsynsbegäran.docx", "A 22990-2023")</f>
        <v/>
      </c>
      <c r="Y168">
        <f>HYPERLINK("https://klasma.github.io/Logging_2305/tillsynsmail/A 22990-2023 tillsynsbegäran mail.docx", "A 22990-2023")</f>
        <v/>
      </c>
    </row>
    <row r="169" ht="15" customHeight="1">
      <c r="A169" t="inlineStr">
        <is>
          <t>A 24825-2023</t>
        </is>
      </c>
      <c r="B169" s="1" t="n">
        <v>45084</v>
      </c>
      <c r="C169" s="1" t="n">
        <v>45361</v>
      </c>
      <c r="D169" t="inlineStr">
        <is>
          <t>JÄMTLANDS LÄN</t>
        </is>
      </c>
      <c r="E169" t="inlineStr">
        <is>
          <t>BRÄCKE</t>
        </is>
      </c>
      <c r="F169" t="inlineStr">
        <is>
          <t>SCA</t>
        </is>
      </c>
      <c r="G169" t="n">
        <v>7</v>
      </c>
      <c r="H169" t="n">
        <v>0</v>
      </c>
      <c r="I169" t="n">
        <v>0</v>
      </c>
      <c r="J169" t="n">
        <v>1</v>
      </c>
      <c r="K169" t="n">
        <v>0</v>
      </c>
      <c r="L169" t="n">
        <v>0</v>
      </c>
      <c r="M169" t="n">
        <v>0</v>
      </c>
      <c r="N169" t="n">
        <v>0</v>
      </c>
      <c r="O169" t="n">
        <v>1</v>
      </c>
      <c r="P169" t="n">
        <v>0</v>
      </c>
      <c r="Q169" t="n">
        <v>1</v>
      </c>
      <c r="R169" s="2" t="inlineStr">
        <is>
          <t>Tallticka</t>
        </is>
      </c>
      <c r="S169">
        <f>HYPERLINK("https://klasma.github.io/Logging_2305/artfynd/A 24825-2023 artfynd.xlsx", "A 24825-2023")</f>
        <v/>
      </c>
      <c r="T169">
        <f>HYPERLINK("https://klasma.github.io/Logging_2305/kartor/A 24825-2023 karta.png", "A 24825-2023")</f>
        <v/>
      </c>
      <c r="V169">
        <f>HYPERLINK("https://klasma.github.io/Logging_2305/klagomål/A 24825-2023 FSC-klagomål.docx", "A 24825-2023")</f>
        <v/>
      </c>
      <c r="W169">
        <f>HYPERLINK("https://klasma.github.io/Logging_2305/klagomålsmail/A 24825-2023 FSC-klagomål mail.docx", "A 24825-2023")</f>
        <v/>
      </c>
      <c r="X169">
        <f>HYPERLINK("https://klasma.github.io/Logging_2305/tillsyn/A 24825-2023 tillsynsbegäran.docx", "A 24825-2023")</f>
        <v/>
      </c>
      <c r="Y169">
        <f>HYPERLINK("https://klasma.github.io/Logging_2305/tillsynsmail/A 24825-2023 tillsynsbegäran mail.docx", "A 24825-2023")</f>
        <v/>
      </c>
    </row>
    <row r="170" ht="15" customHeight="1">
      <c r="A170" t="inlineStr">
        <is>
          <t>A 24826-2023</t>
        </is>
      </c>
      <c r="B170" s="1" t="n">
        <v>45084</v>
      </c>
      <c r="C170" s="1" t="n">
        <v>45361</v>
      </c>
      <c r="D170" t="inlineStr">
        <is>
          <t>JÄMTLANDS LÄN</t>
        </is>
      </c>
      <c r="E170" t="inlineStr">
        <is>
          <t>BRÄCKE</t>
        </is>
      </c>
      <c r="F170" t="inlineStr">
        <is>
          <t>SCA</t>
        </is>
      </c>
      <c r="G170" t="n">
        <v>6.5</v>
      </c>
      <c r="H170" t="n">
        <v>0</v>
      </c>
      <c r="I170" t="n">
        <v>0</v>
      </c>
      <c r="J170" t="n">
        <v>1</v>
      </c>
      <c r="K170" t="n">
        <v>0</v>
      </c>
      <c r="L170" t="n">
        <v>0</v>
      </c>
      <c r="M170" t="n">
        <v>0</v>
      </c>
      <c r="N170" t="n">
        <v>0</v>
      </c>
      <c r="O170" t="n">
        <v>1</v>
      </c>
      <c r="P170" t="n">
        <v>0</v>
      </c>
      <c r="Q170" t="n">
        <v>1</v>
      </c>
      <c r="R170" s="2" t="inlineStr">
        <is>
          <t>Rosenticka</t>
        </is>
      </c>
      <c r="S170">
        <f>HYPERLINK("https://klasma.github.io/Logging_2305/artfynd/A 24826-2023 artfynd.xlsx", "A 24826-2023")</f>
        <v/>
      </c>
      <c r="T170">
        <f>HYPERLINK("https://klasma.github.io/Logging_2305/kartor/A 24826-2023 karta.png", "A 24826-2023")</f>
        <v/>
      </c>
      <c r="V170">
        <f>HYPERLINK("https://klasma.github.io/Logging_2305/klagomål/A 24826-2023 FSC-klagomål.docx", "A 24826-2023")</f>
        <v/>
      </c>
      <c r="W170">
        <f>HYPERLINK("https://klasma.github.io/Logging_2305/klagomålsmail/A 24826-2023 FSC-klagomål mail.docx", "A 24826-2023")</f>
        <v/>
      </c>
      <c r="X170">
        <f>HYPERLINK("https://klasma.github.io/Logging_2305/tillsyn/A 24826-2023 tillsynsbegäran.docx", "A 24826-2023")</f>
        <v/>
      </c>
      <c r="Y170">
        <f>HYPERLINK("https://klasma.github.io/Logging_2305/tillsynsmail/A 24826-2023 tillsynsbegäran mail.docx", "A 24826-2023")</f>
        <v/>
      </c>
    </row>
    <row r="171" ht="15" customHeight="1">
      <c r="A171" t="inlineStr">
        <is>
          <t>A 26344-2023</t>
        </is>
      </c>
      <c r="B171" s="1" t="n">
        <v>45091</v>
      </c>
      <c r="C171" s="1" t="n">
        <v>45361</v>
      </c>
      <c r="D171" t="inlineStr">
        <is>
          <t>JÄMTLANDS LÄN</t>
        </is>
      </c>
      <c r="E171" t="inlineStr">
        <is>
          <t>BRÄCKE</t>
        </is>
      </c>
      <c r="F171" t="inlineStr">
        <is>
          <t>SCA</t>
        </is>
      </c>
      <c r="G171" t="n">
        <v>15.8</v>
      </c>
      <c r="H171" t="n">
        <v>1</v>
      </c>
      <c r="I171" t="n">
        <v>0</v>
      </c>
      <c r="J171" t="n">
        <v>0</v>
      </c>
      <c r="K171" t="n">
        <v>1</v>
      </c>
      <c r="L171" t="n">
        <v>0</v>
      </c>
      <c r="M171" t="n">
        <v>0</v>
      </c>
      <c r="N171" t="n">
        <v>0</v>
      </c>
      <c r="O171" t="n">
        <v>1</v>
      </c>
      <c r="P171" t="n">
        <v>1</v>
      </c>
      <c r="Q171" t="n">
        <v>1</v>
      </c>
      <c r="R171" s="2" t="inlineStr">
        <is>
          <t>Knärot</t>
        </is>
      </c>
      <c r="S171">
        <f>HYPERLINK("https://klasma.github.io/Logging_2305/artfynd/A 26344-2023 artfynd.xlsx", "A 26344-2023")</f>
        <v/>
      </c>
      <c r="T171">
        <f>HYPERLINK("https://klasma.github.io/Logging_2305/kartor/A 26344-2023 karta.png", "A 26344-2023")</f>
        <v/>
      </c>
      <c r="U171">
        <f>HYPERLINK("https://klasma.github.io/Logging_2305/knärot/A 26344-2023 karta knärot.png", "A 26344-2023")</f>
        <v/>
      </c>
      <c r="V171">
        <f>HYPERLINK("https://klasma.github.io/Logging_2305/klagomål/A 26344-2023 FSC-klagomål.docx", "A 26344-2023")</f>
        <v/>
      </c>
      <c r="W171">
        <f>HYPERLINK("https://klasma.github.io/Logging_2305/klagomålsmail/A 26344-2023 FSC-klagomål mail.docx", "A 26344-2023")</f>
        <v/>
      </c>
      <c r="X171">
        <f>HYPERLINK("https://klasma.github.io/Logging_2305/tillsyn/A 26344-2023 tillsynsbegäran.docx", "A 26344-2023")</f>
        <v/>
      </c>
      <c r="Y171">
        <f>HYPERLINK("https://klasma.github.io/Logging_2305/tillsynsmail/A 26344-2023 tillsynsbegäran mail.docx", "A 26344-2023")</f>
        <v/>
      </c>
    </row>
    <row r="172" ht="15" customHeight="1">
      <c r="A172" t="inlineStr">
        <is>
          <t>A 26647-2023</t>
        </is>
      </c>
      <c r="B172" s="1" t="n">
        <v>45092</v>
      </c>
      <c r="C172" s="1" t="n">
        <v>45361</v>
      </c>
      <c r="D172" t="inlineStr">
        <is>
          <t>JÄMTLANDS LÄN</t>
        </is>
      </c>
      <c r="E172" t="inlineStr">
        <is>
          <t>BRÄCKE</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HYPERLINK("https://klasma.github.io/Logging_2305/artfynd/A 26647-2023 artfynd.xlsx", "A 26647-2023")</f>
        <v/>
      </c>
      <c r="T172">
        <f>HYPERLINK("https://klasma.github.io/Logging_2305/kartor/A 26647-2023 karta.png", "A 26647-2023")</f>
        <v/>
      </c>
      <c r="V172">
        <f>HYPERLINK("https://klasma.github.io/Logging_2305/klagomål/A 26647-2023 FSC-klagomål.docx", "A 26647-2023")</f>
        <v/>
      </c>
      <c r="W172">
        <f>HYPERLINK("https://klasma.github.io/Logging_2305/klagomålsmail/A 26647-2023 FSC-klagomål mail.docx", "A 26647-2023")</f>
        <v/>
      </c>
      <c r="X172">
        <f>HYPERLINK("https://klasma.github.io/Logging_2305/tillsyn/A 26647-2023 tillsynsbegäran.docx", "A 26647-2023")</f>
        <v/>
      </c>
      <c r="Y172">
        <f>HYPERLINK("https://klasma.github.io/Logging_2305/tillsynsmail/A 26647-2023 tillsynsbegäran mail.docx", "A 26647-2023")</f>
        <v/>
      </c>
    </row>
    <row r="173" ht="15" customHeight="1">
      <c r="A173" t="inlineStr">
        <is>
          <t>A 29324-2023</t>
        </is>
      </c>
      <c r="B173" s="1" t="n">
        <v>45106</v>
      </c>
      <c r="C173" s="1" t="n">
        <v>45361</v>
      </c>
      <c r="D173" t="inlineStr">
        <is>
          <t>JÄMTLANDS LÄN</t>
        </is>
      </c>
      <c r="E173" t="inlineStr">
        <is>
          <t>BRÄCKE</t>
        </is>
      </c>
      <c r="F173" t="inlineStr">
        <is>
          <t>SCA</t>
        </is>
      </c>
      <c r="G173" t="n">
        <v>2</v>
      </c>
      <c r="H173" t="n">
        <v>1</v>
      </c>
      <c r="I173" t="n">
        <v>0</v>
      </c>
      <c r="J173" t="n">
        <v>0</v>
      </c>
      <c r="K173" t="n">
        <v>0</v>
      </c>
      <c r="L173" t="n">
        <v>0</v>
      </c>
      <c r="M173" t="n">
        <v>0</v>
      </c>
      <c r="N173" t="n">
        <v>0</v>
      </c>
      <c r="O173" t="n">
        <v>0</v>
      </c>
      <c r="P173" t="n">
        <v>0</v>
      </c>
      <c r="Q173" t="n">
        <v>1</v>
      </c>
      <c r="R173" s="2" t="inlineStr">
        <is>
          <t>Nattviol</t>
        </is>
      </c>
      <c r="S173">
        <f>HYPERLINK("https://klasma.github.io/Logging_2305/artfynd/A 29324-2023 artfynd.xlsx", "A 29324-2023")</f>
        <v/>
      </c>
      <c r="T173">
        <f>HYPERLINK("https://klasma.github.io/Logging_2305/kartor/A 29324-2023 karta.png", "A 29324-2023")</f>
        <v/>
      </c>
      <c r="V173">
        <f>HYPERLINK("https://klasma.github.io/Logging_2305/klagomål/A 29324-2023 FSC-klagomål.docx", "A 29324-2023")</f>
        <v/>
      </c>
      <c r="W173">
        <f>HYPERLINK("https://klasma.github.io/Logging_2305/klagomålsmail/A 29324-2023 FSC-klagomål mail.docx", "A 29324-2023")</f>
        <v/>
      </c>
      <c r="X173">
        <f>HYPERLINK("https://klasma.github.io/Logging_2305/tillsyn/A 29324-2023 tillsynsbegäran.docx", "A 29324-2023")</f>
        <v/>
      </c>
      <c r="Y173">
        <f>HYPERLINK("https://klasma.github.io/Logging_2305/tillsynsmail/A 29324-2023 tillsynsbegäran mail.docx", "A 29324-2023")</f>
        <v/>
      </c>
    </row>
    <row r="174" ht="15" customHeight="1">
      <c r="A174" t="inlineStr">
        <is>
          <t>A 30834-2023</t>
        </is>
      </c>
      <c r="B174" s="1" t="n">
        <v>45112</v>
      </c>
      <c r="C174" s="1" t="n">
        <v>45361</v>
      </c>
      <c r="D174" t="inlineStr">
        <is>
          <t>JÄMTLANDS LÄN</t>
        </is>
      </c>
      <c r="E174" t="inlineStr">
        <is>
          <t>BRÄCKE</t>
        </is>
      </c>
      <c r="F174" t="inlineStr">
        <is>
          <t>SCA</t>
        </is>
      </c>
      <c r="G174" t="n">
        <v>7.8</v>
      </c>
      <c r="H174" t="n">
        <v>1</v>
      </c>
      <c r="I174" t="n">
        <v>0</v>
      </c>
      <c r="J174" t="n">
        <v>0</v>
      </c>
      <c r="K174" t="n">
        <v>0</v>
      </c>
      <c r="L174" t="n">
        <v>0</v>
      </c>
      <c r="M174" t="n">
        <v>0</v>
      </c>
      <c r="N174" t="n">
        <v>0</v>
      </c>
      <c r="O174" t="n">
        <v>0</v>
      </c>
      <c r="P174" t="n">
        <v>0</v>
      </c>
      <c r="Q174" t="n">
        <v>1</v>
      </c>
      <c r="R174" s="2" t="inlineStr">
        <is>
          <t>Fläcknycklar</t>
        </is>
      </c>
      <c r="S174">
        <f>HYPERLINK("https://klasma.github.io/Logging_2305/artfynd/A 30834-2023 artfynd.xlsx", "A 30834-2023")</f>
        <v/>
      </c>
      <c r="T174">
        <f>HYPERLINK("https://klasma.github.io/Logging_2305/kartor/A 30834-2023 karta.png", "A 30834-2023")</f>
        <v/>
      </c>
      <c r="V174">
        <f>HYPERLINK("https://klasma.github.io/Logging_2305/klagomål/A 30834-2023 FSC-klagomål.docx", "A 30834-2023")</f>
        <v/>
      </c>
      <c r="W174">
        <f>HYPERLINK("https://klasma.github.io/Logging_2305/klagomålsmail/A 30834-2023 FSC-klagomål mail.docx", "A 30834-2023")</f>
        <v/>
      </c>
      <c r="X174">
        <f>HYPERLINK("https://klasma.github.io/Logging_2305/tillsyn/A 30834-2023 tillsynsbegäran.docx", "A 30834-2023")</f>
        <v/>
      </c>
      <c r="Y174">
        <f>HYPERLINK("https://klasma.github.io/Logging_2305/tillsynsmail/A 30834-2023 tillsynsbegäran mail.docx", "A 30834-2023")</f>
        <v/>
      </c>
    </row>
    <row r="175" ht="15" customHeight="1">
      <c r="A175" t="inlineStr">
        <is>
          <t>A 33874-2023</t>
        </is>
      </c>
      <c r="B175" s="1" t="n">
        <v>45133</v>
      </c>
      <c r="C175" s="1" t="n">
        <v>45361</v>
      </c>
      <c r="D175" t="inlineStr">
        <is>
          <t>JÄMTLANDS LÄN</t>
        </is>
      </c>
      <c r="E175" t="inlineStr">
        <is>
          <t>BRÄCKE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HYPERLINK("https://klasma.github.io/Logging_2305/artfynd/A 33874-2023 artfynd.xlsx", "A 33874-2023")</f>
        <v/>
      </c>
      <c r="T175">
        <f>HYPERLINK("https://klasma.github.io/Logging_2305/kartor/A 33874-2023 karta.png", "A 33874-2023")</f>
        <v/>
      </c>
      <c r="V175">
        <f>HYPERLINK("https://klasma.github.io/Logging_2305/klagomål/A 33874-2023 FSC-klagomål.docx", "A 33874-2023")</f>
        <v/>
      </c>
      <c r="W175">
        <f>HYPERLINK("https://klasma.github.io/Logging_2305/klagomålsmail/A 33874-2023 FSC-klagomål mail.docx", "A 33874-2023")</f>
        <v/>
      </c>
      <c r="X175">
        <f>HYPERLINK("https://klasma.github.io/Logging_2305/tillsyn/A 33874-2023 tillsynsbegäran.docx", "A 33874-2023")</f>
        <v/>
      </c>
      <c r="Y175">
        <f>HYPERLINK("https://klasma.github.io/Logging_2305/tillsynsmail/A 33874-2023 tillsynsbegäran mail.docx", "A 33874-2023")</f>
        <v/>
      </c>
    </row>
    <row r="176" ht="15" customHeight="1">
      <c r="A176" t="inlineStr">
        <is>
          <t>A 38099-2023</t>
        </is>
      </c>
      <c r="B176" s="1" t="n">
        <v>45161</v>
      </c>
      <c r="C176" s="1" t="n">
        <v>45361</v>
      </c>
      <c r="D176" t="inlineStr">
        <is>
          <t>JÄMTLANDS LÄN</t>
        </is>
      </c>
      <c r="E176" t="inlineStr">
        <is>
          <t>BRÄCKE</t>
        </is>
      </c>
      <c r="F176" t="inlineStr">
        <is>
          <t>SCA</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HYPERLINK("https://klasma.github.io/Logging_2305/artfynd/A 38099-2023 artfynd.xlsx", "A 38099-2023")</f>
        <v/>
      </c>
      <c r="T176">
        <f>HYPERLINK("https://klasma.github.io/Logging_2305/kartor/A 38099-2023 karta.png", "A 38099-2023")</f>
        <v/>
      </c>
      <c r="V176">
        <f>HYPERLINK("https://klasma.github.io/Logging_2305/klagomål/A 38099-2023 FSC-klagomål.docx", "A 38099-2023")</f>
        <v/>
      </c>
      <c r="W176">
        <f>HYPERLINK("https://klasma.github.io/Logging_2305/klagomålsmail/A 38099-2023 FSC-klagomål mail.docx", "A 38099-2023")</f>
        <v/>
      </c>
      <c r="X176">
        <f>HYPERLINK("https://klasma.github.io/Logging_2305/tillsyn/A 38099-2023 tillsynsbegäran.docx", "A 38099-2023")</f>
        <v/>
      </c>
      <c r="Y176">
        <f>HYPERLINK("https://klasma.github.io/Logging_2305/tillsynsmail/A 38099-2023 tillsynsbegäran mail.docx", "A 38099-2023")</f>
        <v/>
      </c>
      <c r="Z176">
        <f>HYPERLINK("https://klasma.github.io/Logging_2305/fåglar/A 38099-2023 prioriterade fågelarter.docx", "A 38099-2023")</f>
        <v/>
      </c>
    </row>
    <row r="177" ht="15" customHeight="1">
      <c r="A177" t="inlineStr">
        <is>
          <t>A 40100-2023</t>
        </is>
      </c>
      <c r="B177" s="1" t="n">
        <v>45168</v>
      </c>
      <c r="C177" s="1" t="n">
        <v>45361</v>
      </c>
      <c r="D177" t="inlineStr">
        <is>
          <t>JÄMTLANDS LÄN</t>
        </is>
      </c>
      <c r="E177" t="inlineStr">
        <is>
          <t>BRÄCKE</t>
        </is>
      </c>
      <c r="F177" t="inlineStr">
        <is>
          <t>SCA</t>
        </is>
      </c>
      <c r="G177" t="n">
        <v>2.2</v>
      </c>
      <c r="H177" t="n">
        <v>1</v>
      </c>
      <c r="I177" t="n">
        <v>0</v>
      </c>
      <c r="J177" t="n">
        <v>0</v>
      </c>
      <c r="K177" t="n">
        <v>1</v>
      </c>
      <c r="L177" t="n">
        <v>0</v>
      </c>
      <c r="M177" t="n">
        <v>0</v>
      </c>
      <c r="N177" t="n">
        <v>0</v>
      </c>
      <c r="O177" t="n">
        <v>1</v>
      </c>
      <c r="P177" t="n">
        <v>1</v>
      </c>
      <c r="Q177" t="n">
        <v>1</v>
      </c>
      <c r="R177" s="2" t="inlineStr">
        <is>
          <t>Knärot</t>
        </is>
      </c>
      <c r="S177">
        <f>HYPERLINK("https://klasma.github.io/Logging_2305/artfynd/A 40100-2023 artfynd.xlsx", "A 40100-2023")</f>
        <v/>
      </c>
      <c r="T177">
        <f>HYPERLINK("https://klasma.github.io/Logging_2305/kartor/A 40100-2023 karta.png", "A 40100-2023")</f>
        <v/>
      </c>
      <c r="U177">
        <f>HYPERLINK("https://klasma.github.io/Logging_2305/knärot/A 40100-2023 karta knärot.png", "A 40100-2023")</f>
        <v/>
      </c>
      <c r="V177">
        <f>HYPERLINK("https://klasma.github.io/Logging_2305/klagomål/A 40100-2023 FSC-klagomål.docx", "A 40100-2023")</f>
        <v/>
      </c>
      <c r="W177">
        <f>HYPERLINK("https://klasma.github.io/Logging_2305/klagomålsmail/A 40100-2023 FSC-klagomål mail.docx", "A 40100-2023")</f>
        <v/>
      </c>
      <c r="X177">
        <f>HYPERLINK("https://klasma.github.io/Logging_2305/tillsyn/A 40100-2023 tillsynsbegäran.docx", "A 40100-2023")</f>
        <v/>
      </c>
      <c r="Y177">
        <f>HYPERLINK("https://klasma.github.io/Logging_2305/tillsynsmail/A 40100-2023 tillsynsbegäran mail.docx", "A 40100-2023")</f>
        <v/>
      </c>
    </row>
    <row r="178" ht="15" customHeight="1">
      <c r="A178" t="inlineStr">
        <is>
          <t>A 40097-2023</t>
        </is>
      </c>
      <c r="B178" s="1" t="n">
        <v>45168</v>
      </c>
      <c r="C178" s="1" t="n">
        <v>45361</v>
      </c>
      <c r="D178" t="inlineStr">
        <is>
          <t>JÄMTLANDS LÄN</t>
        </is>
      </c>
      <c r="E178" t="inlineStr">
        <is>
          <t>BRÄCKE</t>
        </is>
      </c>
      <c r="F178" t="inlineStr">
        <is>
          <t>SCA</t>
        </is>
      </c>
      <c r="G178" t="n">
        <v>3.8</v>
      </c>
      <c r="H178" t="n">
        <v>1</v>
      </c>
      <c r="I178" t="n">
        <v>0</v>
      </c>
      <c r="J178" t="n">
        <v>0</v>
      </c>
      <c r="K178" t="n">
        <v>1</v>
      </c>
      <c r="L178" t="n">
        <v>0</v>
      </c>
      <c r="M178" t="n">
        <v>0</v>
      </c>
      <c r="N178" t="n">
        <v>0</v>
      </c>
      <c r="O178" t="n">
        <v>1</v>
      </c>
      <c r="P178" t="n">
        <v>1</v>
      </c>
      <c r="Q178" t="n">
        <v>1</v>
      </c>
      <c r="R178" s="2" t="inlineStr">
        <is>
          <t>Knärot</t>
        </is>
      </c>
      <c r="S178">
        <f>HYPERLINK("https://klasma.github.io/Logging_2305/artfynd/A 40097-2023 artfynd.xlsx", "A 40097-2023")</f>
        <v/>
      </c>
      <c r="T178">
        <f>HYPERLINK("https://klasma.github.io/Logging_2305/kartor/A 40097-2023 karta.png", "A 40097-2023")</f>
        <v/>
      </c>
      <c r="U178">
        <f>HYPERLINK("https://klasma.github.io/Logging_2305/knärot/A 40097-2023 karta knärot.png", "A 40097-2023")</f>
        <v/>
      </c>
      <c r="V178">
        <f>HYPERLINK("https://klasma.github.io/Logging_2305/klagomål/A 40097-2023 FSC-klagomål.docx", "A 40097-2023")</f>
        <v/>
      </c>
      <c r="W178">
        <f>HYPERLINK("https://klasma.github.io/Logging_2305/klagomålsmail/A 40097-2023 FSC-klagomål mail.docx", "A 40097-2023")</f>
        <v/>
      </c>
      <c r="X178">
        <f>HYPERLINK("https://klasma.github.io/Logging_2305/tillsyn/A 40097-2023 tillsynsbegäran.docx", "A 40097-2023")</f>
        <v/>
      </c>
      <c r="Y178">
        <f>HYPERLINK("https://klasma.github.io/Logging_2305/tillsynsmail/A 40097-2023 tillsynsbegäran mail.docx", "A 40097-2023")</f>
        <v/>
      </c>
    </row>
    <row r="179" ht="15" customHeight="1">
      <c r="A179" t="inlineStr">
        <is>
          <t>A 44323-2023</t>
        </is>
      </c>
      <c r="B179" s="1" t="n">
        <v>45188</v>
      </c>
      <c r="C179" s="1" t="n">
        <v>45361</v>
      </c>
      <c r="D179" t="inlineStr">
        <is>
          <t>JÄMTLANDS LÄN</t>
        </is>
      </c>
      <c r="E179" t="inlineStr">
        <is>
          <t>BRÄCKE</t>
        </is>
      </c>
      <c r="F179" t="inlineStr">
        <is>
          <t>Sveaskog</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HYPERLINK("https://klasma.github.io/Logging_2305/artfynd/A 44323-2023 artfynd.xlsx", "A 44323-2023")</f>
        <v/>
      </c>
      <c r="T179">
        <f>HYPERLINK("https://klasma.github.io/Logging_2305/kartor/A 44323-2023 karta.png", "A 44323-2023")</f>
        <v/>
      </c>
      <c r="V179">
        <f>HYPERLINK("https://klasma.github.io/Logging_2305/klagomål/A 44323-2023 FSC-klagomål.docx", "A 44323-2023")</f>
        <v/>
      </c>
      <c r="W179">
        <f>HYPERLINK("https://klasma.github.io/Logging_2305/klagomålsmail/A 44323-2023 FSC-klagomål mail.docx", "A 44323-2023")</f>
        <v/>
      </c>
      <c r="X179">
        <f>HYPERLINK("https://klasma.github.io/Logging_2305/tillsyn/A 44323-2023 tillsynsbegäran.docx", "A 44323-2023")</f>
        <v/>
      </c>
      <c r="Y179">
        <f>HYPERLINK("https://klasma.github.io/Logging_2305/tillsynsmail/A 44323-2023 tillsynsbegäran mail.docx", "A 44323-2023")</f>
        <v/>
      </c>
    </row>
    <row r="180" ht="15" customHeight="1">
      <c r="A180" t="inlineStr">
        <is>
          <t>A 45011-2023</t>
        </is>
      </c>
      <c r="B180" s="1" t="n">
        <v>45190</v>
      </c>
      <c r="C180" s="1" t="n">
        <v>45361</v>
      </c>
      <c r="D180" t="inlineStr">
        <is>
          <t>JÄMTLANDS LÄN</t>
        </is>
      </c>
      <c r="E180" t="inlineStr">
        <is>
          <t>BRÄCKE</t>
        </is>
      </c>
      <c r="F180" t="inlineStr">
        <is>
          <t>SCA</t>
        </is>
      </c>
      <c r="G180" t="n">
        <v>1.4</v>
      </c>
      <c r="H180" t="n">
        <v>0</v>
      </c>
      <c r="I180" t="n">
        <v>0</v>
      </c>
      <c r="J180" t="n">
        <v>1</v>
      </c>
      <c r="K180" t="n">
        <v>0</v>
      </c>
      <c r="L180" t="n">
        <v>0</v>
      </c>
      <c r="M180" t="n">
        <v>0</v>
      </c>
      <c r="N180" t="n">
        <v>0</v>
      </c>
      <c r="O180" t="n">
        <v>1</v>
      </c>
      <c r="P180" t="n">
        <v>0</v>
      </c>
      <c r="Q180" t="n">
        <v>1</v>
      </c>
      <c r="R180" s="2" t="inlineStr">
        <is>
          <t>Veckticka</t>
        </is>
      </c>
      <c r="S180">
        <f>HYPERLINK("https://klasma.github.io/Logging_2305/artfynd/A 45011-2023 artfynd.xlsx", "A 45011-2023")</f>
        <v/>
      </c>
      <c r="T180">
        <f>HYPERLINK("https://klasma.github.io/Logging_2305/kartor/A 45011-2023 karta.png", "A 45011-2023")</f>
        <v/>
      </c>
      <c r="V180">
        <f>HYPERLINK("https://klasma.github.io/Logging_2305/klagomål/A 45011-2023 FSC-klagomål.docx", "A 45011-2023")</f>
        <v/>
      </c>
      <c r="W180">
        <f>HYPERLINK("https://klasma.github.io/Logging_2305/klagomålsmail/A 45011-2023 FSC-klagomål mail.docx", "A 45011-2023")</f>
        <v/>
      </c>
      <c r="X180">
        <f>HYPERLINK("https://klasma.github.io/Logging_2305/tillsyn/A 45011-2023 tillsynsbegäran.docx", "A 45011-2023")</f>
        <v/>
      </c>
      <c r="Y180">
        <f>HYPERLINK("https://klasma.github.io/Logging_2305/tillsynsmail/A 45011-2023 tillsynsbegäran mail.docx", "A 45011-2023")</f>
        <v/>
      </c>
    </row>
    <row r="181" ht="15" customHeight="1">
      <c r="A181" t="inlineStr">
        <is>
          <t>A 49040-2023</t>
        </is>
      </c>
      <c r="B181" s="1" t="n">
        <v>45209</v>
      </c>
      <c r="C181" s="1" t="n">
        <v>45361</v>
      </c>
      <c r="D181" t="inlineStr">
        <is>
          <t>JÄMTLANDS LÄN</t>
        </is>
      </c>
      <c r="E181" t="inlineStr">
        <is>
          <t>BRÄCKE</t>
        </is>
      </c>
      <c r="F181" t="inlineStr">
        <is>
          <t>SCA</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HYPERLINK("https://klasma.github.io/Logging_2305/artfynd/A 49040-2023 artfynd.xlsx", "A 49040-2023")</f>
        <v/>
      </c>
      <c r="T181">
        <f>HYPERLINK("https://klasma.github.io/Logging_2305/kartor/A 49040-2023 karta.png", "A 49040-2023")</f>
        <v/>
      </c>
      <c r="V181">
        <f>HYPERLINK("https://klasma.github.io/Logging_2305/klagomål/A 49040-2023 FSC-klagomål.docx", "A 49040-2023")</f>
        <v/>
      </c>
      <c r="W181">
        <f>HYPERLINK("https://klasma.github.io/Logging_2305/klagomålsmail/A 49040-2023 FSC-klagomål mail.docx", "A 49040-2023")</f>
        <v/>
      </c>
      <c r="X181">
        <f>HYPERLINK("https://klasma.github.io/Logging_2305/tillsyn/A 49040-2023 tillsynsbegäran.docx", "A 49040-2023")</f>
        <v/>
      </c>
      <c r="Y181">
        <f>HYPERLINK("https://klasma.github.io/Logging_2305/tillsynsmail/A 49040-2023 tillsynsbegäran mail.docx", "A 49040-2023")</f>
        <v/>
      </c>
    </row>
    <row r="182" ht="15" customHeight="1">
      <c r="A182" t="inlineStr">
        <is>
          <t>A 49325-2023</t>
        </is>
      </c>
      <c r="B182" s="1" t="n">
        <v>45210</v>
      </c>
      <c r="C182" s="1" t="n">
        <v>45361</v>
      </c>
      <c r="D182" t="inlineStr">
        <is>
          <t>JÄMTLANDS LÄN</t>
        </is>
      </c>
      <c r="E182" t="inlineStr">
        <is>
          <t>BRÄCKE</t>
        </is>
      </c>
      <c r="F182" t="inlineStr">
        <is>
          <t>SCA</t>
        </is>
      </c>
      <c r="G182" t="n">
        <v>7</v>
      </c>
      <c r="H182" t="n">
        <v>1</v>
      </c>
      <c r="I182" t="n">
        <v>0</v>
      </c>
      <c r="J182" t="n">
        <v>0</v>
      </c>
      <c r="K182" t="n">
        <v>1</v>
      </c>
      <c r="L182" t="n">
        <v>0</v>
      </c>
      <c r="M182" t="n">
        <v>0</v>
      </c>
      <c r="N182" t="n">
        <v>0</v>
      </c>
      <c r="O182" t="n">
        <v>1</v>
      </c>
      <c r="P182" t="n">
        <v>1</v>
      </c>
      <c r="Q182" t="n">
        <v>1</v>
      </c>
      <c r="R182" s="2" t="inlineStr">
        <is>
          <t>Doftticka</t>
        </is>
      </c>
      <c r="S182">
        <f>HYPERLINK("https://klasma.github.io/Logging_2305/artfynd/A 49325-2023 artfynd.xlsx", "A 49325-2023")</f>
        <v/>
      </c>
      <c r="T182">
        <f>HYPERLINK("https://klasma.github.io/Logging_2305/kartor/A 49325-2023 karta.png", "A 49325-2023")</f>
        <v/>
      </c>
      <c r="V182">
        <f>HYPERLINK("https://klasma.github.io/Logging_2305/klagomål/A 49325-2023 FSC-klagomål.docx", "A 49325-2023")</f>
        <v/>
      </c>
      <c r="W182">
        <f>HYPERLINK("https://klasma.github.io/Logging_2305/klagomålsmail/A 49325-2023 FSC-klagomål mail.docx", "A 49325-2023")</f>
        <v/>
      </c>
      <c r="X182">
        <f>HYPERLINK("https://klasma.github.io/Logging_2305/tillsyn/A 49325-2023 tillsynsbegäran.docx", "A 49325-2023")</f>
        <v/>
      </c>
      <c r="Y182">
        <f>HYPERLINK("https://klasma.github.io/Logging_2305/tillsynsmail/A 49325-2023 tillsynsbegäran mail.docx", "A 49325-2023")</f>
        <v/>
      </c>
    </row>
    <row r="183" ht="15" customHeight="1">
      <c r="A183" t="inlineStr">
        <is>
          <t>A 53056-2023</t>
        </is>
      </c>
      <c r="B183" s="1" t="n">
        <v>45226</v>
      </c>
      <c r="C183" s="1" t="n">
        <v>45361</v>
      </c>
      <c r="D183" t="inlineStr">
        <is>
          <t>JÄMTLANDS LÄN</t>
        </is>
      </c>
      <c r="E183" t="inlineStr">
        <is>
          <t>BRÄCKE</t>
        </is>
      </c>
      <c r="F183" t="inlineStr">
        <is>
          <t>SCA</t>
        </is>
      </c>
      <c r="G183" t="n">
        <v>6.5</v>
      </c>
      <c r="H183" t="n">
        <v>1</v>
      </c>
      <c r="I183" t="n">
        <v>0</v>
      </c>
      <c r="J183" t="n">
        <v>0</v>
      </c>
      <c r="K183" t="n">
        <v>1</v>
      </c>
      <c r="L183" t="n">
        <v>0</v>
      </c>
      <c r="M183" t="n">
        <v>0</v>
      </c>
      <c r="N183" t="n">
        <v>0</v>
      </c>
      <c r="O183" t="n">
        <v>1</v>
      </c>
      <c r="P183" t="n">
        <v>1</v>
      </c>
      <c r="Q183" t="n">
        <v>1</v>
      </c>
      <c r="R183" s="2" t="inlineStr">
        <is>
          <t>Doftticka</t>
        </is>
      </c>
      <c r="S183">
        <f>HYPERLINK("https://klasma.github.io/Logging_2305/artfynd/A 53056-2023 artfynd.xlsx", "A 53056-2023")</f>
        <v/>
      </c>
      <c r="T183">
        <f>HYPERLINK("https://klasma.github.io/Logging_2305/kartor/A 53056-2023 karta.png", "A 53056-2023")</f>
        <v/>
      </c>
      <c r="V183">
        <f>HYPERLINK("https://klasma.github.io/Logging_2305/klagomål/A 53056-2023 FSC-klagomål.docx", "A 53056-2023")</f>
        <v/>
      </c>
      <c r="W183">
        <f>HYPERLINK("https://klasma.github.io/Logging_2305/klagomålsmail/A 53056-2023 FSC-klagomål mail.docx", "A 53056-2023")</f>
        <v/>
      </c>
      <c r="X183">
        <f>HYPERLINK("https://klasma.github.io/Logging_2305/tillsyn/A 53056-2023 tillsynsbegäran.docx", "A 53056-2023")</f>
        <v/>
      </c>
      <c r="Y183">
        <f>HYPERLINK("https://klasma.github.io/Logging_2305/tillsynsmail/A 53056-2023 tillsynsbegäran mail.docx", "A 53056-2023")</f>
        <v/>
      </c>
    </row>
    <row r="184" ht="15" customHeight="1">
      <c r="A184" t="inlineStr">
        <is>
          <t>A 55931-2023</t>
        </is>
      </c>
      <c r="B184" s="1" t="n">
        <v>45239</v>
      </c>
      <c r="C184" s="1" t="n">
        <v>45361</v>
      </c>
      <c r="D184" t="inlineStr">
        <is>
          <t>JÄMTLANDS LÄN</t>
        </is>
      </c>
      <c r="E184" t="inlineStr">
        <is>
          <t>BRÄCKE</t>
        </is>
      </c>
      <c r="F184" t="inlineStr">
        <is>
          <t>Kyrkan</t>
        </is>
      </c>
      <c r="G184" t="n">
        <v>1.2</v>
      </c>
      <c r="H184" t="n">
        <v>0</v>
      </c>
      <c r="I184" t="n">
        <v>0</v>
      </c>
      <c r="J184" t="n">
        <v>1</v>
      </c>
      <c r="K184" t="n">
        <v>0</v>
      </c>
      <c r="L184" t="n">
        <v>0</v>
      </c>
      <c r="M184" t="n">
        <v>0</v>
      </c>
      <c r="N184" t="n">
        <v>0</v>
      </c>
      <c r="O184" t="n">
        <v>1</v>
      </c>
      <c r="P184" t="n">
        <v>0</v>
      </c>
      <c r="Q184" t="n">
        <v>1</v>
      </c>
      <c r="R184" s="2" t="inlineStr">
        <is>
          <t>Harticka</t>
        </is>
      </c>
      <c r="S184">
        <f>HYPERLINK("https://klasma.github.io/Logging_2305/artfynd/A 55931-2023 artfynd.xlsx", "A 55931-2023")</f>
        <v/>
      </c>
      <c r="T184">
        <f>HYPERLINK("https://klasma.github.io/Logging_2305/kartor/A 55931-2023 karta.png", "A 55931-2023")</f>
        <v/>
      </c>
      <c r="V184">
        <f>HYPERLINK("https://klasma.github.io/Logging_2305/klagomål/A 55931-2023 FSC-klagomål.docx", "A 55931-2023")</f>
        <v/>
      </c>
      <c r="W184">
        <f>HYPERLINK("https://klasma.github.io/Logging_2305/klagomålsmail/A 55931-2023 FSC-klagomål mail.docx", "A 55931-2023")</f>
        <v/>
      </c>
      <c r="X184">
        <f>HYPERLINK("https://klasma.github.io/Logging_2305/tillsyn/A 55931-2023 tillsynsbegäran.docx", "A 55931-2023")</f>
        <v/>
      </c>
      <c r="Y184">
        <f>HYPERLINK("https://klasma.github.io/Logging_2305/tillsynsmail/A 55931-2023 tillsynsbegäran mail.docx", "A 55931-2023")</f>
        <v/>
      </c>
    </row>
    <row r="185" ht="15" customHeight="1">
      <c r="A185" t="inlineStr">
        <is>
          <t>A 57075-2023</t>
        </is>
      </c>
      <c r="B185" s="1" t="n">
        <v>45245</v>
      </c>
      <c r="C185" s="1" t="n">
        <v>45361</v>
      </c>
      <c r="D185" t="inlineStr">
        <is>
          <t>JÄMTLANDS LÄN</t>
        </is>
      </c>
      <c r="E185" t="inlineStr">
        <is>
          <t>BRÄCKE</t>
        </is>
      </c>
      <c r="F185" t="inlineStr">
        <is>
          <t>SCA</t>
        </is>
      </c>
      <c r="G185" t="n">
        <v>7.5</v>
      </c>
      <c r="H185" t="n">
        <v>0</v>
      </c>
      <c r="I185" t="n">
        <v>1</v>
      </c>
      <c r="J185" t="n">
        <v>0</v>
      </c>
      <c r="K185" t="n">
        <v>0</v>
      </c>
      <c r="L185" t="n">
        <v>0</v>
      </c>
      <c r="M185" t="n">
        <v>0</v>
      </c>
      <c r="N185" t="n">
        <v>0</v>
      </c>
      <c r="O185" t="n">
        <v>0</v>
      </c>
      <c r="P185" t="n">
        <v>0</v>
      </c>
      <c r="Q185" t="n">
        <v>1</v>
      </c>
      <c r="R185" s="2" t="inlineStr">
        <is>
          <t>Stor aspticka</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row>
    <row r="186" ht="15" customHeight="1">
      <c r="A186" t="inlineStr">
        <is>
          <t>A 57409-2023</t>
        </is>
      </c>
      <c r="B186" s="1" t="n">
        <v>45245</v>
      </c>
      <c r="C186" s="1" t="n">
        <v>45361</v>
      </c>
      <c r="D186" t="inlineStr">
        <is>
          <t>JÄMTLANDS LÄN</t>
        </is>
      </c>
      <c r="E186" t="inlineStr">
        <is>
          <t>BRÄCKE</t>
        </is>
      </c>
      <c r="F186" t="inlineStr">
        <is>
          <t>SCA</t>
        </is>
      </c>
      <c r="G186" t="n">
        <v>2.8</v>
      </c>
      <c r="H186" t="n">
        <v>1</v>
      </c>
      <c r="I186" t="n">
        <v>1</v>
      </c>
      <c r="J186" t="n">
        <v>0</v>
      </c>
      <c r="K186" t="n">
        <v>0</v>
      </c>
      <c r="L186" t="n">
        <v>0</v>
      </c>
      <c r="M186" t="n">
        <v>0</v>
      </c>
      <c r="N186" t="n">
        <v>0</v>
      </c>
      <c r="O186" t="n">
        <v>0</v>
      </c>
      <c r="P186" t="n">
        <v>0</v>
      </c>
      <c r="Q186" t="n">
        <v>1</v>
      </c>
      <c r="R186" s="2" t="inlineStr">
        <is>
          <t>Spindelblomster</t>
        </is>
      </c>
      <c r="S186">
        <f>HYPERLINK("https://klasma.github.io/Logging_2305/artfynd/A 57409-2023 artfynd.xlsx", "A 57409-2023")</f>
        <v/>
      </c>
      <c r="T186">
        <f>HYPERLINK("https://klasma.github.io/Logging_2305/kartor/A 57409-2023 karta.png", "A 57409-2023")</f>
        <v/>
      </c>
      <c r="V186">
        <f>HYPERLINK("https://klasma.github.io/Logging_2305/klagomål/A 57409-2023 FSC-klagomål.docx", "A 57409-2023")</f>
        <v/>
      </c>
      <c r="W186">
        <f>HYPERLINK("https://klasma.github.io/Logging_2305/klagomålsmail/A 57409-2023 FSC-klagomål mail.docx", "A 57409-2023")</f>
        <v/>
      </c>
      <c r="X186">
        <f>HYPERLINK("https://klasma.github.io/Logging_2305/tillsyn/A 57409-2023 tillsynsbegäran.docx", "A 57409-2023")</f>
        <v/>
      </c>
      <c r="Y186">
        <f>HYPERLINK("https://klasma.github.io/Logging_2305/tillsynsmail/A 57409-2023 tillsynsbegäran mail.docx", "A 57409-2023")</f>
        <v/>
      </c>
    </row>
    <row r="187" ht="15" customHeight="1">
      <c r="A187" t="inlineStr">
        <is>
          <t>A 57797-2023</t>
        </is>
      </c>
      <c r="B187" s="1" t="n">
        <v>45247</v>
      </c>
      <c r="C187" s="1" t="n">
        <v>45361</v>
      </c>
      <c r="D187" t="inlineStr">
        <is>
          <t>JÄMTLANDS LÄN</t>
        </is>
      </c>
      <c r="E187" t="inlineStr">
        <is>
          <t>BRÄCKE</t>
        </is>
      </c>
      <c r="F187" t="inlineStr">
        <is>
          <t>SCA</t>
        </is>
      </c>
      <c r="G187" t="n">
        <v>2.7</v>
      </c>
      <c r="H187" t="n">
        <v>0</v>
      </c>
      <c r="I187" t="n">
        <v>1</v>
      </c>
      <c r="J187" t="n">
        <v>0</v>
      </c>
      <c r="K187" t="n">
        <v>0</v>
      </c>
      <c r="L187" t="n">
        <v>0</v>
      </c>
      <c r="M187" t="n">
        <v>0</v>
      </c>
      <c r="N187" t="n">
        <v>0</v>
      </c>
      <c r="O187" t="n">
        <v>0</v>
      </c>
      <c r="P187" t="n">
        <v>0</v>
      </c>
      <c r="Q187" t="n">
        <v>1</v>
      </c>
      <c r="R187" s="2" t="inlineStr">
        <is>
          <t>Korallblylav</t>
        </is>
      </c>
      <c r="S187">
        <f>HYPERLINK("https://klasma.github.io/Logging_2305/artfynd/A 57797-2023 artfynd.xlsx", "A 57797-2023")</f>
        <v/>
      </c>
      <c r="T187">
        <f>HYPERLINK("https://klasma.github.io/Logging_2305/kartor/A 57797-2023 karta.png", "A 57797-2023")</f>
        <v/>
      </c>
      <c r="V187">
        <f>HYPERLINK("https://klasma.github.io/Logging_2305/klagomål/A 57797-2023 FSC-klagomål.docx", "A 57797-2023")</f>
        <v/>
      </c>
      <c r="W187">
        <f>HYPERLINK("https://klasma.github.io/Logging_2305/klagomålsmail/A 57797-2023 FSC-klagomål mail.docx", "A 57797-2023")</f>
        <v/>
      </c>
      <c r="X187">
        <f>HYPERLINK("https://klasma.github.io/Logging_2305/tillsyn/A 57797-2023 tillsynsbegäran.docx", "A 57797-2023")</f>
        <v/>
      </c>
      <c r="Y187">
        <f>HYPERLINK("https://klasma.github.io/Logging_2305/tillsynsmail/A 57797-2023 tillsynsbegäran mail.docx", "A 57797-2023")</f>
        <v/>
      </c>
    </row>
    <row r="188" ht="15" customHeight="1">
      <c r="A188" t="inlineStr">
        <is>
          <t>A 2063-2024</t>
        </is>
      </c>
      <c r="B188" s="1" t="n">
        <v>45308</v>
      </c>
      <c r="C188" s="1" t="n">
        <v>45361</v>
      </c>
      <c r="D188" t="inlineStr">
        <is>
          <t>JÄMTLANDS LÄN</t>
        </is>
      </c>
      <c r="E188" t="inlineStr">
        <is>
          <t>BRÄCKE</t>
        </is>
      </c>
      <c r="F188" t="inlineStr">
        <is>
          <t>SCA</t>
        </is>
      </c>
      <c r="G188" t="n">
        <v>5.7</v>
      </c>
      <c r="H188" t="n">
        <v>0</v>
      </c>
      <c r="I188" t="n">
        <v>0</v>
      </c>
      <c r="J188" t="n">
        <v>0</v>
      </c>
      <c r="K188" t="n">
        <v>1</v>
      </c>
      <c r="L188" t="n">
        <v>0</v>
      </c>
      <c r="M188" t="n">
        <v>0</v>
      </c>
      <c r="N188" t="n">
        <v>0</v>
      </c>
      <c r="O188" t="n">
        <v>1</v>
      </c>
      <c r="P188" t="n">
        <v>1</v>
      </c>
      <c r="Q188" t="n">
        <v>1</v>
      </c>
      <c r="R188" s="2" t="inlineStr">
        <is>
          <t>Gräddporing</t>
        </is>
      </c>
      <c r="S188">
        <f>HYPERLINK("https://klasma.github.io/Logging_2305/artfynd/A 2063-2024 artfynd.xlsx", "A 2063-2024")</f>
        <v/>
      </c>
      <c r="T188">
        <f>HYPERLINK("https://klasma.github.io/Logging_2305/kartor/A 2063-2024 karta.png", "A 2063-2024")</f>
        <v/>
      </c>
      <c r="V188">
        <f>HYPERLINK("https://klasma.github.io/Logging_2305/klagomål/A 2063-2024 FSC-klagomål.docx", "A 2063-2024")</f>
        <v/>
      </c>
      <c r="W188">
        <f>HYPERLINK("https://klasma.github.io/Logging_2305/klagomålsmail/A 2063-2024 FSC-klagomål mail.docx", "A 2063-2024")</f>
        <v/>
      </c>
      <c r="X188">
        <f>HYPERLINK("https://klasma.github.io/Logging_2305/tillsyn/A 2063-2024 tillsynsbegäran.docx", "A 2063-2024")</f>
        <v/>
      </c>
      <c r="Y188">
        <f>HYPERLINK("https://klasma.github.io/Logging_2305/tillsynsmail/A 2063-2024 tillsynsbegäran mail.docx", "A 2063-2024")</f>
        <v/>
      </c>
    </row>
    <row r="189" ht="15" customHeight="1">
      <c r="A189" t="inlineStr">
        <is>
          <t>A 35651-2018</t>
        </is>
      </c>
      <c r="B189" s="1" t="n">
        <v>43325</v>
      </c>
      <c r="C189" s="1" t="n">
        <v>45361</v>
      </c>
      <c r="D189" t="inlineStr">
        <is>
          <t>JÄMTLANDS LÄN</t>
        </is>
      </c>
      <c r="E189" t="inlineStr">
        <is>
          <t>BRÄCKE</t>
        </is>
      </c>
      <c r="G189" t="n">
        <v>1.7</v>
      </c>
      <c r="H189" t="n">
        <v>0</v>
      </c>
      <c r="I189" t="n">
        <v>0</v>
      </c>
      <c r="J189" t="n">
        <v>0</v>
      </c>
      <c r="K189" t="n">
        <v>0</v>
      </c>
      <c r="L189" t="n">
        <v>0</v>
      </c>
      <c r="M189" t="n">
        <v>0</v>
      </c>
      <c r="N189" t="n">
        <v>0</v>
      </c>
      <c r="O189" t="n">
        <v>0</v>
      </c>
      <c r="P189" t="n">
        <v>0</v>
      </c>
      <c r="Q189" t="n">
        <v>0</v>
      </c>
      <c r="R189" s="2" t="inlineStr"/>
    </row>
    <row r="190" ht="15" customHeight="1">
      <c r="A190" t="inlineStr">
        <is>
          <t>A 39655-2018</t>
        </is>
      </c>
      <c r="B190" s="1" t="n">
        <v>43341</v>
      </c>
      <c r="C190" s="1" t="n">
        <v>45361</v>
      </c>
      <c r="D190" t="inlineStr">
        <is>
          <t>JÄMTLANDS LÄN</t>
        </is>
      </c>
      <c r="E190" t="inlineStr">
        <is>
          <t>BRÄCKE</t>
        </is>
      </c>
      <c r="G190" t="n">
        <v>3.7</v>
      </c>
      <c r="H190" t="n">
        <v>0</v>
      </c>
      <c r="I190" t="n">
        <v>0</v>
      </c>
      <c r="J190" t="n">
        <v>0</v>
      </c>
      <c r="K190" t="n">
        <v>0</v>
      </c>
      <c r="L190" t="n">
        <v>0</v>
      </c>
      <c r="M190" t="n">
        <v>0</v>
      </c>
      <c r="N190" t="n">
        <v>0</v>
      </c>
      <c r="O190" t="n">
        <v>0</v>
      </c>
      <c r="P190" t="n">
        <v>0</v>
      </c>
      <c r="Q190" t="n">
        <v>0</v>
      </c>
      <c r="R190" s="2" t="inlineStr"/>
    </row>
    <row r="191" ht="15" customHeight="1">
      <c r="A191" t="inlineStr">
        <is>
          <t>A 45583-2018</t>
        </is>
      </c>
      <c r="B191" s="1" t="n">
        <v>43363</v>
      </c>
      <c r="C191" s="1" t="n">
        <v>45361</v>
      </c>
      <c r="D191" t="inlineStr">
        <is>
          <t>JÄMTLANDS LÄN</t>
        </is>
      </c>
      <c r="E191" t="inlineStr">
        <is>
          <t>BRÄCKE</t>
        </is>
      </c>
      <c r="G191" t="n">
        <v>1</v>
      </c>
      <c r="H191" t="n">
        <v>0</v>
      </c>
      <c r="I191" t="n">
        <v>0</v>
      </c>
      <c r="J191" t="n">
        <v>0</v>
      </c>
      <c r="K191" t="n">
        <v>0</v>
      </c>
      <c r="L191" t="n">
        <v>0</v>
      </c>
      <c r="M191" t="n">
        <v>0</v>
      </c>
      <c r="N191" t="n">
        <v>0</v>
      </c>
      <c r="O191" t="n">
        <v>0</v>
      </c>
      <c r="P191" t="n">
        <v>0</v>
      </c>
      <c r="Q191" t="n">
        <v>0</v>
      </c>
      <c r="R191" s="2" t="inlineStr"/>
    </row>
    <row r="192" ht="15" customHeight="1">
      <c r="A192" t="inlineStr">
        <is>
          <t>A 54214-2018</t>
        </is>
      </c>
      <c r="B192" s="1" t="n">
        <v>43392</v>
      </c>
      <c r="C192" s="1" t="n">
        <v>45361</v>
      </c>
      <c r="D192" t="inlineStr">
        <is>
          <t>JÄMTLANDS LÄN</t>
        </is>
      </c>
      <c r="E192" t="inlineStr">
        <is>
          <t>BRÄCKE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54204-2018</t>
        </is>
      </c>
      <c r="B193" s="1" t="n">
        <v>43392</v>
      </c>
      <c r="C193" s="1" t="n">
        <v>45361</v>
      </c>
      <c r="D193" t="inlineStr">
        <is>
          <t>JÄMTLANDS LÄN</t>
        </is>
      </c>
      <c r="E193" t="inlineStr">
        <is>
          <t>BRÄCKE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54218-2018</t>
        </is>
      </c>
      <c r="B194" s="1" t="n">
        <v>43392</v>
      </c>
      <c r="C194" s="1" t="n">
        <v>45361</v>
      </c>
      <c r="D194" t="inlineStr">
        <is>
          <t>JÄMTLANDS LÄN</t>
        </is>
      </c>
      <c r="E194" t="inlineStr">
        <is>
          <t>BRÄCKE</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54207-2018</t>
        </is>
      </c>
      <c r="B195" s="1" t="n">
        <v>43392</v>
      </c>
      <c r="C195" s="1" t="n">
        <v>45361</v>
      </c>
      <c r="D195" t="inlineStr">
        <is>
          <t>JÄMTLANDS LÄN</t>
        </is>
      </c>
      <c r="E195" t="inlineStr">
        <is>
          <t>BRÄCKE</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54215-2018</t>
        </is>
      </c>
      <c r="B196" s="1" t="n">
        <v>43392</v>
      </c>
      <c r="C196" s="1" t="n">
        <v>45361</v>
      </c>
      <c r="D196" t="inlineStr">
        <is>
          <t>JÄMTLANDS LÄN</t>
        </is>
      </c>
      <c r="E196" t="inlineStr">
        <is>
          <t>BRÄCKE</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55632-2018</t>
        </is>
      </c>
      <c r="B197" s="1" t="n">
        <v>43397</v>
      </c>
      <c r="C197" s="1" t="n">
        <v>45361</v>
      </c>
      <c r="D197" t="inlineStr">
        <is>
          <t>JÄMTLANDS LÄN</t>
        </is>
      </c>
      <c r="E197" t="inlineStr">
        <is>
          <t>BRÄCKE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55792-2018</t>
        </is>
      </c>
      <c r="B198" s="1" t="n">
        <v>43398</v>
      </c>
      <c r="C198" s="1" t="n">
        <v>45361</v>
      </c>
      <c r="D198" t="inlineStr">
        <is>
          <t>JÄMTLANDS LÄN</t>
        </is>
      </c>
      <c r="E198" t="inlineStr">
        <is>
          <t>BRÄCKE</t>
        </is>
      </c>
      <c r="G198" t="n">
        <v>11.3</v>
      </c>
      <c r="H198" t="n">
        <v>0</v>
      </c>
      <c r="I198" t="n">
        <v>0</v>
      </c>
      <c r="J198" t="n">
        <v>0</v>
      </c>
      <c r="K198" t="n">
        <v>0</v>
      </c>
      <c r="L198" t="n">
        <v>0</v>
      </c>
      <c r="M198" t="n">
        <v>0</v>
      </c>
      <c r="N198" t="n">
        <v>0</v>
      </c>
      <c r="O198" t="n">
        <v>0</v>
      </c>
      <c r="P198" t="n">
        <v>0</v>
      </c>
      <c r="Q198" t="n">
        <v>0</v>
      </c>
      <c r="R198" s="2" t="inlineStr"/>
    </row>
    <row r="199" ht="15" customHeight="1">
      <c r="A199" t="inlineStr">
        <is>
          <t>A 57236-2018</t>
        </is>
      </c>
      <c r="B199" s="1" t="n">
        <v>43403</v>
      </c>
      <c r="C199" s="1" t="n">
        <v>45361</v>
      </c>
      <c r="D199" t="inlineStr">
        <is>
          <t>JÄMTLANDS LÄN</t>
        </is>
      </c>
      <c r="E199" t="inlineStr">
        <is>
          <t>BRÄCKE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57227-2018</t>
        </is>
      </c>
      <c r="B200" s="1" t="n">
        <v>43403</v>
      </c>
      <c r="C200" s="1" t="n">
        <v>45361</v>
      </c>
      <c r="D200" t="inlineStr">
        <is>
          <t>JÄMTLANDS LÄN</t>
        </is>
      </c>
      <c r="E200" t="inlineStr">
        <is>
          <t>BRÄCKE</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62654-2018</t>
        </is>
      </c>
      <c r="B201" s="1" t="n">
        <v>43413</v>
      </c>
      <c r="C201" s="1" t="n">
        <v>45361</v>
      </c>
      <c r="D201" t="inlineStr">
        <is>
          <t>JÄMTLANDS LÄN</t>
        </is>
      </c>
      <c r="E201" t="inlineStr">
        <is>
          <t>BRÄCKE</t>
        </is>
      </c>
      <c r="G201" t="n">
        <v>15.5</v>
      </c>
      <c r="H201" t="n">
        <v>0</v>
      </c>
      <c r="I201" t="n">
        <v>0</v>
      </c>
      <c r="J201" t="n">
        <v>0</v>
      </c>
      <c r="K201" t="n">
        <v>0</v>
      </c>
      <c r="L201" t="n">
        <v>0</v>
      </c>
      <c r="M201" t="n">
        <v>0</v>
      </c>
      <c r="N201" t="n">
        <v>0</v>
      </c>
      <c r="O201" t="n">
        <v>0</v>
      </c>
      <c r="P201" t="n">
        <v>0</v>
      </c>
      <c r="Q201" t="n">
        <v>0</v>
      </c>
      <c r="R201" s="2" t="inlineStr"/>
    </row>
    <row r="202" ht="15" customHeight="1">
      <c r="A202" t="inlineStr">
        <is>
          <t>A 60276-2018</t>
        </is>
      </c>
      <c r="B202" s="1" t="n">
        <v>43413</v>
      </c>
      <c r="C202" s="1" t="n">
        <v>45361</v>
      </c>
      <c r="D202" t="inlineStr">
        <is>
          <t>JÄMTLANDS LÄN</t>
        </is>
      </c>
      <c r="E202" t="inlineStr">
        <is>
          <t>BRÄCKE</t>
        </is>
      </c>
      <c r="G202" t="n">
        <v>1.5</v>
      </c>
      <c r="H202" t="n">
        <v>0</v>
      </c>
      <c r="I202" t="n">
        <v>0</v>
      </c>
      <c r="J202" t="n">
        <v>0</v>
      </c>
      <c r="K202" t="n">
        <v>0</v>
      </c>
      <c r="L202" t="n">
        <v>0</v>
      </c>
      <c r="M202" t="n">
        <v>0</v>
      </c>
      <c r="N202" t="n">
        <v>0</v>
      </c>
      <c r="O202" t="n">
        <v>0</v>
      </c>
      <c r="P202" t="n">
        <v>0</v>
      </c>
      <c r="Q202" t="n">
        <v>0</v>
      </c>
      <c r="R202" s="2" t="inlineStr"/>
    </row>
    <row r="203" ht="15" customHeight="1">
      <c r="A203" t="inlineStr">
        <is>
          <t>A 62449-2018</t>
        </is>
      </c>
      <c r="B203" s="1" t="n">
        <v>43415</v>
      </c>
      <c r="C203" s="1" t="n">
        <v>45361</v>
      </c>
      <c r="D203" t="inlineStr">
        <is>
          <t>JÄMTLANDS LÄN</t>
        </is>
      </c>
      <c r="E203" t="inlineStr">
        <is>
          <t>BRÄCKE</t>
        </is>
      </c>
      <c r="G203" t="n">
        <v>3</v>
      </c>
      <c r="H203" t="n">
        <v>0</v>
      </c>
      <c r="I203" t="n">
        <v>0</v>
      </c>
      <c r="J203" t="n">
        <v>0</v>
      </c>
      <c r="K203" t="n">
        <v>0</v>
      </c>
      <c r="L203" t="n">
        <v>0</v>
      </c>
      <c r="M203" t="n">
        <v>0</v>
      </c>
      <c r="N203" t="n">
        <v>0</v>
      </c>
      <c r="O203" t="n">
        <v>0</v>
      </c>
      <c r="P203" t="n">
        <v>0</v>
      </c>
      <c r="Q203" t="n">
        <v>0</v>
      </c>
      <c r="R203" s="2" t="inlineStr"/>
    </row>
    <row r="204" ht="15" customHeight="1">
      <c r="A204" t="inlineStr">
        <is>
          <t>A 63555-2018</t>
        </is>
      </c>
      <c r="B204" s="1" t="n">
        <v>43416</v>
      </c>
      <c r="C204" s="1" t="n">
        <v>45361</v>
      </c>
      <c r="D204" t="inlineStr">
        <is>
          <t>JÄMTLANDS LÄN</t>
        </is>
      </c>
      <c r="E204" t="inlineStr">
        <is>
          <t>BRÄCKE</t>
        </is>
      </c>
      <c r="G204" t="n">
        <v>1</v>
      </c>
      <c r="H204" t="n">
        <v>0</v>
      </c>
      <c r="I204" t="n">
        <v>0</v>
      </c>
      <c r="J204" t="n">
        <v>0</v>
      </c>
      <c r="K204" t="n">
        <v>0</v>
      </c>
      <c r="L204" t="n">
        <v>0</v>
      </c>
      <c r="M204" t="n">
        <v>0</v>
      </c>
      <c r="N204" t="n">
        <v>0</v>
      </c>
      <c r="O204" t="n">
        <v>0</v>
      </c>
      <c r="P204" t="n">
        <v>0</v>
      </c>
      <c r="Q204" t="n">
        <v>0</v>
      </c>
      <c r="R204" s="2" t="inlineStr"/>
    </row>
    <row r="205" ht="15" customHeight="1">
      <c r="A205" t="inlineStr">
        <is>
          <t>A 63100-2018</t>
        </is>
      </c>
      <c r="B205" s="1" t="n">
        <v>43418</v>
      </c>
      <c r="C205" s="1" t="n">
        <v>45361</v>
      </c>
      <c r="D205" t="inlineStr">
        <is>
          <t>JÄMTLANDS LÄN</t>
        </is>
      </c>
      <c r="E205" t="inlineStr">
        <is>
          <t>BRÄCKE</t>
        </is>
      </c>
      <c r="G205" t="n">
        <v>6.1</v>
      </c>
      <c r="H205" t="n">
        <v>0</v>
      </c>
      <c r="I205" t="n">
        <v>0</v>
      </c>
      <c r="J205" t="n">
        <v>0</v>
      </c>
      <c r="K205" t="n">
        <v>0</v>
      </c>
      <c r="L205" t="n">
        <v>0</v>
      </c>
      <c r="M205" t="n">
        <v>0</v>
      </c>
      <c r="N205" t="n">
        <v>0</v>
      </c>
      <c r="O205" t="n">
        <v>0</v>
      </c>
      <c r="P205" t="n">
        <v>0</v>
      </c>
      <c r="Q205" t="n">
        <v>0</v>
      </c>
      <c r="R205" s="2" t="inlineStr"/>
    </row>
    <row r="206" ht="15" customHeight="1">
      <c r="A206" t="inlineStr">
        <is>
          <t>A 59947-2018</t>
        </is>
      </c>
      <c r="B206" s="1" t="n">
        <v>43420</v>
      </c>
      <c r="C206" s="1" t="n">
        <v>45361</v>
      </c>
      <c r="D206" t="inlineStr">
        <is>
          <t>JÄMTLANDS LÄN</t>
        </is>
      </c>
      <c r="E206" t="inlineStr">
        <is>
          <t>BRÄCKE</t>
        </is>
      </c>
      <c r="G206" t="n">
        <v>2.5</v>
      </c>
      <c r="H206" t="n">
        <v>0</v>
      </c>
      <c r="I206" t="n">
        <v>0</v>
      </c>
      <c r="J206" t="n">
        <v>0</v>
      </c>
      <c r="K206" t="n">
        <v>0</v>
      </c>
      <c r="L206" t="n">
        <v>0</v>
      </c>
      <c r="M206" t="n">
        <v>0</v>
      </c>
      <c r="N206" t="n">
        <v>0</v>
      </c>
      <c r="O206" t="n">
        <v>0</v>
      </c>
      <c r="P206" t="n">
        <v>0</v>
      </c>
      <c r="Q206" t="n">
        <v>0</v>
      </c>
      <c r="R206" s="2" t="inlineStr"/>
    </row>
    <row r="207" ht="15" customHeight="1">
      <c r="A207" t="inlineStr">
        <is>
          <t>A 62271-2018</t>
        </is>
      </c>
      <c r="B207" s="1" t="n">
        <v>43425</v>
      </c>
      <c r="C207" s="1" t="n">
        <v>45361</v>
      </c>
      <c r="D207" t="inlineStr">
        <is>
          <t>JÄMTLANDS LÄN</t>
        </is>
      </c>
      <c r="E207" t="inlineStr">
        <is>
          <t>BRÄCKE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67314-2018</t>
        </is>
      </c>
      <c r="B208" s="1" t="n">
        <v>43432</v>
      </c>
      <c r="C208" s="1" t="n">
        <v>45361</v>
      </c>
      <c r="D208" t="inlineStr">
        <is>
          <t>JÄMTLANDS LÄN</t>
        </is>
      </c>
      <c r="E208" t="inlineStr">
        <is>
          <t>BRÄCKE</t>
        </is>
      </c>
      <c r="G208" t="n">
        <v>2.8</v>
      </c>
      <c r="H208" t="n">
        <v>0</v>
      </c>
      <c r="I208" t="n">
        <v>0</v>
      </c>
      <c r="J208" t="n">
        <v>0</v>
      </c>
      <c r="K208" t="n">
        <v>0</v>
      </c>
      <c r="L208" t="n">
        <v>0</v>
      </c>
      <c r="M208" t="n">
        <v>0</v>
      </c>
      <c r="N208" t="n">
        <v>0</v>
      </c>
      <c r="O208" t="n">
        <v>0</v>
      </c>
      <c r="P208" t="n">
        <v>0</v>
      </c>
      <c r="Q208" t="n">
        <v>0</v>
      </c>
      <c r="R208" s="2" t="inlineStr"/>
    </row>
    <row r="209" ht="15" customHeight="1">
      <c r="A209" t="inlineStr">
        <is>
          <t>A 65844-2018</t>
        </is>
      </c>
      <c r="B209" s="1" t="n">
        <v>43433</v>
      </c>
      <c r="C209" s="1" t="n">
        <v>45361</v>
      </c>
      <c r="D209" t="inlineStr">
        <is>
          <t>JÄMTLANDS LÄN</t>
        </is>
      </c>
      <c r="E209" t="inlineStr">
        <is>
          <t>BRÄCKE</t>
        </is>
      </c>
      <c r="G209" t="n">
        <v>1.9</v>
      </c>
      <c r="H209" t="n">
        <v>0</v>
      </c>
      <c r="I209" t="n">
        <v>0</v>
      </c>
      <c r="J209" t="n">
        <v>0</v>
      </c>
      <c r="K209" t="n">
        <v>0</v>
      </c>
      <c r="L209" t="n">
        <v>0</v>
      </c>
      <c r="M209" t="n">
        <v>0</v>
      </c>
      <c r="N209" t="n">
        <v>0</v>
      </c>
      <c r="O209" t="n">
        <v>0</v>
      </c>
      <c r="P209" t="n">
        <v>0</v>
      </c>
      <c r="Q209" t="n">
        <v>0</v>
      </c>
      <c r="R209" s="2" t="inlineStr"/>
    </row>
    <row r="210" ht="15" customHeight="1">
      <c r="A210" t="inlineStr">
        <is>
          <t>A 66766-2018</t>
        </is>
      </c>
      <c r="B210" s="1" t="n">
        <v>43437</v>
      </c>
      <c r="C210" s="1" t="n">
        <v>45361</v>
      </c>
      <c r="D210" t="inlineStr">
        <is>
          <t>JÄMTLANDS LÄN</t>
        </is>
      </c>
      <c r="E210" t="inlineStr">
        <is>
          <t>BRÄCKE</t>
        </is>
      </c>
      <c r="G210" t="n">
        <v>8.5</v>
      </c>
      <c r="H210" t="n">
        <v>0</v>
      </c>
      <c r="I210" t="n">
        <v>0</v>
      </c>
      <c r="J210" t="n">
        <v>0</v>
      </c>
      <c r="K210" t="n">
        <v>0</v>
      </c>
      <c r="L210" t="n">
        <v>0</v>
      </c>
      <c r="M210" t="n">
        <v>0</v>
      </c>
      <c r="N210" t="n">
        <v>0</v>
      </c>
      <c r="O210" t="n">
        <v>0</v>
      </c>
      <c r="P210" t="n">
        <v>0</v>
      </c>
      <c r="Q210" t="n">
        <v>0</v>
      </c>
      <c r="R210" s="2" t="inlineStr"/>
    </row>
    <row r="211" ht="15" customHeight="1">
      <c r="A211" t="inlineStr">
        <is>
          <t>A 67178-2018</t>
        </is>
      </c>
      <c r="B211" s="1" t="n">
        <v>43438</v>
      </c>
      <c r="C211" s="1" t="n">
        <v>45361</v>
      </c>
      <c r="D211" t="inlineStr">
        <is>
          <t>JÄMTLANDS LÄN</t>
        </is>
      </c>
      <c r="E211" t="inlineStr">
        <is>
          <t>BRÄCKE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67578-2018</t>
        </is>
      </c>
      <c r="B212" s="1" t="n">
        <v>43439</v>
      </c>
      <c r="C212" s="1" t="n">
        <v>45361</v>
      </c>
      <c r="D212" t="inlineStr">
        <is>
          <t>JÄMTLANDS LÄN</t>
        </is>
      </c>
      <c r="E212" t="inlineStr">
        <is>
          <t>BRÄCKE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68920-2018</t>
        </is>
      </c>
      <c r="B213" s="1" t="n">
        <v>43445</v>
      </c>
      <c r="C213" s="1" t="n">
        <v>45361</v>
      </c>
      <c r="D213" t="inlineStr">
        <is>
          <t>JÄMTLANDS LÄN</t>
        </is>
      </c>
      <c r="E213" t="inlineStr">
        <is>
          <t>BRÄCKE</t>
        </is>
      </c>
      <c r="G213" t="n">
        <v>12.6</v>
      </c>
      <c r="H213" t="n">
        <v>0</v>
      </c>
      <c r="I213" t="n">
        <v>0</v>
      </c>
      <c r="J213" t="n">
        <v>0</v>
      </c>
      <c r="K213" t="n">
        <v>0</v>
      </c>
      <c r="L213" t="n">
        <v>0</v>
      </c>
      <c r="M213" t="n">
        <v>0</v>
      </c>
      <c r="N213" t="n">
        <v>0</v>
      </c>
      <c r="O213" t="n">
        <v>0</v>
      </c>
      <c r="P213" t="n">
        <v>0</v>
      </c>
      <c r="Q213" t="n">
        <v>0</v>
      </c>
      <c r="R213" s="2" t="inlineStr"/>
    </row>
    <row r="214" ht="15" customHeight="1">
      <c r="A214" t="inlineStr">
        <is>
          <t>A 70505-2018</t>
        </is>
      </c>
      <c r="B214" s="1" t="n">
        <v>43447</v>
      </c>
      <c r="C214" s="1" t="n">
        <v>45361</v>
      </c>
      <c r="D214" t="inlineStr">
        <is>
          <t>JÄMTLANDS LÄN</t>
        </is>
      </c>
      <c r="E214" t="inlineStr">
        <is>
          <t>BRÄCKE</t>
        </is>
      </c>
      <c r="G214" t="n">
        <v>1.3</v>
      </c>
      <c r="H214" t="n">
        <v>0</v>
      </c>
      <c r="I214" t="n">
        <v>0</v>
      </c>
      <c r="J214" t="n">
        <v>0</v>
      </c>
      <c r="K214" t="n">
        <v>0</v>
      </c>
      <c r="L214" t="n">
        <v>0</v>
      </c>
      <c r="M214" t="n">
        <v>0</v>
      </c>
      <c r="N214" t="n">
        <v>0</v>
      </c>
      <c r="O214" t="n">
        <v>0</v>
      </c>
      <c r="P214" t="n">
        <v>0</v>
      </c>
      <c r="Q214" t="n">
        <v>0</v>
      </c>
      <c r="R214" s="2" t="inlineStr"/>
    </row>
    <row r="215" ht="15" customHeight="1">
      <c r="A215" t="inlineStr">
        <is>
          <t>A 72510-2018</t>
        </is>
      </c>
      <c r="B215" s="1" t="n">
        <v>43462</v>
      </c>
      <c r="C215" s="1" t="n">
        <v>45361</v>
      </c>
      <c r="D215" t="inlineStr">
        <is>
          <t>JÄMTLANDS LÄN</t>
        </is>
      </c>
      <c r="E215" t="inlineStr">
        <is>
          <t>BRÄCKE</t>
        </is>
      </c>
      <c r="G215" t="n">
        <v>0.8</v>
      </c>
      <c r="H215" t="n">
        <v>0</v>
      </c>
      <c r="I215" t="n">
        <v>0</v>
      </c>
      <c r="J215" t="n">
        <v>0</v>
      </c>
      <c r="K215" t="n">
        <v>0</v>
      </c>
      <c r="L215" t="n">
        <v>0</v>
      </c>
      <c r="M215" t="n">
        <v>0</v>
      </c>
      <c r="N215" t="n">
        <v>0</v>
      </c>
      <c r="O215" t="n">
        <v>0</v>
      </c>
      <c r="P215" t="n">
        <v>0</v>
      </c>
      <c r="Q215" t="n">
        <v>0</v>
      </c>
      <c r="R215" s="2" t="inlineStr"/>
    </row>
    <row r="216" ht="15" customHeight="1">
      <c r="A216" t="inlineStr">
        <is>
          <t>A 887-2019</t>
        </is>
      </c>
      <c r="B216" s="1" t="n">
        <v>43472</v>
      </c>
      <c r="C216" s="1" t="n">
        <v>45361</v>
      </c>
      <c r="D216" t="inlineStr">
        <is>
          <t>JÄMTLANDS LÄN</t>
        </is>
      </c>
      <c r="E216" t="inlineStr">
        <is>
          <t>BRÄCKE</t>
        </is>
      </c>
      <c r="G216" t="n">
        <v>3.5</v>
      </c>
      <c r="H216" t="n">
        <v>0</v>
      </c>
      <c r="I216" t="n">
        <v>0</v>
      </c>
      <c r="J216" t="n">
        <v>0</v>
      </c>
      <c r="K216" t="n">
        <v>0</v>
      </c>
      <c r="L216" t="n">
        <v>0</v>
      </c>
      <c r="M216" t="n">
        <v>0</v>
      </c>
      <c r="N216" t="n">
        <v>0</v>
      </c>
      <c r="O216" t="n">
        <v>0</v>
      </c>
      <c r="P216" t="n">
        <v>0</v>
      </c>
      <c r="Q216" t="n">
        <v>0</v>
      </c>
      <c r="R216" s="2" t="inlineStr"/>
    </row>
    <row r="217" ht="15" customHeight="1">
      <c r="A217" t="inlineStr">
        <is>
          <t>A 2920-2019</t>
        </is>
      </c>
      <c r="B217" s="1" t="n">
        <v>43472</v>
      </c>
      <c r="C217" s="1" t="n">
        <v>45361</v>
      </c>
      <c r="D217" t="inlineStr">
        <is>
          <t>JÄMTLANDS LÄN</t>
        </is>
      </c>
      <c r="E217" t="inlineStr">
        <is>
          <t>BRÄCKE</t>
        </is>
      </c>
      <c r="G217" t="n">
        <v>1.7</v>
      </c>
      <c r="H217" t="n">
        <v>0</v>
      </c>
      <c r="I217" t="n">
        <v>0</v>
      </c>
      <c r="J217" t="n">
        <v>0</v>
      </c>
      <c r="K217" t="n">
        <v>0</v>
      </c>
      <c r="L217" t="n">
        <v>0</v>
      </c>
      <c r="M217" t="n">
        <v>0</v>
      </c>
      <c r="N217" t="n">
        <v>0</v>
      </c>
      <c r="O217" t="n">
        <v>0</v>
      </c>
      <c r="P217" t="n">
        <v>0</v>
      </c>
      <c r="Q217" t="n">
        <v>0</v>
      </c>
      <c r="R217" s="2" t="inlineStr"/>
    </row>
    <row r="218" ht="15" customHeight="1">
      <c r="A218" t="inlineStr">
        <is>
          <t>A 1174-2019</t>
        </is>
      </c>
      <c r="B218" s="1" t="n">
        <v>43473</v>
      </c>
      <c r="C218" s="1" t="n">
        <v>45361</v>
      </c>
      <c r="D218" t="inlineStr">
        <is>
          <t>JÄMTLANDS LÄN</t>
        </is>
      </c>
      <c r="E218" t="inlineStr">
        <is>
          <t>BRÄCKE</t>
        </is>
      </c>
      <c r="F218" t="inlineStr">
        <is>
          <t>Kyrkan</t>
        </is>
      </c>
      <c r="G218" t="n">
        <v>6.6</v>
      </c>
      <c r="H218" t="n">
        <v>0</v>
      </c>
      <c r="I218" t="n">
        <v>0</v>
      </c>
      <c r="J218" t="n">
        <v>0</v>
      </c>
      <c r="K218" t="n">
        <v>0</v>
      </c>
      <c r="L218" t="n">
        <v>0</v>
      </c>
      <c r="M218" t="n">
        <v>0</v>
      </c>
      <c r="N218" t="n">
        <v>0</v>
      </c>
      <c r="O218" t="n">
        <v>0</v>
      </c>
      <c r="P218" t="n">
        <v>0</v>
      </c>
      <c r="Q218" t="n">
        <v>0</v>
      </c>
      <c r="R218" s="2" t="inlineStr"/>
    </row>
    <row r="219" ht="15" customHeight="1">
      <c r="A219" t="inlineStr">
        <is>
          <t>A 3037-2019</t>
        </is>
      </c>
      <c r="B219" s="1" t="n">
        <v>43479</v>
      </c>
      <c r="C219" s="1" t="n">
        <v>45361</v>
      </c>
      <c r="D219" t="inlineStr">
        <is>
          <t>JÄMTLANDS LÄN</t>
        </is>
      </c>
      <c r="E219" t="inlineStr">
        <is>
          <t>BRÄCKE</t>
        </is>
      </c>
      <c r="G219" t="n">
        <v>5.6</v>
      </c>
      <c r="H219" t="n">
        <v>0</v>
      </c>
      <c r="I219" t="n">
        <v>0</v>
      </c>
      <c r="J219" t="n">
        <v>0</v>
      </c>
      <c r="K219" t="n">
        <v>0</v>
      </c>
      <c r="L219" t="n">
        <v>0</v>
      </c>
      <c r="M219" t="n">
        <v>0</v>
      </c>
      <c r="N219" t="n">
        <v>0</v>
      </c>
      <c r="O219" t="n">
        <v>0</v>
      </c>
      <c r="P219" t="n">
        <v>0</v>
      </c>
      <c r="Q219" t="n">
        <v>0</v>
      </c>
      <c r="R219" s="2" t="inlineStr"/>
    </row>
    <row r="220" ht="15" customHeight="1">
      <c r="A220" t="inlineStr">
        <is>
          <t>A 4218-2019</t>
        </is>
      </c>
      <c r="B220" s="1" t="n">
        <v>43483</v>
      </c>
      <c r="C220" s="1" t="n">
        <v>45361</v>
      </c>
      <c r="D220" t="inlineStr">
        <is>
          <t>JÄMTLANDS LÄN</t>
        </is>
      </c>
      <c r="E220" t="inlineStr">
        <is>
          <t>BRÄCKE</t>
        </is>
      </c>
      <c r="G220" t="n">
        <v>0.2</v>
      </c>
      <c r="H220" t="n">
        <v>0</v>
      </c>
      <c r="I220" t="n">
        <v>0</v>
      </c>
      <c r="J220" t="n">
        <v>0</v>
      </c>
      <c r="K220" t="n">
        <v>0</v>
      </c>
      <c r="L220" t="n">
        <v>0</v>
      </c>
      <c r="M220" t="n">
        <v>0</v>
      </c>
      <c r="N220" t="n">
        <v>0</v>
      </c>
      <c r="O220" t="n">
        <v>0</v>
      </c>
      <c r="P220" t="n">
        <v>0</v>
      </c>
      <c r="Q220" t="n">
        <v>0</v>
      </c>
      <c r="R220" s="2" t="inlineStr"/>
    </row>
    <row r="221" ht="15" customHeight="1">
      <c r="A221" t="inlineStr">
        <is>
          <t>A 7406-2019</t>
        </is>
      </c>
      <c r="B221" s="1" t="n">
        <v>43497</v>
      </c>
      <c r="C221" s="1" t="n">
        <v>45361</v>
      </c>
      <c r="D221" t="inlineStr">
        <is>
          <t>JÄMTLANDS LÄN</t>
        </is>
      </c>
      <c r="E221" t="inlineStr">
        <is>
          <t>BRÄCKE</t>
        </is>
      </c>
      <c r="G221" t="n">
        <v>1.4</v>
      </c>
      <c r="H221" t="n">
        <v>0</v>
      </c>
      <c r="I221" t="n">
        <v>0</v>
      </c>
      <c r="J221" t="n">
        <v>0</v>
      </c>
      <c r="K221" t="n">
        <v>0</v>
      </c>
      <c r="L221" t="n">
        <v>0</v>
      </c>
      <c r="M221" t="n">
        <v>0</v>
      </c>
      <c r="N221" t="n">
        <v>0</v>
      </c>
      <c r="O221" t="n">
        <v>0</v>
      </c>
      <c r="P221" t="n">
        <v>0</v>
      </c>
      <c r="Q221" t="n">
        <v>0</v>
      </c>
      <c r="R221" s="2" t="inlineStr"/>
    </row>
    <row r="222" ht="15" customHeight="1">
      <c r="A222" t="inlineStr">
        <is>
          <t>A 8282-2019</t>
        </is>
      </c>
      <c r="B222" s="1" t="n">
        <v>43501</v>
      </c>
      <c r="C222" s="1" t="n">
        <v>45361</v>
      </c>
      <c r="D222" t="inlineStr">
        <is>
          <t>JÄMTLANDS LÄN</t>
        </is>
      </c>
      <c r="E222" t="inlineStr">
        <is>
          <t>BRÄCKE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8850-2019</t>
        </is>
      </c>
      <c r="B223" s="1" t="n">
        <v>43503</v>
      </c>
      <c r="C223" s="1" t="n">
        <v>45361</v>
      </c>
      <c r="D223" t="inlineStr">
        <is>
          <t>JÄMTLANDS LÄN</t>
        </is>
      </c>
      <c r="E223" t="inlineStr">
        <is>
          <t>BRÄCKE</t>
        </is>
      </c>
      <c r="G223" t="n">
        <v>5.2</v>
      </c>
      <c r="H223" t="n">
        <v>0</v>
      </c>
      <c r="I223" t="n">
        <v>0</v>
      </c>
      <c r="J223" t="n">
        <v>0</v>
      </c>
      <c r="K223" t="n">
        <v>0</v>
      </c>
      <c r="L223" t="n">
        <v>0</v>
      </c>
      <c r="M223" t="n">
        <v>0</v>
      </c>
      <c r="N223" t="n">
        <v>0</v>
      </c>
      <c r="O223" t="n">
        <v>0</v>
      </c>
      <c r="P223" t="n">
        <v>0</v>
      </c>
      <c r="Q223" t="n">
        <v>0</v>
      </c>
      <c r="R223" s="2" t="inlineStr"/>
    </row>
    <row r="224" ht="15" customHeight="1">
      <c r="A224" t="inlineStr">
        <is>
          <t>A 9729-2019</t>
        </is>
      </c>
      <c r="B224" s="1" t="n">
        <v>43508</v>
      </c>
      <c r="C224" s="1" t="n">
        <v>45361</v>
      </c>
      <c r="D224" t="inlineStr">
        <is>
          <t>JÄMTLANDS LÄN</t>
        </is>
      </c>
      <c r="E224" t="inlineStr">
        <is>
          <t>BRÄCKE</t>
        </is>
      </c>
      <c r="G224" t="n">
        <v>1.1</v>
      </c>
      <c r="H224" t="n">
        <v>0</v>
      </c>
      <c r="I224" t="n">
        <v>0</v>
      </c>
      <c r="J224" t="n">
        <v>0</v>
      </c>
      <c r="K224" t="n">
        <v>0</v>
      </c>
      <c r="L224" t="n">
        <v>0</v>
      </c>
      <c r="M224" t="n">
        <v>0</v>
      </c>
      <c r="N224" t="n">
        <v>0</v>
      </c>
      <c r="O224" t="n">
        <v>0</v>
      </c>
      <c r="P224" t="n">
        <v>0</v>
      </c>
      <c r="Q224" t="n">
        <v>0</v>
      </c>
      <c r="R224" s="2" t="inlineStr"/>
    </row>
    <row r="225" ht="15" customHeight="1">
      <c r="A225" t="inlineStr">
        <is>
          <t>A 9861-2019</t>
        </is>
      </c>
      <c r="B225" s="1" t="n">
        <v>43509</v>
      </c>
      <c r="C225" s="1" t="n">
        <v>45361</v>
      </c>
      <c r="D225" t="inlineStr">
        <is>
          <t>JÄMTLANDS LÄN</t>
        </is>
      </c>
      <c r="E225" t="inlineStr">
        <is>
          <t>BRÄCKE</t>
        </is>
      </c>
      <c r="G225" t="n">
        <v>0.7</v>
      </c>
      <c r="H225" t="n">
        <v>0</v>
      </c>
      <c r="I225" t="n">
        <v>0</v>
      </c>
      <c r="J225" t="n">
        <v>0</v>
      </c>
      <c r="K225" t="n">
        <v>0</v>
      </c>
      <c r="L225" t="n">
        <v>0</v>
      </c>
      <c r="M225" t="n">
        <v>0</v>
      </c>
      <c r="N225" t="n">
        <v>0</v>
      </c>
      <c r="O225" t="n">
        <v>0</v>
      </c>
      <c r="P225" t="n">
        <v>0</v>
      </c>
      <c r="Q225" t="n">
        <v>0</v>
      </c>
      <c r="R225" s="2" t="inlineStr"/>
    </row>
    <row r="226" ht="15" customHeight="1">
      <c r="A226" t="inlineStr">
        <is>
          <t>A 16980-2019</t>
        </is>
      </c>
      <c r="B226" s="1" t="n">
        <v>43509</v>
      </c>
      <c r="C226" s="1" t="n">
        <v>45361</v>
      </c>
      <c r="D226" t="inlineStr">
        <is>
          <t>JÄMTLANDS LÄN</t>
        </is>
      </c>
      <c r="E226" t="inlineStr">
        <is>
          <t>BRÄCKE</t>
        </is>
      </c>
      <c r="G226" t="n">
        <v>5.1</v>
      </c>
      <c r="H226" t="n">
        <v>0</v>
      </c>
      <c r="I226" t="n">
        <v>0</v>
      </c>
      <c r="J226" t="n">
        <v>0</v>
      </c>
      <c r="K226" t="n">
        <v>0</v>
      </c>
      <c r="L226" t="n">
        <v>0</v>
      </c>
      <c r="M226" t="n">
        <v>0</v>
      </c>
      <c r="N226" t="n">
        <v>0</v>
      </c>
      <c r="O226" t="n">
        <v>0</v>
      </c>
      <c r="P226" t="n">
        <v>0</v>
      </c>
      <c r="Q226" t="n">
        <v>0</v>
      </c>
      <c r="R226" s="2" t="inlineStr"/>
    </row>
    <row r="227" ht="15" customHeight="1">
      <c r="A227" t="inlineStr">
        <is>
          <t>A 12484-2019</t>
        </is>
      </c>
      <c r="B227" s="1" t="n">
        <v>43523</v>
      </c>
      <c r="C227" s="1" t="n">
        <v>45361</v>
      </c>
      <c r="D227" t="inlineStr">
        <is>
          <t>JÄMTLANDS LÄN</t>
        </is>
      </c>
      <c r="E227" t="inlineStr">
        <is>
          <t>BRÄCKE</t>
        </is>
      </c>
      <c r="G227" t="n">
        <v>0.7</v>
      </c>
      <c r="H227" t="n">
        <v>0</v>
      </c>
      <c r="I227" t="n">
        <v>0</v>
      </c>
      <c r="J227" t="n">
        <v>0</v>
      </c>
      <c r="K227" t="n">
        <v>0</v>
      </c>
      <c r="L227" t="n">
        <v>0</v>
      </c>
      <c r="M227" t="n">
        <v>0</v>
      </c>
      <c r="N227" t="n">
        <v>0</v>
      </c>
      <c r="O227" t="n">
        <v>0</v>
      </c>
      <c r="P227" t="n">
        <v>0</v>
      </c>
      <c r="Q227" t="n">
        <v>0</v>
      </c>
      <c r="R227" s="2" t="inlineStr"/>
    </row>
    <row r="228" ht="15" customHeight="1">
      <c r="A228" t="inlineStr">
        <is>
          <t>A 13472-2019</t>
        </is>
      </c>
      <c r="B228" s="1" t="n">
        <v>43529</v>
      </c>
      <c r="C228" s="1" t="n">
        <v>45361</v>
      </c>
      <c r="D228" t="inlineStr">
        <is>
          <t>JÄMTLANDS LÄN</t>
        </is>
      </c>
      <c r="E228" t="inlineStr">
        <is>
          <t>BRÄCKE</t>
        </is>
      </c>
      <c r="G228" t="n">
        <v>2.4</v>
      </c>
      <c r="H228" t="n">
        <v>0</v>
      </c>
      <c r="I228" t="n">
        <v>0</v>
      </c>
      <c r="J228" t="n">
        <v>0</v>
      </c>
      <c r="K228" t="n">
        <v>0</v>
      </c>
      <c r="L228" t="n">
        <v>0</v>
      </c>
      <c r="M228" t="n">
        <v>0</v>
      </c>
      <c r="N228" t="n">
        <v>0</v>
      </c>
      <c r="O228" t="n">
        <v>0</v>
      </c>
      <c r="P228" t="n">
        <v>0</v>
      </c>
      <c r="Q228" t="n">
        <v>0</v>
      </c>
      <c r="R228" s="2" t="inlineStr"/>
    </row>
    <row r="229" ht="15" customHeight="1">
      <c r="A229" t="inlineStr">
        <is>
          <t>A 14721-2019</t>
        </is>
      </c>
      <c r="B229" s="1" t="n">
        <v>43535</v>
      </c>
      <c r="C229" s="1" t="n">
        <v>45361</v>
      </c>
      <c r="D229" t="inlineStr">
        <is>
          <t>JÄMTLANDS LÄN</t>
        </is>
      </c>
      <c r="E229" t="inlineStr">
        <is>
          <t>BRÄCKE</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15831-2019</t>
        </is>
      </c>
      <c r="B230" s="1" t="n">
        <v>43542</v>
      </c>
      <c r="C230" s="1" t="n">
        <v>45361</v>
      </c>
      <c r="D230" t="inlineStr">
        <is>
          <t>JÄMTLANDS LÄN</t>
        </is>
      </c>
      <c r="E230" t="inlineStr">
        <is>
          <t>BRÄCKE</t>
        </is>
      </c>
      <c r="G230" t="n">
        <v>1.5</v>
      </c>
      <c r="H230" t="n">
        <v>0</v>
      </c>
      <c r="I230" t="n">
        <v>0</v>
      </c>
      <c r="J230" t="n">
        <v>0</v>
      </c>
      <c r="K230" t="n">
        <v>0</v>
      </c>
      <c r="L230" t="n">
        <v>0</v>
      </c>
      <c r="M230" t="n">
        <v>0</v>
      </c>
      <c r="N230" t="n">
        <v>0</v>
      </c>
      <c r="O230" t="n">
        <v>0</v>
      </c>
      <c r="P230" t="n">
        <v>0</v>
      </c>
      <c r="Q230" t="n">
        <v>0</v>
      </c>
      <c r="R230" s="2" t="inlineStr"/>
    </row>
    <row r="231" ht="15" customHeight="1">
      <c r="A231" t="inlineStr">
        <is>
          <t>A 15826-2019</t>
        </is>
      </c>
      <c r="B231" s="1" t="n">
        <v>43542</v>
      </c>
      <c r="C231" s="1" t="n">
        <v>45361</v>
      </c>
      <c r="D231" t="inlineStr">
        <is>
          <t>JÄMTLANDS LÄN</t>
        </is>
      </c>
      <c r="E231" t="inlineStr">
        <is>
          <t>BRÄCKE</t>
        </is>
      </c>
      <c r="G231" t="n">
        <v>2.6</v>
      </c>
      <c r="H231" t="n">
        <v>0</v>
      </c>
      <c r="I231" t="n">
        <v>0</v>
      </c>
      <c r="J231" t="n">
        <v>0</v>
      </c>
      <c r="K231" t="n">
        <v>0</v>
      </c>
      <c r="L231" t="n">
        <v>0</v>
      </c>
      <c r="M231" t="n">
        <v>0</v>
      </c>
      <c r="N231" t="n">
        <v>0</v>
      </c>
      <c r="O231" t="n">
        <v>0</v>
      </c>
      <c r="P231" t="n">
        <v>0</v>
      </c>
      <c r="Q231" t="n">
        <v>0</v>
      </c>
      <c r="R231" s="2" t="inlineStr"/>
    </row>
    <row r="232" ht="15" customHeight="1">
      <c r="A232" t="inlineStr">
        <is>
          <t>A 15709-2019</t>
        </is>
      </c>
      <c r="B232" s="1" t="n">
        <v>43543</v>
      </c>
      <c r="C232" s="1" t="n">
        <v>45361</v>
      </c>
      <c r="D232" t="inlineStr">
        <is>
          <t>JÄMTLANDS LÄN</t>
        </is>
      </c>
      <c r="E232" t="inlineStr">
        <is>
          <t>BRÄCKE</t>
        </is>
      </c>
      <c r="G232" t="n">
        <v>6.4</v>
      </c>
      <c r="H232" t="n">
        <v>0</v>
      </c>
      <c r="I232" t="n">
        <v>0</v>
      </c>
      <c r="J232" t="n">
        <v>0</v>
      </c>
      <c r="K232" t="n">
        <v>0</v>
      </c>
      <c r="L232" t="n">
        <v>0</v>
      </c>
      <c r="M232" t="n">
        <v>0</v>
      </c>
      <c r="N232" t="n">
        <v>0</v>
      </c>
      <c r="O232" t="n">
        <v>0</v>
      </c>
      <c r="P232" t="n">
        <v>0</v>
      </c>
      <c r="Q232" t="n">
        <v>0</v>
      </c>
      <c r="R232" s="2" t="inlineStr"/>
    </row>
    <row r="233" ht="15" customHeight="1">
      <c r="A233" t="inlineStr">
        <is>
          <t>A 16261-2019</t>
        </is>
      </c>
      <c r="B233" s="1" t="n">
        <v>43545</v>
      </c>
      <c r="C233" s="1" t="n">
        <v>45361</v>
      </c>
      <c r="D233" t="inlineStr">
        <is>
          <t>JÄMTLANDS LÄN</t>
        </is>
      </c>
      <c r="E233" t="inlineStr">
        <is>
          <t>BRÄCKE</t>
        </is>
      </c>
      <c r="G233" t="n">
        <v>7.9</v>
      </c>
      <c r="H233" t="n">
        <v>0</v>
      </c>
      <c r="I233" t="n">
        <v>0</v>
      </c>
      <c r="J233" t="n">
        <v>0</v>
      </c>
      <c r="K233" t="n">
        <v>0</v>
      </c>
      <c r="L233" t="n">
        <v>0</v>
      </c>
      <c r="M233" t="n">
        <v>0</v>
      </c>
      <c r="N233" t="n">
        <v>0</v>
      </c>
      <c r="O233" t="n">
        <v>0</v>
      </c>
      <c r="P233" t="n">
        <v>0</v>
      </c>
      <c r="Q233" t="n">
        <v>0</v>
      </c>
      <c r="R233" s="2" t="inlineStr"/>
    </row>
    <row r="234" ht="15" customHeight="1">
      <c r="A234" t="inlineStr">
        <is>
          <t>A 17852-2019</t>
        </is>
      </c>
      <c r="B234" s="1" t="n">
        <v>43556</v>
      </c>
      <c r="C234" s="1" t="n">
        <v>45361</v>
      </c>
      <c r="D234" t="inlineStr">
        <is>
          <t>JÄMTLANDS LÄN</t>
        </is>
      </c>
      <c r="E234" t="inlineStr">
        <is>
          <t>BRÄCKE</t>
        </is>
      </c>
      <c r="G234" t="n">
        <v>2.8</v>
      </c>
      <c r="H234" t="n">
        <v>0</v>
      </c>
      <c r="I234" t="n">
        <v>0</v>
      </c>
      <c r="J234" t="n">
        <v>0</v>
      </c>
      <c r="K234" t="n">
        <v>0</v>
      </c>
      <c r="L234" t="n">
        <v>0</v>
      </c>
      <c r="M234" t="n">
        <v>0</v>
      </c>
      <c r="N234" t="n">
        <v>0</v>
      </c>
      <c r="O234" t="n">
        <v>0</v>
      </c>
      <c r="P234" t="n">
        <v>0</v>
      </c>
      <c r="Q234" t="n">
        <v>0</v>
      </c>
      <c r="R234" s="2" t="inlineStr"/>
    </row>
    <row r="235" ht="15" customHeight="1">
      <c r="A235" t="inlineStr">
        <is>
          <t>A 19559-2019</t>
        </is>
      </c>
      <c r="B235" s="1" t="n">
        <v>43565</v>
      </c>
      <c r="C235" s="1" t="n">
        <v>45361</v>
      </c>
      <c r="D235" t="inlineStr">
        <is>
          <t>JÄMTLANDS LÄN</t>
        </is>
      </c>
      <c r="E235" t="inlineStr">
        <is>
          <t>BRÄCKE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19925-2019</t>
        </is>
      </c>
      <c r="B236" s="1" t="n">
        <v>43567</v>
      </c>
      <c r="C236" s="1" t="n">
        <v>45361</v>
      </c>
      <c r="D236" t="inlineStr">
        <is>
          <t>JÄMTLANDS LÄN</t>
        </is>
      </c>
      <c r="E236" t="inlineStr">
        <is>
          <t>BRÄCKE</t>
        </is>
      </c>
      <c r="F236" t="inlineStr">
        <is>
          <t>SCA</t>
        </is>
      </c>
      <c r="G236" t="n">
        <v>20</v>
      </c>
      <c r="H236" t="n">
        <v>0</v>
      </c>
      <c r="I236" t="n">
        <v>0</v>
      </c>
      <c r="J236" t="n">
        <v>0</v>
      </c>
      <c r="K236" t="n">
        <v>0</v>
      </c>
      <c r="L236" t="n">
        <v>0</v>
      </c>
      <c r="M236" t="n">
        <v>0</v>
      </c>
      <c r="N236" t="n">
        <v>0</v>
      </c>
      <c r="O236" t="n">
        <v>0</v>
      </c>
      <c r="P236" t="n">
        <v>0</v>
      </c>
      <c r="Q236" t="n">
        <v>0</v>
      </c>
      <c r="R236" s="2" t="inlineStr"/>
    </row>
    <row r="237" ht="15" customHeight="1">
      <c r="A237" t="inlineStr">
        <is>
          <t>A 19927-2019</t>
        </is>
      </c>
      <c r="B237" s="1" t="n">
        <v>43567</v>
      </c>
      <c r="C237" s="1" t="n">
        <v>45361</v>
      </c>
      <c r="D237" t="inlineStr">
        <is>
          <t>JÄMTLANDS LÄN</t>
        </is>
      </c>
      <c r="E237" t="inlineStr">
        <is>
          <t>BRÄCKE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19926-2019</t>
        </is>
      </c>
      <c r="B238" s="1" t="n">
        <v>43567</v>
      </c>
      <c r="C238" s="1" t="n">
        <v>45361</v>
      </c>
      <c r="D238" t="inlineStr">
        <is>
          <t>JÄMTLANDS LÄN</t>
        </is>
      </c>
      <c r="E238" t="inlineStr">
        <is>
          <t>BRÄCKE</t>
        </is>
      </c>
      <c r="F238" t="inlineStr">
        <is>
          <t>SCA</t>
        </is>
      </c>
      <c r="G238" t="n">
        <v>18.6</v>
      </c>
      <c r="H238" t="n">
        <v>0</v>
      </c>
      <c r="I238" t="n">
        <v>0</v>
      </c>
      <c r="J238" t="n">
        <v>0</v>
      </c>
      <c r="K238" t="n">
        <v>0</v>
      </c>
      <c r="L238" t="n">
        <v>0</v>
      </c>
      <c r="M238" t="n">
        <v>0</v>
      </c>
      <c r="N238" t="n">
        <v>0</v>
      </c>
      <c r="O238" t="n">
        <v>0</v>
      </c>
      <c r="P238" t="n">
        <v>0</v>
      </c>
      <c r="Q238" t="n">
        <v>0</v>
      </c>
      <c r="R238" s="2" t="inlineStr"/>
    </row>
    <row r="239" ht="15" customHeight="1">
      <c r="A239" t="inlineStr">
        <is>
          <t>A 20186-2019</t>
        </is>
      </c>
      <c r="B239" s="1" t="n">
        <v>43570</v>
      </c>
      <c r="C239" s="1" t="n">
        <v>45361</v>
      </c>
      <c r="D239" t="inlineStr">
        <is>
          <t>JÄMTLANDS LÄN</t>
        </is>
      </c>
      <c r="E239" t="inlineStr">
        <is>
          <t>BRÄCKE</t>
        </is>
      </c>
      <c r="G239" t="n">
        <v>2.1</v>
      </c>
      <c r="H239" t="n">
        <v>0</v>
      </c>
      <c r="I239" t="n">
        <v>0</v>
      </c>
      <c r="J239" t="n">
        <v>0</v>
      </c>
      <c r="K239" t="n">
        <v>0</v>
      </c>
      <c r="L239" t="n">
        <v>0</v>
      </c>
      <c r="M239" t="n">
        <v>0</v>
      </c>
      <c r="N239" t="n">
        <v>0</v>
      </c>
      <c r="O239" t="n">
        <v>0</v>
      </c>
      <c r="P239" t="n">
        <v>0</v>
      </c>
      <c r="Q239" t="n">
        <v>0</v>
      </c>
      <c r="R239" s="2" t="inlineStr"/>
    </row>
    <row r="240" ht="15" customHeight="1">
      <c r="A240" t="inlineStr">
        <is>
          <t>A 20390-2019</t>
        </is>
      </c>
      <c r="B240" s="1" t="n">
        <v>43571</v>
      </c>
      <c r="C240" s="1" t="n">
        <v>45361</v>
      </c>
      <c r="D240" t="inlineStr">
        <is>
          <t>JÄMTLANDS LÄN</t>
        </is>
      </c>
      <c r="E240" t="inlineStr">
        <is>
          <t>BRÄCKE</t>
        </is>
      </c>
      <c r="G240" t="n">
        <v>3</v>
      </c>
      <c r="H240" t="n">
        <v>0</v>
      </c>
      <c r="I240" t="n">
        <v>0</v>
      </c>
      <c r="J240" t="n">
        <v>0</v>
      </c>
      <c r="K240" t="n">
        <v>0</v>
      </c>
      <c r="L240" t="n">
        <v>0</v>
      </c>
      <c r="M240" t="n">
        <v>0</v>
      </c>
      <c r="N240" t="n">
        <v>0</v>
      </c>
      <c r="O240" t="n">
        <v>0</v>
      </c>
      <c r="P240" t="n">
        <v>0</v>
      </c>
      <c r="Q240" t="n">
        <v>0</v>
      </c>
      <c r="R240" s="2" t="inlineStr"/>
    </row>
    <row r="241" ht="15" customHeight="1">
      <c r="A241" t="inlineStr">
        <is>
          <t>A 20448-2019</t>
        </is>
      </c>
      <c r="B241" s="1" t="n">
        <v>43571</v>
      </c>
      <c r="C241" s="1" t="n">
        <v>45361</v>
      </c>
      <c r="D241" t="inlineStr">
        <is>
          <t>JÄMTLANDS LÄN</t>
        </is>
      </c>
      <c r="E241" t="inlineStr">
        <is>
          <t>BRÄCKE</t>
        </is>
      </c>
      <c r="F241" t="inlineStr">
        <is>
          <t>SCA</t>
        </is>
      </c>
      <c r="G241" t="n">
        <v>70</v>
      </c>
      <c r="H241" t="n">
        <v>0</v>
      </c>
      <c r="I241" t="n">
        <v>0</v>
      </c>
      <c r="J241" t="n">
        <v>0</v>
      </c>
      <c r="K241" t="n">
        <v>0</v>
      </c>
      <c r="L241" t="n">
        <v>0</v>
      </c>
      <c r="M241" t="n">
        <v>0</v>
      </c>
      <c r="N241" t="n">
        <v>0</v>
      </c>
      <c r="O241" t="n">
        <v>0</v>
      </c>
      <c r="P241" t="n">
        <v>0</v>
      </c>
      <c r="Q241" t="n">
        <v>0</v>
      </c>
      <c r="R241" s="2" t="inlineStr"/>
    </row>
    <row r="242" ht="15" customHeight="1">
      <c r="A242" t="inlineStr">
        <is>
          <t>A 20539-2019</t>
        </is>
      </c>
      <c r="B242" s="1" t="n">
        <v>43572</v>
      </c>
      <c r="C242" s="1" t="n">
        <v>45361</v>
      </c>
      <c r="D242" t="inlineStr">
        <is>
          <t>JÄMTLANDS LÄN</t>
        </is>
      </c>
      <c r="E242" t="inlineStr">
        <is>
          <t>BRÄCKE</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20535-2019</t>
        </is>
      </c>
      <c r="B243" s="1" t="n">
        <v>43572</v>
      </c>
      <c r="C243" s="1" t="n">
        <v>45361</v>
      </c>
      <c r="D243" t="inlineStr">
        <is>
          <t>JÄMTLANDS LÄN</t>
        </is>
      </c>
      <c r="E243" t="inlineStr">
        <is>
          <t>BRÄCKE</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20827-2019</t>
        </is>
      </c>
      <c r="B244" s="1" t="n">
        <v>43573</v>
      </c>
      <c r="C244" s="1" t="n">
        <v>45361</v>
      </c>
      <c r="D244" t="inlineStr">
        <is>
          <t>JÄMTLANDS LÄN</t>
        </is>
      </c>
      <c r="E244" t="inlineStr">
        <is>
          <t>BRÄCKE</t>
        </is>
      </c>
      <c r="F244" t="inlineStr">
        <is>
          <t>SCA</t>
        </is>
      </c>
      <c r="G244" t="n">
        <v>40.9</v>
      </c>
      <c r="H244" t="n">
        <v>0</v>
      </c>
      <c r="I244" t="n">
        <v>0</v>
      </c>
      <c r="J244" t="n">
        <v>0</v>
      </c>
      <c r="K244" t="n">
        <v>0</v>
      </c>
      <c r="L244" t="n">
        <v>0</v>
      </c>
      <c r="M244" t="n">
        <v>0</v>
      </c>
      <c r="N244" t="n">
        <v>0</v>
      </c>
      <c r="O244" t="n">
        <v>0</v>
      </c>
      <c r="P244" t="n">
        <v>0</v>
      </c>
      <c r="Q244" t="n">
        <v>0</v>
      </c>
      <c r="R244" s="2" t="inlineStr"/>
    </row>
    <row r="245" ht="15" customHeight="1">
      <c r="A245" t="inlineStr">
        <is>
          <t>A 20926-2019</t>
        </is>
      </c>
      <c r="B245" s="1" t="n">
        <v>43578</v>
      </c>
      <c r="C245" s="1" t="n">
        <v>45361</v>
      </c>
      <c r="D245" t="inlineStr">
        <is>
          <t>JÄMTLANDS LÄN</t>
        </is>
      </c>
      <c r="E245" t="inlineStr">
        <is>
          <t>BRÄCKE</t>
        </is>
      </c>
      <c r="G245" t="n">
        <v>11</v>
      </c>
      <c r="H245" t="n">
        <v>0</v>
      </c>
      <c r="I245" t="n">
        <v>0</v>
      </c>
      <c r="J245" t="n">
        <v>0</v>
      </c>
      <c r="K245" t="n">
        <v>0</v>
      </c>
      <c r="L245" t="n">
        <v>0</v>
      </c>
      <c r="M245" t="n">
        <v>0</v>
      </c>
      <c r="N245" t="n">
        <v>0</v>
      </c>
      <c r="O245" t="n">
        <v>0</v>
      </c>
      <c r="P245" t="n">
        <v>0</v>
      </c>
      <c r="Q245" t="n">
        <v>0</v>
      </c>
      <c r="R245" s="2" t="inlineStr"/>
    </row>
    <row r="246" ht="15" customHeight="1">
      <c r="A246" t="inlineStr">
        <is>
          <t>A 21116-2019</t>
        </is>
      </c>
      <c r="B246" s="1" t="n">
        <v>43578</v>
      </c>
      <c r="C246" s="1" t="n">
        <v>45361</v>
      </c>
      <c r="D246" t="inlineStr">
        <is>
          <t>JÄMTLANDS LÄN</t>
        </is>
      </c>
      <c r="E246" t="inlineStr">
        <is>
          <t>BRÄCKE</t>
        </is>
      </c>
      <c r="F246" t="inlineStr">
        <is>
          <t>SCA</t>
        </is>
      </c>
      <c r="G246" t="n">
        <v>70</v>
      </c>
      <c r="H246" t="n">
        <v>0</v>
      </c>
      <c r="I246" t="n">
        <v>0</v>
      </c>
      <c r="J246" t="n">
        <v>0</v>
      </c>
      <c r="K246" t="n">
        <v>0</v>
      </c>
      <c r="L246" t="n">
        <v>0</v>
      </c>
      <c r="M246" t="n">
        <v>0</v>
      </c>
      <c r="N246" t="n">
        <v>0</v>
      </c>
      <c r="O246" t="n">
        <v>0</v>
      </c>
      <c r="P246" t="n">
        <v>0</v>
      </c>
      <c r="Q246" t="n">
        <v>0</v>
      </c>
      <c r="R246" s="2" t="inlineStr"/>
    </row>
    <row r="247" ht="15" customHeight="1">
      <c r="A247" t="inlineStr">
        <is>
          <t>A 21454-2019</t>
        </is>
      </c>
      <c r="B247" s="1" t="n">
        <v>43580</v>
      </c>
      <c r="C247" s="1" t="n">
        <v>45361</v>
      </c>
      <c r="D247" t="inlineStr">
        <is>
          <t>JÄMTLANDS LÄN</t>
        </is>
      </c>
      <c r="E247" t="inlineStr">
        <is>
          <t>BRÄCKE</t>
        </is>
      </c>
      <c r="G247" t="n">
        <v>1.5</v>
      </c>
      <c r="H247" t="n">
        <v>0</v>
      </c>
      <c r="I247" t="n">
        <v>0</v>
      </c>
      <c r="J247" t="n">
        <v>0</v>
      </c>
      <c r="K247" t="n">
        <v>0</v>
      </c>
      <c r="L247" t="n">
        <v>0</v>
      </c>
      <c r="M247" t="n">
        <v>0</v>
      </c>
      <c r="N247" t="n">
        <v>0</v>
      </c>
      <c r="O247" t="n">
        <v>0</v>
      </c>
      <c r="P247" t="n">
        <v>0</v>
      </c>
      <c r="Q247" t="n">
        <v>0</v>
      </c>
      <c r="R247" s="2" t="inlineStr"/>
    </row>
    <row r="248" ht="15" customHeight="1">
      <c r="A248" t="inlineStr">
        <is>
          <t>A 21438-2019</t>
        </is>
      </c>
      <c r="B248" s="1" t="n">
        <v>43580</v>
      </c>
      <c r="C248" s="1" t="n">
        <v>45361</v>
      </c>
      <c r="D248" t="inlineStr">
        <is>
          <t>JÄMTLANDS LÄN</t>
        </is>
      </c>
      <c r="E248" t="inlineStr">
        <is>
          <t>BRÄCKE</t>
        </is>
      </c>
      <c r="G248" t="n">
        <v>0.9</v>
      </c>
      <c r="H248" t="n">
        <v>0</v>
      </c>
      <c r="I248" t="n">
        <v>0</v>
      </c>
      <c r="J248" t="n">
        <v>0</v>
      </c>
      <c r="K248" t="n">
        <v>0</v>
      </c>
      <c r="L248" t="n">
        <v>0</v>
      </c>
      <c r="M248" t="n">
        <v>0</v>
      </c>
      <c r="N248" t="n">
        <v>0</v>
      </c>
      <c r="O248" t="n">
        <v>0</v>
      </c>
      <c r="P248" t="n">
        <v>0</v>
      </c>
      <c r="Q248" t="n">
        <v>0</v>
      </c>
      <c r="R248" s="2" t="inlineStr"/>
    </row>
    <row r="249" ht="15" customHeight="1">
      <c r="A249" t="inlineStr">
        <is>
          <t>A 21428-2019</t>
        </is>
      </c>
      <c r="B249" s="1" t="n">
        <v>43580</v>
      </c>
      <c r="C249" s="1" t="n">
        <v>45361</v>
      </c>
      <c r="D249" t="inlineStr">
        <is>
          <t>JÄMTLANDS LÄN</t>
        </is>
      </c>
      <c r="E249" t="inlineStr">
        <is>
          <t>BRÄCKE</t>
        </is>
      </c>
      <c r="G249" t="n">
        <v>4.5</v>
      </c>
      <c r="H249" t="n">
        <v>0</v>
      </c>
      <c r="I249" t="n">
        <v>0</v>
      </c>
      <c r="J249" t="n">
        <v>0</v>
      </c>
      <c r="K249" t="n">
        <v>0</v>
      </c>
      <c r="L249" t="n">
        <v>0</v>
      </c>
      <c r="M249" t="n">
        <v>0</v>
      </c>
      <c r="N249" t="n">
        <v>0</v>
      </c>
      <c r="O249" t="n">
        <v>0</v>
      </c>
      <c r="P249" t="n">
        <v>0</v>
      </c>
      <c r="Q249" t="n">
        <v>0</v>
      </c>
      <c r="R249" s="2" t="inlineStr"/>
    </row>
    <row r="250" ht="15" customHeight="1">
      <c r="A250" t="inlineStr">
        <is>
          <t>A 21792-2019</t>
        </is>
      </c>
      <c r="B250" s="1" t="n">
        <v>43581</v>
      </c>
      <c r="C250" s="1" t="n">
        <v>45361</v>
      </c>
      <c r="D250" t="inlineStr">
        <is>
          <t>JÄMTLANDS LÄN</t>
        </is>
      </c>
      <c r="E250" t="inlineStr">
        <is>
          <t>BRÄCKE</t>
        </is>
      </c>
      <c r="G250" t="n">
        <v>1</v>
      </c>
      <c r="H250" t="n">
        <v>0</v>
      </c>
      <c r="I250" t="n">
        <v>0</v>
      </c>
      <c r="J250" t="n">
        <v>0</v>
      </c>
      <c r="K250" t="n">
        <v>0</v>
      </c>
      <c r="L250" t="n">
        <v>0</v>
      </c>
      <c r="M250" t="n">
        <v>0</v>
      </c>
      <c r="N250" t="n">
        <v>0</v>
      </c>
      <c r="O250" t="n">
        <v>0</v>
      </c>
      <c r="P250" t="n">
        <v>0</v>
      </c>
      <c r="Q250" t="n">
        <v>0</v>
      </c>
      <c r="R250" s="2" t="inlineStr"/>
    </row>
    <row r="251" ht="15" customHeight="1">
      <c r="A251" t="inlineStr">
        <is>
          <t>A 21798-2019</t>
        </is>
      </c>
      <c r="B251" s="1" t="n">
        <v>43581</v>
      </c>
      <c r="C251" s="1" t="n">
        <v>45361</v>
      </c>
      <c r="D251" t="inlineStr">
        <is>
          <t>JÄMTLANDS LÄN</t>
        </is>
      </c>
      <c r="E251" t="inlineStr">
        <is>
          <t>BRÄCKE</t>
        </is>
      </c>
      <c r="F251" t="inlineStr">
        <is>
          <t>SCA</t>
        </is>
      </c>
      <c r="G251" t="n">
        <v>7.3</v>
      </c>
      <c r="H251" t="n">
        <v>0</v>
      </c>
      <c r="I251" t="n">
        <v>0</v>
      </c>
      <c r="J251" t="n">
        <v>0</v>
      </c>
      <c r="K251" t="n">
        <v>0</v>
      </c>
      <c r="L251" t="n">
        <v>0</v>
      </c>
      <c r="M251" t="n">
        <v>0</v>
      </c>
      <c r="N251" t="n">
        <v>0</v>
      </c>
      <c r="O251" t="n">
        <v>0</v>
      </c>
      <c r="P251" t="n">
        <v>0</v>
      </c>
      <c r="Q251" t="n">
        <v>0</v>
      </c>
      <c r="R251" s="2" t="inlineStr"/>
      <c r="U251">
        <f>HYPERLINK("https://klasma.github.io/Logging_2305/knärot/A 21798-2019 karta knärot.png", "A 21798-2019")</f>
        <v/>
      </c>
      <c r="V251">
        <f>HYPERLINK("https://klasma.github.io/Logging_2305/klagomål/A 21798-2019 FSC-klagomål.docx", "A 21798-2019")</f>
        <v/>
      </c>
      <c r="W251">
        <f>HYPERLINK("https://klasma.github.io/Logging_2305/klagomålsmail/A 21798-2019 FSC-klagomål mail.docx", "A 21798-2019")</f>
        <v/>
      </c>
      <c r="X251">
        <f>HYPERLINK("https://klasma.github.io/Logging_2305/tillsyn/A 21798-2019 tillsynsbegäran.docx", "A 21798-2019")</f>
        <v/>
      </c>
      <c r="Y251">
        <f>HYPERLINK("https://klasma.github.io/Logging_2305/tillsynsmail/A 21798-2019 tillsynsbegäran mail.docx", "A 21798-2019")</f>
        <v/>
      </c>
    </row>
    <row r="252" ht="15" customHeight="1">
      <c r="A252" t="inlineStr">
        <is>
          <t>A 22299-2019</t>
        </is>
      </c>
      <c r="B252" s="1" t="n">
        <v>43585</v>
      </c>
      <c r="C252" s="1" t="n">
        <v>45361</v>
      </c>
      <c r="D252" t="inlineStr">
        <is>
          <t>JÄMTLANDS LÄN</t>
        </is>
      </c>
      <c r="E252" t="inlineStr">
        <is>
          <t>BRÄCKE</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22778-2019</t>
        </is>
      </c>
      <c r="B253" s="1" t="n">
        <v>43589</v>
      </c>
      <c r="C253" s="1" t="n">
        <v>45361</v>
      </c>
      <c r="D253" t="inlineStr">
        <is>
          <t>JÄMTLANDS LÄN</t>
        </is>
      </c>
      <c r="E253" t="inlineStr">
        <is>
          <t>BRÄCKE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23480-2019</t>
        </is>
      </c>
      <c r="B254" s="1" t="n">
        <v>43593</v>
      </c>
      <c r="C254" s="1" t="n">
        <v>45361</v>
      </c>
      <c r="D254" t="inlineStr">
        <is>
          <t>JÄMTLANDS LÄN</t>
        </is>
      </c>
      <c r="E254" t="inlineStr">
        <is>
          <t>BRÄCKE</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23743-2019</t>
        </is>
      </c>
      <c r="B255" s="1" t="n">
        <v>43594</v>
      </c>
      <c r="C255" s="1" t="n">
        <v>45361</v>
      </c>
      <c r="D255" t="inlineStr">
        <is>
          <t>JÄMTLANDS LÄN</t>
        </is>
      </c>
      <c r="E255" t="inlineStr">
        <is>
          <t>BRÄCKE</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23736-2019</t>
        </is>
      </c>
      <c r="B256" s="1" t="n">
        <v>43594</v>
      </c>
      <c r="C256" s="1" t="n">
        <v>45361</v>
      </c>
      <c r="D256" t="inlineStr">
        <is>
          <t>JÄMTLANDS LÄN</t>
        </is>
      </c>
      <c r="E256" t="inlineStr">
        <is>
          <t>BRÄCKE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24122-2019</t>
        </is>
      </c>
      <c r="B257" s="1" t="n">
        <v>43598</v>
      </c>
      <c r="C257" s="1" t="n">
        <v>45361</v>
      </c>
      <c r="D257" t="inlineStr">
        <is>
          <t>JÄMTLANDS LÄN</t>
        </is>
      </c>
      <c r="E257" t="inlineStr">
        <is>
          <t>BRÄCKE</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25018-2019</t>
        </is>
      </c>
      <c r="B258" s="1" t="n">
        <v>43602</v>
      </c>
      <c r="C258" s="1" t="n">
        <v>45361</v>
      </c>
      <c r="D258" t="inlineStr">
        <is>
          <t>JÄMTLANDS LÄN</t>
        </is>
      </c>
      <c r="E258" t="inlineStr">
        <is>
          <t>BRÄCKE</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26001-2019</t>
        </is>
      </c>
      <c r="B259" s="1" t="n">
        <v>43608</v>
      </c>
      <c r="C259" s="1" t="n">
        <v>45361</v>
      </c>
      <c r="D259" t="inlineStr">
        <is>
          <t>JÄMTLANDS LÄN</t>
        </is>
      </c>
      <c r="E259" t="inlineStr">
        <is>
          <t>BRÄCKE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26237-2019</t>
        </is>
      </c>
      <c r="B260" s="1" t="n">
        <v>43609</v>
      </c>
      <c r="C260" s="1" t="n">
        <v>45361</v>
      </c>
      <c r="D260" t="inlineStr">
        <is>
          <t>JÄMTLANDS LÄN</t>
        </is>
      </c>
      <c r="E260" t="inlineStr">
        <is>
          <t>BRÄCKE</t>
        </is>
      </c>
      <c r="G260" t="n">
        <v>22.7</v>
      </c>
      <c r="H260" t="n">
        <v>0</v>
      </c>
      <c r="I260" t="n">
        <v>0</v>
      </c>
      <c r="J260" t="n">
        <v>0</v>
      </c>
      <c r="K260" t="n">
        <v>0</v>
      </c>
      <c r="L260" t="n">
        <v>0</v>
      </c>
      <c r="M260" t="n">
        <v>0</v>
      </c>
      <c r="N260" t="n">
        <v>0</v>
      </c>
      <c r="O260" t="n">
        <v>0</v>
      </c>
      <c r="P260" t="n">
        <v>0</v>
      </c>
      <c r="Q260" t="n">
        <v>0</v>
      </c>
      <c r="R260" s="2" t="inlineStr"/>
    </row>
    <row r="261" ht="15" customHeight="1">
      <c r="A261" t="inlineStr">
        <is>
          <t>A 26638-2019</t>
        </is>
      </c>
      <c r="B261" s="1" t="n">
        <v>43612</v>
      </c>
      <c r="C261" s="1" t="n">
        <v>45361</v>
      </c>
      <c r="D261" t="inlineStr">
        <is>
          <t>JÄMTLANDS LÄN</t>
        </is>
      </c>
      <c r="E261" t="inlineStr">
        <is>
          <t>BRÄCKE</t>
        </is>
      </c>
      <c r="G261" t="n">
        <v>2.8</v>
      </c>
      <c r="H261" t="n">
        <v>0</v>
      </c>
      <c r="I261" t="n">
        <v>0</v>
      </c>
      <c r="J261" t="n">
        <v>0</v>
      </c>
      <c r="K261" t="n">
        <v>0</v>
      </c>
      <c r="L261" t="n">
        <v>0</v>
      </c>
      <c r="M261" t="n">
        <v>0</v>
      </c>
      <c r="N261" t="n">
        <v>0</v>
      </c>
      <c r="O261" t="n">
        <v>0</v>
      </c>
      <c r="P261" t="n">
        <v>0</v>
      </c>
      <c r="Q261" t="n">
        <v>0</v>
      </c>
      <c r="R261" s="2" t="inlineStr"/>
    </row>
    <row r="262" ht="15" customHeight="1">
      <c r="A262" t="inlineStr">
        <is>
          <t>A 27229-2019</t>
        </is>
      </c>
      <c r="B262" s="1" t="n">
        <v>43614</v>
      </c>
      <c r="C262" s="1" t="n">
        <v>45361</v>
      </c>
      <c r="D262" t="inlineStr">
        <is>
          <t>JÄMTLANDS LÄN</t>
        </is>
      </c>
      <c r="E262" t="inlineStr">
        <is>
          <t>BRÄCKE</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28950-2019</t>
        </is>
      </c>
      <c r="B263" s="1" t="n">
        <v>43628</v>
      </c>
      <c r="C263" s="1" t="n">
        <v>45361</v>
      </c>
      <c r="D263" t="inlineStr">
        <is>
          <t>JÄMTLANDS LÄN</t>
        </is>
      </c>
      <c r="E263" t="inlineStr">
        <is>
          <t>BRÄCKE</t>
        </is>
      </c>
      <c r="G263" t="n">
        <v>2.3</v>
      </c>
      <c r="H263" t="n">
        <v>0</v>
      </c>
      <c r="I263" t="n">
        <v>0</v>
      </c>
      <c r="J263" t="n">
        <v>0</v>
      </c>
      <c r="K263" t="n">
        <v>0</v>
      </c>
      <c r="L263" t="n">
        <v>0</v>
      </c>
      <c r="M263" t="n">
        <v>0</v>
      </c>
      <c r="N263" t="n">
        <v>0</v>
      </c>
      <c r="O263" t="n">
        <v>0</v>
      </c>
      <c r="P263" t="n">
        <v>0</v>
      </c>
      <c r="Q263" t="n">
        <v>0</v>
      </c>
      <c r="R263" s="2" t="inlineStr"/>
    </row>
    <row r="264" ht="15" customHeight="1">
      <c r="A264" t="inlineStr">
        <is>
          <t>A 29476-2019</t>
        </is>
      </c>
      <c r="B264" s="1" t="n">
        <v>43629</v>
      </c>
      <c r="C264" s="1" t="n">
        <v>45361</v>
      </c>
      <c r="D264" t="inlineStr">
        <is>
          <t>JÄMTLANDS LÄN</t>
        </is>
      </c>
      <c r="E264" t="inlineStr">
        <is>
          <t>BRÄCKE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30076-2019</t>
        </is>
      </c>
      <c r="B265" s="1" t="n">
        <v>43633</v>
      </c>
      <c r="C265" s="1" t="n">
        <v>45361</v>
      </c>
      <c r="D265" t="inlineStr">
        <is>
          <t>JÄMTLANDS LÄN</t>
        </is>
      </c>
      <c r="E265" t="inlineStr">
        <is>
          <t>BRÄCKE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30072-2019</t>
        </is>
      </c>
      <c r="B266" s="1" t="n">
        <v>43633</v>
      </c>
      <c r="C266" s="1" t="n">
        <v>45361</v>
      </c>
      <c r="D266" t="inlineStr">
        <is>
          <t>JÄMTLANDS LÄN</t>
        </is>
      </c>
      <c r="E266" t="inlineStr">
        <is>
          <t>BRÄCKE</t>
        </is>
      </c>
      <c r="F266" t="inlineStr">
        <is>
          <t>Naturvårdsverket</t>
        </is>
      </c>
      <c r="G266" t="n">
        <v>39</v>
      </c>
      <c r="H266" t="n">
        <v>0</v>
      </c>
      <c r="I266" t="n">
        <v>0</v>
      </c>
      <c r="J266" t="n">
        <v>0</v>
      </c>
      <c r="K266" t="n">
        <v>0</v>
      </c>
      <c r="L266" t="n">
        <v>0</v>
      </c>
      <c r="M266" t="n">
        <v>0</v>
      </c>
      <c r="N266" t="n">
        <v>0</v>
      </c>
      <c r="O266" t="n">
        <v>0</v>
      </c>
      <c r="P266" t="n">
        <v>0</v>
      </c>
      <c r="Q266" t="n">
        <v>0</v>
      </c>
      <c r="R266" s="2" t="inlineStr"/>
    </row>
    <row r="267" ht="15" customHeight="1">
      <c r="A267" t="inlineStr">
        <is>
          <t>A 30071-2019</t>
        </is>
      </c>
      <c r="B267" s="1" t="n">
        <v>43633</v>
      </c>
      <c r="C267" s="1" t="n">
        <v>45361</v>
      </c>
      <c r="D267" t="inlineStr">
        <is>
          <t>JÄMTLANDS LÄN</t>
        </is>
      </c>
      <c r="E267" t="inlineStr">
        <is>
          <t>BRÄCKE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30625-2019</t>
        </is>
      </c>
      <c r="B268" s="1" t="n">
        <v>43635</v>
      </c>
      <c r="C268" s="1" t="n">
        <v>45361</v>
      </c>
      <c r="D268" t="inlineStr">
        <is>
          <t>JÄMTLANDS LÄN</t>
        </is>
      </c>
      <c r="E268" t="inlineStr">
        <is>
          <t>BRÄCKE</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30627-2019</t>
        </is>
      </c>
      <c r="B269" s="1" t="n">
        <v>43635</v>
      </c>
      <c r="C269" s="1" t="n">
        <v>45361</v>
      </c>
      <c r="D269" t="inlineStr">
        <is>
          <t>JÄMTLANDS LÄN</t>
        </is>
      </c>
      <c r="E269" t="inlineStr">
        <is>
          <t>BRÄCKE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30678-2019</t>
        </is>
      </c>
      <c r="B270" s="1" t="n">
        <v>43636</v>
      </c>
      <c r="C270" s="1" t="n">
        <v>45361</v>
      </c>
      <c r="D270" t="inlineStr">
        <is>
          <t>JÄMTLANDS LÄN</t>
        </is>
      </c>
      <c r="E270" t="inlineStr">
        <is>
          <t>BRÄCKE</t>
        </is>
      </c>
      <c r="G270" t="n">
        <v>2</v>
      </c>
      <c r="H270" t="n">
        <v>0</v>
      </c>
      <c r="I270" t="n">
        <v>0</v>
      </c>
      <c r="J270" t="n">
        <v>0</v>
      </c>
      <c r="K270" t="n">
        <v>0</v>
      </c>
      <c r="L270" t="n">
        <v>0</v>
      </c>
      <c r="M270" t="n">
        <v>0</v>
      </c>
      <c r="N270" t="n">
        <v>0</v>
      </c>
      <c r="O270" t="n">
        <v>0</v>
      </c>
      <c r="P270" t="n">
        <v>0</v>
      </c>
      <c r="Q270" t="n">
        <v>0</v>
      </c>
      <c r="R270" s="2" t="inlineStr"/>
    </row>
    <row r="271" ht="15" customHeight="1">
      <c r="A271" t="inlineStr">
        <is>
          <t>A 30935-2019</t>
        </is>
      </c>
      <c r="B271" s="1" t="n">
        <v>43636</v>
      </c>
      <c r="C271" s="1" t="n">
        <v>45361</v>
      </c>
      <c r="D271" t="inlineStr">
        <is>
          <t>JÄMTLANDS LÄN</t>
        </is>
      </c>
      <c r="E271" t="inlineStr">
        <is>
          <t>BRÄCKE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31292-2019</t>
        </is>
      </c>
      <c r="B272" s="1" t="n">
        <v>43640</v>
      </c>
      <c r="C272" s="1" t="n">
        <v>45361</v>
      </c>
      <c r="D272" t="inlineStr">
        <is>
          <t>JÄMTLANDS LÄN</t>
        </is>
      </c>
      <c r="E272" t="inlineStr">
        <is>
          <t>BRÄCKE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31291-2019</t>
        </is>
      </c>
      <c r="B273" s="1" t="n">
        <v>43640</v>
      </c>
      <c r="C273" s="1" t="n">
        <v>45361</v>
      </c>
      <c r="D273" t="inlineStr">
        <is>
          <t>JÄMTLANDS LÄN</t>
        </is>
      </c>
      <c r="E273" t="inlineStr">
        <is>
          <t>BRÄCKE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32572-2019</t>
        </is>
      </c>
      <c r="B274" s="1" t="n">
        <v>43647</v>
      </c>
      <c r="C274" s="1" t="n">
        <v>45361</v>
      </c>
      <c r="D274" t="inlineStr">
        <is>
          <t>JÄMTLANDS LÄN</t>
        </is>
      </c>
      <c r="E274" t="inlineStr">
        <is>
          <t>BRÄCKE</t>
        </is>
      </c>
      <c r="F274" t="inlineStr">
        <is>
          <t>Övriga Aktiebolag</t>
        </is>
      </c>
      <c r="G274" t="n">
        <v>6.8</v>
      </c>
      <c r="H274" t="n">
        <v>0</v>
      </c>
      <c r="I274" t="n">
        <v>0</v>
      </c>
      <c r="J274" t="n">
        <v>0</v>
      </c>
      <c r="K274" t="n">
        <v>0</v>
      </c>
      <c r="L274" t="n">
        <v>0</v>
      </c>
      <c r="M274" t="n">
        <v>0</v>
      </c>
      <c r="N274" t="n">
        <v>0</v>
      </c>
      <c r="O274" t="n">
        <v>0</v>
      </c>
      <c r="P274" t="n">
        <v>0</v>
      </c>
      <c r="Q274" t="n">
        <v>0</v>
      </c>
      <c r="R274" s="2" t="inlineStr"/>
    </row>
    <row r="275" ht="15" customHeight="1">
      <c r="A275" t="inlineStr">
        <is>
          <t>A 34658-2019</t>
        </is>
      </c>
      <c r="B275" s="1" t="n">
        <v>43648</v>
      </c>
      <c r="C275" s="1" t="n">
        <v>45361</v>
      </c>
      <c r="D275" t="inlineStr">
        <is>
          <t>JÄMTLANDS LÄN</t>
        </is>
      </c>
      <c r="E275" t="inlineStr">
        <is>
          <t>BRÄCKE</t>
        </is>
      </c>
      <c r="G275" t="n">
        <v>1.2</v>
      </c>
      <c r="H275" t="n">
        <v>0</v>
      </c>
      <c r="I275" t="n">
        <v>0</v>
      </c>
      <c r="J275" t="n">
        <v>0</v>
      </c>
      <c r="K275" t="n">
        <v>0</v>
      </c>
      <c r="L275" t="n">
        <v>0</v>
      </c>
      <c r="M275" t="n">
        <v>0</v>
      </c>
      <c r="N275" t="n">
        <v>0</v>
      </c>
      <c r="O275" t="n">
        <v>0</v>
      </c>
      <c r="P275" t="n">
        <v>0</v>
      </c>
      <c r="Q275" t="n">
        <v>0</v>
      </c>
      <c r="R275" s="2" t="inlineStr"/>
    </row>
    <row r="276" ht="15" customHeight="1">
      <c r="A276" t="inlineStr">
        <is>
          <t>A 33222-2019</t>
        </is>
      </c>
      <c r="B276" s="1" t="n">
        <v>43649</v>
      </c>
      <c r="C276" s="1" t="n">
        <v>45361</v>
      </c>
      <c r="D276" t="inlineStr">
        <is>
          <t>JÄMTLANDS LÄN</t>
        </is>
      </c>
      <c r="E276" t="inlineStr">
        <is>
          <t>BRÄCKE</t>
        </is>
      </c>
      <c r="F276" t="inlineStr">
        <is>
          <t>SCA</t>
        </is>
      </c>
      <c r="G276" t="n">
        <v>7.2</v>
      </c>
      <c r="H276" t="n">
        <v>0</v>
      </c>
      <c r="I276" t="n">
        <v>0</v>
      </c>
      <c r="J276" t="n">
        <v>0</v>
      </c>
      <c r="K276" t="n">
        <v>0</v>
      </c>
      <c r="L276" t="n">
        <v>0</v>
      </c>
      <c r="M276" t="n">
        <v>0</v>
      </c>
      <c r="N276" t="n">
        <v>0</v>
      </c>
      <c r="O276" t="n">
        <v>0</v>
      </c>
      <c r="P276" t="n">
        <v>0</v>
      </c>
      <c r="Q276" t="n">
        <v>0</v>
      </c>
      <c r="R276" s="2" t="inlineStr"/>
    </row>
    <row r="277" ht="15" customHeight="1">
      <c r="A277" t="inlineStr">
        <is>
          <t>A 33379-2019</t>
        </is>
      </c>
      <c r="B277" s="1" t="n">
        <v>43650</v>
      </c>
      <c r="C277" s="1" t="n">
        <v>45361</v>
      </c>
      <c r="D277" t="inlineStr">
        <is>
          <t>JÄMTLANDS LÄN</t>
        </is>
      </c>
      <c r="E277" t="inlineStr">
        <is>
          <t>BRÄCKE</t>
        </is>
      </c>
      <c r="F277" t="inlineStr">
        <is>
          <t>Övriga Aktiebolag</t>
        </is>
      </c>
      <c r="G277" t="n">
        <v>32.7</v>
      </c>
      <c r="H277" t="n">
        <v>0</v>
      </c>
      <c r="I277" t="n">
        <v>0</v>
      </c>
      <c r="J277" t="n">
        <v>0</v>
      </c>
      <c r="K277" t="n">
        <v>0</v>
      </c>
      <c r="L277" t="n">
        <v>0</v>
      </c>
      <c r="M277" t="n">
        <v>0</v>
      </c>
      <c r="N277" t="n">
        <v>0</v>
      </c>
      <c r="O277" t="n">
        <v>0</v>
      </c>
      <c r="P277" t="n">
        <v>0</v>
      </c>
      <c r="Q277" t="n">
        <v>0</v>
      </c>
      <c r="R277" s="2" t="inlineStr"/>
    </row>
    <row r="278" ht="15" customHeight="1">
      <c r="A278" t="inlineStr">
        <is>
          <t>A 33830-2019</t>
        </is>
      </c>
      <c r="B278" s="1" t="n">
        <v>43651</v>
      </c>
      <c r="C278" s="1" t="n">
        <v>45361</v>
      </c>
      <c r="D278" t="inlineStr">
        <is>
          <t>JÄMTLANDS LÄN</t>
        </is>
      </c>
      <c r="E278" t="inlineStr">
        <is>
          <t>BRÄCKE</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34103-2019</t>
        </is>
      </c>
      <c r="B279" s="1" t="n">
        <v>43654</v>
      </c>
      <c r="C279" s="1" t="n">
        <v>45361</v>
      </c>
      <c r="D279" t="inlineStr">
        <is>
          <t>JÄMTLANDS LÄN</t>
        </is>
      </c>
      <c r="E279" t="inlineStr">
        <is>
          <t>BRÄCKE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34987-2019</t>
        </is>
      </c>
      <c r="B280" s="1" t="n">
        <v>43659</v>
      </c>
      <c r="C280" s="1" t="n">
        <v>45361</v>
      </c>
      <c r="D280" t="inlineStr">
        <is>
          <t>JÄMTLANDS LÄN</t>
        </is>
      </c>
      <c r="E280" t="inlineStr">
        <is>
          <t>BRÄCKE</t>
        </is>
      </c>
      <c r="G280" t="n">
        <v>0.5</v>
      </c>
      <c r="H280" t="n">
        <v>0</v>
      </c>
      <c r="I280" t="n">
        <v>0</v>
      </c>
      <c r="J280" t="n">
        <v>0</v>
      </c>
      <c r="K280" t="n">
        <v>0</v>
      </c>
      <c r="L280" t="n">
        <v>0</v>
      </c>
      <c r="M280" t="n">
        <v>0</v>
      </c>
      <c r="N280" t="n">
        <v>0</v>
      </c>
      <c r="O280" t="n">
        <v>0</v>
      </c>
      <c r="P280" t="n">
        <v>0</v>
      </c>
      <c r="Q280" t="n">
        <v>0</v>
      </c>
      <c r="R280" s="2" t="inlineStr"/>
    </row>
    <row r="281" ht="15" customHeight="1">
      <c r="A281" t="inlineStr">
        <is>
          <t>A 36451-2019</t>
        </is>
      </c>
      <c r="B281" s="1" t="n">
        <v>43664</v>
      </c>
      <c r="C281" s="1" t="n">
        <v>45361</v>
      </c>
      <c r="D281" t="inlineStr">
        <is>
          <t>JÄMTLANDS LÄN</t>
        </is>
      </c>
      <c r="E281" t="inlineStr">
        <is>
          <t>BRÄCKE</t>
        </is>
      </c>
      <c r="G281" t="n">
        <v>4.3</v>
      </c>
      <c r="H281" t="n">
        <v>0</v>
      </c>
      <c r="I281" t="n">
        <v>0</v>
      </c>
      <c r="J281" t="n">
        <v>0</v>
      </c>
      <c r="K281" t="n">
        <v>0</v>
      </c>
      <c r="L281" t="n">
        <v>0</v>
      </c>
      <c r="M281" t="n">
        <v>0</v>
      </c>
      <c r="N281" t="n">
        <v>0</v>
      </c>
      <c r="O281" t="n">
        <v>0</v>
      </c>
      <c r="P281" t="n">
        <v>0</v>
      </c>
      <c r="Q281" t="n">
        <v>0</v>
      </c>
      <c r="R281" s="2" t="inlineStr"/>
    </row>
    <row r="282" ht="15" customHeight="1">
      <c r="A282" t="inlineStr">
        <is>
          <t>A 35713-2019</t>
        </is>
      </c>
      <c r="B282" s="1" t="n">
        <v>43664</v>
      </c>
      <c r="C282" s="1" t="n">
        <v>45361</v>
      </c>
      <c r="D282" t="inlineStr">
        <is>
          <t>JÄMTLANDS LÄN</t>
        </is>
      </c>
      <c r="E282" t="inlineStr">
        <is>
          <t>BRÄCKE</t>
        </is>
      </c>
      <c r="G282" t="n">
        <v>2</v>
      </c>
      <c r="H282" t="n">
        <v>0</v>
      </c>
      <c r="I282" t="n">
        <v>0</v>
      </c>
      <c r="J282" t="n">
        <v>0</v>
      </c>
      <c r="K282" t="n">
        <v>0</v>
      </c>
      <c r="L282" t="n">
        <v>0</v>
      </c>
      <c r="M282" t="n">
        <v>0</v>
      </c>
      <c r="N282" t="n">
        <v>0</v>
      </c>
      <c r="O282" t="n">
        <v>0</v>
      </c>
      <c r="P282" t="n">
        <v>0</v>
      </c>
      <c r="Q282" t="n">
        <v>0</v>
      </c>
      <c r="R282" s="2" t="inlineStr"/>
    </row>
    <row r="283" ht="15" customHeight="1">
      <c r="A283" t="inlineStr">
        <is>
          <t>A 36182-2019</t>
        </is>
      </c>
      <c r="B283" s="1" t="n">
        <v>43668</v>
      </c>
      <c r="C283" s="1" t="n">
        <v>45361</v>
      </c>
      <c r="D283" t="inlineStr">
        <is>
          <t>JÄMTLANDS LÄN</t>
        </is>
      </c>
      <c r="E283" t="inlineStr">
        <is>
          <t>BRÄCKE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36953-2019</t>
        </is>
      </c>
      <c r="B284" s="1" t="n">
        <v>43675</v>
      </c>
      <c r="C284" s="1" t="n">
        <v>45361</v>
      </c>
      <c r="D284" t="inlineStr">
        <is>
          <t>JÄMTLANDS LÄN</t>
        </is>
      </c>
      <c r="E284" t="inlineStr">
        <is>
          <t>BRÄCKE</t>
        </is>
      </c>
      <c r="G284" t="n">
        <v>0.9</v>
      </c>
      <c r="H284" t="n">
        <v>0</v>
      </c>
      <c r="I284" t="n">
        <v>0</v>
      </c>
      <c r="J284" t="n">
        <v>0</v>
      </c>
      <c r="K284" t="n">
        <v>0</v>
      </c>
      <c r="L284" t="n">
        <v>0</v>
      </c>
      <c r="M284" t="n">
        <v>0</v>
      </c>
      <c r="N284" t="n">
        <v>0</v>
      </c>
      <c r="O284" t="n">
        <v>0</v>
      </c>
      <c r="P284" t="n">
        <v>0</v>
      </c>
      <c r="Q284" t="n">
        <v>0</v>
      </c>
      <c r="R284" s="2" t="inlineStr"/>
    </row>
    <row r="285" ht="15" customHeight="1">
      <c r="A285" t="inlineStr">
        <is>
          <t>A 37133-2019</t>
        </is>
      </c>
      <c r="B285" s="1" t="n">
        <v>43676</v>
      </c>
      <c r="C285" s="1" t="n">
        <v>45361</v>
      </c>
      <c r="D285" t="inlineStr">
        <is>
          <t>JÄMTLANDS LÄN</t>
        </is>
      </c>
      <c r="E285" t="inlineStr">
        <is>
          <t>BRÄCKE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37129-2019</t>
        </is>
      </c>
      <c r="B286" s="1" t="n">
        <v>43676</v>
      </c>
      <c r="C286" s="1" t="n">
        <v>45361</v>
      </c>
      <c r="D286" t="inlineStr">
        <is>
          <t>JÄMTLANDS LÄN</t>
        </is>
      </c>
      <c r="E286" t="inlineStr">
        <is>
          <t>BRÄCKE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37295-2019</t>
        </is>
      </c>
      <c r="B287" s="1" t="n">
        <v>43677</v>
      </c>
      <c r="C287" s="1" t="n">
        <v>45361</v>
      </c>
      <c r="D287" t="inlineStr">
        <is>
          <t>JÄMTLANDS LÄN</t>
        </is>
      </c>
      <c r="E287" t="inlineStr">
        <is>
          <t>BRÄCKE</t>
        </is>
      </c>
      <c r="G287" t="n">
        <v>1</v>
      </c>
      <c r="H287" t="n">
        <v>0</v>
      </c>
      <c r="I287" t="n">
        <v>0</v>
      </c>
      <c r="J287" t="n">
        <v>0</v>
      </c>
      <c r="K287" t="n">
        <v>0</v>
      </c>
      <c r="L287" t="n">
        <v>0</v>
      </c>
      <c r="M287" t="n">
        <v>0</v>
      </c>
      <c r="N287" t="n">
        <v>0</v>
      </c>
      <c r="O287" t="n">
        <v>0</v>
      </c>
      <c r="P287" t="n">
        <v>0</v>
      </c>
      <c r="Q287" t="n">
        <v>0</v>
      </c>
      <c r="R287" s="2" t="inlineStr"/>
    </row>
    <row r="288" ht="15" customHeight="1">
      <c r="A288" t="inlineStr">
        <is>
          <t>A 38320-2019</t>
        </is>
      </c>
      <c r="B288" s="1" t="n">
        <v>43685</v>
      </c>
      <c r="C288" s="1" t="n">
        <v>45361</v>
      </c>
      <c r="D288" t="inlineStr">
        <is>
          <t>JÄMTLANDS LÄN</t>
        </is>
      </c>
      <c r="E288" t="inlineStr">
        <is>
          <t>BRÄCKE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38777-2019</t>
        </is>
      </c>
      <c r="B289" s="1" t="n">
        <v>43686</v>
      </c>
      <c r="C289" s="1" t="n">
        <v>45361</v>
      </c>
      <c r="D289" t="inlineStr">
        <is>
          <t>JÄMTLANDS LÄN</t>
        </is>
      </c>
      <c r="E289" t="inlineStr">
        <is>
          <t>BRÄCKE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39111-2019</t>
        </is>
      </c>
      <c r="B290" s="1" t="n">
        <v>43689</v>
      </c>
      <c r="C290" s="1" t="n">
        <v>45361</v>
      </c>
      <c r="D290" t="inlineStr">
        <is>
          <t>JÄMTLANDS LÄN</t>
        </is>
      </c>
      <c r="E290" t="inlineStr">
        <is>
          <t>BRÄCKE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39113-2019</t>
        </is>
      </c>
      <c r="B291" s="1" t="n">
        <v>43690</v>
      </c>
      <c r="C291" s="1" t="n">
        <v>45361</v>
      </c>
      <c r="D291" t="inlineStr">
        <is>
          <t>JÄMTLANDS LÄN</t>
        </is>
      </c>
      <c r="E291" t="inlineStr">
        <is>
          <t>BRÄCKE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39645-2019</t>
        </is>
      </c>
      <c r="B292" s="1" t="n">
        <v>43691</v>
      </c>
      <c r="C292" s="1" t="n">
        <v>45361</v>
      </c>
      <c r="D292" t="inlineStr">
        <is>
          <t>JÄMTLANDS LÄN</t>
        </is>
      </c>
      <c r="E292" t="inlineStr">
        <is>
          <t>BRÄCKE</t>
        </is>
      </c>
      <c r="G292" t="n">
        <v>2.7</v>
      </c>
      <c r="H292" t="n">
        <v>0</v>
      </c>
      <c r="I292" t="n">
        <v>0</v>
      </c>
      <c r="J292" t="n">
        <v>0</v>
      </c>
      <c r="K292" t="n">
        <v>0</v>
      </c>
      <c r="L292" t="n">
        <v>0</v>
      </c>
      <c r="M292" t="n">
        <v>0</v>
      </c>
      <c r="N292" t="n">
        <v>0</v>
      </c>
      <c r="O292" t="n">
        <v>0</v>
      </c>
      <c r="P292" t="n">
        <v>0</v>
      </c>
      <c r="Q292" t="n">
        <v>0</v>
      </c>
      <c r="R292" s="2" t="inlineStr"/>
    </row>
    <row r="293" ht="15" customHeight="1">
      <c r="A293" t="inlineStr">
        <is>
          <t>A 40668-2019</t>
        </is>
      </c>
      <c r="B293" s="1" t="n">
        <v>43696</v>
      </c>
      <c r="C293" s="1" t="n">
        <v>45361</v>
      </c>
      <c r="D293" t="inlineStr">
        <is>
          <t>JÄMTLANDS LÄN</t>
        </is>
      </c>
      <c r="E293" t="inlineStr">
        <is>
          <t>BRÄCKE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40667-2019</t>
        </is>
      </c>
      <c r="B294" s="1" t="n">
        <v>43697</v>
      </c>
      <c r="C294" s="1" t="n">
        <v>45361</v>
      </c>
      <c r="D294" t="inlineStr">
        <is>
          <t>JÄMTLANDS LÄN</t>
        </is>
      </c>
      <c r="E294" t="inlineStr">
        <is>
          <t>BRÄCKE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41033-2019</t>
        </is>
      </c>
      <c r="B295" s="1" t="n">
        <v>43697</v>
      </c>
      <c r="C295" s="1" t="n">
        <v>45361</v>
      </c>
      <c r="D295" t="inlineStr">
        <is>
          <t>JÄMTLANDS LÄN</t>
        </is>
      </c>
      <c r="E295" t="inlineStr">
        <is>
          <t>BRÄCKE</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41028-2019</t>
        </is>
      </c>
      <c r="B296" s="1" t="n">
        <v>43697</v>
      </c>
      <c r="C296" s="1" t="n">
        <v>45361</v>
      </c>
      <c r="D296" t="inlineStr">
        <is>
          <t>JÄMTLANDS LÄN</t>
        </is>
      </c>
      <c r="E296" t="inlineStr">
        <is>
          <t>BRÄCKE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41029-2019</t>
        </is>
      </c>
      <c r="B297" s="1" t="n">
        <v>43697</v>
      </c>
      <c r="C297" s="1" t="n">
        <v>45361</v>
      </c>
      <c r="D297" t="inlineStr">
        <is>
          <t>JÄMTLANDS LÄN</t>
        </is>
      </c>
      <c r="E297" t="inlineStr">
        <is>
          <t>BRÄCKE</t>
        </is>
      </c>
      <c r="F297" t="inlineStr">
        <is>
          <t>SCA</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41332-2019</t>
        </is>
      </c>
      <c r="B298" s="1" t="n">
        <v>43698</v>
      </c>
      <c r="C298" s="1" t="n">
        <v>45361</v>
      </c>
      <c r="D298" t="inlineStr">
        <is>
          <t>JÄMTLANDS LÄN</t>
        </is>
      </c>
      <c r="E298" t="inlineStr">
        <is>
          <t>BRÄCKE</t>
        </is>
      </c>
      <c r="G298" t="n">
        <v>1.3</v>
      </c>
      <c r="H298" t="n">
        <v>0</v>
      </c>
      <c r="I298" t="n">
        <v>0</v>
      </c>
      <c r="J298" t="n">
        <v>0</v>
      </c>
      <c r="K298" t="n">
        <v>0</v>
      </c>
      <c r="L298" t="n">
        <v>0</v>
      </c>
      <c r="M298" t="n">
        <v>0</v>
      </c>
      <c r="N298" t="n">
        <v>0</v>
      </c>
      <c r="O298" t="n">
        <v>0</v>
      </c>
      <c r="P298" t="n">
        <v>0</v>
      </c>
      <c r="Q298" t="n">
        <v>0</v>
      </c>
      <c r="R298" s="2" t="inlineStr"/>
    </row>
    <row r="299" ht="15" customHeight="1">
      <c r="A299" t="inlineStr">
        <is>
          <t>A 41781-2019</t>
        </is>
      </c>
      <c r="B299" s="1" t="n">
        <v>43699</v>
      </c>
      <c r="C299" s="1" t="n">
        <v>45361</v>
      </c>
      <c r="D299" t="inlineStr">
        <is>
          <t>JÄMTLANDS LÄN</t>
        </is>
      </c>
      <c r="E299" t="inlineStr">
        <is>
          <t>BRÄCKE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41896-2019</t>
        </is>
      </c>
      <c r="B300" s="1" t="n">
        <v>43700</v>
      </c>
      <c r="C300" s="1" t="n">
        <v>45361</v>
      </c>
      <c r="D300" t="inlineStr">
        <is>
          <t>JÄMTLANDS LÄN</t>
        </is>
      </c>
      <c r="E300" t="inlineStr">
        <is>
          <t>BRÄCKE</t>
        </is>
      </c>
      <c r="F300" t="inlineStr">
        <is>
          <t>Sveaskog</t>
        </is>
      </c>
      <c r="G300" t="n">
        <v>5.1</v>
      </c>
      <c r="H300" t="n">
        <v>0</v>
      </c>
      <c r="I300" t="n">
        <v>0</v>
      </c>
      <c r="J300" t="n">
        <v>0</v>
      </c>
      <c r="K300" t="n">
        <v>0</v>
      </c>
      <c r="L300" t="n">
        <v>0</v>
      </c>
      <c r="M300" t="n">
        <v>0</v>
      </c>
      <c r="N300" t="n">
        <v>0</v>
      </c>
      <c r="O300" t="n">
        <v>0</v>
      </c>
      <c r="P300" t="n">
        <v>0</v>
      </c>
      <c r="Q300" t="n">
        <v>0</v>
      </c>
      <c r="R300" s="2" t="inlineStr"/>
    </row>
    <row r="301" ht="15" customHeight="1">
      <c r="A301" t="inlineStr">
        <is>
          <t>A 43208-2019</t>
        </is>
      </c>
      <c r="B301" s="1" t="n">
        <v>43705</v>
      </c>
      <c r="C301" s="1" t="n">
        <v>45361</v>
      </c>
      <c r="D301" t="inlineStr">
        <is>
          <t>JÄMTLANDS LÄN</t>
        </is>
      </c>
      <c r="E301" t="inlineStr">
        <is>
          <t>BRÄCKE</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43206-2019</t>
        </is>
      </c>
      <c r="B302" s="1" t="n">
        <v>43705</v>
      </c>
      <c r="C302" s="1" t="n">
        <v>45361</v>
      </c>
      <c r="D302" t="inlineStr">
        <is>
          <t>JÄMTLANDS LÄN</t>
        </is>
      </c>
      <c r="E302" t="inlineStr">
        <is>
          <t>BRÄCKE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42875-2019</t>
        </is>
      </c>
      <c r="B303" s="1" t="n">
        <v>43705</v>
      </c>
      <c r="C303" s="1" t="n">
        <v>45361</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45054-2019</t>
        </is>
      </c>
      <c r="B304" s="1" t="n">
        <v>43713</v>
      </c>
      <c r="C304" s="1" t="n">
        <v>45361</v>
      </c>
      <c r="D304" t="inlineStr">
        <is>
          <t>JÄMTLANDS LÄN</t>
        </is>
      </c>
      <c r="E304" t="inlineStr">
        <is>
          <t>BRÄCKE</t>
        </is>
      </c>
      <c r="G304" t="n">
        <v>0.5</v>
      </c>
      <c r="H304" t="n">
        <v>0</v>
      </c>
      <c r="I304" t="n">
        <v>0</v>
      </c>
      <c r="J304" t="n">
        <v>0</v>
      </c>
      <c r="K304" t="n">
        <v>0</v>
      </c>
      <c r="L304" t="n">
        <v>0</v>
      </c>
      <c r="M304" t="n">
        <v>0</v>
      </c>
      <c r="N304" t="n">
        <v>0</v>
      </c>
      <c r="O304" t="n">
        <v>0</v>
      </c>
      <c r="P304" t="n">
        <v>0</v>
      </c>
      <c r="Q304" t="n">
        <v>0</v>
      </c>
      <c r="R304" s="2" t="inlineStr"/>
    </row>
    <row r="305" ht="15" customHeight="1">
      <c r="A305" t="inlineStr">
        <is>
          <t>A 45539-2019</t>
        </is>
      </c>
      <c r="B305" s="1" t="n">
        <v>43714</v>
      </c>
      <c r="C305" s="1" t="n">
        <v>45361</v>
      </c>
      <c r="D305" t="inlineStr">
        <is>
          <t>JÄMTLANDS LÄN</t>
        </is>
      </c>
      <c r="E305" t="inlineStr">
        <is>
          <t>BRÄCKE</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46844-2019</t>
        </is>
      </c>
      <c r="B306" s="1" t="n">
        <v>43720</v>
      </c>
      <c r="C306" s="1" t="n">
        <v>45361</v>
      </c>
      <c r="D306" t="inlineStr">
        <is>
          <t>JÄMTLANDS LÄN</t>
        </is>
      </c>
      <c r="E306" t="inlineStr">
        <is>
          <t>BRÄCKE</t>
        </is>
      </c>
      <c r="G306" t="n">
        <v>4.3</v>
      </c>
      <c r="H306" t="n">
        <v>0</v>
      </c>
      <c r="I306" t="n">
        <v>0</v>
      </c>
      <c r="J306" t="n">
        <v>0</v>
      </c>
      <c r="K306" t="n">
        <v>0</v>
      </c>
      <c r="L306" t="n">
        <v>0</v>
      </c>
      <c r="M306" t="n">
        <v>0</v>
      </c>
      <c r="N306" t="n">
        <v>0</v>
      </c>
      <c r="O306" t="n">
        <v>0</v>
      </c>
      <c r="P306" t="n">
        <v>0</v>
      </c>
      <c r="Q306" t="n">
        <v>0</v>
      </c>
      <c r="R306" s="2" t="inlineStr"/>
    </row>
    <row r="307" ht="15" customHeight="1">
      <c r="A307" t="inlineStr">
        <is>
          <t>A 47074-2019</t>
        </is>
      </c>
      <c r="B307" s="1" t="n">
        <v>43720</v>
      </c>
      <c r="C307" s="1" t="n">
        <v>45361</v>
      </c>
      <c r="D307" t="inlineStr">
        <is>
          <t>JÄMTLANDS LÄN</t>
        </is>
      </c>
      <c r="E307" t="inlineStr">
        <is>
          <t>BRÄCKE</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49367-2019</t>
        </is>
      </c>
      <c r="B308" s="1" t="n">
        <v>43731</v>
      </c>
      <c r="C308" s="1" t="n">
        <v>45361</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49690-2019</t>
        </is>
      </c>
      <c r="B309" s="1" t="n">
        <v>43732</v>
      </c>
      <c r="C309" s="1" t="n">
        <v>45361</v>
      </c>
      <c r="D309" t="inlineStr">
        <is>
          <t>JÄMTLANDS LÄN</t>
        </is>
      </c>
      <c r="E309" t="inlineStr">
        <is>
          <t>BRÄCKE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50292-2019</t>
        </is>
      </c>
      <c r="B310" s="1" t="n">
        <v>43735</v>
      </c>
      <c r="C310" s="1" t="n">
        <v>45361</v>
      </c>
      <c r="D310" t="inlineStr">
        <is>
          <t>JÄMTLANDS LÄN</t>
        </is>
      </c>
      <c r="E310" t="inlineStr">
        <is>
          <t>BRÄCKE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50587-2019</t>
        </is>
      </c>
      <c r="B311" s="1" t="n">
        <v>43735</v>
      </c>
      <c r="C311" s="1" t="n">
        <v>45361</v>
      </c>
      <c r="D311" t="inlineStr">
        <is>
          <t>JÄMTLANDS LÄN</t>
        </is>
      </c>
      <c r="E311" t="inlineStr">
        <is>
          <t>BRÄCKE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50584-2019</t>
        </is>
      </c>
      <c r="B312" s="1" t="n">
        <v>43735</v>
      </c>
      <c r="C312" s="1" t="n">
        <v>45361</v>
      </c>
      <c r="D312" t="inlineStr">
        <is>
          <t>JÄMTLANDS LÄN</t>
        </is>
      </c>
      <c r="E312" t="inlineStr">
        <is>
          <t>BRÄCKE</t>
        </is>
      </c>
      <c r="F312" t="inlineStr">
        <is>
          <t>SCA</t>
        </is>
      </c>
      <c r="G312" t="n">
        <v>19.1</v>
      </c>
      <c r="H312" t="n">
        <v>0</v>
      </c>
      <c r="I312" t="n">
        <v>0</v>
      </c>
      <c r="J312" t="n">
        <v>0</v>
      </c>
      <c r="K312" t="n">
        <v>0</v>
      </c>
      <c r="L312" t="n">
        <v>0</v>
      </c>
      <c r="M312" t="n">
        <v>0</v>
      </c>
      <c r="N312" t="n">
        <v>0</v>
      </c>
      <c r="O312" t="n">
        <v>0</v>
      </c>
      <c r="P312" t="n">
        <v>0</v>
      </c>
      <c r="Q312" t="n">
        <v>0</v>
      </c>
      <c r="R312" s="2" t="inlineStr"/>
    </row>
    <row r="313" ht="15" customHeight="1">
      <c r="A313" t="inlineStr">
        <is>
          <t>A 50580-2019</t>
        </is>
      </c>
      <c r="B313" s="1" t="n">
        <v>43735</v>
      </c>
      <c r="C313" s="1" t="n">
        <v>45361</v>
      </c>
      <c r="D313" t="inlineStr">
        <is>
          <t>JÄMTLANDS LÄN</t>
        </is>
      </c>
      <c r="E313" t="inlineStr">
        <is>
          <t>BRÄCKE</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51257-2019</t>
        </is>
      </c>
      <c r="B314" s="1" t="n">
        <v>43739</v>
      </c>
      <c r="C314" s="1" t="n">
        <v>45361</v>
      </c>
      <c r="D314" t="inlineStr">
        <is>
          <t>JÄMTLANDS LÄN</t>
        </is>
      </c>
      <c r="E314" t="inlineStr">
        <is>
          <t>BRÄCKE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51329-2019</t>
        </is>
      </c>
      <c r="B315" s="1" t="n">
        <v>43739</v>
      </c>
      <c r="C315" s="1" t="n">
        <v>45361</v>
      </c>
      <c r="D315" t="inlineStr">
        <is>
          <t>JÄMTLANDS LÄN</t>
        </is>
      </c>
      <c r="E315" t="inlineStr">
        <is>
          <t>BRÄCKE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51328-2019</t>
        </is>
      </c>
      <c r="B316" s="1" t="n">
        <v>43739</v>
      </c>
      <c r="C316" s="1" t="n">
        <v>45361</v>
      </c>
      <c r="D316" t="inlineStr">
        <is>
          <t>JÄMTLANDS LÄN</t>
        </is>
      </c>
      <c r="E316" t="inlineStr">
        <is>
          <t>BRÄCKE</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52882-2019</t>
        </is>
      </c>
      <c r="B317" s="1" t="n">
        <v>43746</v>
      </c>
      <c r="C317" s="1" t="n">
        <v>45361</v>
      </c>
      <c r="D317" t="inlineStr">
        <is>
          <t>JÄMTLANDS LÄN</t>
        </is>
      </c>
      <c r="E317" t="inlineStr">
        <is>
          <t>BRÄCKE</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53485-2019</t>
        </is>
      </c>
      <c r="B318" s="1" t="n">
        <v>43748</v>
      </c>
      <c r="C318" s="1" t="n">
        <v>45361</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56063-2019</t>
        </is>
      </c>
      <c r="B319" s="1" t="n">
        <v>43759</v>
      </c>
      <c r="C319" s="1" t="n">
        <v>45361</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56511-2019</t>
        </is>
      </c>
      <c r="B320" s="1" t="n">
        <v>43762</v>
      </c>
      <c r="C320" s="1" t="n">
        <v>45361</v>
      </c>
      <c r="D320" t="inlineStr">
        <is>
          <t>JÄMTLANDS LÄN</t>
        </is>
      </c>
      <c r="E320" t="inlineStr">
        <is>
          <t>BRÄCKE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57395-2019</t>
        </is>
      </c>
      <c r="B321" s="1" t="n">
        <v>43767</v>
      </c>
      <c r="C321" s="1" t="n">
        <v>45361</v>
      </c>
      <c r="D321" t="inlineStr">
        <is>
          <t>JÄMTLANDS LÄN</t>
        </is>
      </c>
      <c r="E321" t="inlineStr">
        <is>
          <t>BRÄCKE</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57749-2019</t>
        </is>
      </c>
      <c r="B322" s="1" t="n">
        <v>43768</v>
      </c>
      <c r="C322" s="1" t="n">
        <v>45361</v>
      </c>
      <c r="D322" t="inlineStr">
        <is>
          <t>JÄMTLANDS LÄN</t>
        </is>
      </c>
      <c r="E322" t="inlineStr">
        <is>
          <t>BRÄCKE</t>
        </is>
      </c>
      <c r="G322" t="n">
        <v>3.3</v>
      </c>
      <c r="H322" t="n">
        <v>0</v>
      </c>
      <c r="I322" t="n">
        <v>0</v>
      </c>
      <c r="J322" t="n">
        <v>0</v>
      </c>
      <c r="K322" t="n">
        <v>0</v>
      </c>
      <c r="L322" t="n">
        <v>0</v>
      </c>
      <c r="M322" t="n">
        <v>0</v>
      </c>
      <c r="N322" t="n">
        <v>0</v>
      </c>
      <c r="O322" t="n">
        <v>0</v>
      </c>
      <c r="P322" t="n">
        <v>0</v>
      </c>
      <c r="Q322" t="n">
        <v>0</v>
      </c>
      <c r="R322" s="2" t="inlineStr"/>
    </row>
    <row r="323" ht="15" customHeight="1">
      <c r="A323" t="inlineStr">
        <is>
          <t>A 58354-2019</t>
        </is>
      </c>
      <c r="B323" s="1" t="n">
        <v>43770</v>
      </c>
      <c r="C323" s="1" t="n">
        <v>45361</v>
      </c>
      <c r="D323" t="inlineStr">
        <is>
          <t>JÄMTLANDS LÄN</t>
        </is>
      </c>
      <c r="E323" t="inlineStr">
        <is>
          <t>BRÄCKE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58635-2019</t>
        </is>
      </c>
      <c r="B324" s="1" t="n">
        <v>43773</v>
      </c>
      <c r="C324" s="1" t="n">
        <v>45361</v>
      </c>
      <c r="D324" t="inlineStr">
        <is>
          <t>JÄMTLANDS LÄN</t>
        </is>
      </c>
      <c r="E324" t="inlineStr">
        <is>
          <t>BRÄCKE</t>
        </is>
      </c>
      <c r="G324" t="n">
        <v>3.5</v>
      </c>
      <c r="H324" t="n">
        <v>0</v>
      </c>
      <c r="I324" t="n">
        <v>0</v>
      </c>
      <c r="J324" t="n">
        <v>0</v>
      </c>
      <c r="K324" t="n">
        <v>0</v>
      </c>
      <c r="L324" t="n">
        <v>0</v>
      </c>
      <c r="M324" t="n">
        <v>0</v>
      </c>
      <c r="N324" t="n">
        <v>0</v>
      </c>
      <c r="O324" t="n">
        <v>0</v>
      </c>
      <c r="P324" t="n">
        <v>0</v>
      </c>
      <c r="Q324" t="n">
        <v>0</v>
      </c>
      <c r="R324" s="2" t="inlineStr"/>
    </row>
    <row r="325" ht="15" customHeight="1">
      <c r="A325" t="inlineStr">
        <is>
          <t>A 60186-2019</t>
        </is>
      </c>
      <c r="B325" s="1" t="n">
        <v>43776</v>
      </c>
      <c r="C325" s="1" t="n">
        <v>45361</v>
      </c>
      <c r="D325" t="inlineStr">
        <is>
          <t>JÄMTLANDS LÄN</t>
        </is>
      </c>
      <c r="E325" t="inlineStr">
        <is>
          <t>BRÄCKE</t>
        </is>
      </c>
      <c r="G325" t="n">
        <v>0.6</v>
      </c>
      <c r="H325" t="n">
        <v>0</v>
      </c>
      <c r="I325" t="n">
        <v>0</v>
      </c>
      <c r="J325" t="n">
        <v>0</v>
      </c>
      <c r="K325" t="n">
        <v>0</v>
      </c>
      <c r="L325" t="n">
        <v>0</v>
      </c>
      <c r="M325" t="n">
        <v>0</v>
      </c>
      <c r="N325" t="n">
        <v>0</v>
      </c>
      <c r="O325" t="n">
        <v>0</v>
      </c>
      <c r="P325" t="n">
        <v>0</v>
      </c>
      <c r="Q325" t="n">
        <v>0</v>
      </c>
      <c r="R325" s="2" t="inlineStr"/>
    </row>
    <row r="326" ht="15" customHeight="1">
      <c r="A326" t="inlineStr">
        <is>
          <t>A 60018-2019</t>
        </is>
      </c>
      <c r="B326" s="1" t="n">
        <v>43777</v>
      </c>
      <c r="C326" s="1" t="n">
        <v>45361</v>
      </c>
      <c r="D326" t="inlineStr">
        <is>
          <t>JÄMTLANDS LÄN</t>
        </is>
      </c>
      <c r="E326" t="inlineStr">
        <is>
          <t>BRÄCKE</t>
        </is>
      </c>
      <c r="F326" t="inlineStr">
        <is>
          <t>Övriga Aktiebolag</t>
        </is>
      </c>
      <c r="G326" t="n">
        <v>15.2</v>
      </c>
      <c r="H326" t="n">
        <v>0</v>
      </c>
      <c r="I326" t="n">
        <v>0</v>
      </c>
      <c r="J326" t="n">
        <v>0</v>
      </c>
      <c r="K326" t="n">
        <v>0</v>
      </c>
      <c r="L326" t="n">
        <v>0</v>
      </c>
      <c r="M326" t="n">
        <v>0</v>
      </c>
      <c r="N326" t="n">
        <v>0</v>
      </c>
      <c r="O326" t="n">
        <v>0</v>
      </c>
      <c r="P326" t="n">
        <v>0</v>
      </c>
      <c r="Q326" t="n">
        <v>0</v>
      </c>
      <c r="R326" s="2" t="inlineStr"/>
    </row>
    <row r="327" ht="15" customHeight="1">
      <c r="A327" t="inlineStr">
        <is>
          <t>A 60155-2019</t>
        </is>
      </c>
      <c r="B327" s="1" t="n">
        <v>43780</v>
      </c>
      <c r="C327" s="1" t="n">
        <v>45361</v>
      </c>
      <c r="D327" t="inlineStr">
        <is>
          <t>JÄMTLANDS LÄN</t>
        </is>
      </c>
      <c r="E327" t="inlineStr">
        <is>
          <t>BRÄCKE</t>
        </is>
      </c>
      <c r="G327" t="n">
        <v>2.4</v>
      </c>
      <c r="H327" t="n">
        <v>0</v>
      </c>
      <c r="I327" t="n">
        <v>0</v>
      </c>
      <c r="J327" t="n">
        <v>0</v>
      </c>
      <c r="K327" t="n">
        <v>0</v>
      </c>
      <c r="L327" t="n">
        <v>0</v>
      </c>
      <c r="M327" t="n">
        <v>0</v>
      </c>
      <c r="N327" t="n">
        <v>0</v>
      </c>
      <c r="O327" t="n">
        <v>0</v>
      </c>
      <c r="P327" t="n">
        <v>0</v>
      </c>
      <c r="Q327" t="n">
        <v>0</v>
      </c>
      <c r="R327" s="2" t="inlineStr"/>
    </row>
    <row r="328" ht="15" customHeight="1">
      <c r="A328" t="inlineStr">
        <is>
          <t>A 61082-2019</t>
        </is>
      </c>
      <c r="B328" s="1" t="n">
        <v>43782</v>
      </c>
      <c r="C328" s="1" t="n">
        <v>45361</v>
      </c>
      <c r="D328" t="inlineStr">
        <is>
          <t>JÄMTLANDS LÄN</t>
        </is>
      </c>
      <c r="E328" t="inlineStr">
        <is>
          <t>BRÄCKE</t>
        </is>
      </c>
      <c r="G328" t="n">
        <v>20.1</v>
      </c>
      <c r="H328" t="n">
        <v>0</v>
      </c>
      <c r="I328" t="n">
        <v>0</v>
      </c>
      <c r="J328" t="n">
        <v>0</v>
      </c>
      <c r="K328" t="n">
        <v>0</v>
      </c>
      <c r="L328" t="n">
        <v>0</v>
      </c>
      <c r="M328" t="n">
        <v>0</v>
      </c>
      <c r="N328" t="n">
        <v>0</v>
      </c>
      <c r="O328" t="n">
        <v>0</v>
      </c>
      <c r="P328" t="n">
        <v>0</v>
      </c>
      <c r="Q328" t="n">
        <v>0</v>
      </c>
      <c r="R328" s="2" t="inlineStr"/>
    </row>
    <row r="329" ht="15" customHeight="1">
      <c r="A329" t="inlineStr">
        <is>
          <t>A 62335-2019</t>
        </is>
      </c>
      <c r="B329" s="1" t="n">
        <v>43782</v>
      </c>
      <c r="C329" s="1" t="n">
        <v>45361</v>
      </c>
      <c r="D329" t="inlineStr">
        <is>
          <t>JÄMTLANDS LÄN</t>
        </is>
      </c>
      <c r="E329" t="inlineStr">
        <is>
          <t>BRÄCKE</t>
        </is>
      </c>
      <c r="G329" t="n">
        <v>5.7</v>
      </c>
      <c r="H329" t="n">
        <v>0</v>
      </c>
      <c r="I329" t="n">
        <v>0</v>
      </c>
      <c r="J329" t="n">
        <v>0</v>
      </c>
      <c r="K329" t="n">
        <v>0</v>
      </c>
      <c r="L329" t="n">
        <v>0</v>
      </c>
      <c r="M329" t="n">
        <v>0</v>
      </c>
      <c r="N329" t="n">
        <v>0</v>
      </c>
      <c r="O329" t="n">
        <v>0</v>
      </c>
      <c r="P329" t="n">
        <v>0</v>
      </c>
      <c r="Q329" t="n">
        <v>0</v>
      </c>
      <c r="R329" s="2" t="inlineStr"/>
    </row>
    <row r="330" ht="15" customHeight="1">
      <c r="A330" t="inlineStr">
        <is>
          <t>A 64133-2019</t>
        </is>
      </c>
      <c r="B330" s="1" t="n">
        <v>43796</v>
      </c>
      <c r="C330" s="1" t="n">
        <v>45361</v>
      </c>
      <c r="D330" t="inlineStr">
        <is>
          <t>JÄMTLANDS LÄN</t>
        </is>
      </c>
      <c r="E330" t="inlineStr">
        <is>
          <t>BRÄCKE</t>
        </is>
      </c>
      <c r="G330" t="n">
        <v>0.6</v>
      </c>
      <c r="H330" t="n">
        <v>0</v>
      </c>
      <c r="I330" t="n">
        <v>0</v>
      </c>
      <c r="J330" t="n">
        <v>0</v>
      </c>
      <c r="K330" t="n">
        <v>0</v>
      </c>
      <c r="L330" t="n">
        <v>0</v>
      </c>
      <c r="M330" t="n">
        <v>0</v>
      </c>
      <c r="N330" t="n">
        <v>0</v>
      </c>
      <c r="O330" t="n">
        <v>0</v>
      </c>
      <c r="P330" t="n">
        <v>0</v>
      </c>
      <c r="Q330" t="n">
        <v>0</v>
      </c>
      <c r="R330" s="2" t="inlineStr"/>
    </row>
    <row r="331" ht="15" customHeight="1">
      <c r="A331" t="inlineStr">
        <is>
          <t>A 64475-2019</t>
        </is>
      </c>
      <c r="B331" s="1" t="n">
        <v>43797</v>
      </c>
      <c r="C331" s="1" t="n">
        <v>45361</v>
      </c>
      <c r="D331" t="inlineStr">
        <is>
          <t>JÄMTLANDS LÄN</t>
        </is>
      </c>
      <c r="E331" t="inlineStr">
        <is>
          <t>BRÄCKE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65038-2019</t>
        </is>
      </c>
      <c r="B332" s="1" t="n">
        <v>43801</v>
      </c>
      <c r="C332" s="1" t="n">
        <v>45361</v>
      </c>
      <c r="D332" t="inlineStr">
        <is>
          <t>JÄMTLANDS LÄN</t>
        </is>
      </c>
      <c r="E332" t="inlineStr">
        <is>
          <t>BRÄCKE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66377-2019</t>
        </is>
      </c>
      <c r="B333" s="1" t="n">
        <v>43808</v>
      </c>
      <c r="C333" s="1" t="n">
        <v>45361</v>
      </c>
      <c r="D333" t="inlineStr">
        <is>
          <t>JÄMTLANDS LÄN</t>
        </is>
      </c>
      <c r="E333" t="inlineStr">
        <is>
          <t>BRÄCKE</t>
        </is>
      </c>
      <c r="G333" t="n">
        <v>0.7</v>
      </c>
      <c r="H333" t="n">
        <v>0</v>
      </c>
      <c r="I333" t="n">
        <v>0</v>
      </c>
      <c r="J333" t="n">
        <v>0</v>
      </c>
      <c r="K333" t="n">
        <v>0</v>
      </c>
      <c r="L333" t="n">
        <v>0</v>
      </c>
      <c r="M333" t="n">
        <v>0</v>
      </c>
      <c r="N333" t="n">
        <v>0</v>
      </c>
      <c r="O333" t="n">
        <v>0</v>
      </c>
      <c r="P333" t="n">
        <v>0</v>
      </c>
      <c r="Q333" t="n">
        <v>0</v>
      </c>
      <c r="R333" s="2" t="inlineStr"/>
    </row>
    <row r="334" ht="15" customHeight="1">
      <c r="A334" t="inlineStr">
        <is>
          <t>A 66376-2019</t>
        </is>
      </c>
      <c r="B334" s="1" t="n">
        <v>43808</v>
      </c>
      <c r="C334" s="1" t="n">
        <v>45361</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68001-2019</t>
        </is>
      </c>
      <c r="B335" s="1" t="n">
        <v>43810</v>
      </c>
      <c r="C335" s="1" t="n">
        <v>45361</v>
      </c>
      <c r="D335" t="inlineStr">
        <is>
          <t>JÄMTLANDS LÄN</t>
        </is>
      </c>
      <c r="E335" t="inlineStr">
        <is>
          <t>BRÄCKE</t>
        </is>
      </c>
      <c r="G335" t="n">
        <v>3.6</v>
      </c>
      <c r="H335" t="n">
        <v>0</v>
      </c>
      <c r="I335" t="n">
        <v>0</v>
      </c>
      <c r="J335" t="n">
        <v>0</v>
      </c>
      <c r="K335" t="n">
        <v>0</v>
      </c>
      <c r="L335" t="n">
        <v>0</v>
      </c>
      <c r="M335" t="n">
        <v>0</v>
      </c>
      <c r="N335" t="n">
        <v>0</v>
      </c>
      <c r="O335" t="n">
        <v>0</v>
      </c>
      <c r="P335" t="n">
        <v>0</v>
      </c>
      <c r="Q335" t="n">
        <v>0</v>
      </c>
      <c r="R335" s="2" t="inlineStr"/>
    </row>
    <row r="336" ht="15" customHeight="1">
      <c r="A336" t="inlineStr">
        <is>
          <t>A 67214-2019</t>
        </is>
      </c>
      <c r="B336" s="1" t="n">
        <v>43811</v>
      </c>
      <c r="C336" s="1" t="n">
        <v>45361</v>
      </c>
      <c r="D336" t="inlineStr">
        <is>
          <t>JÄMTLANDS LÄN</t>
        </is>
      </c>
      <c r="E336" t="inlineStr">
        <is>
          <t>BRÄCKE</t>
        </is>
      </c>
      <c r="G336" t="n">
        <v>0.2</v>
      </c>
      <c r="H336" t="n">
        <v>0</v>
      </c>
      <c r="I336" t="n">
        <v>0</v>
      </c>
      <c r="J336" t="n">
        <v>0</v>
      </c>
      <c r="K336" t="n">
        <v>0</v>
      </c>
      <c r="L336" t="n">
        <v>0</v>
      </c>
      <c r="M336" t="n">
        <v>0</v>
      </c>
      <c r="N336" t="n">
        <v>0</v>
      </c>
      <c r="O336" t="n">
        <v>0</v>
      </c>
      <c r="P336" t="n">
        <v>0</v>
      </c>
      <c r="Q336" t="n">
        <v>0</v>
      </c>
      <c r="R336" s="2" t="inlineStr"/>
    </row>
    <row r="337" ht="15" customHeight="1">
      <c r="A337" t="inlineStr">
        <is>
          <t>A 67818-2019</t>
        </is>
      </c>
      <c r="B337" s="1" t="n">
        <v>43815</v>
      </c>
      <c r="C337" s="1" t="n">
        <v>45361</v>
      </c>
      <c r="D337" t="inlineStr">
        <is>
          <t>JÄMTLANDS LÄN</t>
        </is>
      </c>
      <c r="E337" t="inlineStr">
        <is>
          <t>BRÄCKE</t>
        </is>
      </c>
      <c r="G337" t="n">
        <v>1.3</v>
      </c>
      <c r="H337" t="n">
        <v>0</v>
      </c>
      <c r="I337" t="n">
        <v>0</v>
      </c>
      <c r="J337" t="n">
        <v>0</v>
      </c>
      <c r="K337" t="n">
        <v>0</v>
      </c>
      <c r="L337" t="n">
        <v>0</v>
      </c>
      <c r="M337" t="n">
        <v>0</v>
      </c>
      <c r="N337" t="n">
        <v>0</v>
      </c>
      <c r="O337" t="n">
        <v>0</v>
      </c>
      <c r="P337" t="n">
        <v>0</v>
      </c>
      <c r="Q337" t="n">
        <v>0</v>
      </c>
      <c r="R337" s="2" t="inlineStr"/>
    </row>
    <row r="338" ht="15" customHeight="1">
      <c r="A338" t="inlineStr">
        <is>
          <t>A 69041-2019</t>
        </is>
      </c>
      <c r="B338" s="1" t="n">
        <v>43826</v>
      </c>
      <c r="C338" s="1" t="n">
        <v>45361</v>
      </c>
      <c r="D338" t="inlineStr">
        <is>
          <t>JÄMTLANDS LÄN</t>
        </is>
      </c>
      <c r="E338" t="inlineStr">
        <is>
          <t>BRÄCKE</t>
        </is>
      </c>
      <c r="G338" t="n">
        <v>1.4</v>
      </c>
      <c r="H338" t="n">
        <v>0</v>
      </c>
      <c r="I338" t="n">
        <v>0</v>
      </c>
      <c r="J338" t="n">
        <v>0</v>
      </c>
      <c r="K338" t="n">
        <v>0</v>
      </c>
      <c r="L338" t="n">
        <v>0</v>
      </c>
      <c r="M338" t="n">
        <v>0</v>
      </c>
      <c r="N338" t="n">
        <v>0</v>
      </c>
      <c r="O338" t="n">
        <v>0</v>
      </c>
      <c r="P338" t="n">
        <v>0</v>
      </c>
      <c r="Q338" t="n">
        <v>0</v>
      </c>
      <c r="R338" s="2" t="inlineStr"/>
    </row>
    <row r="339" ht="15" customHeight="1">
      <c r="A339" t="inlineStr">
        <is>
          <t>A 208-2020</t>
        </is>
      </c>
      <c r="B339" s="1" t="n">
        <v>43833</v>
      </c>
      <c r="C339" s="1" t="n">
        <v>45361</v>
      </c>
      <c r="D339" t="inlineStr">
        <is>
          <t>JÄMTLANDS LÄN</t>
        </is>
      </c>
      <c r="E339" t="inlineStr">
        <is>
          <t>BRÄCKE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325-2020</t>
        </is>
      </c>
      <c r="B340" s="1" t="n">
        <v>43837</v>
      </c>
      <c r="C340" s="1" t="n">
        <v>45361</v>
      </c>
      <c r="D340" t="inlineStr">
        <is>
          <t>JÄMTLANDS LÄN</t>
        </is>
      </c>
      <c r="E340" t="inlineStr">
        <is>
          <t>BRÄCKE</t>
        </is>
      </c>
      <c r="G340" t="n">
        <v>0.3</v>
      </c>
      <c r="H340" t="n">
        <v>0</v>
      </c>
      <c r="I340" t="n">
        <v>0</v>
      </c>
      <c r="J340" t="n">
        <v>0</v>
      </c>
      <c r="K340" t="n">
        <v>0</v>
      </c>
      <c r="L340" t="n">
        <v>0</v>
      </c>
      <c r="M340" t="n">
        <v>0</v>
      </c>
      <c r="N340" t="n">
        <v>0</v>
      </c>
      <c r="O340" t="n">
        <v>0</v>
      </c>
      <c r="P340" t="n">
        <v>0</v>
      </c>
      <c r="Q340" t="n">
        <v>0</v>
      </c>
      <c r="R340" s="2" t="inlineStr"/>
    </row>
    <row r="341" ht="15" customHeight="1">
      <c r="A341" t="inlineStr">
        <is>
          <t>A 1267-2020</t>
        </is>
      </c>
      <c r="B341" s="1" t="n">
        <v>43840</v>
      </c>
      <c r="C341" s="1" t="n">
        <v>45361</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3488-2020</t>
        </is>
      </c>
      <c r="B342" s="1" t="n">
        <v>43852</v>
      </c>
      <c r="C342" s="1" t="n">
        <v>45361</v>
      </c>
      <c r="D342" t="inlineStr">
        <is>
          <t>JÄMTLANDS LÄN</t>
        </is>
      </c>
      <c r="E342" t="inlineStr">
        <is>
          <t>BRÄCKE</t>
        </is>
      </c>
      <c r="G342" t="n">
        <v>9.1</v>
      </c>
      <c r="H342" t="n">
        <v>0</v>
      </c>
      <c r="I342" t="n">
        <v>0</v>
      </c>
      <c r="J342" t="n">
        <v>0</v>
      </c>
      <c r="K342" t="n">
        <v>0</v>
      </c>
      <c r="L342" t="n">
        <v>0</v>
      </c>
      <c r="M342" t="n">
        <v>0</v>
      </c>
      <c r="N342" t="n">
        <v>0</v>
      </c>
      <c r="O342" t="n">
        <v>0</v>
      </c>
      <c r="P342" t="n">
        <v>0</v>
      </c>
      <c r="Q342" t="n">
        <v>0</v>
      </c>
      <c r="R342" s="2" t="inlineStr"/>
    </row>
    <row r="343" ht="15" customHeight="1">
      <c r="A343" t="inlineStr">
        <is>
          <t>A 3483-2020</t>
        </is>
      </c>
      <c r="B343" s="1" t="n">
        <v>43852</v>
      </c>
      <c r="C343" s="1" t="n">
        <v>45361</v>
      </c>
      <c r="D343" t="inlineStr">
        <is>
          <t>JÄMTLANDS LÄN</t>
        </is>
      </c>
      <c r="E343" t="inlineStr">
        <is>
          <t>BRÄCKE</t>
        </is>
      </c>
      <c r="G343" t="n">
        <v>5.8</v>
      </c>
      <c r="H343" t="n">
        <v>0</v>
      </c>
      <c r="I343" t="n">
        <v>0</v>
      </c>
      <c r="J343" t="n">
        <v>0</v>
      </c>
      <c r="K343" t="n">
        <v>0</v>
      </c>
      <c r="L343" t="n">
        <v>0</v>
      </c>
      <c r="M343" t="n">
        <v>0</v>
      </c>
      <c r="N343" t="n">
        <v>0</v>
      </c>
      <c r="O343" t="n">
        <v>0</v>
      </c>
      <c r="P343" t="n">
        <v>0</v>
      </c>
      <c r="Q343" t="n">
        <v>0</v>
      </c>
      <c r="R343" s="2" t="inlineStr"/>
    </row>
    <row r="344" ht="15" customHeight="1">
      <c r="A344" t="inlineStr">
        <is>
          <t>A 3489-2020</t>
        </is>
      </c>
      <c r="B344" s="1" t="n">
        <v>43852</v>
      </c>
      <c r="C344" s="1" t="n">
        <v>45361</v>
      </c>
      <c r="D344" t="inlineStr">
        <is>
          <t>JÄMTLANDS LÄN</t>
        </is>
      </c>
      <c r="E344" t="inlineStr">
        <is>
          <t>BRÄCKE</t>
        </is>
      </c>
      <c r="G344" t="n">
        <v>3.8</v>
      </c>
      <c r="H344" t="n">
        <v>0</v>
      </c>
      <c r="I344" t="n">
        <v>0</v>
      </c>
      <c r="J344" t="n">
        <v>0</v>
      </c>
      <c r="K344" t="n">
        <v>0</v>
      </c>
      <c r="L344" t="n">
        <v>0</v>
      </c>
      <c r="M344" t="n">
        <v>0</v>
      </c>
      <c r="N344" t="n">
        <v>0</v>
      </c>
      <c r="O344" t="n">
        <v>0</v>
      </c>
      <c r="P344" t="n">
        <v>0</v>
      </c>
      <c r="Q344" t="n">
        <v>0</v>
      </c>
      <c r="R344" s="2" t="inlineStr"/>
    </row>
    <row r="345" ht="15" customHeight="1">
      <c r="A345" t="inlineStr">
        <is>
          <t>A 3772-2020</t>
        </is>
      </c>
      <c r="B345" s="1" t="n">
        <v>43854</v>
      </c>
      <c r="C345" s="1" t="n">
        <v>45361</v>
      </c>
      <c r="D345" t="inlineStr">
        <is>
          <t>JÄMTLANDS LÄN</t>
        </is>
      </c>
      <c r="E345" t="inlineStr">
        <is>
          <t>BRÄCKE</t>
        </is>
      </c>
      <c r="F345" t="inlineStr">
        <is>
          <t>SCA</t>
        </is>
      </c>
      <c r="G345" t="n">
        <v>16.9</v>
      </c>
      <c r="H345" t="n">
        <v>0</v>
      </c>
      <c r="I345" t="n">
        <v>0</v>
      </c>
      <c r="J345" t="n">
        <v>0</v>
      </c>
      <c r="K345" t="n">
        <v>0</v>
      </c>
      <c r="L345" t="n">
        <v>0</v>
      </c>
      <c r="M345" t="n">
        <v>0</v>
      </c>
      <c r="N345" t="n">
        <v>0</v>
      </c>
      <c r="O345" t="n">
        <v>0</v>
      </c>
      <c r="P345" t="n">
        <v>0</v>
      </c>
      <c r="Q345" t="n">
        <v>0</v>
      </c>
      <c r="R345" s="2" t="inlineStr"/>
    </row>
    <row r="346" ht="15" customHeight="1">
      <c r="A346" t="inlineStr">
        <is>
          <t>A 6265-2020</t>
        </is>
      </c>
      <c r="B346" s="1" t="n">
        <v>43866</v>
      </c>
      <c r="C346" s="1" t="n">
        <v>45361</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7045-2020</t>
        </is>
      </c>
      <c r="B347" s="1" t="n">
        <v>43868</v>
      </c>
      <c r="C347" s="1" t="n">
        <v>45361</v>
      </c>
      <c r="D347" t="inlineStr">
        <is>
          <t>JÄMTLANDS LÄN</t>
        </is>
      </c>
      <c r="E347" t="inlineStr">
        <is>
          <t>BRÄCKE</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7782-2020</t>
        </is>
      </c>
      <c r="B348" s="1" t="n">
        <v>43872</v>
      </c>
      <c r="C348" s="1" t="n">
        <v>45361</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7783-2020</t>
        </is>
      </c>
      <c r="B349" s="1" t="n">
        <v>43872</v>
      </c>
      <c r="C349" s="1" t="n">
        <v>45361</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7792-2020</t>
        </is>
      </c>
      <c r="B350" s="1" t="n">
        <v>43872</v>
      </c>
      <c r="C350" s="1" t="n">
        <v>45361</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9825-2020</t>
        </is>
      </c>
      <c r="B351" s="1" t="n">
        <v>43881</v>
      </c>
      <c r="C351" s="1" t="n">
        <v>45361</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13890-2020</t>
        </is>
      </c>
      <c r="B352" s="1" t="n">
        <v>43906</v>
      </c>
      <c r="C352" s="1" t="n">
        <v>45361</v>
      </c>
      <c r="D352" t="inlineStr">
        <is>
          <t>JÄMTLANDS LÄN</t>
        </is>
      </c>
      <c r="E352" t="inlineStr">
        <is>
          <t>BRÄCKE</t>
        </is>
      </c>
      <c r="G352" t="n">
        <v>2.6</v>
      </c>
      <c r="H352" t="n">
        <v>0</v>
      </c>
      <c r="I352" t="n">
        <v>0</v>
      </c>
      <c r="J352" t="n">
        <v>0</v>
      </c>
      <c r="K352" t="n">
        <v>0</v>
      </c>
      <c r="L352" t="n">
        <v>0</v>
      </c>
      <c r="M352" t="n">
        <v>0</v>
      </c>
      <c r="N352" t="n">
        <v>0</v>
      </c>
      <c r="O352" t="n">
        <v>0</v>
      </c>
      <c r="P352" t="n">
        <v>0</v>
      </c>
      <c r="Q352" t="n">
        <v>0</v>
      </c>
      <c r="R352" s="2" t="inlineStr"/>
    </row>
    <row r="353" ht="15" customHeight="1">
      <c r="A353" t="inlineStr">
        <is>
          <t>A 15404-2020</t>
        </is>
      </c>
      <c r="B353" s="1" t="n">
        <v>43913</v>
      </c>
      <c r="C353" s="1" t="n">
        <v>45361</v>
      </c>
      <c r="D353" t="inlineStr">
        <is>
          <t>JÄMTLANDS LÄN</t>
        </is>
      </c>
      <c r="E353" t="inlineStr">
        <is>
          <t>BRÄCKE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15405-2020</t>
        </is>
      </c>
      <c r="B354" s="1" t="n">
        <v>43913</v>
      </c>
      <c r="C354" s="1" t="n">
        <v>45361</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15898-2020</t>
        </is>
      </c>
      <c r="B355" s="1" t="n">
        <v>43915</v>
      </c>
      <c r="C355" s="1" t="n">
        <v>45361</v>
      </c>
      <c r="D355" t="inlineStr">
        <is>
          <t>JÄMTLANDS LÄN</t>
        </is>
      </c>
      <c r="E355" t="inlineStr">
        <is>
          <t>BRÄCKE</t>
        </is>
      </c>
      <c r="F355" t="inlineStr">
        <is>
          <t>SCA</t>
        </is>
      </c>
      <c r="G355" t="n">
        <v>6.6</v>
      </c>
      <c r="H355" t="n">
        <v>0</v>
      </c>
      <c r="I355" t="n">
        <v>0</v>
      </c>
      <c r="J355" t="n">
        <v>0</v>
      </c>
      <c r="K355" t="n">
        <v>0</v>
      </c>
      <c r="L355" t="n">
        <v>0</v>
      </c>
      <c r="M355" t="n">
        <v>0</v>
      </c>
      <c r="N355" t="n">
        <v>0</v>
      </c>
      <c r="O355" t="n">
        <v>0</v>
      </c>
      <c r="P355" t="n">
        <v>0</v>
      </c>
      <c r="Q355" t="n">
        <v>0</v>
      </c>
      <c r="R355" s="2" t="inlineStr"/>
    </row>
    <row r="356" ht="15" customHeight="1">
      <c r="A356" t="inlineStr">
        <is>
          <t>A 16158-2020</t>
        </is>
      </c>
      <c r="B356" s="1" t="n">
        <v>43916</v>
      </c>
      <c r="C356" s="1" t="n">
        <v>45361</v>
      </c>
      <c r="D356" t="inlineStr">
        <is>
          <t>JÄMTLANDS LÄN</t>
        </is>
      </c>
      <c r="E356" t="inlineStr">
        <is>
          <t>BRÄCKE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16769-2020</t>
        </is>
      </c>
      <c r="B357" s="1" t="n">
        <v>43920</v>
      </c>
      <c r="C357" s="1" t="n">
        <v>45361</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17081-2020</t>
        </is>
      </c>
      <c r="B358" s="1" t="n">
        <v>43921</v>
      </c>
      <c r="C358" s="1" t="n">
        <v>45361</v>
      </c>
      <c r="D358" t="inlineStr">
        <is>
          <t>JÄMTLANDS LÄN</t>
        </is>
      </c>
      <c r="E358" t="inlineStr">
        <is>
          <t>BRÄCKE</t>
        </is>
      </c>
      <c r="G358" t="n">
        <v>13.6</v>
      </c>
      <c r="H358" t="n">
        <v>0</v>
      </c>
      <c r="I358" t="n">
        <v>0</v>
      </c>
      <c r="J358" t="n">
        <v>0</v>
      </c>
      <c r="K358" t="n">
        <v>0</v>
      </c>
      <c r="L358" t="n">
        <v>0</v>
      </c>
      <c r="M358" t="n">
        <v>0</v>
      </c>
      <c r="N358" t="n">
        <v>0</v>
      </c>
      <c r="O358" t="n">
        <v>0</v>
      </c>
      <c r="P358" t="n">
        <v>0</v>
      </c>
      <c r="Q358" t="n">
        <v>0</v>
      </c>
      <c r="R358" s="2" t="inlineStr"/>
    </row>
    <row r="359" ht="15" customHeight="1">
      <c r="A359" t="inlineStr">
        <is>
          <t>A 17082-2020</t>
        </is>
      </c>
      <c r="B359" s="1" t="n">
        <v>43921</v>
      </c>
      <c r="C359" s="1" t="n">
        <v>45361</v>
      </c>
      <c r="D359" t="inlineStr">
        <is>
          <t>JÄMTLANDS LÄN</t>
        </is>
      </c>
      <c r="E359" t="inlineStr">
        <is>
          <t>BRÄCKE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17078-2020</t>
        </is>
      </c>
      <c r="B360" s="1" t="n">
        <v>43921</v>
      </c>
      <c r="C360" s="1" t="n">
        <v>45361</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17677-2020</t>
        </is>
      </c>
      <c r="B361" s="1" t="n">
        <v>43923</v>
      </c>
      <c r="C361" s="1" t="n">
        <v>45361</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17887-2020</t>
        </is>
      </c>
      <c r="B362" s="1" t="n">
        <v>43924</v>
      </c>
      <c r="C362" s="1" t="n">
        <v>45361</v>
      </c>
      <c r="D362" t="inlineStr">
        <is>
          <t>JÄMTLANDS LÄN</t>
        </is>
      </c>
      <c r="E362" t="inlineStr">
        <is>
          <t>BRÄCKE</t>
        </is>
      </c>
      <c r="F362" t="inlineStr">
        <is>
          <t>SCA</t>
        </is>
      </c>
      <c r="G362" t="n">
        <v>18.4</v>
      </c>
      <c r="H362" t="n">
        <v>0</v>
      </c>
      <c r="I362" t="n">
        <v>0</v>
      </c>
      <c r="J362" t="n">
        <v>0</v>
      </c>
      <c r="K362" t="n">
        <v>0</v>
      </c>
      <c r="L362" t="n">
        <v>0</v>
      </c>
      <c r="M362" t="n">
        <v>0</v>
      </c>
      <c r="N362" t="n">
        <v>0</v>
      </c>
      <c r="O362" t="n">
        <v>0</v>
      </c>
      <c r="P362" t="n">
        <v>0</v>
      </c>
      <c r="Q362" t="n">
        <v>0</v>
      </c>
      <c r="R362" s="2" t="inlineStr"/>
    </row>
    <row r="363" ht="15" customHeight="1">
      <c r="A363" t="inlineStr">
        <is>
          <t>A 18654-2020</t>
        </is>
      </c>
      <c r="B363" s="1" t="n">
        <v>43927</v>
      </c>
      <c r="C363" s="1" t="n">
        <v>45361</v>
      </c>
      <c r="D363" t="inlineStr">
        <is>
          <t>JÄMTLANDS LÄN</t>
        </is>
      </c>
      <c r="E363" t="inlineStr">
        <is>
          <t>BRÄCKE</t>
        </is>
      </c>
      <c r="G363" t="n">
        <v>0.4</v>
      </c>
      <c r="H363" t="n">
        <v>0</v>
      </c>
      <c r="I363" t="n">
        <v>0</v>
      </c>
      <c r="J363" t="n">
        <v>0</v>
      </c>
      <c r="K363" t="n">
        <v>0</v>
      </c>
      <c r="L363" t="n">
        <v>0</v>
      </c>
      <c r="M363" t="n">
        <v>0</v>
      </c>
      <c r="N363" t="n">
        <v>0</v>
      </c>
      <c r="O363" t="n">
        <v>0</v>
      </c>
      <c r="P363" t="n">
        <v>0</v>
      </c>
      <c r="Q363" t="n">
        <v>0</v>
      </c>
      <c r="R363" s="2" t="inlineStr"/>
    </row>
    <row r="364" ht="15" customHeight="1">
      <c r="A364" t="inlineStr">
        <is>
          <t>A 19314-2020</t>
        </is>
      </c>
      <c r="B364" s="1" t="n">
        <v>43937</v>
      </c>
      <c r="C364" s="1" t="n">
        <v>45361</v>
      </c>
      <c r="D364" t="inlineStr">
        <is>
          <t>JÄMTLANDS LÄN</t>
        </is>
      </c>
      <c r="E364" t="inlineStr">
        <is>
          <t>BRÄCKE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20034-2020</t>
        </is>
      </c>
      <c r="B365" s="1" t="n">
        <v>43943</v>
      </c>
      <c r="C365" s="1" t="n">
        <v>45361</v>
      </c>
      <c r="D365" t="inlineStr">
        <is>
          <t>JÄMTLANDS LÄN</t>
        </is>
      </c>
      <c r="E365" t="inlineStr">
        <is>
          <t>BRÄCKE</t>
        </is>
      </c>
      <c r="G365" t="n">
        <v>3.2</v>
      </c>
      <c r="H365" t="n">
        <v>0</v>
      </c>
      <c r="I365" t="n">
        <v>0</v>
      </c>
      <c r="J365" t="n">
        <v>0</v>
      </c>
      <c r="K365" t="n">
        <v>0</v>
      </c>
      <c r="L365" t="n">
        <v>0</v>
      </c>
      <c r="M365" t="n">
        <v>0</v>
      </c>
      <c r="N365" t="n">
        <v>0</v>
      </c>
      <c r="O365" t="n">
        <v>0</v>
      </c>
      <c r="P365" t="n">
        <v>0</v>
      </c>
      <c r="Q365" t="n">
        <v>0</v>
      </c>
      <c r="R365" s="2" t="inlineStr"/>
    </row>
    <row r="366" ht="15" customHeight="1">
      <c r="A366" t="inlineStr">
        <is>
          <t>A 20426-2020</t>
        </is>
      </c>
      <c r="B366" s="1" t="n">
        <v>43945</v>
      </c>
      <c r="C366" s="1" t="n">
        <v>45361</v>
      </c>
      <c r="D366" t="inlineStr">
        <is>
          <t>JÄMTLANDS LÄN</t>
        </is>
      </c>
      <c r="E366" t="inlineStr">
        <is>
          <t>BRÄCKE</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20617-2020</t>
        </is>
      </c>
      <c r="B367" s="1" t="n">
        <v>43948</v>
      </c>
      <c r="C367" s="1" t="n">
        <v>45361</v>
      </c>
      <c r="D367" t="inlineStr">
        <is>
          <t>JÄMTLANDS LÄN</t>
        </is>
      </c>
      <c r="E367" t="inlineStr">
        <is>
          <t>BRÄCKE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21426-2020</t>
        </is>
      </c>
      <c r="B368" s="1" t="n">
        <v>43955</v>
      </c>
      <c r="C368" s="1" t="n">
        <v>45361</v>
      </c>
      <c r="D368" t="inlineStr">
        <is>
          <t>JÄMTLANDS LÄN</t>
        </is>
      </c>
      <c r="E368" t="inlineStr">
        <is>
          <t>BRÄCKE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21425-2020</t>
        </is>
      </c>
      <c r="B369" s="1" t="n">
        <v>43955</v>
      </c>
      <c r="C369" s="1" t="n">
        <v>45361</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22081-2020</t>
        </is>
      </c>
      <c r="B370" s="1" t="n">
        <v>43959</v>
      </c>
      <c r="C370" s="1" t="n">
        <v>45361</v>
      </c>
      <c r="D370" t="inlineStr">
        <is>
          <t>JÄMTLANDS LÄN</t>
        </is>
      </c>
      <c r="E370" t="inlineStr">
        <is>
          <t>BRÄCKE</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24038-2020</t>
        </is>
      </c>
      <c r="B371" s="1" t="n">
        <v>43972</v>
      </c>
      <c r="C371" s="1" t="n">
        <v>45361</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24244-2020</t>
        </is>
      </c>
      <c r="B372" s="1" t="n">
        <v>43976</v>
      </c>
      <c r="C372" s="1" t="n">
        <v>45361</v>
      </c>
      <c r="D372" t="inlineStr">
        <is>
          <t>JÄMTLANDS LÄN</t>
        </is>
      </c>
      <c r="E372" t="inlineStr">
        <is>
          <t>BRÄCKE</t>
        </is>
      </c>
      <c r="G372" t="n">
        <v>1.4</v>
      </c>
      <c r="H372" t="n">
        <v>0</v>
      </c>
      <c r="I372" t="n">
        <v>0</v>
      </c>
      <c r="J372" t="n">
        <v>0</v>
      </c>
      <c r="K372" t="n">
        <v>0</v>
      </c>
      <c r="L372" t="n">
        <v>0</v>
      </c>
      <c r="M372" t="n">
        <v>0</v>
      </c>
      <c r="N372" t="n">
        <v>0</v>
      </c>
      <c r="O372" t="n">
        <v>0</v>
      </c>
      <c r="P372" t="n">
        <v>0</v>
      </c>
      <c r="Q372" t="n">
        <v>0</v>
      </c>
      <c r="R372" s="2" t="inlineStr"/>
    </row>
    <row r="373" ht="15" customHeight="1">
      <c r="A373" t="inlineStr">
        <is>
          <t>A 24429-2020</t>
        </is>
      </c>
      <c r="B373" s="1" t="n">
        <v>43976</v>
      </c>
      <c r="C373" s="1" t="n">
        <v>45361</v>
      </c>
      <c r="D373" t="inlineStr">
        <is>
          <t>JÄMTLANDS LÄN</t>
        </is>
      </c>
      <c r="E373" t="inlineStr">
        <is>
          <t>BRÄCKE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24863-2020</t>
        </is>
      </c>
      <c r="B374" s="1" t="n">
        <v>43978</v>
      </c>
      <c r="C374" s="1" t="n">
        <v>45361</v>
      </c>
      <c r="D374" t="inlineStr">
        <is>
          <t>JÄMTLANDS LÄN</t>
        </is>
      </c>
      <c r="E374" t="inlineStr">
        <is>
          <t>BRÄCKE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25382-2020</t>
        </is>
      </c>
      <c r="B375" s="1" t="n">
        <v>43980</v>
      </c>
      <c r="C375" s="1" t="n">
        <v>45361</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25906-2020</t>
        </is>
      </c>
      <c r="B376" s="1" t="n">
        <v>43984</v>
      </c>
      <c r="C376" s="1" t="n">
        <v>45361</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25772-2020</t>
        </is>
      </c>
      <c r="B377" s="1" t="n">
        <v>43984</v>
      </c>
      <c r="C377" s="1" t="n">
        <v>45361</v>
      </c>
      <c r="D377" t="inlineStr">
        <is>
          <t>JÄMTLANDS LÄN</t>
        </is>
      </c>
      <c r="E377" t="inlineStr">
        <is>
          <t>BRÄCKE</t>
        </is>
      </c>
      <c r="G377" t="n">
        <v>3.1</v>
      </c>
      <c r="H377" t="n">
        <v>0</v>
      </c>
      <c r="I377" t="n">
        <v>0</v>
      </c>
      <c r="J377" t="n">
        <v>0</v>
      </c>
      <c r="K377" t="n">
        <v>0</v>
      </c>
      <c r="L377" t="n">
        <v>0</v>
      </c>
      <c r="M377" t="n">
        <v>0</v>
      </c>
      <c r="N377" t="n">
        <v>0</v>
      </c>
      <c r="O377" t="n">
        <v>0</v>
      </c>
      <c r="P377" t="n">
        <v>0</v>
      </c>
      <c r="Q377" t="n">
        <v>0</v>
      </c>
      <c r="R377" s="2" t="inlineStr"/>
    </row>
    <row r="378" ht="15" customHeight="1">
      <c r="A378" t="inlineStr">
        <is>
          <t>A 26168-2020</t>
        </is>
      </c>
      <c r="B378" s="1" t="n">
        <v>43985</v>
      </c>
      <c r="C378" s="1" t="n">
        <v>45361</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26169-2020</t>
        </is>
      </c>
      <c r="B379" s="1" t="n">
        <v>43985</v>
      </c>
      <c r="C379" s="1" t="n">
        <v>45361</v>
      </c>
      <c r="D379" t="inlineStr">
        <is>
          <t>JÄMTLANDS LÄN</t>
        </is>
      </c>
      <c r="E379" t="inlineStr">
        <is>
          <t>BRÄCKE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27191-2020</t>
        </is>
      </c>
      <c r="B380" s="1" t="n">
        <v>43991</v>
      </c>
      <c r="C380" s="1" t="n">
        <v>45361</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27190-2020</t>
        </is>
      </c>
      <c r="B381" s="1" t="n">
        <v>43991</v>
      </c>
      <c r="C381" s="1" t="n">
        <v>45361</v>
      </c>
      <c r="D381" t="inlineStr">
        <is>
          <t>JÄMTLANDS LÄN</t>
        </is>
      </c>
      <c r="E381" t="inlineStr">
        <is>
          <t>BRÄCKE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28213-2020</t>
        </is>
      </c>
      <c r="B382" s="1" t="n">
        <v>43997</v>
      </c>
      <c r="C382" s="1" t="n">
        <v>45361</v>
      </c>
      <c r="D382" t="inlineStr">
        <is>
          <t>JÄMTLANDS LÄN</t>
        </is>
      </c>
      <c r="E382" t="inlineStr">
        <is>
          <t>BRÄCKE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28701-2020</t>
        </is>
      </c>
      <c r="B383" s="1" t="n">
        <v>43997</v>
      </c>
      <c r="C383" s="1" t="n">
        <v>45361</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28174-2020</t>
        </is>
      </c>
      <c r="B384" s="1" t="n">
        <v>43997</v>
      </c>
      <c r="C384" s="1" t="n">
        <v>45361</v>
      </c>
      <c r="D384" t="inlineStr">
        <is>
          <t>JÄMTLANDS LÄN</t>
        </is>
      </c>
      <c r="E384" t="inlineStr">
        <is>
          <t>BRÄCKE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29259-2020</t>
        </is>
      </c>
      <c r="B385" s="1" t="n">
        <v>44004</v>
      </c>
      <c r="C385" s="1" t="n">
        <v>45361</v>
      </c>
      <c r="D385" t="inlineStr">
        <is>
          <t>JÄMTLANDS LÄN</t>
        </is>
      </c>
      <c r="E385" t="inlineStr">
        <is>
          <t>BRÄCKE</t>
        </is>
      </c>
      <c r="F385" t="inlineStr">
        <is>
          <t>Övriga Aktiebolag</t>
        </is>
      </c>
      <c r="G385" t="n">
        <v>40.6</v>
      </c>
      <c r="H385" t="n">
        <v>0</v>
      </c>
      <c r="I385" t="n">
        <v>0</v>
      </c>
      <c r="J385" t="n">
        <v>0</v>
      </c>
      <c r="K385" t="n">
        <v>0</v>
      </c>
      <c r="L385" t="n">
        <v>0</v>
      </c>
      <c r="M385" t="n">
        <v>0</v>
      </c>
      <c r="N385" t="n">
        <v>0</v>
      </c>
      <c r="O385" t="n">
        <v>0</v>
      </c>
      <c r="P385" t="n">
        <v>0</v>
      </c>
      <c r="Q385" t="n">
        <v>0</v>
      </c>
      <c r="R385" s="2" t="inlineStr"/>
    </row>
    <row r="386" ht="15" customHeight="1">
      <c r="A386" t="inlineStr">
        <is>
          <t>A 29489-2020</t>
        </is>
      </c>
      <c r="B386" s="1" t="n">
        <v>44004</v>
      </c>
      <c r="C386" s="1" t="n">
        <v>45361</v>
      </c>
      <c r="D386" t="inlineStr">
        <is>
          <t>JÄMTLANDS LÄN</t>
        </is>
      </c>
      <c r="E386" t="inlineStr">
        <is>
          <t>BRÄCKE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29863-2020</t>
        </is>
      </c>
      <c r="B387" s="1" t="n">
        <v>44005</v>
      </c>
      <c r="C387" s="1" t="n">
        <v>45361</v>
      </c>
      <c r="D387" t="inlineStr">
        <is>
          <t>JÄMTLANDS LÄN</t>
        </is>
      </c>
      <c r="E387" t="inlineStr">
        <is>
          <t>BRÄCKE</t>
        </is>
      </c>
      <c r="G387" t="n">
        <v>2.2</v>
      </c>
      <c r="H387" t="n">
        <v>0</v>
      </c>
      <c r="I387" t="n">
        <v>0</v>
      </c>
      <c r="J387" t="n">
        <v>0</v>
      </c>
      <c r="K387" t="n">
        <v>0</v>
      </c>
      <c r="L387" t="n">
        <v>0</v>
      </c>
      <c r="M387" t="n">
        <v>0</v>
      </c>
      <c r="N387" t="n">
        <v>0</v>
      </c>
      <c r="O387" t="n">
        <v>0</v>
      </c>
      <c r="P387" t="n">
        <v>0</v>
      </c>
      <c r="Q387" t="n">
        <v>0</v>
      </c>
      <c r="R387" s="2" t="inlineStr"/>
    </row>
    <row r="388" ht="15" customHeight="1">
      <c r="A388" t="inlineStr">
        <is>
          <t>A 30471-2020</t>
        </is>
      </c>
      <c r="B388" s="1" t="n">
        <v>44007</v>
      </c>
      <c r="C388" s="1" t="n">
        <v>45361</v>
      </c>
      <c r="D388" t="inlineStr">
        <is>
          <t>JÄMTLANDS LÄN</t>
        </is>
      </c>
      <c r="E388" t="inlineStr">
        <is>
          <t>BRÄCKE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30474-2020</t>
        </is>
      </c>
      <c r="B389" s="1" t="n">
        <v>44007</v>
      </c>
      <c r="C389" s="1" t="n">
        <v>45361</v>
      </c>
      <c r="D389" t="inlineStr">
        <is>
          <t>JÄMTLANDS LÄN</t>
        </is>
      </c>
      <c r="E389" t="inlineStr">
        <is>
          <t>BRÄCKE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30475-2020</t>
        </is>
      </c>
      <c r="B390" s="1" t="n">
        <v>44007</v>
      </c>
      <c r="C390" s="1" t="n">
        <v>45361</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30472-2020</t>
        </is>
      </c>
      <c r="B391" s="1" t="n">
        <v>44007</v>
      </c>
      <c r="C391" s="1" t="n">
        <v>45361</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31021-2020</t>
        </is>
      </c>
      <c r="B392" s="1" t="n">
        <v>44011</v>
      </c>
      <c r="C392" s="1" t="n">
        <v>45361</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31448-2020</t>
        </is>
      </c>
      <c r="B393" s="1" t="n">
        <v>44012</v>
      </c>
      <c r="C393" s="1" t="n">
        <v>45361</v>
      </c>
      <c r="D393" t="inlineStr">
        <is>
          <t>JÄMTLANDS LÄN</t>
        </is>
      </c>
      <c r="E393" t="inlineStr">
        <is>
          <t>BRÄCKE</t>
        </is>
      </c>
      <c r="G393" t="n">
        <v>4.5</v>
      </c>
      <c r="H393" t="n">
        <v>0</v>
      </c>
      <c r="I393" t="n">
        <v>0</v>
      </c>
      <c r="J393" t="n">
        <v>0</v>
      </c>
      <c r="K393" t="n">
        <v>0</v>
      </c>
      <c r="L393" t="n">
        <v>0</v>
      </c>
      <c r="M393" t="n">
        <v>0</v>
      </c>
      <c r="N393" t="n">
        <v>0</v>
      </c>
      <c r="O393" t="n">
        <v>0</v>
      </c>
      <c r="P393" t="n">
        <v>0</v>
      </c>
      <c r="Q393" t="n">
        <v>0</v>
      </c>
      <c r="R393" s="2" t="inlineStr"/>
    </row>
    <row r="394" ht="15" customHeight="1">
      <c r="A394" t="inlineStr">
        <is>
          <t>A 31602-2020</t>
        </is>
      </c>
      <c r="B394" s="1" t="n">
        <v>44013</v>
      </c>
      <c r="C394" s="1" t="n">
        <v>45361</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32272-2020</t>
        </is>
      </c>
      <c r="B395" s="1" t="n">
        <v>44015</v>
      </c>
      <c r="C395" s="1" t="n">
        <v>45361</v>
      </c>
      <c r="D395" t="inlineStr">
        <is>
          <t>JÄMTLANDS LÄN</t>
        </is>
      </c>
      <c r="E395" t="inlineStr">
        <is>
          <t>BRÄCKE</t>
        </is>
      </c>
      <c r="G395" t="n">
        <v>2.5</v>
      </c>
      <c r="H395" t="n">
        <v>0</v>
      </c>
      <c r="I395" t="n">
        <v>0</v>
      </c>
      <c r="J395" t="n">
        <v>0</v>
      </c>
      <c r="K395" t="n">
        <v>0</v>
      </c>
      <c r="L395" t="n">
        <v>0</v>
      </c>
      <c r="M395" t="n">
        <v>0</v>
      </c>
      <c r="N395" t="n">
        <v>0</v>
      </c>
      <c r="O395" t="n">
        <v>0</v>
      </c>
      <c r="P395" t="n">
        <v>0</v>
      </c>
      <c r="Q395" t="n">
        <v>0</v>
      </c>
      <c r="R395" s="2" t="inlineStr"/>
    </row>
    <row r="396" ht="15" customHeight="1">
      <c r="A396" t="inlineStr">
        <is>
          <t>A 32710-2020</t>
        </is>
      </c>
      <c r="B396" s="1" t="n">
        <v>44018</v>
      </c>
      <c r="C396" s="1" t="n">
        <v>45361</v>
      </c>
      <c r="D396" t="inlineStr">
        <is>
          <t>JÄMTLANDS LÄN</t>
        </is>
      </c>
      <c r="E396" t="inlineStr">
        <is>
          <t>BRÄCKE</t>
        </is>
      </c>
      <c r="G396" t="n">
        <v>1.9</v>
      </c>
      <c r="H396" t="n">
        <v>0</v>
      </c>
      <c r="I396" t="n">
        <v>0</v>
      </c>
      <c r="J396" t="n">
        <v>0</v>
      </c>
      <c r="K396" t="n">
        <v>0</v>
      </c>
      <c r="L396" t="n">
        <v>0</v>
      </c>
      <c r="M396" t="n">
        <v>0</v>
      </c>
      <c r="N396" t="n">
        <v>0</v>
      </c>
      <c r="O396" t="n">
        <v>0</v>
      </c>
      <c r="P396" t="n">
        <v>0</v>
      </c>
      <c r="Q396" t="n">
        <v>0</v>
      </c>
      <c r="R396" s="2" t="inlineStr"/>
    </row>
    <row r="397" ht="15" customHeight="1">
      <c r="A397" t="inlineStr">
        <is>
          <t>A 33198-2020</t>
        </is>
      </c>
      <c r="B397" s="1" t="n">
        <v>44021</v>
      </c>
      <c r="C397" s="1" t="n">
        <v>45361</v>
      </c>
      <c r="D397" t="inlineStr">
        <is>
          <t>JÄMTLANDS LÄN</t>
        </is>
      </c>
      <c r="E397" t="inlineStr">
        <is>
          <t>BRÄCKE</t>
        </is>
      </c>
      <c r="G397" t="n">
        <v>3.2</v>
      </c>
      <c r="H397" t="n">
        <v>0</v>
      </c>
      <c r="I397" t="n">
        <v>0</v>
      </c>
      <c r="J397" t="n">
        <v>0</v>
      </c>
      <c r="K397" t="n">
        <v>0</v>
      </c>
      <c r="L397" t="n">
        <v>0</v>
      </c>
      <c r="M397" t="n">
        <v>0</v>
      </c>
      <c r="N397" t="n">
        <v>0</v>
      </c>
      <c r="O397" t="n">
        <v>0</v>
      </c>
      <c r="P397" t="n">
        <v>0</v>
      </c>
      <c r="Q397" t="n">
        <v>0</v>
      </c>
      <c r="R397" s="2" t="inlineStr"/>
    </row>
    <row r="398" ht="15" customHeight="1">
      <c r="A398" t="inlineStr">
        <is>
          <t>A 34660-2020</t>
        </is>
      </c>
      <c r="B398" s="1" t="n">
        <v>44034</v>
      </c>
      <c r="C398" s="1" t="n">
        <v>45361</v>
      </c>
      <c r="D398" t="inlineStr">
        <is>
          <t>JÄMTLANDS LÄN</t>
        </is>
      </c>
      <c r="E398" t="inlineStr">
        <is>
          <t>BRÄCKE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34659-2020</t>
        </is>
      </c>
      <c r="B399" s="1" t="n">
        <v>44034</v>
      </c>
      <c r="C399" s="1" t="n">
        <v>45361</v>
      </c>
      <c r="D399" t="inlineStr">
        <is>
          <t>JÄMTLANDS LÄN</t>
        </is>
      </c>
      <c r="E399" t="inlineStr">
        <is>
          <t>BRÄCKE</t>
        </is>
      </c>
      <c r="G399" t="n">
        <v>4.7</v>
      </c>
      <c r="H399" t="n">
        <v>0</v>
      </c>
      <c r="I399" t="n">
        <v>0</v>
      </c>
      <c r="J399" t="n">
        <v>0</v>
      </c>
      <c r="K399" t="n">
        <v>0</v>
      </c>
      <c r="L399" t="n">
        <v>0</v>
      </c>
      <c r="M399" t="n">
        <v>0</v>
      </c>
      <c r="N399" t="n">
        <v>0</v>
      </c>
      <c r="O399" t="n">
        <v>0</v>
      </c>
      <c r="P399" t="n">
        <v>0</v>
      </c>
      <c r="Q399" t="n">
        <v>0</v>
      </c>
      <c r="R399" s="2" t="inlineStr"/>
    </row>
    <row r="400" ht="15" customHeight="1">
      <c r="A400" t="inlineStr">
        <is>
          <t>A 34870-2020</t>
        </is>
      </c>
      <c r="B400" s="1" t="n">
        <v>44036</v>
      </c>
      <c r="C400" s="1" t="n">
        <v>45361</v>
      </c>
      <c r="D400" t="inlineStr">
        <is>
          <t>JÄMTLANDS LÄN</t>
        </is>
      </c>
      <c r="E400" t="inlineStr">
        <is>
          <t>BRÄCKE</t>
        </is>
      </c>
      <c r="G400" t="n">
        <v>3.2</v>
      </c>
      <c r="H400" t="n">
        <v>0</v>
      </c>
      <c r="I400" t="n">
        <v>0</v>
      </c>
      <c r="J400" t="n">
        <v>0</v>
      </c>
      <c r="K400" t="n">
        <v>0</v>
      </c>
      <c r="L400" t="n">
        <v>0</v>
      </c>
      <c r="M400" t="n">
        <v>0</v>
      </c>
      <c r="N400" t="n">
        <v>0</v>
      </c>
      <c r="O400" t="n">
        <v>0</v>
      </c>
      <c r="P400" t="n">
        <v>0</v>
      </c>
      <c r="Q400" t="n">
        <v>0</v>
      </c>
      <c r="R400" s="2" t="inlineStr"/>
    </row>
    <row r="401" ht="15" customHeight="1">
      <c r="A401" t="inlineStr">
        <is>
          <t>A 35250-2020</t>
        </is>
      </c>
      <c r="B401" s="1" t="n">
        <v>44041</v>
      </c>
      <c r="C401" s="1" t="n">
        <v>45361</v>
      </c>
      <c r="D401" t="inlineStr">
        <is>
          <t>JÄMTLANDS LÄN</t>
        </is>
      </c>
      <c r="E401" t="inlineStr">
        <is>
          <t>BRÄCKE</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35364-2020</t>
        </is>
      </c>
      <c r="B402" s="1" t="n">
        <v>44041</v>
      </c>
      <c r="C402" s="1" t="n">
        <v>45361</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35423-2020</t>
        </is>
      </c>
      <c r="B403" s="1" t="n">
        <v>44042</v>
      </c>
      <c r="C403" s="1" t="n">
        <v>45361</v>
      </c>
      <c r="D403" t="inlineStr">
        <is>
          <t>JÄMTLANDS LÄN</t>
        </is>
      </c>
      <c r="E403" t="inlineStr">
        <is>
          <t>BRÄCKE</t>
        </is>
      </c>
      <c r="G403" t="n">
        <v>13.2</v>
      </c>
      <c r="H403" t="n">
        <v>0</v>
      </c>
      <c r="I403" t="n">
        <v>0</v>
      </c>
      <c r="J403" t="n">
        <v>0</v>
      </c>
      <c r="K403" t="n">
        <v>0</v>
      </c>
      <c r="L403" t="n">
        <v>0</v>
      </c>
      <c r="M403" t="n">
        <v>0</v>
      </c>
      <c r="N403" t="n">
        <v>0</v>
      </c>
      <c r="O403" t="n">
        <v>0</v>
      </c>
      <c r="P403" t="n">
        <v>0</v>
      </c>
      <c r="Q403" t="n">
        <v>0</v>
      </c>
      <c r="R403" s="2" t="inlineStr"/>
    </row>
    <row r="404" ht="15" customHeight="1">
      <c r="A404" t="inlineStr">
        <is>
          <t>A 35799-2020</t>
        </is>
      </c>
      <c r="B404" s="1" t="n">
        <v>44046</v>
      </c>
      <c r="C404" s="1" t="n">
        <v>45361</v>
      </c>
      <c r="D404" t="inlineStr">
        <is>
          <t>JÄMTLANDS LÄN</t>
        </is>
      </c>
      <c r="E404" t="inlineStr">
        <is>
          <t>BRÄCKE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35801-2020</t>
        </is>
      </c>
      <c r="B405" s="1" t="n">
        <v>44046</v>
      </c>
      <c r="C405" s="1" t="n">
        <v>45361</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35800-2020</t>
        </is>
      </c>
      <c r="B406" s="1" t="n">
        <v>44046</v>
      </c>
      <c r="C406" s="1" t="n">
        <v>45361</v>
      </c>
      <c r="D406" t="inlineStr">
        <is>
          <t>JÄMTLANDS LÄN</t>
        </is>
      </c>
      <c r="E406" t="inlineStr">
        <is>
          <t>BRÄCKE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35808-2020</t>
        </is>
      </c>
      <c r="B407" s="1" t="n">
        <v>44046</v>
      </c>
      <c r="C407" s="1" t="n">
        <v>45361</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36671-2020</t>
        </is>
      </c>
      <c r="B408" s="1" t="n">
        <v>44050</v>
      </c>
      <c r="C408" s="1" t="n">
        <v>45361</v>
      </c>
      <c r="D408" t="inlineStr">
        <is>
          <t>JÄMTLANDS LÄN</t>
        </is>
      </c>
      <c r="E408" t="inlineStr">
        <is>
          <t>BRÄCKE</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36661-2020</t>
        </is>
      </c>
      <c r="B409" s="1" t="n">
        <v>44050</v>
      </c>
      <c r="C409" s="1" t="n">
        <v>45361</v>
      </c>
      <c r="D409" t="inlineStr">
        <is>
          <t>JÄMTLANDS LÄN</t>
        </is>
      </c>
      <c r="E409" t="inlineStr">
        <is>
          <t>BRÄCKE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36971-2020</t>
        </is>
      </c>
      <c r="B410" s="1" t="n">
        <v>44053</v>
      </c>
      <c r="C410" s="1" t="n">
        <v>45361</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37236-2020</t>
        </is>
      </c>
      <c r="B411" s="1" t="n">
        <v>44055</v>
      </c>
      <c r="C411" s="1" t="n">
        <v>45361</v>
      </c>
      <c r="D411" t="inlineStr">
        <is>
          <t>JÄMTLANDS LÄN</t>
        </is>
      </c>
      <c r="E411" t="inlineStr">
        <is>
          <t>BRÄCKE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37229-2020</t>
        </is>
      </c>
      <c r="B412" s="1" t="n">
        <v>44054</v>
      </c>
      <c r="C412" s="1" t="n">
        <v>45361</v>
      </c>
      <c r="D412" t="inlineStr">
        <is>
          <t>JÄMTLANDS LÄN</t>
        </is>
      </c>
      <c r="E412" t="inlineStr">
        <is>
          <t>BRÄCKE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38084-2020</t>
        </is>
      </c>
      <c r="B413" s="1" t="n">
        <v>44057</v>
      </c>
      <c r="C413" s="1" t="n">
        <v>45361</v>
      </c>
      <c r="D413" t="inlineStr">
        <is>
          <t>JÄMTLANDS LÄN</t>
        </is>
      </c>
      <c r="E413" t="inlineStr">
        <is>
          <t>BRÄCKE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38082-2020</t>
        </is>
      </c>
      <c r="B414" s="1" t="n">
        <v>44057</v>
      </c>
      <c r="C414" s="1" t="n">
        <v>45361</v>
      </c>
      <c r="D414" t="inlineStr">
        <is>
          <t>JÄMTLANDS LÄN</t>
        </is>
      </c>
      <c r="E414" t="inlineStr">
        <is>
          <t>BRÄCKE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38101-2020</t>
        </is>
      </c>
      <c r="B415" s="1" t="n">
        <v>44057</v>
      </c>
      <c r="C415" s="1" t="n">
        <v>45361</v>
      </c>
      <c r="D415" t="inlineStr">
        <is>
          <t>JÄMTLANDS LÄN</t>
        </is>
      </c>
      <c r="E415" t="inlineStr">
        <is>
          <t>BRÄCKE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38105-2020</t>
        </is>
      </c>
      <c r="B416" s="1" t="n">
        <v>44057</v>
      </c>
      <c r="C416" s="1" t="n">
        <v>45361</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38459-2020</t>
        </is>
      </c>
      <c r="B417" s="1" t="n">
        <v>44060</v>
      </c>
      <c r="C417" s="1" t="n">
        <v>45361</v>
      </c>
      <c r="D417" t="inlineStr">
        <is>
          <t>JÄMTLANDS LÄN</t>
        </is>
      </c>
      <c r="E417" t="inlineStr">
        <is>
          <t>BRÄCKE</t>
        </is>
      </c>
      <c r="G417" t="n">
        <v>4.9</v>
      </c>
      <c r="H417" t="n">
        <v>0</v>
      </c>
      <c r="I417" t="n">
        <v>0</v>
      </c>
      <c r="J417" t="n">
        <v>0</v>
      </c>
      <c r="K417" t="n">
        <v>0</v>
      </c>
      <c r="L417" t="n">
        <v>0</v>
      </c>
      <c r="M417" t="n">
        <v>0</v>
      </c>
      <c r="N417" t="n">
        <v>0</v>
      </c>
      <c r="O417" t="n">
        <v>0</v>
      </c>
      <c r="P417" t="n">
        <v>0</v>
      </c>
      <c r="Q417" t="n">
        <v>0</v>
      </c>
      <c r="R417" s="2" t="inlineStr"/>
    </row>
    <row r="418" ht="15" customHeight="1">
      <c r="A418" t="inlineStr">
        <is>
          <t>A 38787-2020</t>
        </is>
      </c>
      <c r="B418" s="1" t="n">
        <v>44061</v>
      </c>
      <c r="C418" s="1" t="n">
        <v>45361</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39053-2020</t>
        </is>
      </c>
      <c r="B419" s="1" t="n">
        <v>44062</v>
      </c>
      <c r="C419" s="1" t="n">
        <v>45361</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39043-2020</t>
        </is>
      </c>
      <c r="B420" s="1" t="n">
        <v>44062</v>
      </c>
      <c r="C420" s="1" t="n">
        <v>45361</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39052-2020</t>
        </is>
      </c>
      <c r="B421" s="1" t="n">
        <v>44062</v>
      </c>
      <c r="C421" s="1" t="n">
        <v>45361</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39350-2020</t>
        </is>
      </c>
      <c r="B422" s="1" t="n">
        <v>44063</v>
      </c>
      <c r="C422" s="1" t="n">
        <v>45361</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39337-2020</t>
        </is>
      </c>
      <c r="B423" s="1" t="n">
        <v>44063</v>
      </c>
      <c r="C423" s="1" t="n">
        <v>45361</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39351-2020</t>
        </is>
      </c>
      <c r="B424" s="1" t="n">
        <v>44063</v>
      </c>
      <c r="C424" s="1" t="n">
        <v>45361</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39998-2020</t>
        </is>
      </c>
      <c r="B425" s="1" t="n">
        <v>44067</v>
      </c>
      <c r="C425" s="1" t="n">
        <v>45361</v>
      </c>
      <c r="D425" t="inlineStr">
        <is>
          <t>JÄMTLANDS LÄN</t>
        </is>
      </c>
      <c r="E425" t="inlineStr">
        <is>
          <t>BRÄCKE</t>
        </is>
      </c>
      <c r="G425" t="n">
        <v>3.9</v>
      </c>
      <c r="H425" t="n">
        <v>0</v>
      </c>
      <c r="I425" t="n">
        <v>0</v>
      </c>
      <c r="J425" t="n">
        <v>0</v>
      </c>
      <c r="K425" t="n">
        <v>0</v>
      </c>
      <c r="L425" t="n">
        <v>0</v>
      </c>
      <c r="M425" t="n">
        <v>0</v>
      </c>
      <c r="N425" t="n">
        <v>0</v>
      </c>
      <c r="O425" t="n">
        <v>0</v>
      </c>
      <c r="P425" t="n">
        <v>0</v>
      </c>
      <c r="Q425" t="n">
        <v>0</v>
      </c>
      <c r="R425" s="2" t="inlineStr"/>
    </row>
    <row r="426" ht="15" customHeight="1">
      <c r="A426" t="inlineStr">
        <is>
          <t>A 40057-2020</t>
        </is>
      </c>
      <c r="B426" s="1" t="n">
        <v>44068</v>
      </c>
      <c r="C426" s="1" t="n">
        <v>45361</v>
      </c>
      <c r="D426" t="inlineStr">
        <is>
          <t>JÄMTLANDS LÄN</t>
        </is>
      </c>
      <c r="E426" t="inlineStr">
        <is>
          <t>BRÄCKE</t>
        </is>
      </c>
      <c r="G426" t="n">
        <v>25.5</v>
      </c>
      <c r="H426" t="n">
        <v>0</v>
      </c>
      <c r="I426" t="n">
        <v>0</v>
      </c>
      <c r="J426" t="n">
        <v>0</v>
      </c>
      <c r="K426" t="n">
        <v>0</v>
      </c>
      <c r="L426" t="n">
        <v>0</v>
      </c>
      <c r="M426" t="n">
        <v>0</v>
      </c>
      <c r="N426" t="n">
        <v>0</v>
      </c>
      <c r="O426" t="n">
        <v>0</v>
      </c>
      <c r="P426" t="n">
        <v>0</v>
      </c>
      <c r="Q426" t="n">
        <v>0</v>
      </c>
      <c r="R426" s="2" t="inlineStr"/>
    </row>
    <row r="427" ht="15" customHeight="1">
      <c r="A427" t="inlineStr">
        <is>
          <t>A 40083-2020</t>
        </is>
      </c>
      <c r="B427" s="1" t="n">
        <v>44067</v>
      </c>
      <c r="C427" s="1" t="n">
        <v>45361</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40387-2020</t>
        </is>
      </c>
      <c r="B428" s="1" t="n">
        <v>44068</v>
      </c>
      <c r="C428" s="1" t="n">
        <v>45361</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41025-2020</t>
        </is>
      </c>
      <c r="B429" s="1" t="n">
        <v>44071</v>
      </c>
      <c r="C429" s="1" t="n">
        <v>45361</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41352-2020</t>
        </is>
      </c>
      <c r="B430" s="1" t="n">
        <v>44071</v>
      </c>
      <c r="C430" s="1" t="n">
        <v>45361</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41349-2020</t>
        </is>
      </c>
      <c r="B431" s="1" t="n">
        <v>44071</v>
      </c>
      <c r="C431" s="1" t="n">
        <v>45361</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42204-2020</t>
        </is>
      </c>
      <c r="B432" s="1" t="n">
        <v>44075</v>
      </c>
      <c r="C432" s="1" t="n">
        <v>45361</v>
      </c>
      <c r="D432" t="inlineStr">
        <is>
          <t>JÄMTLANDS LÄN</t>
        </is>
      </c>
      <c r="E432" t="inlineStr">
        <is>
          <t>BRÄCKE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42203-2020</t>
        </is>
      </c>
      <c r="B433" s="1" t="n">
        <v>44075</v>
      </c>
      <c r="C433" s="1" t="n">
        <v>45361</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42202-2020</t>
        </is>
      </c>
      <c r="B434" s="1" t="n">
        <v>44075</v>
      </c>
      <c r="C434" s="1" t="n">
        <v>45361</v>
      </c>
      <c r="D434" t="inlineStr">
        <is>
          <t>JÄMTLANDS LÄN</t>
        </is>
      </c>
      <c r="E434" t="inlineStr">
        <is>
          <t>BRÄCKE</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42897-2020</t>
        </is>
      </c>
      <c r="B435" s="1" t="n">
        <v>44078</v>
      </c>
      <c r="C435" s="1" t="n">
        <v>45361</v>
      </c>
      <c r="D435" t="inlineStr">
        <is>
          <t>JÄMTLANDS LÄN</t>
        </is>
      </c>
      <c r="E435" t="inlineStr">
        <is>
          <t>BRÄCKE</t>
        </is>
      </c>
      <c r="G435" t="n">
        <v>12.9</v>
      </c>
      <c r="H435" t="n">
        <v>0</v>
      </c>
      <c r="I435" t="n">
        <v>0</v>
      </c>
      <c r="J435" t="n">
        <v>0</v>
      </c>
      <c r="K435" t="n">
        <v>0</v>
      </c>
      <c r="L435" t="n">
        <v>0</v>
      </c>
      <c r="M435" t="n">
        <v>0</v>
      </c>
      <c r="N435" t="n">
        <v>0</v>
      </c>
      <c r="O435" t="n">
        <v>0</v>
      </c>
      <c r="P435" t="n">
        <v>0</v>
      </c>
      <c r="Q435" t="n">
        <v>0</v>
      </c>
      <c r="R435" s="2" t="inlineStr"/>
    </row>
    <row r="436" ht="15" customHeight="1">
      <c r="A436" t="inlineStr">
        <is>
          <t>A 43070-2020</t>
        </is>
      </c>
      <c r="B436" s="1" t="n">
        <v>44078</v>
      </c>
      <c r="C436" s="1" t="n">
        <v>45361</v>
      </c>
      <c r="D436" t="inlineStr">
        <is>
          <t>JÄMTLANDS LÄN</t>
        </is>
      </c>
      <c r="E436" t="inlineStr">
        <is>
          <t>BRÄCKE</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43075-2020</t>
        </is>
      </c>
      <c r="B437" s="1" t="n">
        <v>44078</v>
      </c>
      <c r="C437" s="1" t="n">
        <v>45361</v>
      </c>
      <c r="D437" t="inlineStr">
        <is>
          <t>JÄMTLANDS LÄN</t>
        </is>
      </c>
      <c r="E437" t="inlineStr">
        <is>
          <t>BRÄCKE</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43085-2020</t>
        </is>
      </c>
      <c r="B438" s="1" t="n">
        <v>44078</v>
      </c>
      <c r="C438" s="1" t="n">
        <v>45361</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44065-2020</t>
        </is>
      </c>
      <c r="B439" s="1" t="n">
        <v>44083</v>
      </c>
      <c r="C439" s="1" t="n">
        <v>45361</v>
      </c>
      <c r="D439" t="inlineStr">
        <is>
          <t>JÄMTLANDS LÄN</t>
        </is>
      </c>
      <c r="E439" t="inlineStr">
        <is>
          <t>BRÄCKE</t>
        </is>
      </c>
      <c r="G439" t="n">
        <v>1.9</v>
      </c>
      <c r="H439" t="n">
        <v>0</v>
      </c>
      <c r="I439" t="n">
        <v>0</v>
      </c>
      <c r="J439" t="n">
        <v>0</v>
      </c>
      <c r="K439" t="n">
        <v>0</v>
      </c>
      <c r="L439" t="n">
        <v>0</v>
      </c>
      <c r="M439" t="n">
        <v>0</v>
      </c>
      <c r="N439" t="n">
        <v>0</v>
      </c>
      <c r="O439" t="n">
        <v>0</v>
      </c>
      <c r="P439" t="n">
        <v>0</v>
      </c>
      <c r="Q439" t="n">
        <v>0</v>
      </c>
      <c r="R439" s="2" t="inlineStr"/>
    </row>
    <row r="440" ht="15" customHeight="1">
      <c r="A440" t="inlineStr">
        <is>
          <t>A 44218-2020</t>
        </is>
      </c>
      <c r="B440" s="1" t="n">
        <v>44084</v>
      </c>
      <c r="C440" s="1" t="n">
        <v>45361</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44908-2020</t>
        </is>
      </c>
      <c r="B441" s="1" t="n">
        <v>44088</v>
      </c>
      <c r="C441" s="1" t="n">
        <v>45361</v>
      </c>
      <c r="D441" t="inlineStr">
        <is>
          <t>JÄMTLANDS LÄN</t>
        </is>
      </c>
      <c r="E441" t="inlineStr">
        <is>
          <t>BRÄCKE</t>
        </is>
      </c>
      <c r="G441" t="n">
        <v>6.1</v>
      </c>
      <c r="H441" t="n">
        <v>0</v>
      </c>
      <c r="I441" t="n">
        <v>0</v>
      </c>
      <c r="J441" t="n">
        <v>0</v>
      </c>
      <c r="K441" t="n">
        <v>0</v>
      </c>
      <c r="L441" t="n">
        <v>0</v>
      </c>
      <c r="M441" t="n">
        <v>0</v>
      </c>
      <c r="N441" t="n">
        <v>0</v>
      </c>
      <c r="O441" t="n">
        <v>0</v>
      </c>
      <c r="P441" t="n">
        <v>0</v>
      </c>
      <c r="Q441" t="n">
        <v>0</v>
      </c>
      <c r="R441" s="2" t="inlineStr"/>
    </row>
    <row r="442" ht="15" customHeight="1">
      <c r="A442" t="inlineStr">
        <is>
          <t>A 45832-2020</t>
        </is>
      </c>
      <c r="B442" s="1" t="n">
        <v>44090</v>
      </c>
      <c r="C442" s="1" t="n">
        <v>45361</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47838-2020</t>
        </is>
      </c>
      <c r="B443" s="1" t="n">
        <v>44098</v>
      </c>
      <c r="C443" s="1" t="n">
        <v>45361</v>
      </c>
      <c r="D443" t="inlineStr">
        <is>
          <t>JÄMTLANDS LÄN</t>
        </is>
      </c>
      <c r="E443" t="inlineStr">
        <is>
          <t>BRÄCKE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47864-2020</t>
        </is>
      </c>
      <c r="B444" s="1" t="n">
        <v>44098</v>
      </c>
      <c r="C444" s="1" t="n">
        <v>45361</v>
      </c>
      <c r="D444" t="inlineStr">
        <is>
          <t>JÄMTLANDS LÄN</t>
        </is>
      </c>
      <c r="E444" t="inlineStr">
        <is>
          <t>BRÄCKE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48667-2020</t>
        </is>
      </c>
      <c r="B445" s="1" t="n">
        <v>44098</v>
      </c>
      <c r="C445" s="1" t="n">
        <v>45361</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49212-2020</t>
        </is>
      </c>
      <c r="B446" s="1" t="n">
        <v>44099</v>
      </c>
      <c r="C446" s="1" t="n">
        <v>45361</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48479-2020</t>
        </is>
      </c>
      <c r="B447" s="1" t="n">
        <v>44103</v>
      </c>
      <c r="C447" s="1" t="n">
        <v>45361</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48799-2020</t>
        </is>
      </c>
      <c r="B448" s="1" t="n">
        <v>44103</v>
      </c>
      <c r="C448" s="1" t="n">
        <v>45361</v>
      </c>
      <c r="D448" t="inlineStr">
        <is>
          <t>JÄMTLANDS LÄN</t>
        </is>
      </c>
      <c r="E448" t="inlineStr">
        <is>
          <t>BRÄCKE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49164-2020</t>
        </is>
      </c>
      <c r="B449" s="1" t="n">
        <v>44104</v>
      </c>
      <c r="C449" s="1" t="n">
        <v>45361</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50983-2020</t>
        </is>
      </c>
      <c r="B450" s="1" t="n">
        <v>44111</v>
      </c>
      <c r="C450" s="1" t="n">
        <v>45361</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50981-2020</t>
        </is>
      </c>
      <c r="B451" s="1" t="n">
        <v>44111</v>
      </c>
      <c r="C451" s="1" t="n">
        <v>45361</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53176-2020</t>
        </is>
      </c>
      <c r="B452" s="1" t="n">
        <v>44120</v>
      </c>
      <c r="C452" s="1" t="n">
        <v>45361</v>
      </c>
      <c r="D452" t="inlineStr">
        <is>
          <t>JÄMTLANDS LÄN</t>
        </is>
      </c>
      <c r="E452" t="inlineStr">
        <is>
          <t>BRÄCKE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53196-2020</t>
        </is>
      </c>
      <c r="B453" s="1" t="n">
        <v>44122</v>
      </c>
      <c r="C453" s="1" t="n">
        <v>45361</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53826-2020</t>
        </is>
      </c>
      <c r="B454" s="1" t="n">
        <v>44124</v>
      </c>
      <c r="C454" s="1" t="n">
        <v>45361</v>
      </c>
      <c r="D454" t="inlineStr">
        <is>
          <t>JÄMTLANDS LÄN</t>
        </is>
      </c>
      <c r="E454" t="inlineStr">
        <is>
          <t>BRÄCKE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53839-2020</t>
        </is>
      </c>
      <c r="B455" s="1" t="n">
        <v>44124</v>
      </c>
      <c r="C455" s="1" t="n">
        <v>45361</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54587-2020</t>
        </is>
      </c>
      <c r="B456" s="1" t="n">
        <v>44126</v>
      </c>
      <c r="C456" s="1" t="n">
        <v>45361</v>
      </c>
      <c r="D456" t="inlineStr">
        <is>
          <t>JÄMTLANDS LÄN</t>
        </is>
      </c>
      <c r="E456" t="inlineStr">
        <is>
          <t>BRÄCKE</t>
        </is>
      </c>
      <c r="F456" t="inlineStr">
        <is>
          <t>SCA</t>
        </is>
      </c>
      <c r="G456" t="n">
        <v>24.9</v>
      </c>
      <c r="H456" t="n">
        <v>0</v>
      </c>
      <c r="I456" t="n">
        <v>0</v>
      </c>
      <c r="J456" t="n">
        <v>0</v>
      </c>
      <c r="K456" t="n">
        <v>0</v>
      </c>
      <c r="L456" t="n">
        <v>0</v>
      </c>
      <c r="M456" t="n">
        <v>0</v>
      </c>
      <c r="N456" t="n">
        <v>0</v>
      </c>
      <c r="O456" t="n">
        <v>0</v>
      </c>
      <c r="P456" t="n">
        <v>0</v>
      </c>
      <c r="Q456" t="n">
        <v>0</v>
      </c>
      <c r="R456" s="2" t="inlineStr"/>
    </row>
    <row r="457" ht="15" customHeight="1">
      <c r="A457" t="inlineStr">
        <is>
          <t>A 55340-2020</t>
        </is>
      </c>
      <c r="B457" s="1" t="n">
        <v>44130</v>
      </c>
      <c r="C457" s="1" t="n">
        <v>45361</v>
      </c>
      <c r="D457" t="inlineStr">
        <is>
          <t>JÄMTLANDS LÄN</t>
        </is>
      </c>
      <c r="E457" t="inlineStr">
        <is>
          <t>BRÄCKE</t>
        </is>
      </c>
      <c r="F457" t="inlineStr">
        <is>
          <t>SCA</t>
        </is>
      </c>
      <c r="G457" t="n">
        <v>13.5</v>
      </c>
      <c r="H457" t="n">
        <v>0</v>
      </c>
      <c r="I457" t="n">
        <v>0</v>
      </c>
      <c r="J457" t="n">
        <v>0</v>
      </c>
      <c r="K457" t="n">
        <v>0</v>
      </c>
      <c r="L457" t="n">
        <v>0</v>
      </c>
      <c r="M457" t="n">
        <v>0</v>
      </c>
      <c r="N457" t="n">
        <v>0</v>
      </c>
      <c r="O457" t="n">
        <v>0</v>
      </c>
      <c r="P457" t="n">
        <v>0</v>
      </c>
      <c r="Q457" t="n">
        <v>0</v>
      </c>
      <c r="R457" s="2" t="inlineStr"/>
    </row>
    <row r="458" ht="15" customHeight="1">
      <c r="A458" t="inlineStr">
        <is>
          <t>A 55655-2020</t>
        </is>
      </c>
      <c r="B458" s="1" t="n">
        <v>44131</v>
      </c>
      <c r="C458" s="1" t="n">
        <v>45361</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55658-2020</t>
        </is>
      </c>
      <c r="B459" s="1" t="n">
        <v>44131</v>
      </c>
      <c r="C459" s="1" t="n">
        <v>45361</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55654-2020</t>
        </is>
      </c>
      <c r="B460" s="1" t="n">
        <v>44131</v>
      </c>
      <c r="C460" s="1" t="n">
        <v>45361</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55657-2020</t>
        </is>
      </c>
      <c r="B461" s="1" t="n">
        <v>44131</v>
      </c>
      <c r="C461" s="1" t="n">
        <v>45361</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56416-2020</t>
        </is>
      </c>
      <c r="B462" s="1" t="n">
        <v>44137</v>
      </c>
      <c r="C462" s="1" t="n">
        <v>45361</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56598-2020</t>
        </is>
      </c>
      <c r="B463" s="1" t="n">
        <v>44137</v>
      </c>
      <c r="C463" s="1" t="n">
        <v>45361</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56758-2020</t>
        </is>
      </c>
      <c r="B464" s="1" t="n">
        <v>44137</v>
      </c>
      <c r="C464" s="1" t="n">
        <v>45361</v>
      </c>
      <c r="D464" t="inlineStr">
        <is>
          <t>JÄMTLANDS LÄN</t>
        </is>
      </c>
      <c r="E464" t="inlineStr">
        <is>
          <t>BRÄCKE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56777-2020</t>
        </is>
      </c>
      <c r="B465" s="1" t="n">
        <v>44137</v>
      </c>
      <c r="C465" s="1" t="n">
        <v>45361</v>
      </c>
      <c r="D465" t="inlineStr">
        <is>
          <t>JÄMTLANDS LÄN</t>
        </is>
      </c>
      <c r="E465" t="inlineStr">
        <is>
          <t>BRÄCKE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56782-2020</t>
        </is>
      </c>
      <c r="B466" s="1" t="n">
        <v>44137</v>
      </c>
      <c r="C466" s="1" t="n">
        <v>45361</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56773-2020</t>
        </is>
      </c>
      <c r="B467" s="1" t="n">
        <v>44137</v>
      </c>
      <c r="C467" s="1" t="n">
        <v>45361</v>
      </c>
      <c r="D467" t="inlineStr">
        <is>
          <t>JÄMTLANDS LÄN</t>
        </is>
      </c>
      <c r="E467" t="inlineStr">
        <is>
          <t>BRÄCKE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56778-2020</t>
        </is>
      </c>
      <c r="B468" s="1" t="n">
        <v>44137</v>
      </c>
      <c r="C468" s="1" t="n">
        <v>45361</v>
      </c>
      <c r="D468" t="inlineStr">
        <is>
          <t>JÄMTLANDS LÄN</t>
        </is>
      </c>
      <c r="E468" t="inlineStr">
        <is>
          <t>BRÄCKE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56776-2020</t>
        </is>
      </c>
      <c r="B469" s="1" t="n">
        <v>44137</v>
      </c>
      <c r="C469" s="1" t="n">
        <v>45361</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56781-2020</t>
        </is>
      </c>
      <c r="B470" s="1" t="n">
        <v>44137</v>
      </c>
      <c r="C470" s="1" t="n">
        <v>45361</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56774-2020</t>
        </is>
      </c>
      <c r="B471" s="1" t="n">
        <v>44137</v>
      </c>
      <c r="C471" s="1" t="n">
        <v>45361</v>
      </c>
      <c r="D471" t="inlineStr">
        <is>
          <t>JÄMTLANDS LÄN</t>
        </is>
      </c>
      <c r="E471" t="inlineStr">
        <is>
          <t>BRÄCKE</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56780-2020</t>
        </is>
      </c>
      <c r="B472" s="1" t="n">
        <v>44137</v>
      </c>
      <c r="C472" s="1" t="n">
        <v>45361</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57072-2020</t>
        </is>
      </c>
      <c r="B473" s="1" t="n">
        <v>44138</v>
      </c>
      <c r="C473" s="1" t="n">
        <v>45361</v>
      </c>
      <c r="D473" t="inlineStr">
        <is>
          <t>JÄMTLANDS LÄN</t>
        </is>
      </c>
      <c r="E473" t="inlineStr">
        <is>
          <t>BRÄCKE</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56938-2020</t>
        </is>
      </c>
      <c r="B474" s="1" t="n">
        <v>44138</v>
      </c>
      <c r="C474" s="1" t="n">
        <v>45361</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57073-2020</t>
        </is>
      </c>
      <c r="B475" s="1" t="n">
        <v>44138</v>
      </c>
      <c r="C475" s="1" t="n">
        <v>45361</v>
      </c>
      <c r="D475" t="inlineStr">
        <is>
          <t>JÄMTLANDS LÄN</t>
        </is>
      </c>
      <c r="E475" t="inlineStr">
        <is>
          <t>BRÄCKE</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57716-2020</t>
        </is>
      </c>
      <c r="B476" s="1" t="n">
        <v>44140</v>
      </c>
      <c r="C476" s="1" t="n">
        <v>45361</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59331-2020</t>
        </is>
      </c>
      <c r="B477" s="1" t="n">
        <v>44147</v>
      </c>
      <c r="C477" s="1" t="n">
        <v>45361</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59397-2020</t>
        </is>
      </c>
      <c r="B478" s="1" t="n">
        <v>44148</v>
      </c>
      <c r="C478" s="1" t="n">
        <v>45361</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61141-2020</t>
        </is>
      </c>
      <c r="B479" s="1" t="n">
        <v>44154</v>
      </c>
      <c r="C479" s="1" t="n">
        <v>45361</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61140-2020</t>
        </is>
      </c>
      <c r="B480" s="1" t="n">
        <v>44154</v>
      </c>
      <c r="C480" s="1" t="n">
        <v>45361</v>
      </c>
      <c r="D480" t="inlineStr">
        <is>
          <t>JÄMTLANDS LÄN</t>
        </is>
      </c>
      <c r="E480" t="inlineStr">
        <is>
          <t>BRÄCKE</t>
        </is>
      </c>
      <c r="G480" t="n">
        <v>0.9</v>
      </c>
      <c r="H480" t="n">
        <v>0</v>
      </c>
      <c r="I480" t="n">
        <v>0</v>
      </c>
      <c r="J480" t="n">
        <v>0</v>
      </c>
      <c r="K480" t="n">
        <v>0</v>
      </c>
      <c r="L480" t="n">
        <v>0</v>
      </c>
      <c r="M480" t="n">
        <v>0</v>
      </c>
      <c r="N480" t="n">
        <v>0</v>
      </c>
      <c r="O480" t="n">
        <v>0</v>
      </c>
      <c r="P480" t="n">
        <v>0</v>
      </c>
      <c r="Q480" t="n">
        <v>0</v>
      </c>
      <c r="R480" s="2" t="inlineStr"/>
    </row>
    <row r="481" ht="15" customHeight="1">
      <c r="A481" t="inlineStr">
        <is>
          <t>A 61144-2020</t>
        </is>
      </c>
      <c r="B481" s="1" t="n">
        <v>44154</v>
      </c>
      <c r="C481" s="1" t="n">
        <v>45361</v>
      </c>
      <c r="D481" t="inlineStr">
        <is>
          <t>JÄMTLANDS LÄN</t>
        </is>
      </c>
      <c r="E481" t="inlineStr">
        <is>
          <t>BRÄCKE</t>
        </is>
      </c>
      <c r="G481" t="n">
        <v>12.8</v>
      </c>
      <c r="H481" t="n">
        <v>0</v>
      </c>
      <c r="I481" t="n">
        <v>0</v>
      </c>
      <c r="J481" t="n">
        <v>0</v>
      </c>
      <c r="K481" t="n">
        <v>0</v>
      </c>
      <c r="L481" t="n">
        <v>0</v>
      </c>
      <c r="M481" t="n">
        <v>0</v>
      </c>
      <c r="N481" t="n">
        <v>0</v>
      </c>
      <c r="O481" t="n">
        <v>0</v>
      </c>
      <c r="P481" t="n">
        <v>0</v>
      </c>
      <c r="Q481" t="n">
        <v>0</v>
      </c>
      <c r="R481" s="2" t="inlineStr"/>
    </row>
    <row r="482" ht="15" customHeight="1">
      <c r="A482" t="inlineStr">
        <is>
          <t>A 61143-2020</t>
        </is>
      </c>
      <c r="B482" s="1" t="n">
        <v>44154</v>
      </c>
      <c r="C482" s="1" t="n">
        <v>45361</v>
      </c>
      <c r="D482" t="inlineStr">
        <is>
          <t>JÄMTLANDS LÄN</t>
        </is>
      </c>
      <c r="E482" t="inlineStr">
        <is>
          <t>BRÄCKE</t>
        </is>
      </c>
      <c r="G482" t="n">
        <v>12.6</v>
      </c>
      <c r="H482" t="n">
        <v>0</v>
      </c>
      <c r="I482" t="n">
        <v>0</v>
      </c>
      <c r="J482" t="n">
        <v>0</v>
      </c>
      <c r="K482" t="n">
        <v>0</v>
      </c>
      <c r="L482" t="n">
        <v>0</v>
      </c>
      <c r="M482" t="n">
        <v>0</v>
      </c>
      <c r="N482" t="n">
        <v>0</v>
      </c>
      <c r="O482" t="n">
        <v>0</v>
      </c>
      <c r="P482" t="n">
        <v>0</v>
      </c>
      <c r="Q482" t="n">
        <v>0</v>
      </c>
      <c r="R482" s="2" t="inlineStr"/>
    </row>
    <row r="483" ht="15" customHeight="1">
      <c r="A483" t="inlineStr">
        <is>
          <t>A 61602-2020</t>
        </is>
      </c>
      <c r="B483" s="1" t="n">
        <v>44158</v>
      </c>
      <c r="C483" s="1" t="n">
        <v>45361</v>
      </c>
      <c r="D483" t="inlineStr">
        <is>
          <t>JÄMTLANDS LÄN</t>
        </is>
      </c>
      <c r="E483" t="inlineStr">
        <is>
          <t>BRÄCKE</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61817-2020</t>
        </is>
      </c>
      <c r="B484" s="1" t="n">
        <v>44158</v>
      </c>
      <c r="C484" s="1" t="n">
        <v>45361</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62871-2020</t>
        </is>
      </c>
      <c r="B485" s="1" t="n">
        <v>44161</v>
      </c>
      <c r="C485" s="1" t="n">
        <v>45361</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62970-2020</t>
        </is>
      </c>
      <c r="B486" s="1" t="n">
        <v>44162</v>
      </c>
      <c r="C486" s="1" t="n">
        <v>45361</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64494-2020</t>
        </is>
      </c>
      <c r="B487" s="1" t="n">
        <v>44168</v>
      </c>
      <c r="C487" s="1" t="n">
        <v>45361</v>
      </c>
      <c r="D487" t="inlineStr">
        <is>
          <t>JÄMTLANDS LÄN</t>
        </is>
      </c>
      <c r="E487" t="inlineStr">
        <is>
          <t>BRÄCKE</t>
        </is>
      </c>
      <c r="G487" t="n">
        <v>4.4</v>
      </c>
      <c r="H487" t="n">
        <v>0</v>
      </c>
      <c r="I487" t="n">
        <v>0</v>
      </c>
      <c r="J487" t="n">
        <v>0</v>
      </c>
      <c r="K487" t="n">
        <v>0</v>
      </c>
      <c r="L487" t="n">
        <v>0</v>
      </c>
      <c r="M487" t="n">
        <v>0</v>
      </c>
      <c r="N487" t="n">
        <v>0</v>
      </c>
      <c r="O487" t="n">
        <v>0</v>
      </c>
      <c r="P487" t="n">
        <v>0</v>
      </c>
      <c r="Q487" t="n">
        <v>0</v>
      </c>
      <c r="R487" s="2" t="inlineStr"/>
    </row>
    <row r="488" ht="15" customHeight="1">
      <c r="A488" t="inlineStr">
        <is>
          <t>A 64495-2020</t>
        </is>
      </c>
      <c r="B488" s="1" t="n">
        <v>44168</v>
      </c>
      <c r="C488" s="1" t="n">
        <v>45361</v>
      </c>
      <c r="D488" t="inlineStr">
        <is>
          <t>JÄMTLANDS LÄN</t>
        </is>
      </c>
      <c r="E488" t="inlineStr">
        <is>
          <t>BRÄCKE</t>
        </is>
      </c>
      <c r="G488" t="n">
        <v>2.4</v>
      </c>
      <c r="H488" t="n">
        <v>0</v>
      </c>
      <c r="I488" t="n">
        <v>0</v>
      </c>
      <c r="J488" t="n">
        <v>0</v>
      </c>
      <c r="K488" t="n">
        <v>0</v>
      </c>
      <c r="L488" t="n">
        <v>0</v>
      </c>
      <c r="M488" t="n">
        <v>0</v>
      </c>
      <c r="N488" t="n">
        <v>0</v>
      </c>
      <c r="O488" t="n">
        <v>0</v>
      </c>
      <c r="P488" t="n">
        <v>0</v>
      </c>
      <c r="Q488" t="n">
        <v>0</v>
      </c>
      <c r="R488" s="2" t="inlineStr"/>
    </row>
    <row r="489" ht="15" customHeight="1">
      <c r="A489" t="inlineStr">
        <is>
          <t>A 64805-2020</t>
        </is>
      </c>
      <c r="B489" s="1" t="n">
        <v>44169</v>
      </c>
      <c r="C489" s="1" t="n">
        <v>45361</v>
      </c>
      <c r="D489" t="inlineStr">
        <is>
          <t>JÄMTLANDS LÄN</t>
        </is>
      </c>
      <c r="E489" t="inlineStr">
        <is>
          <t>BRÄCKE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64809-2020</t>
        </is>
      </c>
      <c r="B490" s="1" t="n">
        <v>44169</v>
      </c>
      <c r="C490" s="1" t="n">
        <v>45361</v>
      </c>
      <c r="D490" t="inlineStr">
        <is>
          <t>JÄMTLANDS LÄN</t>
        </is>
      </c>
      <c r="E490" t="inlineStr">
        <is>
          <t>BRÄCKE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66443-2020</t>
        </is>
      </c>
      <c r="B491" s="1" t="n">
        <v>44176</v>
      </c>
      <c r="C491" s="1" t="n">
        <v>45361</v>
      </c>
      <c r="D491" t="inlineStr">
        <is>
          <t>JÄMTLANDS LÄN</t>
        </is>
      </c>
      <c r="E491" t="inlineStr">
        <is>
          <t>BRÄCKE</t>
        </is>
      </c>
      <c r="G491" t="n">
        <v>2.8</v>
      </c>
      <c r="H491" t="n">
        <v>0</v>
      </c>
      <c r="I491" t="n">
        <v>0</v>
      </c>
      <c r="J491" t="n">
        <v>0</v>
      </c>
      <c r="K491" t="n">
        <v>0</v>
      </c>
      <c r="L491" t="n">
        <v>0</v>
      </c>
      <c r="M491" t="n">
        <v>0</v>
      </c>
      <c r="N491" t="n">
        <v>0</v>
      </c>
      <c r="O491" t="n">
        <v>0</v>
      </c>
      <c r="P491" t="n">
        <v>0</v>
      </c>
      <c r="Q491" t="n">
        <v>0</v>
      </c>
      <c r="R491" s="2" t="inlineStr"/>
    </row>
    <row r="492" ht="15" customHeight="1">
      <c r="A492" t="inlineStr">
        <is>
          <t>A 66859-2020</t>
        </is>
      </c>
      <c r="B492" s="1" t="n">
        <v>44179</v>
      </c>
      <c r="C492" s="1" t="n">
        <v>45361</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67080-2020</t>
        </is>
      </c>
      <c r="B493" s="1" t="n">
        <v>44179</v>
      </c>
      <c r="C493" s="1" t="n">
        <v>45361</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67581-2020</t>
        </is>
      </c>
      <c r="B494" s="1" t="n">
        <v>44181</v>
      </c>
      <c r="C494" s="1" t="n">
        <v>45361</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67612-2020</t>
        </is>
      </c>
      <c r="B495" s="1" t="n">
        <v>44181</v>
      </c>
      <c r="C495" s="1" t="n">
        <v>45361</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67613-2020</t>
        </is>
      </c>
      <c r="B496" s="1" t="n">
        <v>44181</v>
      </c>
      <c r="C496" s="1" t="n">
        <v>45361</v>
      </c>
      <c r="D496" t="inlineStr">
        <is>
          <t>JÄMTLANDS LÄN</t>
        </is>
      </c>
      <c r="E496" t="inlineStr">
        <is>
          <t>BRÄCKE</t>
        </is>
      </c>
      <c r="G496" t="n">
        <v>1.2</v>
      </c>
      <c r="H496" t="n">
        <v>0</v>
      </c>
      <c r="I496" t="n">
        <v>0</v>
      </c>
      <c r="J496" t="n">
        <v>0</v>
      </c>
      <c r="K496" t="n">
        <v>0</v>
      </c>
      <c r="L496" t="n">
        <v>0</v>
      </c>
      <c r="M496" t="n">
        <v>0</v>
      </c>
      <c r="N496" t="n">
        <v>0</v>
      </c>
      <c r="O496" t="n">
        <v>0</v>
      </c>
      <c r="P496" t="n">
        <v>0</v>
      </c>
      <c r="Q496" t="n">
        <v>0</v>
      </c>
      <c r="R496" s="2" t="inlineStr"/>
    </row>
    <row r="497" ht="15" customHeight="1">
      <c r="A497" t="inlineStr">
        <is>
          <t>A 67622-2020</t>
        </is>
      </c>
      <c r="B497" s="1" t="n">
        <v>44181</v>
      </c>
      <c r="C497" s="1" t="n">
        <v>45361</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68362-2020</t>
        </is>
      </c>
      <c r="B498" s="1" t="n">
        <v>44186</v>
      </c>
      <c r="C498" s="1" t="n">
        <v>45361</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68968-2020</t>
        </is>
      </c>
      <c r="B499" s="1" t="n">
        <v>44187</v>
      </c>
      <c r="C499" s="1" t="n">
        <v>45361</v>
      </c>
      <c r="D499" t="inlineStr">
        <is>
          <t>JÄMTLANDS LÄN</t>
        </is>
      </c>
      <c r="E499" t="inlineStr">
        <is>
          <t>BRÄCKE</t>
        </is>
      </c>
      <c r="G499" t="n">
        <v>14.2</v>
      </c>
      <c r="H499" t="n">
        <v>0</v>
      </c>
      <c r="I499" t="n">
        <v>0</v>
      </c>
      <c r="J499" t="n">
        <v>0</v>
      </c>
      <c r="K499" t="n">
        <v>0</v>
      </c>
      <c r="L499" t="n">
        <v>0</v>
      </c>
      <c r="M499" t="n">
        <v>0</v>
      </c>
      <c r="N499" t="n">
        <v>0</v>
      </c>
      <c r="O499" t="n">
        <v>0</v>
      </c>
      <c r="P499" t="n">
        <v>0</v>
      </c>
      <c r="Q499" t="n">
        <v>0</v>
      </c>
      <c r="R499" s="2" t="inlineStr"/>
    </row>
    <row r="500" ht="15" customHeight="1">
      <c r="A500" t="inlineStr">
        <is>
          <t>A 1027-2021</t>
        </is>
      </c>
      <c r="B500" s="1" t="n">
        <v>44207</v>
      </c>
      <c r="C500" s="1" t="n">
        <v>45361</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1772-2021</t>
        </is>
      </c>
      <c r="B501" s="1" t="n">
        <v>44209</v>
      </c>
      <c r="C501" s="1" t="n">
        <v>45361</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2829-2021</t>
        </is>
      </c>
      <c r="B502" s="1" t="n">
        <v>44215</v>
      </c>
      <c r="C502" s="1" t="n">
        <v>45361</v>
      </c>
      <c r="D502" t="inlineStr">
        <is>
          <t>JÄMTLANDS LÄN</t>
        </is>
      </c>
      <c r="E502" t="inlineStr">
        <is>
          <t>BRÄCKE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2831-2021</t>
        </is>
      </c>
      <c r="B503" s="1" t="n">
        <v>44215</v>
      </c>
      <c r="C503" s="1" t="n">
        <v>45361</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2830-2021</t>
        </is>
      </c>
      <c r="B504" s="1" t="n">
        <v>44215</v>
      </c>
      <c r="C504" s="1" t="n">
        <v>45361</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3025-2021</t>
        </is>
      </c>
      <c r="B505" s="1" t="n">
        <v>44216</v>
      </c>
      <c r="C505" s="1" t="n">
        <v>45361</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5472-2021</t>
        </is>
      </c>
      <c r="B506" s="1" t="n">
        <v>44229</v>
      </c>
      <c r="C506" s="1" t="n">
        <v>45361</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5796-2021</t>
        </is>
      </c>
      <c r="B507" s="1" t="n">
        <v>44230</v>
      </c>
      <c r="C507" s="1" t="n">
        <v>45361</v>
      </c>
      <c r="D507" t="inlineStr">
        <is>
          <t>JÄMTLANDS LÄN</t>
        </is>
      </c>
      <c r="E507" t="inlineStr">
        <is>
          <t>BRÄCKE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6016-2021</t>
        </is>
      </c>
      <c r="B508" s="1" t="n">
        <v>44231</v>
      </c>
      <c r="C508" s="1" t="n">
        <v>45361</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6399-2021</t>
        </is>
      </c>
      <c r="B509" s="1" t="n">
        <v>44232</v>
      </c>
      <c r="C509" s="1" t="n">
        <v>45361</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9994-2021</t>
        </is>
      </c>
      <c r="B510" s="1" t="n">
        <v>44254</v>
      </c>
      <c r="C510" s="1" t="n">
        <v>45361</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11140-2021</t>
        </is>
      </c>
      <c r="B511" s="1" t="n">
        <v>44260</v>
      </c>
      <c r="C511" s="1" t="n">
        <v>45361</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13316-2021</t>
        </is>
      </c>
      <c r="B512" s="1" t="n">
        <v>44272</v>
      </c>
      <c r="C512" s="1" t="n">
        <v>45361</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13506-2021</t>
        </is>
      </c>
      <c r="B513" s="1" t="n">
        <v>44273</v>
      </c>
      <c r="C513" s="1" t="n">
        <v>45361</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14079-2021</t>
        </is>
      </c>
      <c r="B514" s="1" t="n">
        <v>44277</v>
      </c>
      <c r="C514" s="1" t="n">
        <v>45361</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14868-2021</t>
        </is>
      </c>
      <c r="B515" s="1" t="n">
        <v>44280</v>
      </c>
      <c r="C515" s="1" t="n">
        <v>45361</v>
      </c>
      <c r="D515" t="inlineStr">
        <is>
          <t>JÄMTLANDS LÄN</t>
        </is>
      </c>
      <c r="E515" t="inlineStr">
        <is>
          <t>BRÄCKE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16073-2021</t>
        </is>
      </c>
      <c r="B516" s="1" t="n">
        <v>44287</v>
      </c>
      <c r="C516" s="1" t="n">
        <v>45361</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16117-2021</t>
        </is>
      </c>
      <c r="B517" s="1" t="n">
        <v>44291</v>
      </c>
      <c r="C517" s="1" t="n">
        <v>45361</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16336-2021</t>
        </is>
      </c>
      <c r="B518" s="1" t="n">
        <v>44293</v>
      </c>
      <c r="C518" s="1" t="n">
        <v>45361</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16733-2021</t>
        </is>
      </c>
      <c r="B519" s="1" t="n">
        <v>44293</v>
      </c>
      <c r="C519" s="1" t="n">
        <v>45361</v>
      </c>
      <c r="D519" t="inlineStr">
        <is>
          <t>JÄMTLANDS LÄN</t>
        </is>
      </c>
      <c r="E519" t="inlineStr">
        <is>
          <t>BRÄCKE</t>
        </is>
      </c>
      <c r="G519" t="n">
        <v>4</v>
      </c>
      <c r="H519" t="n">
        <v>0</v>
      </c>
      <c r="I519" t="n">
        <v>0</v>
      </c>
      <c r="J519" t="n">
        <v>0</v>
      </c>
      <c r="K519" t="n">
        <v>0</v>
      </c>
      <c r="L519" t="n">
        <v>0</v>
      </c>
      <c r="M519" t="n">
        <v>0</v>
      </c>
      <c r="N519" t="n">
        <v>0</v>
      </c>
      <c r="O519" t="n">
        <v>0</v>
      </c>
      <c r="P519" t="n">
        <v>0</v>
      </c>
      <c r="Q519" t="n">
        <v>0</v>
      </c>
      <c r="R519" s="2" t="inlineStr"/>
    </row>
    <row r="520" ht="15" customHeight="1">
      <c r="A520" t="inlineStr">
        <is>
          <t>A 16723-2021</t>
        </is>
      </c>
      <c r="B520" s="1" t="n">
        <v>44293</v>
      </c>
      <c r="C520" s="1" t="n">
        <v>45361</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16619-2021</t>
        </is>
      </c>
      <c r="B521" s="1" t="n">
        <v>44294</v>
      </c>
      <c r="C521" s="1" t="n">
        <v>45361</v>
      </c>
      <c r="D521" t="inlineStr">
        <is>
          <t>JÄMTLANDS LÄN</t>
        </is>
      </c>
      <c r="E521" t="inlineStr">
        <is>
          <t>BRÄCKE</t>
        </is>
      </c>
      <c r="G521" t="n">
        <v>10.3</v>
      </c>
      <c r="H521" t="n">
        <v>0</v>
      </c>
      <c r="I521" t="n">
        <v>0</v>
      </c>
      <c r="J521" t="n">
        <v>0</v>
      </c>
      <c r="K521" t="n">
        <v>0</v>
      </c>
      <c r="L521" t="n">
        <v>0</v>
      </c>
      <c r="M521" t="n">
        <v>0</v>
      </c>
      <c r="N521" t="n">
        <v>0</v>
      </c>
      <c r="O521" t="n">
        <v>0</v>
      </c>
      <c r="P521" t="n">
        <v>0</v>
      </c>
      <c r="Q521" t="n">
        <v>0</v>
      </c>
      <c r="R521" s="2" t="inlineStr"/>
    </row>
    <row r="522" ht="15" customHeight="1">
      <c r="A522" t="inlineStr">
        <is>
          <t>A 16781-2021</t>
        </is>
      </c>
      <c r="B522" s="1" t="n">
        <v>44295</v>
      </c>
      <c r="C522" s="1" t="n">
        <v>45361</v>
      </c>
      <c r="D522" t="inlineStr">
        <is>
          <t>JÄMTLANDS LÄN</t>
        </is>
      </c>
      <c r="E522" t="inlineStr">
        <is>
          <t>BRÄCKE</t>
        </is>
      </c>
      <c r="F522" t="inlineStr">
        <is>
          <t>SCA</t>
        </is>
      </c>
      <c r="G522" t="n">
        <v>11.2</v>
      </c>
      <c r="H522" t="n">
        <v>0</v>
      </c>
      <c r="I522" t="n">
        <v>0</v>
      </c>
      <c r="J522" t="n">
        <v>0</v>
      </c>
      <c r="K522" t="n">
        <v>0</v>
      </c>
      <c r="L522" t="n">
        <v>0</v>
      </c>
      <c r="M522" t="n">
        <v>0</v>
      </c>
      <c r="N522" t="n">
        <v>0</v>
      </c>
      <c r="O522" t="n">
        <v>0</v>
      </c>
      <c r="P522" t="n">
        <v>0</v>
      </c>
      <c r="Q522" t="n">
        <v>0</v>
      </c>
      <c r="R522" s="2" t="inlineStr"/>
    </row>
    <row r="523" ht="15" customHeight="1">
      <c r="A523" t="inlineStr">
        <is>
          <t>A 17173-2021</t>
        </is>
      </c>
      <c r="B523" s="1" t="n">
        <v>44295</v>
      </c>
      <c r="C523" s="1" t="n">
        <v>45361</v>
      </c>
      <c r="D523" t="inlineStr">
        <is>
          <t>JÄMTLANDS LÄN</t>
        </is>
      </c>
      <c r="E523" t="inlineStr">
        <is>
          <t>BRÄCKE</t>
        </is>
      </c>
      <c r="G523" t="n">
        <v>4.3</v>
      </c>
      <c r="H523" t="n">
        <v>0</v>
      </c>
      <c r="I523" t="n">
        <v>0</v>
      </c>
      <c r="J523" t="n">
        <v>0</v>
      </c>
      <c r="K523" t="n">
        <v>0</v>
      </c>
      <c r="L523" t="n">
        <v>0</v>
      </c>
      <c r="M523" t="n">
        <v>0</v>
      </c>
      <c r="N523" t="n">
        <v>0</v>
      </c>
      <c r="O523" t="n">
        <v>0</v>
      </c>
      <c r="P523" t="n">
        <v>0</v>
      </c>
      <c r="Q523" t="n">
        <v>0</v>
      </c>
      <c r="R523" s="2" t="inlineStr"/>
    </row>
    <row r="524" ht="15" customHeight="1">
      <c r="A524" t="inlineStr">
        <is>
          <t>A 18006-2021</t>
        </is>
      </c>
      <c r="B524" s="1" t="n">
        <v>44301</v>
      </c>
      <c r="C524" s="1" t="n">
        <v>45361</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19088-2021</t>
        </is>
      </c>
      <c r="B525" s="1" t="n">
        <v>44308</v>
      </c>
      <c r="C525" s="1" t="n">
        <v>45361</v>
      </c>
      <c r="D525" t="inlineStr">
        <is>
          <t>JÄMTLANDS LÄN</t>
        </is>
      </c>
      <c r="E525" t="inlineStr">
        <is>
          <t>BRÄCKE</t>
        </is>
      </c>
      <c r="G525" t="n">
        <v>3.6</v>
      </c>
      <c r="H525" t="n">
        <v>0</v>
      </c>
      <c r="I525" t="n">
        <v>0</v>
      </c>
      <c r="J525" t="n">
        <v>0</v>
      </c>
      <c r="K525" t="n">
        <v>0</v>
      </c>
      <c r="L525" t="n">
        <v>0</v>
      </c>
      <c r="M525" t="n">
        <v>0</v>
      </c>
      <c r="N525" t="n">
        <v>0</v>
      </c>
      <c r="O525" t="n">
        <v>0</v>
      </c>
      <c r="P525" t="n">
        <v>0</v>
      </c>
      <c r="Q525" t="n">
        <v>0</v>
      </c>
      <c r="R525" s="2" t="inlineStr"/>
    </row>
    <row r="526" ht="15" customHeight="1">
      <c r="A526" t="inlineStr">
        <is>
          <t>A 20803-2021</t>
        </is>
      </c>
      <c r="B526" s="1" t="n">
        <v>44316</v>
      </c>
      <c r="C526" s="1" t="n">
        <v>45361</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21034-2021</t>
        </is>
      </c>
      <c r="B527" s="1" t="n">
        <v>44319</v>
      </c>
      <c r="C527" s="1" t="n">
        <v>45361</v>
      </c>
      <c r="D527" t="inlineStr">
        <is>
          <t>JÄMTLANDS LÄN</t>
        </is>
      </c>
      <c r="E527" t="inlineStr">
        <is>
          <t>BRÄCKE</t>
        </is>
      </c>
      <c r="G527" t="n">
        <v>3.3</v>
      </c>
      <c r="H527" t="n">
        <v>0</v>
      </c>
      <c r="I527" t="n">
        <v>0</v>
      </c>
      <c r="J527" t="n">
        <v>0</v>
      </c>
      <c r="K527" t="n">
        <v>0</v>
      </c>
      <c r="L527" t="n">
        <v>0</v>
      </c>
      <c r="M527" t="n">
        <v>0</v>
      </c>
      <c r="N527" t="n">
        <v>0</v>
      </c>
      <c r="O527" t="n">
        <v>0</v>
      </c>
      <c r="P527" t="n">
        <v>0</v>
      </c>
      <c r="Q527" t="n">
        <v>0</v>
      </c>
      <c r="R527" s="2" t="inlineStr"/>
    </row>
    <row r="528" ht="15" customHeight="1">
      <c r="A528" t="inlineStr">
        <is>
          <t>A 21019-2021</t>
        </is>
      </c>
      <c r="B528" s="1" t="n">
        <v>44319</v>
      </c>
      <c r="C528" s="1" t="n">
        <v>45361</v>
      </c>
      <c r="D528" t="inlineStr">
        <is>
          <t>JÄMTLANDS LÄN</t>
        </is>
      </c>
      <c r="E528" t="inlineStr">
        <is>
          <t>BRÄCKE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21366-2021</t>
        </is>
      </c>
      <c r="B529" s="1" t="n">
        <v>44320</v>
      </c>
      <c r="C529" s="1" t="n">
        <v>45361</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21637-2021</t>
        </is>
      </c>
      <c r="B530" s="1" t="n">
        <v>44321</v>
      </c>
      <c r="C530" s="1" t="n">
        <v>45361</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21940-2021</t>
        </is>
      </c>
      <c r="B531" s="1" t="n">
        <v>44323</v>
      </c>
      <c r="C531" s="1" t="n">
        <v>45361</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22124-2021</t>
        </is>
      </c>
      <c r="B532" s="1" t="n">
        <v>44323</v>
      </c>
      <c r="C532" s="1" t="n">
        <v>45361</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23013-2021</t>
        </is>
      </c>
      <c r="B533" s="1" t="n">
        <v>44328</v>
      </c>
      <c r="C533" s="1" t="n">
        <v>45361</v>
      </c>
      <c r="D533" t="inlineStr">
        <is>
          <t>JÄMTLANDS LÄN</t>
        </is>
      </c>
      <c r="E533" t="inlineStr">
        <is>
          <t>BRÄCKE</t>
        </is>
      </c>
      <c r="G533" t="n">
        <v>8.4</v>
      </c>
      <c r="H533" t="n">
        <v>0</v>
      </c>
      <c r="I533" t="n">
        <v>0</v>
      </c>
      <c r="J533" t="n">
        <v>0</v>
      </c>
      <c r="K533" t="n">
        <v>0</v>
      </c>
      <c r="L533" t="n">
        <v>0</v>
      </c>
      <c r="M533" t="n">
        <v>0</v>
      </c>
      <c r="N533" t="n">
        <v>0</v>
      </c>
      <c r="O533" t="n">
        <v>0</v>
      </c>
      <c r="P533" t="n">
        <v>0</v>
      </c>
      <c r="Q533" t="n">
        <v>0</v>
      </c>
      <c r="R533" s="2" t="inlineStr"/>
    </row>
    <row r="534" ht="15" customHeight="1">
      <c r="A534" t="inlineStr">
        <is>
          <t>A 23746-2021</t>
        </is>
      </c>
      <c r="B534" s="1" t="n">
        <v>44335</v>
      </c>
      <c r="C534" s="1" t="n">
        <v>45361</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23747-2021</t>
        </is>
      </c>
      <c r="B535" s="1" t="n">
        <v>44334</v>
      </c>
      <c r="C535" s="1" t="n">
        <v>45361</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24254-2021</t>
        </is>
      </c>
      <c r="B536" s="1" t="n">
        <v>44337</v>
      </c>
      <c r="C536" s="1" t="n">
        <v>45361</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24240-2021</t>
        </is>
      </c>
      <c r="B537" s="1" t="n">
        <v>44336</v>
      </c>
      <c r="C537" s="1" t="n">
        <v>45361</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24950-2021</t>
        </is>
      </c>
      <c r="B538" s="1" t="n">
        <v>44341</v>
      </c>
      <c r="C538" s="1" t="n">
        <v>45361</v>
      </c>
      <c r="D538" t="inlineStr">
        <is>
          <t>JÄMTLANDS LÄN</t>
        </is>
      </c>
      <c r="E538" t="inlineStr">
        <is>
          <t>BRÄCKE</t>
        </is>
      </c>
      <c r="F538" t="inlineStr">
        <is>
          <t>Kyrkan</t>
        </is>
      </c>
      <c r="G538" t="n">
        <v>15.3</v>
      </c>
      <c r="H538" t="n">
        <v>0</v>
      </c>
      <c r="I538" t="n">
        <v>0</v>
      </c>
      <c r="J538" t="n">
        <v>0</v>
      </c>
      <c r="K538" t="n">
        <v>0</v>
      </c>
      <c r="L538" t="n">
        <v>0</v>
      </c>
      <c r="M538" t="n">
        <v>0</v>
      </c>
      <c r="N538" t="n">
        <v>0</v>
      </c>
      <c r="O538" t="n">
        <v>0</v>
      </c>
      <c r="P538" t="n">
        <v>0</v>
      </c>
      <c r="Q538" t="n">
        <v>0</v>
      </c>
      <c r="R538" s="2" t="inlineStr"/>
    </row>
    <row r="539" ht="15" customHeight="1">
      <c r="A539" t="inlineStr">
        <is>
          <t>A 26664-2021</t>
        </is>
      </c>
      <c r="B539" s="1" t="n">
        <v>44348</v>
      </c>
      <c r="C539" s="1" t="n">
        <v>45361</v>
      </c>
      <c r="D539" t="inlineStr">
        <is>
          <t>JÄMTLANDS LÄN</t>
        </is>
      </c>
      <c r="E539" t="inlineStr">
        <is>
          <t>BRÄCKE</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26665-2021</t>
        </is>
      </c>
      <c r="B540" s="1" t="n">
        <v>44348</v>
      </c>
      <c r="C540" s="1" t="n">
        <v>45361</v>
      </c>
      <c r="D540" t="inlineStr">
        <is>
          <t>JÄMTLANDS LÄN</t>
        </is>
      </c>
      <c r="E540" t="inlineStr">
        <is>
          <t>BRÄCKE</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26666-2021</t>
        </is>
      </c>
      <c r="B541" s="1" t="n">
        <v>44349</v>
      </c>
      <c r="C541" s="1" t="n">
        <v>45361</v>
      </c>
      <c r="D541" t="inlineStr">
        <is>
          <t>JÄMTLANDS LÄN</t>
        </is>
      </c>
      <c r="E541" t="inlineStr">
        <is>
          <t>BRÄCKE</t>
        </is>
      </c>
      <c r="G541" t="n">
        <v>26.3</v>
      </c>
      <c r="H541" t="n">
        <v>0</v>
      </c>
      <c r="I541" t="n">
        <v>0</v>
      </c>
      <c r="J541" t="n">
        <v>0</v>
      </c>
      <c r="K541" t="n">
        <v>0</v>
      </c>
      <c r="L541" t="n">
        <v>0</v>
      </c>
      <c r="M541" t="n">
        <v>0</v>
      </c>
      <c r="N541" t="n">
        <v>0</v>
      </c>
      <c r="O541" t="n">
        <v>0</v>
      </c>
      <c r="P541" t="n">
        <v>0</v>
      </c>
      <c r="Q541" t="n">
        <v>0</v>
      </c>
      <c r="R541" s="2" t="inlineStr"/>
    </row>
    <row r="542" ht="15" customHeight="1">
      <c r="A542" t="inlineStr">
        <is>
          <t>A 27257-2021</t>
        </is>
      </c>
      <c r="B542" s="1" t="n">
        <v>44350</v>
      </c>
      <c r="C542" s="1" t="n">
        <v>45361</v>
      </c>
      <c r="D542" t="inlineStr">
        <is>
          <t>JÄMTLANDS LÄN</t>
        </is>
      </c>
      <c r="E542" t="inlineStr">
        <is>
          <t>BRÄCKE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27261-2021</t>
        </is>
      </c>
      <c r="B543" s="1" t="n">
        <v>44351</v>
      </c>
      <c r="C543" s="1" t="n">
        <v>45361</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27258-2021</t>
        </is>
      </c>
      <c r="B544" s="1" t="n">
        <v>44351</v>
      </c>
      <c r="C544" s="1" t="n">
        <v>45361</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45361</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28616-2021</t>
        </is>
      </c>
      <c r="B546" s="1" t="n">
        <v>44357</v>
      </c>
      <c r="C546" s="1" t="n">
        <v>45361</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28617-2021</t>
        </is>
      </c>
      <c r="B547" s="1" t="n">
        <v>44356</v>
      </c>
      <c r="C547" s="1" t="n">
        <v>45361</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28619-2021</t>
        </is>
      </c>
      <c r="B548" s="1" t="n">
        <v>44356</v>
      </c>
      <c r="C548" s="1" t="n">
        <v>45361</v>
      </c>
      <c r="D548" t="inlineStr">
        <is>
          <t>JÄMTLANDS LÄN</t>
        </is>
      </c>
      <c r="E548" t="inlineStr">
        <is>
          <t>BRÄCKE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28909-2021</t>
        </is>
      </c>
      <c r="B549" s="1" t="n">
        <v>44357</v>
      </c>
      <c r="C549" s="1" t="n">
        <v>45361</v>
      </c>
      <c r="D549" t="inlineStr">
        <is>
          <t>JÄMTLANDS LÄN</t>
        </is>
      </c>
      <c r="E549" t="inlineStr">
        <is>
          <t>BRÄCKE</t>
        </is>
      </c>
      <c r="F549" t="inlineStr">
        <is>
          <t>SCA</t>
        </is>
      </c>
      <c r="G549" t="n">
        <v>11.2</v>
      </c>
      <c r="H549" t="n">
        <v>0</v>
      </c>
      <c r="I549" t="n">
        <v>0</v>
      </c>
      <c r="J549" t="n">
        <v>0</v>
      </c>
      <c r="K549" t="n">
        <v>0</v>
      </c>
      <c r="L549" t="n">
        <v>0</v>
      </c>
      <c r="M549" t="n">
        <v>0</v>
      </c>
      <c r="N549" t="n">
        <v>0</v>
      </c>
      <c r="O549" t="n">
        <v>0</v>
      </c>
      <c r="P549" t="n">
        <v>0</v>
      </c>
      <c r="Q549" t="n">
        <v>0</v>
      </c>
      <c r="R549" s="2" t="inlineStr"/>
      <c r="U549">
        <f>HYPERLINK("https://klasma.github.io/Logging_2305/knärot/A 28909-2021 karta knärot.png", "A 28909-2021")</f>
        <v/>
      </c>
      <c r="V549">
        <f>HYPERLINK("https://klasma.github.io/Logging_2305/klagomål/A 28909-2021 FSC-klagomål.docx", "A 28909-2021")</f>
        <v/>
      </c>
      <c r="W549">
        <f>HYPERLINK("https://klasma.github.io/Logging_2305/klagomålsmail/A 28909-2021 FSC-klagomål mail.docx", "A 28909-2021")</f>
        <v/>
      </c>
      <c r="X549">
        <f>HYPERLINK("https://klasma.github.io/Logging_2305/tillsyn/A 28909-2021 tillsynsbegäran.docx", "A 28909-2021")</f>
        <v/>
      </c>
      <c r="Y549">
        <f>HYPERLINK("https://klasma.github.io/Logging_2305/tillsynsmail/A 28909-2021 tillsynsbegäran mail.docx", "A 28909-2021")</f>
        <v/>
      </c>
    </row>
    <row r="550" ht="15" customHeight="1">
      <c r="A550" t="inlineStr">
        <is>
          <t>A 28903-2021</t>
        </is>
      </c>
      <c r="B550" s="1" t="n">
        <v>44357</v>
      </c>
      <c r="C550" s="1" t="n">
        <v>45361</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29314-2021</t>
        </is>
      </c>
      <c r="B551" s="1" t="n">
        <v>44361</v>
      </c>
      <c r="C551" s="1" t="n">
        <v>45361</v>
      </c>
      <c r="D551" t="inlineStr">
        <is>
          <t>JÄMTLANDS LÄN</t>
        </is>
      </c>
      <c r="E551" t="inlineStr">
        <is>
          <t>BRÄCKE</t>
        </is>
      </c>
      <c r="G551" t="n">
        <v>10.7</v>
      </c>
      <c r="H551" t="n">
        <v>0</v>
      </c>
      <c r="I551" t="n">
        <v>0</v>
      </c>
      <c r="J551" t="n">
        <v>0</v>
      </c>
      <c r="K551" t="n">
        <v>0</v>
      </c>
      <c r="L551" t="n">
        <v>0</v>
      </c>
      <c r="M551" t="n">
        <v>0</v>
      </c>
      <c r="N551" t="n">
        <v>0</v>
      </c>
      <c r="O551" t="n">
        <v>0</v>
      </c>
      <c r="P551" t="n">
        <v>0</v>
      </c>
      <c r="Q551" t="n">
        <v>0</v>
      </c>
      <c r="R551" s="2" t="inlineStr"/>
    </row>
    <row r="552" ht="15" customHeight="1">
      <c r="A552" t="inlineStr">
        <is>
          <t>A 29603-2021</t>
        </is>
      </c>
      <c r="B552" s="1" t="n">
        <v>44361</v>
      </c>
      <c r="C552" s="1" t="n">
        <v>45361</v>
      </c>
      <c r="D552" t="inlineStr">
        <is>
          <t>JÄMTLANDS LÄN</t>
        </is>
      </c>
      <c r="E552" t="inlineStr">
        <is>
          <t>BRÄCKE</t>
        </is>
      </c>
      <c r="F552" t="inlineStr">
        <is>
          <t>Naturvårdsverket</t>
        </is>
      </c>
      <c r="G552" t="n">
        <v>3.9</v>
      </c>
      <c r="H552" t="n">
        <v>0</v>
      </c>
      <c r="I552" t="n">
        <v>0</v>
      </c>
      <c r="J552" t="n">
        <v>0</v>
      </c>
      <c r="K552" t="n">
        <v>0</v>
      </c>
      <c r="L552" t="n">
        <v>0</v>
      </c>
      <c r="M552" t="n">
        <v>0</v>
      </c>
      <c r="N552" t="n">
        <v>0</v>
      </c>
      <c r="O552" t="n">
        <v>0</v>
      </c>
      <c r="P552" t="n">
        <v>0</v>
      </c>
      <c r="Q552" t="n">
        <v>0</v>
      </c>
      <c r="R552" s="2" t="inlineStr"/>
    </row>
    <row r="553" ht="15" customHeight="1">
      <c r="A553" t="inlineStr">
        <is>
          <t>A 29611-2021</t>
        </is>
      </c>
      <c r="B553" s="1" t="n">
        <v>44361</v>
      </c>
      <c r="C553" s="1" t="n">
        <v>45361</v>
      </c>
      <c r="D553" t="inlineStr">
        <is>
          <t>JÄMTLANDS LÄN</t>
        </is>
      </c>
      <c r="E553" t="inlineStr">
        <is>
          <t>BRÄCKE</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29929-2021</t>
        </is>
      </c>
      <c r="B554" s="1" t="n">
        <v>44362</v>
      </c>
      <c r="C554" s="1" t="n">
        <v>45361</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29930-2021</t>
        </is>
      </c>
      <c r="B555" s="1" t="n">
        <v>44362</v>
      </c>
      <c r="C555" s="1" t="n">
        <v>45361</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30108-2021</t>
        </is>
      </c>
      <c r="B556" s="1" t="n">
        <v>44363</v>
      </c>
      <c r="C556" s="1" t="n">
        <v>45361</v>
      </c>
      <c r="D556" t="inlineStr">
        <is>
          <t>JÄMTLANDS LÄN</t>
        </is>
      </c>
      <c r="E556" t="inlineStr">
        <is>
          <t>BRÄCKE</t>
        </is>
      </c>
      <c r="G556" t="n">
        <v>0.8</v>
      </c>
      <c r="H556" t="n">
        <v>0</v>
      </c>
      <c r="I556" t="n">
        <v>0</v>
      </c>
      <c r="J556" t="n">
        <v>0</v>
      </c>
      <c r="K556" t="n">
        <v>0</v>
      </c>
      <c r="L556" t="n">
        <v>0</v>
      </c>
      <c r="M556" t="n">
        <v>0</v>
      </c>
      <c r="N556" t="n">
        <v>0</v>
      </c>
      <c r="O556" t="n">
        <v>0</v>
      </c>
      <c r="P556" t="n">
        <v>0</v>
      </c>
      <c r="Q556" t="n">
        <v>0</v>
      </c>
      <c r="R556" s="2" t="inlineStr"/>
    </row>
    <row r="557" ht="15" customHeight="1">
      <c r="A557" t="inlineStr">
        <is>
          <t>A 30102-2021</t>
        </is>
      </c>
      <c r="B557" s="1" t="n">
        <v>44363</v>
      </c>
      <c r="C557" s="1" t="n">
        <v>45361</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30592-2021</t>
        </is>
      </c>
      <c r="B558" s="1" t="n">
        <v>44365</v>
      </c>
      <c r="C558" s="1" t="n">
        <v>45361</v>
      </c>
      <c r="D558" t="inlineStr">
        <is>
          <t>JÄMTLANDS LÄN</t>
        </is>
      </c>
      <c r="E558" t="inlineStr">
        <is>
          <t>BRÄCKE</t>
        </is>
      </c>
      <c r="F558" t="inlineStr">
        <is>
          <t>SCA</t>
        </is>
      </c>
      <c r="G558" t="n">
        <v>22.4</v>
      </c>
      <c r="H558" t="n">
        <v>0</v>
      </c>
      <c r="I558" t="n">
        <v>0</v>
      </c>
      <c r="J558" t="n">
        <v>0</v>
      </c>
      <c r="K558" t="n">
        <v>0</v>
      </c>
      <c r="L558" t="n">
        <v>0</v>
      </c>
      <c r="M558" t="n">
        <v>0</v>
      </c>
      <c r="N558" t="n">
        <v>0</v>
      </c>
      <c r="O558" t="n">
        <v>0</v>
      </c>
      <c r="P558" t="n">
        <v>0</v>
      </c>
      <c r="Q558" t="n">
        <v>0</v>
      </c>
      <c r="R558" s="2" t="inlineStr"/>
    </row>
    <row r="559" ht="15" customHeight="1">
      <c r="A559" t="inlineStr">
        <is>
          <t>A 31093-2021</t>
        </is>
      </c>
      <c r="B559" s="1" t="n">
        <v>44368</v>
      </c>
      <c r="C559" s="1" t="n">
        <v>45361</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44369</v>
      </c>
      <c r="C560" s="1" t="n">
        <v>45361</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44371</v>
      </c>
      <c r="C561" s="1" t="n">
        <v>45361</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32471-2021</t>
        </is>
      </c>
      <c r="B562" s="1" t="n">
        <v>44371</v>
      </c>
      <c r="C562" s="1" t="n">
        <v>45361</v>
      </c>
      <c r="D562" t="inlineStr">
        <is>
          <t>JÄMTLANDS LÄN</t>
        </is>
      </c>
      <c r="E562" t="inlineStr">
        <is>
          <t>BRÄCKE</t>
        </is>
      </c>
      <c r="F562" t="inlineStr">
        <is>
          <t>SCA</t>
        </is>
      </c>
      <c r="G562" t="n">
        <v>0.2</v>
      </c>
      <c r="H562" t="n">
        <v>0</v>
      </c>
      <c r="I562" t="n">
        <v>0</v>
      </c>
      <c r="J562" t="n">
        <v>0</v>
      </c>
      <c r="K562" t="n">
        <v>0</v>
      </c>
      <c r="L562" t="n">
        <v>0</v>
      </c>
      <c r="M562" t="n">
        <v>0</v>
      </c>
      <c r="N562" t="n">
        <v>0</v>
      </c>
      <c r="O562" t="n">
        <v>0</v>
      </c>
      <c r="P562" t="n">
        <v>0</v>
      </c>
      <c r="Q562" t="n">
        <v>0</v>
      </c>
      <c r="R562" s="2" t="inlineStr"/>
    </row>
    <row r="563" ht="15" customHeight="1">
      <c r="A563" t="inlineStr">
        <is>
          <t>A 33221-2021</t>
        </is>
      </c>
      <c r="B563" s="1" t="n">
        <v>44376</v>
      </c>
      <c r="C563" s="1" t="n">
        <v>45361</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33538-2021</t>
        </is>
      </c>
      <c r="B564" s="1" t="n">
        <v>44377</v>
      </c>
      <c r="C564" s="1" t="n">
        <v>45361</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34409-2021</t>
        </is>
      </c>
      <c r="B565" s="1" t="n">
        <v>44379</v>
      </c>
      <c r="C565" s="1" t="n">
        <v>45361</v>
      </c>
      <c r="D565" t="inlineStr">
        <is>
          <t>JÄMTLANDS LÄN</t>
        </is>
      </c>
      <c r="E565" t="inlineStr">
        <is>
          <t>BRÄCKE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34410-2021</t>
        </is>
      </c>
      <c r="B566" s="1" t="n">
        <v>44380</v>
      </c>
      <c r="C566" s="1" t="n">
        <v>45361</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34873-2021</t>
        </is>
      </c>
      <c r="B567" s="1" t="n">
        <v>44382</v>
      </c>
      <c r="C567" s="1" t="n">
        <v>45361</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v>
      </c>
      <c r="C568" s="1" t="n">
        <v>45361</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35252-2021</t>
        </is>
      </c>
      <c r="B569" s="1" t="n">
        <v>44384</v>
      </c>
      <c r="C569" s="1" t="n">
        <v>45361</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35564-2021</t>
        </is>
      </c>
      <c r="B570" s="1" t="n">
        <v>44386</v>
      </c>
      <c r="C570" s="1" t="n">
        <v>45361</v>
      </c>
      <c r="D570" t="inlineStr">
        <is>
          <t>JÄMTLANDS LÄN</t>
        </is>
      </c>
      <c r="E570" t="inlineStr">
        <is>
          <t>BRÄCKE</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36445-2021</t>
        </is>
      </c>
      <c r="B571" s="1" t="n">
        <v>44391</v>
      </c>
      <c r="C571" s="1" t="n">
        <v>45361</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36819-2021</t>
        </is>
      </c>
      <c r="B572" s="1" t="n">
        <v>44392</v>
      </c>
      <c r="C572" s="1" t="n">
        <v>45361</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37053-2021</t>
        </is>
      </c>
      <c r="B573" s="1" t="n">
        <v>44394</v>
      </c>
      <c r="C573" s="1" t="n">
        <v>45361</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37048-2021</t>
        </is>
      </c>
      <c r="B574" s="1" t="n">
        <v>44394</v>
      </c>
      <c r="C574" s="1" t="n">
        <v>45361</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37238-2021</t>
        </is>
      </c>
      <c r="B575" s="1" t="n">
        <v>44397</v>
      </c>
      <c r="C575" s="1" t="n">
        <v>45361</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37376-2021</t>
        </is>
      </c>
      <c r="B576" s="1" t="n">
        <v>44397</v>
      </c>
      <c r="C576" s="1" t="n">
        <v>45361</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37375-2021</t>
        </is>
      </c>
      <c r="B577" s="1" t="n">
        <v>44397</v>
      </c>
      <c r="C577" s="1" t="n">
        <v>45361</v>
      </c>
      <c r="D577" t="inlineStr">
        <is>
          <t>JÄMTLANDS LÄN</t>
        </is>
      </c>
      <c r="E577" t="inlineStr">
        <is>
          <t>BRÄCKE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37479-2021</t>
        </is>
      </c>
      <c r="B578" s="1" t="n">
        <v>44398</v>
      </c>
      <c r="C578" s="1" t="n">
        <v>45361</v>
      </c>
      <c r="D578" t="inlineStr">
        <is>
          <t>JÄMTLANDS LÄN</t>
        </is>
      </c>
      <c r="E578" t="inlineStr">
        <is>
          <t>BRÄCKE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37957-2021</t>
        </is>
      </c>
      <c r="B579" s="1" t="n">
        <v>44403</v>
      </c>
      <c r="C579" s="1" t="n">
        <v>45361</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38279-2021</t>
        </is>
      </c>
      <c r="B580" s="1" t="n">
        <v>44406</v>
      </c>
      <c r="C580" s="1" t="n">
        <v>45361</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38284-2021</t>
        </is>
      </c>
      <c r="B581" s="1" t="n">
        <v>44406</v>
      </c>
      <c r="C581" s="1" t="n">
        <v>45361</v>
      </c>
      <c r="D581" t="inlineStr">
        <is>
          <t>JÄMTLANDS LÄN</t>
        </is>
      </c>
      <c r="E581" t="inlineStr">
        <is>
          <t>BRÄCKE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38280-2021</t>
        </is>
      </c>
      <c r="B582" s="1" t="n">
        <v>44405</v>
      </c>
      <c r="C582" s="1" t="n">
        <v>45361</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38285-2021</t>
        </is>
      </c>
      <c r="B583" s="1" t="n">
        <v>44405</v>
      </c>
      <c r="C583" s="1" t="n">
        <v>45361</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38281-2021</t>
        </is>
      </c>
      <c r="B584" s="1" t="n">
        <v>44405</v>
      </c>
      <c r="C584" s="1" t="n">
        <v>45361</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38424-2021</t>
        </is>
      </c>
      <c r="B585" s="1" t="n">
        <v>44407</v>
      </c>
      <c r="C585" s="1" t="n">
        <v>45361</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38593-2021</t>
        </is>
      </c>
      <c r="B586" s="1" t="n">
        <v>44407</v>
      </c>
      <c r="C586" s="1" t="n">
        <v>45361</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38956-2021</t>
        </is>
      </c>
      <c r="B587" s="1" t="n">
        <v>44411</v>
      </c>
      <c r="C587" s="1" t="n">
        <v>45361</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39934-2021</t>
        </is>
      </c>
      <c r="B588" s="1" t="n">
        <v>44417</v>
      </c>
      <c r="C588" s="1" t="n">
        <v>45361</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v>
      </c>
      <c r="C589" s="1" t="n">
        <v>45361</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40467-2021</t>
        </is>
      </c>
      <c r="B590" s="1" t="n">
        <v>44420</v>
      </c>
      <c r="C590" s="1" t="n">
        <v>45361</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40482-2021</t>
        </is>
      </c>
      <c r="B591" s="1" t="n">
        <v>44420</v>
      </c>
      <c r="C591" s="1" t="n">
        <v>45361</v>
      </c>
      <c r="D591" t="inlineStr">
        <is>
          <t>JÄMTLANDS LÄN</t>
        </is>
      </c>
      <c r="E591" t="inlineStr">
        <is>
          <t>BRÄCKE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40481-2021</t>
        </is>
      </c>
      <c r="B592" s="1" t="n">
        <v>44420</v>
      </c>
      <c r="C592" s="1" t="n">
        <v>45361</v>
      </c>
      <c r="D592" t="inlineStr">
        <is>
          <t>JÄMTLANDS LÄN</t>
        </is>
      </c>
      <c r="E592" t="inlineStr">
        <is>
          <t>BRÄCKE</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40769-2021</t>
        </is>
      </c>
      <c r="B593" s="1" t="n">
        <v>44420</v>
      </c>
      <c r="C593" s="1" t="n">
        <v>45361</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41060-2021</t>
        </is>
      </c>
      <c r="B594" s="1" t="n">
        <v>44422</v>
      </c>
      <c r="C594" s="1" t="n">
        <v>45361</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41474-2021</t>
        </is>
      </c>
      <c r="B595" s="1" t="n">
        <v>44424</v>
      </c>
      <c r="C595" s="1" t="n">
        <v>45361</v>
      </c>
      <c r="D595" t="inlineStr">
        <is>
          <t>JÄMTLANDS LÄN</t>
        </is>
      </c>
      <c r="E595" t="inlineStr">
        <is>
          <t>BRÄCKE</t>
        </is>
      </c>
      <c r="G595" t="n">
        <v>2.3</v>
      </c>
      <c r="H595" t="n">
        <v>0</v>
      </c>
      <c r="I595" t="n">
        <v>0</v>
      </c>
      <c r="J595" t="n">
        <v>0</v>
      </c>
      <c r="K595" t="n">
        <v>0</v>
      </c>
      <c r="L595" t="n">
        <v>0</v>
      </c>
      <c r="M595" t="n">
        <v>0</v>
      </c>
      <c r="N595" t="n">
        <v>0</v>
      </c>
      <c r="O595" t="n">
        <v>0</v>
      </c>
      <c r="P595" t="n">
        <v>0</v>
      </c>
      <c r="Q595" t="n">
        <v>0</v>
      </c>
      <c r="R595" s="2" t="inlineStr"/>
    </row>
    <row r="596" ht="15" customHeight="1">
      <c r="A596" t="inlineStr">
        <is>
          <t>A 42243-2021</t>
        </is>
      </c>
      <c r="B596" s="1" t="n">
        <v>44426</v>
      </c>
      <c r="C596" s="1" t="n">
        <v>45361</v>
      </c>
      <c r="D596" t="inlineStr">
        <is>
          <t>JÄMTLANDS LÄN</t>
        </is>
      </c>
      <c r="E596" t="inlineStr">
        <is>
          <t>BRÄCKE</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42806-2021</t>
        </is>
      </c>
      <c r="B597" s="1" t="n">
        <v>44429</v>
      </c>
      <c r="C597" s="1" t="n">
        <v>45361</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43831-2021</t>
        </is>
      </c>
      <c r="B598" s="1" t="n">
        <v>44433</v>
      </c>
      <c r="C598" s="1" t="n">
        <v>45361</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43832-2021</t>
        </is>
      </c>
      <c r="B599" s="1" t="n">
        <v>44434</v>
      </c>
      <c r="C599" s="1" t="n">
        <v>45361</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44244-2021</t>
        </is>
      </c>
      <c r="B600" s="1" t="n">
        <v>44434</v>
      </c>
      <c r="C600" s="1" t="n">
        <v>45361</v>
      </c>
      <c r="D600" t="inlineStr">
        <is>
          <t>JÄMTLANDS LÄN</t>
        </is>
      </c>
      <c r="E600" t="inlineStr">
        <is>
          <t>BRÄCKE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44243-2021</t>
        </is>
      </c>
      <c r="B601" s="1" t="n">
        <v>44434</v>
      </c>
      <c r="C601" s="1" t="n">
        <v>45361</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46793-2021</t>
        </is>
      </c>
      <c r="B602" s="1" t="n">
        <v>44445</v>
      </c>
      <c r="C602" s="1" t="n">
        <v>45361</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46792-2021</t>
        </is>
      </c>
      <c r="B603" s="1" t="n">
        <v>44445</v>
      </c>
      <c r="C603" s="1" t="n">
        <v>45361</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46952-2021</t>
        </is>
      </c>
      <c r="B604" s="1" t="n">
        <v>44446</v>
      </c>
      <c r="C604" s="1" t="n">
        <v>45361</v>
      </c>
      <c r="D604" t="inlineStr">
        <is>
          <t>JÄMTLANDS LÄN</t>
        </is>
      </c>
      <c r="E604" t="inlineStr">
        <is>
          <t>BRÄCKE</t>
        </is>
      </c>
      <c r="G604" t="n">
        <v>2.1</v>
      </c>
      <c r="H604" t="n">
        <v>0</v>
      </c>
      <c r="I604" t="n">
        <v>0</v>
      </c>
      <c r="J604" t="n">
        <v>0</v>
      </c>
      <c r="K604" t="n">
        <v>0</v>
      </c>
      <c r="L604" t="n">
        <v>0</v>
      </c>
      <c r="M604" t="n">
        <v>0</v>
      </c>
      <c r="N604" t="n">
        <v>0</v>
      </c>
      <c r="O604" t="n">
        <v>0</v>
      </c>
      <c r="P604" t="n">
        <v>0</v>
      </c>
      <c r="Q604" t="n">
        <v>0</v>
      </c>
      <c r="R604" s="2" t="inlineStr"/>
    </row>
    <row r="605" ht="15" customHeight="1">
      <c r="A605" t="inlineStr">
        <is>
          <t>A 47559-2021</t>
        </is>
      </c>
      <c r="B605" s="1" t="n">
        <v>44447</v>
      </c>
      <c r="C605" s="1" t="n">
        <v>45361</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47558-2021</t>
        </is>
      </c>
      <c r="B606" s="1" t="n">
        <v>44448</v>
      </c>
      <c r="C606" s="1" t="n">
        <v>45361</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47560-2021</t>
        </is>
      </c>
      <c r="B607" s="1" t="n">
        <v>44448</v>
      </c>
      <c r="C607" s="1" t="n">
        <v>45361</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47983-2021</t>
        </is>
      </c>
      <c r="B608" s="1" t="n">
        <v>44448</v>
      </c>
      <c r="C608" s="1" t="n">
        <v>45361</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48284-2021</t>
        </is>
      </c>
      <c r="B609" s="1" t="n">
        <v>44449</v>
      </c>
      <c r="C609" s="1" t="n">
        <v>45361</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49937-2021</t>
        </is>
      </c>
      <c r="B610" s="1" t="n">
        <v>44455</v>
      </c>
      <c r="C610" s="1" t="n">
        <v>45361</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51095-2021</t>
        </is>
      </c>
      <c r="B611" s="1" t="n">
        <v>44461</v>
      </c>
      <c r="C611" s="1" t="n">
        <v>45361</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51957-2021</t>
        </is>
      </c>
      <c r="B612" s="1" t="n">
        <v>44463</v>
      </c>
      <c r="C612" s="1" t="n">
        <v>45361</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52022-2021</t>
        </is>
      </c>
      <c r="B613" s="1" t="n">
        <v>44463</v>
      </c>
      <c r="C613" s="1" t="n">
        <v>45361</v>
      </c>
      <c r="D613" t="inlineStr">
        <is>
          <t>JÄMTLANDS LÄN</t>
        </is>
      </c>
      <c r="E613" t="inlineStr">
        <is>
          <t>BRÄCKE</t>
        </is>
      </c>
      <c r="G613" t="n">
        <v>8.4</v>
      </c>
      <c r="H613" t="n">
        <v>0</v>
      </c>
      <c r="I613" t="n">
        <v>0</v>
      </c>
      <c r="J613" t="n">
        <v>0</v>
      </c>
      <c r="K613" t="n">
        <v>0</v>
      </c>
      <c r="L613" t="n">
        <v>0</v>
      </c>
      <c r="M613" t="n">
        <v>0</v>
      </c>
      <c r="N613" t="n">
        <v>0</v>
      </c>
      <c r="O613" t="n">
        <v>0</v>
      </c>
      <c r="P613" t="n">
        <v>0</v>
      </c>
      <c r="Q613" t="n">
        <v>0</v>
      </c>
      <c r="R613" s="2" t="inlineStr"/>
    </row>
    <row r="614" ht="15" customHeight="1">
      <c r="A614" t="inlineStr">
        <is>
          <t>A 52323-2021</t>
        </is>
      </c>
      <c r="B614" s="1" t="n">
        <v>44464</v>
      </c>
      <c r="C614" s="1" t="n">
        <v>45361</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53516-2021</t>
        </is>
      </c>
      <c r="B615" s="1" t="n">
        <v>44468</v>
      </c>
      <c r="C615" s="1" t="n">
        <v>45361</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53612-2021</t>
        </is>
      </c>
      <c r="B616" s="1" t="n">
        <v>44469</v>
      </c>
      <c r="C616" s="1" t="n">
        <v>45361</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53949-2021</t>
        </is>
      </c>
      <c r="B617" s="1" t="n">
        <v>44470</v>
      </c>
      <c r="C617" s="1" t="n">
        <v>45361</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54035-2021</t>
        </is>
      </c>
      <c r="B618" s="1" t="n">
        <v>44470</v>
      </c>
      <c r="C618" s="1" t="n">
        <v>45361</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54571-2021</t>
        </is>
      </c>
      <c r="B619" s="1" t="n">
        <v>44473</v>
      </c>
      <c r="C619" s="1" t="n">
        <v>45361</v>
      </c>
      <c r="D619" t="inlineStr">
        <is>
          <t>JÄMTLANDS LÄN</t>
        </is>
      </c>
      <c r="E619" t="inlineStr">
        <is>
          <t>BRÄCKE</t>
        </is>
      </c>
      <c r="G619" t="n">
        <v>3</v>
      </c>
      <c r="H619" t="n">
        <v>0</v>
      </c>
      <c r="I619" t="n">
        <v>0</v>
      </c>
      <c r="J619" t="n">
        <v>0</v>
      </c>
      <c r="K619" t="n">
        <v>0</v>
      </c>
      <c r="L619" t="n">
        <v>0</v>
      </c>
      <c r="M619" t="n">
        <v>0</v>
      </c>
      <c r="N619" t="n">
        <v>0</v>
      </c>
      <c r="O619" t="n">
        <v>0</v>
      </c>
      <c r="P619" t="n">
        <v>0</v>
      </c>
      <c r="Q619" t="n">
        <v>0</v>
      </c>
      <c r="R619" s="2" t="inlineStr"/>
    </row>
    <row r="620" ht="15" customHeight="1">
      <c r="A620" t="inlineStr">
        <is>
          <t>A 54809-2021</t>
        </is>
      </c>
      <c r="B620" s="1" t="n">
        <v>44474</v>
      </c>
      <c r="C620" s="1" t="n">
        <v>45361</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56221-2021</t>
        </is>
      </c>
      <c r="B621" s="1" t="n">
        <v>44477</v>
      </c>
      <c r="C621" s="1" t="n">
        <v>45361</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56114-2021</t>
        </is>
      </c>
      <c r="B622" s="1" t="n">
        <v>44477</v>
      </c>
      <c r="C622" s="1" t="n">
        <v>45361</v>
      </c>
      <c r="D622" t="inlineStr">
        <is>
          <t>JÄMTLANDS LÄN</t>
        </is>
      </c>
      <c r="E622" t="inlineStr">
        <is>
          <t>BRÄCKE</t>
        </is>
      </c>
      <c r="G622" t="n">
        <v>12.7</v>
      </c>
      <c r="H622" t="n">
        <v>0</v>
      </c>
      <c r="I622" t="n">
        <v>0</v>
      </c>
      <c r="J622" t="n">
        <v>0</v>
      </c>
      <c r="K622" t="n">
        <v>0</v>
      </c>
      <c r="L622" t="n">
        <v>0</v>
      </c>
      <c r="M622" t="n">
        <v>0</v>
      </c>
      <c r="N622" t="n">
        <v>0</v>
      </c>
      <c r="O622" t="n">
        <v>0</v>
      </c>
      <c r="P622" t="n">
        <v>0</v>
      </c>
      <c r="Q622" t="n">
        <v>0</v>
      </c>
      <c r="R622" s="2" t="inlineStr"/>
    </row>
    <row r="623" ht="15" customHeight="1">
      <c r="A623" t="inlineStr">
        <is>
          <t>A 56639-2021</t>
        </is>
      </c>
      <c r="B623" s="1" t="n">
        <v>44480</v>
      </c>
      <c r="C623" s="1" t="n">
        <v>45361</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56648-2021</t>
        </is>
      </c>
      <c r="B624" s="1" t="n">
        <v>44481</v>
      </c>
      <c r="C624" s="1" t="n">
        <v>45361</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56649-2021</t>
        </is>
      </c>
      <c r="B625" s="1" t="n">
        <v>44480</v>
      </c>
      <c r="C625" s="1" t="n">
        <v>45361</v>
      </c>
      <c r="D625" t="inlineStr">
        <is>
          <t>JÄMTLANDS LÄN</t>
        </is>
      </c>
      <c r="E625" t="inlineStr">
        <is>
          <t>BRÄCKE</t>
        </is>
      </c>
      <c r="G625" t="n">
        <v>6</v>
      </c>
      <c r="H625" t="n">
        <v>0</v>
      </c>
      <c r="I625" t="n">
        <v>0</v>
      </c>
      <c r="J625" t="n">
        <v>0</v>
      </c>
      <c r="K625" t="n">
        <v>0</v>
      </c>
      <c r="L625" t="n">
        <v>0</v>
      </c>
      <c r="M625" t="n">
        <v>0</v>
      </c>
      <c r="N625" t="n">
        <v>0</v>
      </c>
      <c r="O625" t="n">
        <v>0</v>
      </c>
      <c r="P625" t="n">
        <v>0</v>
      </c>
      <c r="Q625" t="n">
        <v>0</v>
      </c>
      <c r="R625" s="2" t="inlineStr"/>
    </row>
    <row r="626" ht="15" customHeight="1">
      <c r="A626" t="inlineStr">
        <is>
          <t>A 56640-2021</t>
        </is>
      </c>
      <c r="B626" s="1" t="n">
        <v>44480</v>
      </c>
      <c r="C626" s="1" t="n">
        <v>45361</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56895-2021</t>
        </is>
      </c>
      <c r="B627" s="1" t="n">
        <v>44482</v>
      </c>
      <c r="C627" s="1" t="n">
        <v>45361</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56896-2021</t>
        </is>
      </c>
      <c r="B628" s="1" t="n">
        <v>44482</v>
      </c>
      <c r="C628" s="1" t="n">
        <v>45361</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58039-2021</t>
        </is>
      </c>
      <c r="B629" s="1" t="n">
        <v>44487</v>
      </c>
      <c r="C629" s="1" t="n">
        <v>45361</v>
      </c>
      <c r="D629" t="inlineStr">
        <is>
          <t>JÄMTLANDS LÄN</t>
        </is>
      </c>
      <c r="E629" t="inlineStr">
        <is>
          <t>BRÄCKE</t>
        </is>
      </c>
      <c r="G629" t="n">
        <v>7.4</v>
      </c>
      <c r="H629" t="n">
        <v>0</v>
      </c>
      <c r="I629" t="n">
        <v>0</v>
      </c>
      <c r="J629" t="n">
        <v>0</v>
      </c>
      <c r="K629" t="n">
        <v>0</v>
      </c>
      <c r="L629" t="n">
        <v>0</v>
      </c>
      <c r="M629" t="n">
        <v>0</v>
      </c>
      <c r="N629" t="n">
        <v>0</v>
      </c>
      <c r="O629" t="n">
        <v>0</v>
      </c>
      <c r="P629" t="n">
        <v>0</v>
      </c>
      <c r="Q629" t="n">
        <v>0</v>
      </c>
      <c r="R629" s="2" t="inlineStr"/>
    </row>
    <row r="630" ht="15" customHeight="1">
      <c r="A630" t="inlineStr">
        <is>
          <t>A 58269-2021</t>
        </is>
      </c>
      <c r="B630" s="1" t="n">
        <v>44487</v>
      </c>
      <c r="C630" s="1" t="n">
        <v>45361</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58272-2021</t>
        </is>
      </c>
      <c r="B631" s="1" t="n">
        <v>44487</v>
      </c>
      <c r="C631" s="1" t="n">
        <v>45361</v>
      </c>
      <c r="D631" t="inlineStr">
        <is>
          <t>JÄMTLANDS LÄN</t>
        </is>
      </c>
      <c r="E631" t="inlineStr">
        <is>
          <t>BRÄCKE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58311-2021</t>
        </is>
      </c>
      <c r="B632" s="1" t="n">
        <v>44487</v>
      </c>
      <c r="C632" s="1" t="n">
        <v>45361</v>
      </c>
      <c r="D632" t="inlineStr">
        <is>
          <t>JÄMTLANDS LÄN</t>
        </is>
      </c>
      <c r="E632" t="inlineStr">
        <is>
          <t>BRÄCKE</t>
        </is>
      </c>
      <c r="G632" t="n">
        <v>9.1</v>
      </c>
      <c r="H632" t="n">
        <v>0</v>
      </c>
      <c r="I632" t="n">
        <v>0</v>
      </c>
      <c r="J632" t="n">
        <v>0</v>
      </c>
      <c r="K632" t="n">
        <v>0</v>
      </c>
      <c r="L632" t="n">
        <v>0</v>
      </c>
      <c r="M632" t="n">
        <v>0</v>
      </c>
      <c r="N632" t="n">
        <v>0</v>
      </c>
      <c r="O632" t="n">
        <v>0</v>
      </c>
      <c r="P632" t="n">
        <v>0</v>
      </c>
      <c r="Q632" t="n">
        <v>0</v>
      </c>
      <c r="R632" s="2" t="inlineStr"/>
    </row>
    <row r="633" ht="15" customHeight="1">
      <c r="A633" t="inlineStr">
        <is>
          <t>A 58584-2021</t>
        </is>
      </c>
      <c r="B633" s="1" t="n">
        <v>44488</v>
      </c>
      <c r="C633" s="1" t="n">
        <v>45361</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59315-2021</t>
        </is>
      </c>
      <c r="B634" s="1" t="n">
        <v>44491</v>
      </c>
      <c r="C634" s="1" t="n">
        <v>45361</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59322-2021</t>
        </is>
      </c>
      <c r="B635" s="1" t="n">
        <v>44491</v>
      </c>
      <c r="C635" s="1" t="n">
        <v>45361</v>
      </c>
      <c r="D635" t="inlineStr">
        <is>
          <t>JÄMTLANDS LÄN</t>
        </is>
      </c>
      <c r="E635" t="inlineStr">
        <is>
          <t>BRÄCKE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59316-2021</t>
        </is>
      </c>
      <c r="B636" s="1" t="n">
        <v>44491</v>
      </c>
      <c r="C636" s="1" t="n">
        <v>45361</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60015-2021</t>
        </is>
      </c>
      <c r="B637" s="1" t="n">
        <v>44495</v>
      </c>
      <c r="C637" s="1" t="n">
        <v>45361</v>
      </c>
      <c r="D637" t="inlineStr">
        <is>
          <t>JÄMTLANDS LÄN</t>
        </is>
      </c>
      <c r="E637" t="inlineStr">
        <is>
          <t>BRÄCKE</t>
        </is>
      </c>
      <c r="G637" t="n">
        <v>18.7</v>
      </c>
      <c r="H637" t="n">
        <v>0</v>
      </c>
      <c r="I637" t="n">
        <v>0</v>
      </c>
      <c r="J637" t="n">
        <v>0</v>
      </c>
      <c r="K637" t="n">
        <v>0</v>
      </c>
      <c r="L637" t="n">
        <v>0</v>
      </c>
      <c r="M637" t="n">
        <v>0</v>
      </c>
      <c r="N637" t="n">
        <v>0</v>
      </c>
      <c r="O637" t="n">
        <v>0</v>
      </c>
      <c r="P637" t="n">
        <v>0</v>
      </c>
      <c r="Q637" t="n">
        <v>0</v>
      </c>
      <c r="R637" s="2" t="inlineStr"/>
    </row>
    <row r="638" ht="15" customHeight="1">
      <c r="A638" t="inlineStr">
        <is>
          <t>A 60325-2021</t>
        </is>
      </c>
      <c r="B638" s="1" t="n">
        <v>44496</v>
      </c>
      <c r="C638" s="1" t="n">
        <v>45361</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61415-2021</t>
        </is>
      </c>
      <c r="B639" s="1" t="n">
        <v>44500</v>
      </c>
      <c r="C639" s="1" t="n">
        <v>45361</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62270-2021</t>
        </is>
      </c>
      <c r="B640" s="1" t="n">
        <v>44503</v>
      </c>
      <c r="C640" s="1" t="n">
        <v>45361</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45361</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62675-2021</t>
        </is>
      </c>
      <c r="B642" s="1" t="n">
        <v>44503</v>
      </c>
      <c r="C642" s="1" t="n">
        <v>45361</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62664-2021</t>
        </is>
      </c>
      <c r="B643" s="1" t="n">
        <v>44503</v>
      </c>
      <c r="C643" s="1" t="n">
        <v>45361</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62674-2021</t>
        </is>
      </c>
      <c r="B644" s="1" t="n">
        <v>44503</v>
      </c>
      <c r="C644" s="1" t="n">
        <v>45361</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62953-2021</t>
        </is>
      </c>
      <c r="B645" s="1" t="n">
        <v>44504</v>
      </c>
      <c r="C645" s="1" t="n">
        <v>45361</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62954-2021</t>
        </is>
      </c>
      <c r="B646" s="1" t="n">
        <v>44504</v>
      </c>
      <c r="C646" s="1" t="n">
        <v>45361</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63346-2021</t>
        </is>
      </c>
      <c r="B647" s="1" t="n">
        <v>44508</v>
      </c>
      <c r="C647" s="1" t="n">
        <v>45361</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63600-2021</t>
        </is>
      </c>
      <c r="B648" s="1" t="n">
        <v>44508</v>
      </c>
      <c r="C648" s="1" t="n">
        <v>45361</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63579-2021</t>
        </is>
      </c>
      <c r="B649" s="1" t="n">
        <v>44508</v>
      </c>
      <c r="C649" s="1" t="n">
        <v>45361</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63534-2021</t>
        </is>
      </c>
      <c r="B650" s="1" t="n">
        <v>44508</v>
      </c>
      <c r="C650" s="1" t="n">
        <v>45361</v>
      </c>
      <c r="D650" t="inlineStr">
        <is>
          <t>JÄMTLANDS LÄN</t>
        </is>
      </c>
      <c r="E650" t="inlineStr">
        <is>
          <t>BRÄCKE</t>
        </is>
      </c>
      <c r="G650" t="n">
        <v>6.6</v>
      </c>
      <c r="H650" t="n">
        <v>0</v>
      </c>
      <c r="I650" t="n">
        <v>0</v>
      </c>
      <c r="J650" t="n">
        <v>0</v>
      </c>
      <c r="K650" t="n">
        <v>0</v>
      </c>
      <c r="L650" t="n">
        <v>0</v>
      </c>
      <c r="M650" t="n">
        <v>0</v>
      </c>
      <c r="N650" t="n">
        <v>0</v>
      </c>
      <c r="O650" t="n">
        <v>0</v>
      </c>
      <c r="P650" t="n">
        <v>0</v>
      </c>
      <c r="Q650" t="n">
        <v>0</v>
      </c>
      <c r="R650" s="2" t="inlineStr"/>
    </row>
    <row r="651" ht="15" customHeight="1">
      <c r="A651" t="inlineStr">
        <is>
          <t>A 63590-2021</t>
        </is>
      </c>
      <c r="B651" s="1" t="n">
        <v>44508</v>
      </c>
      <c r="C651" s="1" t="n">
        <v>45361</v>
      </c>
      <c r="D651" t="inlineStr">
        <is>
          <t>JÄMTLANDS LÄN</t>
        </is>
      </c>
      <c r="E651" t="inlineStr">
        <is>
          <t>BRÄCKE</t>
        </is>
      </c>
      <c r="G651" t="n">
        <v>9.1</v>
      </c>
      <c r="H651" t="n">
        <v>0</v>
      </c>
      <c r="I651" t="n">
        <v>0</v>
      </c>
      <c r="J651" t="n">
        <v>0</v>
      </c>
      <c r="K651" t="n">
        <v>0</v>
      </c>
      <c r="L651" t="n">
        <v>0</v>
      </c>
      <c r="M651" t="n">
        <v>0</v>
      </c>
      <c r="N651" t="n">
        <v>0</v>
      </c>
      <c r="O651" t="n">
        <v>0</v>
      </c>
      <c r="P651" t="n">
        <v>0</v>
      </c>
      <c r="Q651" t="n">
        <v>0</v>
      </c>
      <c r="R651" s="2" t="inlineStr"/>
    </row>
    <row r="652" ht="15" customHeight="1">
      <c r="A652" t="inlineStr">
        <is>
          <t>A 63995-2021</t>
        </is>
      </c>
      <c r="B652" s="1" t="n">
        <v>44509</v>
      </c>
      <c r="C652" s="1" t="n">
        <v>45361</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64002-2021</t>
        </is>
      </c>
      <c r="B653" s="1" t="n">
        <v>44510</v>
      </c>
      <c r="C653" s="1" t="n">
        <v>45361</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64721-2021</t>
        </is>
      </c>
      <c r="B654" s="1" t="n">
        <v>44512</v>
      </c>
      <c r="C654" s="1" t="n">
        <v>45361</v>
      </c>
      <c r="D654" t="inlineStr">
        <is>
          <t>JÄMTLANDS LÄN</t>
        </is>
      </c>
      <c r="E654" t="inlineStr">
        <is>
          <t>BRÄCKE</t>
        </is>
      </c>
      <c r="G654" t="n">
        <v>8</v>
      </c>
      <c r="H654" t="n">
        <v>0</v>
      </c>
      <c r="I654" t="n">
        <v>0</v>
      </c>
      <c r="J654" t="n">
        <v>0</v>
      </c>
      <c r="K654" t="n">
        <v>0</v>
      </c>
      <c r="L654" t="n">
        <v>0</v>
      </c>
      <c r="M654" t="n">
        <v>0</v>
      </c>
      <c r="N654" t="n">
        <v>0</v>
      </c>
      <c r="O654" t="n">
        <v>0</v>
      </c>
      <c r="P654" t="n">
        <v>0</v>
      </c>
      <c r="Q654" t="n">
        <v>0</v>
      </c>
      <c r="R654" s="2" t="inlineStr"/>
    </row>
    <row r="655" ht="15" customHeight="1">
      <c r="A655" t="inlineStr">
        <is>
          <t>A 65433-2021</t>
        </is>
      </c>
      <c r="B655" s="1" t="n">
        <v>44515</v>
      </c>
      <c r="C655" s="1" t="n">
        <v>45361</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66177-2021</t>
        </is>
      </c>
      <c r="B656" s="1" t="n">
        <v>44517</v>
      </c>
      <c r="C656" s="1" t="n">
        <v>45361</v>
      </c>
      <c r="D656" t="inlineStr">
        <is>
          <t>JÄMTLANDS LÄN</t>
        </is>
      </c>
      <c r="E656" t="inlineStr">
        <is>
          <t>BRÄCKE</t>
        </is>
      </c>
      <c r="G656" t="n">
        <v>24.8</v>
      </c>
      <c r="H656" t="n">
        <v>0</v>
      </c>
      <c r="I656" t="n">
        <v>0</v>
      </c>
      <c r="J656" t="n">
        <v>0</v>
      </c>
      <c r="K656" t="n">
        <v>0</v>
      </c>
      <c r="L656" t="n">
        <v>0</v>
      </c>
      <c r="M656" t="n">
        <v>0</v>
      </c>
      <c r="N656" t="n">
        <v>0</v>
      </c>
      <c r="O656" t="n">
        <v>0</v>
      </c>
      <c r="P656" t="n">
        <v>0</v>
      </c>
      <c r="Q656" t="n">
        <v>0</v>
      </c>
      <c r="R656" s="2" t="inlineStr"/>
    </row>
    <row r="657" ht="15" customHeight="1">
      <c r="A657" t="inlineStr">
        <is>
          <t>A 66285-2021</t>
        </is>
      </c>
      <c r="B657" s="1" t="n">
        <v>44518</v>
      </c>
      <c r="C657" s="1" t="n">
        <v>45361</v>
      </c>
      <c r="D657" t="inlineStr">
        <is>
          <t>JÄMTLANDS LÄN</t>
        </is>
      </c>
      <c r="E657" t="inlineStr">
        <is>
          <t>BRÄCKE</t>
        </is>
      </c>
      <c r="G657" t="n">
        <v>11.9</v>
      </c>
      <c r="H657" t="n">
        <v>0</v>
      </c>
      <c r="I657" t="n">
        <v>0</v>
      </c>
      <c r="J657" t="n">
        <v>0</v>
      </c>
      <c r="K657" t="n">
        <v>0</v>
      </c>
      <c r="L657" t="n">
        <v>0</v>
      </c>
      <c r="M657" t="n">
        <v>0</v>
      </c>
      <c r="N657" t="n">
        <v>0</v>
      </c>
      <c r="O657" t="n">
        <v>0</v>
      </c>
      <c r="P657" t="n">
        <v>0</v>
      </c>
      <c r="Q657" t="n">
        <v>0</v>
      </c>
      <c r="R657" s="2" t="inlineStr"/>
    </row>
    <row r="658" ht="15" customHeight="1">
      <c r="A658" t="inlineStr">
        <is>
          <t>A 67343-2021</t>
        </is>
      </c>
      <c r="B658" s="1" t="n">
        <v>44523</v>
      </c>
      <c r="C658" s="1" t="n">
        <v>45361</v>
      </c>
      <c r="D658" t="inlineStr">
        <is>
          <t>JÄMTLANDS LÄN</t>
        </is>
      </c>
      <c r="E658" t="inlineStr">
        <is>
          <t>BRÄCKE</t>
        </is>
      </c>
      <c r="G658" t="n">
        <v>4.4</v>
      </c>
      <c r="H658" t="n">
        <v>0</v>
      </c>
      <c r="I658" t="n">
        <v>0</v>
      </c>
      <c r="J658" t="n">
        <v>0</v>
      </c>
      <c r="K658" t="n">
        <v>0</v>
      </c>
      <c r="L658" t="n">
        <v>0</v>
      </c>
      <c r="M658" t="n">
        <v>0</v>
      </c>
      <c r="N658" t="n">
        <v>0</v>
      </c>
      <c r="O658" t="n">
        <v>0</v>
      </c>
      <c r="P658" t="n">
        <v>0</v>
      </c>
      <c r="Q658" t="n">
        <v>0</v>
      </c>
      <c r="R658" s="2" t="inlineStr"/>
    </row>
    <row r="659" ht="15" customHeight="1">
      <c r="A659" t="inlineStr">
        <is>
          <t>A 67687-2021</t>
        </is>
      </c>
      <c r="B659" s="1" t="n">
        <v>44524</v>
      </c>
      <c r="C659" s="1" t="n">
        <v>45361</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68319-2021</t>
        </is>
      </c>
      <c r="B660" s="1" t="n">
        <v>44526</v>
      </c>
      <c r="C660" s="1" t="n">
        <v>45361</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68901-2021</t>
        </is>
      </c>
      <c r="B661" s="1" t="n">
        <v>44526</v>
      </c>
      <c r="C661" s="1" t="n">
        <v>45361</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68769-2021</t>
        </is>
      </c>
      <c r="B662" s="1" t="n">
        <v>44529</v>
      </c>
      <c r="C662" s="1" t="n">
        <v>45361</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68763-2021</t>
        </is>
      </c>
      <c r="B663" s="1" t="n">
        <v>44529</v>
      </c>
      <c r="C663" s="1" t="n">
        <v>45361</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68765-2021</t>
        </is>
      </c>
      <c r="B664" s="1" t="n">
        <v>44529</v>
      </c>
      <c r="C664" s="1" t="n">
        <v>45361</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69155-2021</t>
        </is>
      </c>
      <c r="B665" s="1" t="n">
        <v>44530</v>
      </c>
      <c r="C665" s="1" t="n">
        <v>45361</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69550-2021</t>
        </is>
      </c>
      <c r="B666" s="1" t="n">
        <v>44531</v>
      </c>
      <c r="C666" s="1" t="n">
        <v>45361</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69549-2021</t>
        </is>
      </c>
      <c r="B667" s="1" t="n">
        <v>44531</v>
      </c>
      <c r="C667" s="1" t="n">
        <v>45361</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70812-2021</t>
        </is>
      </c>
      <c r="B668" s="1" t="n">
        <v>44537</v>
      </c>
      <c r="C668" s="1" t="n">
        <v>45361</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70807-2021</t>
        </is>
      </c>
      <c r="B669" s="1" t="n">
        <v>44537</v>
      </c>
      <c r="C669" s="1" t="n">
        <v>45361</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70813-2021</t>
        </is>
      </c>
      <c r="B670" s="1" t="n">
        <v>44537</v>
      </c>
      <c r="C670" s="1" t="n">
        <v>45361</v>
      </c>
      <c r="D670" t="inlineStr">
        <is>
          <t>JÄMTLANDS LÄN</t>
        </is>
      </c>
      <c r="E670" t="inlineStr">
        <is>
          <t>BRÄCKE</t>
        </is>
      </c>
      <c r="G670" t="n">
        <v>5.2</v>
      </c>
      <c r="H670" t="n">
        <v>0</v>
      </c>
      <c r="I670" t="n">
        <v>0</v>
      </c>
      <c r="J670" t="n">
        <v>0</v>
      </c>
      <c r="K670" t="n">
        <v>0</v>
      </c>
      <c r="L670" t="n">
        <v>0</v>
      </c>
      <c r="M670" t="n">
        <v>0</v>
      </c>
      <c r="N670" t="n">
        <v>0</v>
      </c>
      <c r="O670" t="n">
        <v>0</v>
      </c>
      <c r="P670" t="n">
        <v>0</v>
      </c>
      <c r="Q670" t="n">
        <v>0</v>
      </c>
      <c r="R670" s="2" t="inlineStr"/>
    </row>
    <row r="671" ht="15" customHeight="1">
      <c r="A671" t="inlineStr">
        <is>
          <t>A 72025-2021</t>
        </is>
      </c>
      <c r="B671" s="1" t="n">
        <v>44540</v>
      </c>
      <c r="C671" s="1" t="n">
        <v>45361</v>
      </c>
      <c r="D671" t="inlineStr">
        <is>
          <t>JÄMTLANDS LÄN</t>
        </is>
      </c>
      <c r="E671" t="inlineStr">
        <is>
          <t>BRÄCKE</t>
        </is>
      </c>
      <c r="G671" t="n">
        <v>11</v>
      </c>
      <c r="H671" t="n">
        <v>0</v>
      </c>
      <c r="I671" t="n">
        <v>0</v>
      </c>
      <c r="J671" t="n">
        <v>0</v>
      </c>
      <c r="K671" t="n">
        <v>0</v>
      </c>
      <c r="L671" t="n">
        <v>0</v>
      </c>
      <c r="M671" t="n">
        <v>0</v>
      </c>
      <c r="N671" t="n">
        <v>0</v>
      </c>
      <c r="O671" t="n">
        <v>0</v>
      </c>
      <c r="P671" t="n">
        <v>0</v>
      </c>
      <c r="Q671" t="n">
        <v>0</v>
      </c>
      <c r="R671" s="2" t="inlineStr"/>
    </row>
    <row r="672" ht="15" customHeight="1">
      <c r="A672" t="inlineStr">
        <is>
          <t>A 72044-2021</t>
        </is>
      </c>
      <c r="B672" s="1" t="n">
        <v>44540</v>
      </c>
      <c r="C672" s="1" t="n">
        <v>45361</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72757-2021</t>
        </is>
      </c>
      <c r="B673" s="1" t="n">
        <v>44546</v>
      </c>
      <c r="C673" s="1" t="n">
        <v>45361</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72750-2021</t>
        </is>
      </c>
      <c r="B674" s="1" t="n">
        <v>44546</v>
      </c>
      <c r="C674" s="1" t="n">
        <v>45361</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72754-2021</t>
        </is>
      </c>
      <c r="B675" s="1" t="n">
        <v>44546</v>
      </c>
      <c r="C675" s="1" t="n">
        <v>45361</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72758-2021</t>
        </is>
      </c>
      <c r="B676" s="1" t="n">
        <v>44546</v>
      </c>
      <c r="C676" s="1" t="n">
        <v>45361</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73106-2021</t>
        </is>
      </c>
      <c r="B677" s="1" t="n">
        <v>44550</v>
      </c>
      <c r="C677" s="1" t="n">
        <v>45361</v>
      </c>
      <c r="D677" t="inlineStr">
        <is>
          <t>JÄMTLANDS LÄN</t>
        </is>
      </c>
      <c r="E677" t="inlineStr">
        <is>
          <t>BRÄCKE</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73109-2021</t>
        </is>
      </c>
      <c r="B678" s="1" t="n">
        <v>44550</v>
      </c>
      <c r="C678" s="1" t="n">
        <v>45361</v>
      </c>
      <c r="D678" t="inlineStr">
        <is>
          <t>JÄMTLANDS LÄN</t>
        </is>
      </c>
      <c r="E678" t="inlineStr">
        <is>
          <t>BRÄCKE</t>
        </is>
      </c>
      <c r="F678" t="inlineStr">
        <is>
          <t>Sveaskog</t>
        </is>
      </c>
      <c r="G678" t="n">
        <v>6.4</v>
      </c>
      <c r="H678" t="n">
        <v>0</v>
      </c>
      <c r="I678" t="n">
        <v>0</v>
      </c>
      <c r="J678" t="n">
        <v>0</v>
      </c>
      <c r="K678" t="n">
        <v>0</v>
      </c>
      <c r="L678" t="n">
        <v>0</v>
      </c>
      <c r="M678" t="n">
        <v>0</v>
      </c>
      <c r="N678" t="n">
        <v>0</v>
      </c>
      <c r="O678" t="n">
        <v>0</v>
      </c>
      <c r="P678" t="n">
        <v>0</v>
      </c>
      <c r="Q678" t="n">
        <v>0</v>
      </c>
      <c r="R678" s="2" t="inlineStr"/>
    </row>
    <row r="679" ht="15" customHeight="1">
      <c r="A679" t="inlineStr">
        <is>
          <t>A 73102-2021</t>
        </is>
      </c>
      <c r="B679" s="1" t="n">
        <v>44550</v>
      </c>
      <c r="C679" s="1" t="n">
        <v>45361</v>
      </c>
      <c r="D679" t="inlineStr">
        <is>
          <t>JÄMTLANDS LÄN</t>
        </is>
      </c>
      <c r="E679" t="inlineStr">
        <is>
          <t>BRÄCKE</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73281-2021</t>
        </is>
      </c>
      <c r="B680" s="1" t="n">
        <v>44550</v>
      </c>
      <c r="C680" s="1" t="n">
        <v>45361</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73280-2021</t>
        </is>
      </c>
      <c r="B681" s="1" t="n">
        <v>44550</v>
      </c>
      <c r="C681" s="1" t="n">
        <v>45361</v>
      </c>
      <c r="D681" t="inlineStr">
        <is>
          <t>JÄMTLANDS LÄN</t>
        </is>
      </c>
      <c r="E681" t="inlineStr">
        <is>
          <t>BRÄCKE</t>
        </is>
      </c>
      <c r="G681" t="n">
        <v>2.5</v>
      </c>
      <c r="H681" t="n">
        <v>0</v>
      </c>
      <c r="I681" t="n">
        <v>0</v>
      </c>
      <c r="J681" t="n">
        <v>0</v>
      </c>
      <c r="K681" t="n">
        <v>0</v>
      </c>
      <c r="L681" t="n">
        <v>0</v>
      </c>
      <c r="M681" t="n">
        <v>0</v>
      </c>
      <c r="N681" t="n">
        <v>0</v>
      </c>
      <c r="O681" t="n">
        <v>0</v>
      </c>
      <c r="P681" t="n">
        <v>0</v>
      </c>
      <c r="Q681" t="n">
        <v>0</v>
      </c>
      <c r="R681" s="2" t="inlineStr"/>
    </row>
    <row r="682" ht="15" customHeight="1">
      <c r="A682" t="inlineStr">
        <is>
          <t>A 1087-2022</t>
        </is>
      </c>
      <c r="B682" s="1" t="n">
        <v>44571</v>
      </c>
      <c r="C682" s="1" t="n">
        <v>45361</v>
      </c>
      <c r="D682" t="inlineStr">
        <is>
          <t>JÄMTLANDS LÄN</t>
        </is>
      </c>
      <c r="E682" t="inlineStr">
        <is>
          <t>BRÄCKE</t>
        </is>
      </c>
      <c r="G682" t="n">
        <v>3.7</v>
      </c>
      <c r="H682" t="n">
        <v>0</v>
      </c>
      <c r="I682" t="n">
        <v>0</v>
      </c>
      <c r="J682" t="n">
        <v>0</v>
      </c>
      <c r="K682" t="n">
        <v>0</v>
      </c>
      <c r="L682" t="n">
        <v>0</v>
      </c>
      <c r="M682" t="n">
        <v>0</v>
      </c>
      <c r="N682" t="n">
        <v>0</v>
      </c>
      <c r="O682" t="n">
        <v>0</v>
      </c>
      <c r="P682" t="n">
        <v>0</v>
      </c>
      <c r="Q682" t="n">
        <v>0</v>
      </c>
      <c r="R682" s="2" t="inlineStr"/>
    </row>
    <row r="683" ht="15" customHeight="1">
      <c r="A683" t="inlineStr">
        <is>
          <t>A 1201-2022</t>
        </is>
      </c>
      <c r="B683" s="1" t="n">
        <v>44572</v>
      </c>
      <c r="C683" s="1" t="n">
        <v>45361</v>
      </c>
      <c r="D683" t="inlineStr">
        <is>
          <t>JÄMTLANDS LÄN</t>
        </is>
      </c>
      <c r="E683" t="inlineStr">
        <is>
          <t>BRÄCKE</t>
        </is>
      </c>
      <c r="G683" t="n">
        <v>13.7</v>
      </c>
      <c r="H683" t="n">
        <v>0</v>
      </c>
      <c r="I683" t="n">
        <v>0</v>
      </c>
      <c r="J683" t="n">
        <v>0</v>
      </c>
      <c r="K683" t="n">
        <v>0</v>
      </c>
      <c r="L683" t="n">
        <v>0</v>
      </c>
      <c r="M683" t="n">
        <v>0</v>
      </c>
      <c r="N683" t="n">
        <v>0</v>
      </c>
      <c r="O683" t="n">
        <v>0</v>
      </c>
      <c r="P683" t="n">
        <v>0</v>
      </c>
      <c r="Q683" t="n">
        <v>0</v>
      </c>
      <c r="R683" s="2" t="inlineStr"/>
    </row>
    <row r="684" ht="15" customHeight="1">
      <c r="A684" t="inlineStr">
        <is>
          <t>A 1340-2022</t>
        </is>
      </c>
      <c r="B684" s="1" t="n">
        <v>44572</v>
      </c>
      <c r="C684" s="1" t="n">
        <v>45361</v>
      </c>
      <c r="D684" t="inlineStr">
        <is>
          <t>JÄMTLANDS LÄN</t>
        </is>
      </c>
      <c r="E684" t="inlineStr">
        <is>
          <t>BRÄCKE</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1865-2022</t>
        </is>
      </c>
      <c r="B685" s="1" t="n">
        <v>44574</v>
      </c>
      <c r="C685" s="1" t="n">
        <v>45361</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1863-2022</t>
        </is>
      </c>
      <c r="B686" s="1" t="n">
        <v>44574</v>
      </c>
      <c r="C686" s="1" t="n">
        <v>45361</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1866-2022</t>
        </is>
      </c>
      <c r="B687" s="1" t="n">
        <v>44574</v>
      </c>
      <c r="C687" s="1" t="n">
        <v>45361</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1864-2022</t>
        </is>
      </c>
      <c r="B688" s="1" t="n">
        <v>44574</v>
      </c>
      <c r="C688" s="1" t="n">
        <v>45361</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2035-2022</t>
        </is>
      </c>
      <c r="B689" s="1" t="n">
        <v>44575</v>
      </c>
      <c r="C689" s="1" t="n">
        <v>45361</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2645-2022</t>
        </is>
      </c>
      <c r="B690" s="1" t="n">
        <v>44580</v>
      </c>
      <c r="C690" s="1" t="n">
        <v>45361</v>
      </c>
      <c r="D690" t="inlineStr">
        <is>
          <t>JÄMTLANDS LÄN</t>
        </is>
      </c>
      <c r="E690" t="inlineStr">
        <is>
          <t>BRÄCKE</t>
        </is>
      </c>
      <c r="G690" t="n">
        <v>2.9</v>
      </c>
      <c r="H690" t="n">
        <v>0</v>
      </c>
      <c r="I690" t="n">
        <v>0</v>
      </c>
      <c r="J690" t="n">
        <v>0</v>
      </c>
      <c r="K690" t="n">
        <v>0</v>
      </c>
      <c r="L690" t="n">
        <v>0</v>
      </c>
      <c r="M690" t="n">
        <v>0</v>
      </c>
      <c r="N690" t="n">
        <v>0</v>
      </c>
      <c r="O690" t="n">
        <v>0</v>
      </c>
      <c r="P690" t="n">
        <v>0</v>
      </c>
      <c r="Q690" t="n">
        <v>0</v>
      </c>
      <c r="R690" s="2" t="inlineStr"/>
    </row>
    <row r="691" ht="15" customHeight="1">
      <c r="A691" t="inlineStr">
        <is>
          <t>A 3239-2022</t>
        </is>
      </c>
      <c r="B691" s="1" t="n">
        <v>44582</v>
      </c>
      <c r="C691" s="1" t="n">
        <v>45361</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3224-2022</t>
        </is>
      </c>
      <c r="B692" s="1" t="n">
        <v>44582</v>
      </c>
      <c r="C692" s="1" t="n">
        <v>45361</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3694-2022</t>
        </is>
      </c>
      <c r="B693" s="1" t="n">
        <v>44586</v>
      </c>
      <c r="C693" s="1" t="n">
        <v>45361</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3947-2022</t>
        </is>
      </c>
      <c r="B694" s="1" t="n">
        <v>44587</v>
      </c>
      <c r="C694" s="1" t="n">
        <v>45361</v>
      </c>
      <c r="D694" t="inlineStr">
        <is>
          <t>JÄMTLANDS LÄN</t>
        </is>
      </c>
      <c r="E694" t="inlineStr">
        <is>
          <t>BRÄCKE</t>
        </is>
      </c>
      <c r="G694" t="n">
        <v>0.4</v>
      </c>
      <c r="H694" t="n">
        <v>0</v>
      </c>
      <c r="I694" t="n">
        <v>0</v>
      </c>
      <c r="J694" t="n">
        <v>0</v>
      </c>
      <c r="K694" t="n">
        <v>0</v>
      </c>
      <c r="L694" t="n">
        <v>0</v>
      </c>
      <c r="M694" t="n">
        <v>0</v>
      </c>
      <c r="N694" t="n">
        <v>0</v>
      </c>
      <c r="O694" t="n">
        <v>0</v>
      </c>
      <c r="P694" t="n">
        <v>0</v>
      </c>
      <c r="Q694" t="n">
        <v>0</v>
      </c>
      <c r="R694" s="2" t="inlineStr"/>
    </row>
    <row r="695" ht="15" customHeight="1">
      <c r="A695" t="inlineStr">
        <is>
          <t>A 4338-2022</t>
        </is>
      </c>
      <c r="B695" s="1" t="n">
        <v>44588</v>
      </c>
      <c r="C695" s="1" t="n">
        <v>45361</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4542-2022</t>
        </is>
      </c>
      <c r="B696" s="1" t="n">
        <v>44590</v>
      </c>
      <c r="C696" s="1" t="n">
        <v>45361</v>
      </c>
      <c r="D696" t="inlineStr">
        <is>
          <t>JÄMTLANDS LÄN</t>
        </is>
      </c>
      <c r="E696" t="inlineStr">
        <is>
          <t>BRÄCKE</t>
        </is>
      </c>
      <c r="G696" t="n">
        <v>18.5</v>
      </c>
      <c r="H696" t="n">
        <v>0</v>
      </c>
      <c r="I696" t="n">
        <v>0</v>
      </c>
      <c r="J696" t="n">
        <v>0</v>
      </c>
      <c r="K696" t="n">
        <v>0</v>
      </c>
      <c r="L696" t="n">
        <v>0</v>
      </c>
      <c r="M696" t="n">
        <v>0</v>
      </c>
      <c r="N696" t="n">
        <v>0</v>
      </c>
      <c r="O696" t="n">
        <v>0</v>
      </c>
      <c r="P696" t="n">
        <v>0</v>
      </c>
      <c r="Q696" t="n">
        <v>0</v>
      </c>
      <c r="R696" s="2" t="inlineStr"/>
    </row>
    <row r="697" ht="15" customHeight="1">
      <c r="A697" t="inlineStr">
        <is>
          <t>A 4635-2022</t>
        </is>
      </c>
      <c r="B697" s="1" t="n">
        <v>44592</v>
      </c>
      <c r="C697" s="1" t="n">
        <v>45361</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4850-2022</t>
        </is>
      </c>
      <c r="B698" s="1" t="n">
        <v>44592</v>
      </c>
      <c r="C698" s="1" t="n">
        <v>45361</v>
      </c>
      <c r="D698" t="inlineStr">
        <is>
          <t>JÄMTLANDS LÄN</t>
        </is>
      </c>
      <c r="E698" t="inlineStr">
        <is>
          <t>BRÄCKE</t>
        </is>
      </c>
      <c r="G698" t="n">
        <v>7.6</v>
      </c>
      <c r="H698" t="n">
        <v>0</v>
      </c>
      <c r="I698" t="n">
        <v>0</v>
      </c>
      <c r="J698" t="n">
        <v>0</v>
      </c>
      <c r="K698" t="n">
        <v>0</v>
      </c>
      <c r="L698" t="n">
        <v>0</v>
      </c>
      <c r="M698" t="n">
        <v>0</v>
      </c>
      <c r="N698" t="n">
        <v>0</v>
      </c>
      <c r="O698" t="n">
        <v>0</v>
      </c>
      <c r="P698" t="n">
        <v>0</v>
      </c>
      <c r="Q698" t="n">
        <v>0</v>
      </c>
      <c r="R698" s="2" t="inlineStr"/>
    </row>
    <row r="699" ht="15" customHeight="1">
      <c r="A699" t="inlineStr">
        <is>
          <t>A 5377-2022</t>
        </is>
      </c>
      <c r="B699" s="1" t="n">
        <v>44594</v>
      </c>
      <c r="C699" s="1" t="n">
        <v>45361</v>
      </c>
      <c r="D699" t="inlineStr">
        <is>
          <t>JÄMTLANDS LÄN</t>
        </is>
      </c>
      <c r="E699" t="inlineStr">
        <is>
          <t>BRÄCKE</t>
        </is>
      </c>
      <c r="G699" t="n">
        <v>40.3</v>
      </c>
      <c r="H699" t="n">
        <v>0</v>
      </c>
      <c r="I699" t="n">
        <v>0</v>
      </c>
      <c r="J699" t="n">
        <v>0</v>
      </c>
      <c r="K699" t="n">
        <v>0</v>
      </c>
      <c r="L699" t="n">
        <v>0</v>
      </c>
      <c r="M699" t="n">
        <v>0</v>
      </c>
      <c r="N699" t="n">
        <v>0</v>
      </c>
      <c r="O699" t="n">
        <v>0</v>
      </c>
      <c r="P699" t="n">
        <v>0</v>
      </c>
      <c r="Q699" t="n">
        <v>0</v>
      </c>
      <c r="R699" s="2" t="inlineStr"/>
    </row>
    <row r="700" ht="15" customHeight="1">
      <c r="A700" t="inlineStr">
        <is>
          <t>A 5380-2022</t>
        </is>
      </c>
      <c r="B700" s="1" t="n">
        <v>44594</v>
      </c>
      <c r="C700" s="1" t="n">
        <v>45361</v>
      </c>
      <c r="D700" t="inlineStr">
        <is>
          <t>JÄMTLANDS LÄN</t>
        </is>
      </c>
      <c r="E700" t="inlineStr">
        <is>
          <t>BRÄCKE</t>
        </is>
      </c>
      <c r="F700" t="inlineStr">
        <is>
          <t>SCA</t>
        </is>
      </c>
      <c r="G700" t="n">
        <v>18.3</v>
      </c>
      <c r="H700" t="n">
        <v>0</v>
      </c>
      <c r="I700" t="n">
        <v>0</v>
      </c>
      <c r="J700" t="n">
        <v>0</v>
      </c>
      <c r="K700" t="n">
        <v>0</v>
      </c>
      <c r="L700" t="n">
        <v>0</v>
      </c>
      <c r="M700" t="n">
        <v>0</v>
      </c>
      <c r="N700" t="n">
        <v>0</v>
      </c>
      <c r="O700" t="n">
        <v>0</v>
      </c>
      <c r="P700" t="n">
        <v>0</v>
      </c>
      <c r="Q700" t="n">
        <v>0</v>
      </c>
      <c r="R700" s="2" t="inlineStr"/>
      <c r="U700">
        <f>HYPERLINK("https://klasma.github.io/Logging_2305/knärot/A 5380-2022 karta knärot.png", "A 5380-2022")</f>
        <v/>
      </c>
      <c r="V700">
        <f>HYPERLINK("https://klasma.github.io/Logging_2305/klagomål/A 5380-2022 FSC-klagomål.docx", "A 5380-2022")</f>
        <v/>
      </c>
      <c r="W700">
        <f>HYPERLINK("https://klasma.github.io/Logging_2305/klagomålsmail/A 5380-2022 FSC-klagomål mail.docx", "A 5380-2022")</f>
        <v/>
      </c>
      <c r="X700">
        <f>HYPERLINK("https://klasma.github.io/Logging_2305/tillsyn/A 5380-2022 tillsynsbegäran.docx", "A 5380-2022")</f>
        <v/>
      </c>
      <c r="Y700">
        <f>HYPERLINK("https://klasma.github.io/Logging_2305/tillsynsmail/A 5380-2022 tillsynsbegäran mail.docx", "A 5380-2022")</f>
        <v/>
      </c>
    </row>
    <row r="701" ht="15" customHeight="1">
      <c r="A701" t="inlineStr">
        <is>
          <t>A 5378-2022</t>
        </is>
      </c>
      <c r="B701" s="1" t="n">
        <v>44594</v>
      </c>
      <c r="C701" s="1" t="n">
        <v>45361</v>
      </c>
      <c r="D701" t="inlineStr">
        <is>
          <t>JÄMTLANDS LÄN</t>
        </is>
      </c>
      <c r="E701" t="inlineStr">
        <is>
          <t>BRÄCKE</t>
        </is>
      </c>
      <c r="G701" t="n">
        <v>4.6</v>
      </c>
      <c r="H701" t="n">
        <v>0</v>
      </c>
      <c r="I701" t="n">
        <v>0</v>
      </c>
      <c r="J701" t="n">
        <v>0</v>
      </c>
      <c r="K701" t="n">
        <v>0</v>
      </c>
      <c r="L701" t="n">
        <v>0</v>
      </c>
      <c r="M701" t="n">
        <v>0</v>
      </c>
      <c r="N701" t="n">
        <v>0</v>
      </c>
      <c r="O701" t="n">
        <v>0</v>
      </c>
      <c r="P701" t="n">
        <v>0</v>
      </c>
      <c r="Q701" t="n">
        <v>0</v>
      </c>
      <c r="R701" s="2" t="inlineStr"/>
    </row>
    <row r="702" ht="15" customHeight="1">
      <c r="A702" t="inlineStr">
        <is>
          <t>A 6460-2022</t>
        </is>
      </c>
      <c r="B702" s="1" t="n">
        <v>44601</v>
      </c>
      <c r="C702" s="1" t="n">
        <v>45361</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6461-2022</t>
        </is>
      </c>
      <c r="B703" s="1" t="n">
        <v>44601</v>
      </c>
      <c r="C703" s="1" t="n">
        <v>45361</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6648-2022</t>
        </is>
      </c>
      <c r="B704" s="1" t="n">
        <v>44601</v>
      </c>
      <c r="C704" s="1" t="n">
        <v>45361</v>
      </c>
      <c r="D704" t="inlineStr">
        <is>
          <t>JÄMTLANDS LÄN</t>
        </is>
      </c>
      <c r="E704" t="inlineStr">
        <is>
          <t>BRÄCKE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7027-2022</t>
        </is>
      </c>
      <c r="B705" s="1" t="n">
        <v>44603</v>
      </c>
      <c r="C705" s="1" t="n">
        <v>45361</v>
      </c>
      <c r="D705" t="inlineStr">
        <is>
          <t>JÄMTLANDS LÄN</t>
        </is>
      </c>
      <c r="E705" t="inlineStr">
        <is>
          <t>BRÄCKE</t>
        </is>
      </c>
      <c r="G705" t="n">
        <v>3.7</v>
      </c>
      <c r="H705" t="n">
        <v>0</v>
      </c>
      <c r="I705" t="n">
        <v>0</v>
      </c>
      <c r="J705" t="n">
        <v>0</v>
      </c>
      <c r="K705" t="n">
        <v>0</v>
      </c>
      <c r="L705" t="n">
        <v>0</v>
      </c>
      <c r="M705" t="n">
        <v>0</v>
      </c>
      <c r="N705" t="n">
        <v>0</v>
      </c>
      <c r="O705" t="n">
        <v>0</v>
      </c>
      <c r="P705" t="n">
        <v>0</v>
      </c>
      <c r="Q705" t="n">
        <v>0</v>
      </c>
      <c r="R705" s="2" t="inlineStr"/>
    </row>
    <row r="706" ht="15" customHeight="1">
      <c r="A706" t="inlineStr">
        <is>
          <t>A 8052-2022</t>
        </is>
      </c>
      <c r="B706" s="1" t="n">
        <v>44609</v>
      </c>
      <c r="C706" s="1" t="n">
        <v>45361</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8422-2022</t>
        </is>
      </c>
      <c r="B707" s="1" t="n">
        <v>44610</v>
      </c>
      <c r="C707" s="1" t="n">
        <v>45361</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10130-2022</t>
        </is>
      </c>
      <c r="B708" s="1" t="n">
        <v>44621</v>
      </c>
      <c r="C708" s="1" t="n">
        <v>45361</v>
      </c>
      <c r="D708" t="inlineStr">
        <is>
          <t>JÄMTLANDS LÄN</t>
        </is>
      </c>
      <c r="E708" t="inlineStr">
        <is>
          <t>BRÄCKE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10129-2022</t>
        </is>
      </c>
      <c r="B709" s="1" t="n">
        <v>44621</v>
      </c>
      <c r="C709" s="1" t="n">
        <v>45361</v>
      </c>
      <c r="D709" t="inlineStr">
        <is>
          <t>JÄMTLANDS LÄN</t>
        </is>
      </c>
      <c r="E709" t="inlineStr">
        <is>
          <t>BRÄCKE</t>
        </is>
      </c>
      <c r="F709" t="inlineStr">
        <is>
          <t>SCA</t>
        </is>
      </c>
      <c r="G709" t="n">
        <v>15.6</v>
      </c>
      <c r="H709" t="n">
        <v>0</v>
      </c>
      <c r="I709" t="n">
        <v>0</v>
      </c>
      <c r="J709" t="n">
        <v>0</v>
      </c>
      <c r="K709" t="n">
        <v>0</v>
      </c>
      <c r="L709" t="n">
        <v>0</v>
      </c>
      <c r="M709" t="n">
        <v>0</v>
      </c>
      <c r="N709" t="n">
        <v>0</v>
      </c>
      <c r="O709" t="n">
        <v>0</v>
      </c>
      <c r="P709" t="n">
        <v>0</v>
      </c>
      <c r="Q709" t="n">
        <v>0</v>
      </c>
      <c r="R709" s="2" t="inlineStr"/>
    </row>
    <row r="710" ht="15" customHeight="1">
      <c r="A710" t="inlineStr">
        <is>
          <t>A 10476-2022</t>
        </is>
      </c>
      <c r="B710" s="1" t="n">
        <v>44623</v>
      </c>
      <c r="C710" s="1" t="n">
        <v>45361</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10532-2022</t>
        </is>
      </c>
      <c r="B711" s="1" t="n">
        <v>44623</v>
      </c>
      <c r="C711" s="1" t="n">
        <v>45361</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10536-2022</t>
        </is>
      </c>
      <c r="B712" s="1" t="n">
        <v>44623</v>
      </c>
      <c r="C712" s="1" t="n">
        <v>45361</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10540-2022</t>
        </is>
      </c>
      <c r="B713" s="1" t="n">
        <v>44623</v>
      </c>
      <c r="C713" s="1" t="n">
        <v>45361</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10535-2022</t>
        </is>
      </c>
      <c r="B714" s="1" t="n">
        <v>44623</v>
      </c>
      <c r="C714" s="1" t="n">
        <v>45361</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10539-2022</t>
        </is>
      </c>
      <c r="B715" s="1" t="n">
        <v>44623</v>
      </c>
      <c r="C715" s="1" t="n">
        <v>45361</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10543-2022</t>
        </is>
      </c>
      <c r="B716" s="1" t="n">
        <v>44623</v>
      </c>
      <c r="C716" s="1" t="n">
        <v>45361</v>
      </c>
      <c r="D716" t="inlineStr">
        <is>
          <t>JÄMTLANDS LÄN</t>
        </is>
      </c>
      <c r="E716" t="inlineStr">
        <is>
          <t>BRÄCKE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10534-2022</t>
        </is>
      </c>
      <c r="B717" s="1" t="n">
        <v>44623</v>
      </c>
      <c r="C717" s="1" t="n">
        <v>45361</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10538-2022</t>
        </is>
      </c>
      <c r="B718" s="1" t="n">
        <v>44623</v>
      </c>
      <c r="C718" s="1" t="n">
        <v>45361</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10542-2022</t>
        </is>
      </c>
      <c r="B719" s="1" t="n">
        <v>44623</v>
      </c>
      <c r="C719" s="1" t="n">
        <v>45361</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10533-2022</t>
        </is>
      </c>
      <c r="B720" s="1" t="n">
        <v>44623</v>
      </c>
      <c r="C720" s="1" t="n">
        <v>45361</v>
      </c>
      <c r="D720" t="inlineStr">
        <is>
          <t>JÄMTLANDS LÄN</t>
        </is>
      </c>
      <c r="E720" t="inlineStr">
        <is>
          <t>BRÄCKE</t>
        </is>
      </c>
      <c r="G720" t="n">
        <v>5.4</v>
      </c>
      <c r="H720" t="n">
        <v>0</v>
      </c>
      <c r="I720" t="n">
        <v>0</v>
      </c>
      <c r="J720" t="n">
        <v>0</v>
      </c>
      <c r="K720" t="n">
        <v>0</v>
      </c>
      <c r="L720" t="n">
        <v>0</v>
      </c>
      <c r="M720" t="n">
        <v>0</v>
      </c>
      <c r="N720" t="n">
        <v>0</v>
      </c>
      <c r="O720" t="n">
        <v>0</v>
      </c>
      <c r="P720" t="n">
        <v>0</v>
      </c>
      <c r="Q720" t="n">
        <v>0</v>
      </c>
      <c r="R720" s="2" t="inlineStr"/>
    </row>
    <row r="721" ht="15" customHeight="1">
      <c r="A721" t="inlineStr">
        <is>
          <t>A 10537-2022</t>
        </is>
      </c>
      <c r="B721" s="1" t="n">
        <v>44623</v>
      </c>
      <c r="C721" s="1" t="n">
        <v>45361</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10815-2022</t>
        </is>
      </c>
      <c r="B722" s="1" t="n">
        <v>44627</v>
      </c>
      <c r="C722" s="1" t="n">
        <v>45361</v>
      </c>
      <c r="D722" t="inlineStr">
        <is>
          <t>JÄMTLANDS LÄN</t>
        </is>
      </c>
      <c r="E722" t="inlineStr">
        <is>
          <t>BRÄCKE</t>
        </is>
      </c>
      <c r="G722" t="n">
        <v>9</v>
      </c>
      <c r="H722" t="n">
        <v>0</v>
      </c>
      <c r="I722" t="n">
        <v>0</v>
      </c>
      <c r="J722" t="n">
        <v>0</v>
      </c>
      <c r="K722" t="n">
        <v>0</v>
      </c>
      <c r="L722" t="n">
        <v>0</v>
      </c>
      <c r="M722" t="n">
        <v>0</v>
      </c>
      <c r="N722" t="n">
        <v>0</v>
      </c>
      <c r="O722" t="n">
        <v>0</v>
      </c>
      <c r="P722" t="n">
        <v>0</v>
      </c>
      <c r="Q722" t="n">
        <v>0</v>
      </c>
      <c r="R722" s="2" t="inlineStr"/>
    </row>
    <row r="723" ht="15" customHeight="1">
      <c r="A723" t="inlineStr">
        <is>
          <t>A 11093-2022</t>
        </is>
      </c>
      <c r="B723" s="1" t="n">
        <v>44628</v>
      </c>
      <c r="C723" s="1" t="n">
        <v>45361</v>
      </c>
      <c r="D723" t="inlineStr">
        <is>
          <t>JÄMTLANDS LÄN</t>
        </is>
      </c>
      <c r="E723" t="inlineStr">
        <is>
          <t>BRÄCKE</t>
        </is>
      </c>
      <c r="G723" t="n">
        <v>16.4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v>
      </c>
      <c r="C724" s="1" t="n">
        <v>45361</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12388-2022</t>
        </is>
      </c>
      <c r="B725" s="1" t="n">
        <v>44637</v>
      </c>
      <c r="C725" s="1" t="n">
        <v>45361</v>
      </c>
      <c r="D725" t="inlineStr">
        <is>
          <t>JÄMTLANDS LÄN</t>
        </is>
      </c>
      <c r="E725" t="inlineStr">
        <is>
          <t>BRÄCKE</t>
        </is>
      </c>
      <c r="G725" t="n">
        <v>27.6</v>
      </c>
      <c r="H725" t="n">
        <v>0</v>
      </c>
      <c r="I725" t="n">
        <v>0</v>
      </c>
      <c r="J725" t="n">
        <v>0</v>
      </c>
      <c r="K725" t="n">
        <v>0</v>
      </c>
      <c r="L725" t="n">
        <v>0</v>
      </c>
      <c r="M725" t="n">
        <v>0</v>
      </c>
      <c r="N725" t="n">
        <v>0</v>
      </c>
      <c r="O725" t="n">
        <v>0</v>
      </c>
      <c r="P725" t="n">
        <v>0</v>
      </c>
      <c r="Q725" t="n">
        <v>0</v>
      </c>
      <c r="R725" s="2" t="inlineStr"/>
    </row>
    <row r="726" ht="15" customHeight="1">
      <c r="A726" t="inlineStr">
        <is>
          <t>A 12610-2022</t>
        </is>
      </c>
      <c r="B726" s="1" t="n">
        <v>44638</v>
      </c>
      <c r="C726" s="1" t="n">
        <v>45361</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12601-2022</t>
        </is>
      </c>
      <c r="B727" s="1" t="n">
        <v>44638</v>
      </c>
      <c r="C727" s="1" t="n">
        <v>45361</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13525-2022</t>
        </is>
      </c>
      <c r="B728" s="1" t="n">
        <v>44648</v>
      </c>
      <c r="C728" s="1" t="n">
        <v>45361</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15093-2022</t>
        </is>
      </c>
      <c r="B729" s="1" t="n">
        <v>44657</v>
      </c>
      <c r="C729" s="1" t="n">
        <v>45361</v>
      </c>
      <c r="D729" t="inlineStr">
        <is>
          <t>JÄMTLANDS LÄN</t>
        </is>
      </c>
      <c r="E729" t="inlineStr">
        <is>
          <t>BRÄCKE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16526-2022</t>
        </is>
      </c>
      <c r="B730" s="1" t="n">
        <v>44672</v>
      </c>
      <c r="C730" s="1" t="n">
        <v>45361</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17578-2022</t>
        </is>
      </c>
      <c r="B731" s="1" t="n">
        <v>44679</v>
      </c>
      <c r="C731" s="1" t="n">
        <v>45361</v>
      </c>
      <c r="D731" t="inlineStr">
        <is>
          <t>JÄMTLANDS LÄN</t>
        </is>
      </c>
      <c r="E731" t="inlineStr">
        <is>
          <t>BRÄCKE</t>
        </is>
      </c>
      <c r="G731" t="n">
        <v>5.5</v>
      </c>
      <c r="H731" t="n">
        <v>0</v>
      </c>
      <c r="I731" t="n">
        <v>0</v>
      </c>
      <c r="J731" t="n">
        <v>0</v>
      </c>
      <c r="K731" t="n">
        <v>0</v>
      </c>
      <c r="L731" t="n">
        <v>0</v>
      </c>
      <c r="M731" t="n">
        <v>0</v>
      </c>
      <c r="N731" t="n">
        <v>0</v>
      </c>
      <c r="O731" t="n">
        <v>0</v>
      </c>
      <c r="P731" t="n">
        <v>0</v>
      </c>
      <c r="Q731" t="n">
        <v>0</v>
      </c>
      <c r="R731" s="2" t="inlineStr"/>
    </row>
    <row r="732" ht="15" customHeight="1">
      <c r="A732" t="inlineStr">
        <is>
          <t>A 17577-2022</t>
        </is>
      </c>
      <c r="B732" s="1" t="n">
        <v>44679</v>
      </c>
      <c r="C732" s="1" t="n">
        <v>45361</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17738-2022</t>
        </is>
      </c>
      <c r="B733" s="1" t="n">
        <v>44681</v>
      </c>
      <c r="C733" s="1" t="n">
        <v>45361</v>
      </c>
      <c r="D733" t="inlineStr">
        <is>
          <t>JÄMTLANDS LÄN</t>
        </is>
      </c>
      <c r="E733" t="inlineStr">
        <is>
          <t>BRÄCKE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17996-2022</t>
        </is>
      </c>
      <c r="B734" s="1" t="n">
        <v>44683</v>
      </c>
      <c r="C734" s="1" t="n">
        <v>45361</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18221-2022</t>
        </is>
      </c>
      <c r="B735" s="1" t="n">
        <v>44685</v>
      </c>
      <c r="C735" s="1" t="n">
        <v>45361</v>
      </c>
      <c r="D735" t="inlineStr">
        <is>
          <t>JÄMTLANDS LÄN</t>
        </is>
      </c>
      <c r="E735" t="inlineStr">
        <is>
          <t>BRÄCKE</t>
        </is>
      </c>
      <c r="G735" t="n">
        <v>1.5</v>
      </c>
      <c r="H735" t="n">
        <v>0</v>
      </c>
      <c r="I735" t="n">
        <v>0</v>
      </c>
      <c r="J735" t="n">
        <v>0</v>
      </c>
      <c r="K735" t="n">
        <v>0</v>
      </c>
      <c r="L735" t="n">
        <v>0</v>
      </c>
      <c r="M735" t="n">
        <v>0</v>
      </c>
      <c r="N735" t="n">
        <v>0</v>
      </c>
      <c r="O735" t="n">
        <v>0</v>
      </c>
      <c r="P735" t="n">
        <v>0</v>
      </c>
      <c r="Q735" t="n">
        <v>0</v>
      </c>
      <c r="R735" s="2" t="inlineStr"/>
    </row>
    <row r="736" ht="15" customHeight="1">
      <c r="A736" t="inlineStr">
        <is>
          <t>A 18371-2022</t>
        </is>
      </c>
      <c r="B736" s="1" t="n">
        <v>44686</v>
      </c>
      <c r="C736" s="1" t="n">
        <v>45361</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18977-2022</t>
        </is>
      </c>
      <c r="B737" s="1" t="n">
        <v>44690</v>
      </c>
      <c r="C737" s="1" t="n">
        <v>45361</v>
      </c>
      <c r="D737" t="inlineStr">
        <is>
          <t>JÄMTLANDS LÄN</t>
        </is>
      </c>
      <c r="E737" t="inlineStr">
        <is>
          <t>BRÄCKE</t>
        </is>
      </c>
      <c r="G737" t="n">
        <v>4.6</v>
      </c>
      <c r="H737" t="n">
        <v>0</v>
      </c>
      <c r="I737" t="n">
        <v>0</v>
      </c>
      <c r="J737" t="n">
        <v>0</v>
      </c>
      <c r="K737" t="n">
        <v>0</v>
      </c>
      <c r="L737" t="n">
        <v>0</v>
      </c>
      <c r="M737" t="n">
        <v>0</v>
      </c>
      <c r="N737" t="n">
        <v>0</v>
      </c>
      <c r="O737" t="n">
        <v>0</v>
      </c>
      <c r="P737" t="n">
        <v>0</v>
      </c>
      <c r="Q737" t="n">
        <v>0</v>
      </c>
      <c r="R737" s="2" t="inlineStr"/>
    </row>
    <row r="738" ht="15" customHeight="1">
      <c r="A738" t="inlineStr">
        <is>
          <t>A 18984-2022</t>
        </is>
      </c>
      <c r="B738" s="1" t="n">
        <v>44690</v>
      </c>
      <c r="C738" s="1" t="n">
        <v>45361</v>
      </c>
      <c r="D738" t="inlineStr">
        <is>
          <t>JÄMTLANDS LÄN</t>
        </is>
      </c>
      <c r="E738" t="inlineStr">
        <is>
          <t>BRÄCKE</t>
        </is>
      </c>
      <c r="G738" t="n">
        <v>2.7</v>
      </c>
      <c r="H738" t="n">
        <v>0</v>
      </c>
      <c r="I738" t="n">
        <v>0</v>
      </c>
      <c r="J738" t="n">
        <v>0</v>
      </c>
      <c r="K738" t="n">
        <v>0</v>
      </c>
      <c r="L738" t="n">
        <v>0</v>
      </c>
      <c r="M738" t="n">
        <v>0</v>
      </c>
      <c r="N738" t="n">
        <v>0</v>
      </c>
      <c r="O738" t="n">
        <v>0</v>
      </c>
      <c r="P738" t="n">
        <v>0</v>
      </c>
      <c r="Q738" t="n">
        <v>0</v>
      </c>
      <c r="R738" s="2" t="inlineStr"/>
    </row>
    <row r="739" ht="15" customHeight="1">
      <c r="A739" t="inlineStr">
        <is>
          <t>A 18975-2022</t>
        </is>
      </c>
      <c r="B739" s="1" t="n">
        <v>44691</v>
      </c>
      <c r="C739" s="1" t="n">
        <v>45361</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18981-2022</t>
        </is>
      </c>
      <c r="B740" s="1" t="n">
        <v>44690</v>
      </c>
      <c r="C740" s="1" t="n">
        <v>45361</v>
      </c>
      <c r="D740" t="inlineStr">
        <is>
          <t>JÄMTLANDS LÄN</t>
        </is>
      </c>
      <c r="E740" t="inlineStr">
        <is>
          <t>BRÄCKE</t>
        </is>
      </c>
      <c r="G740" t="n">
        <v>7.7</v>
      </c>
      <c r="H740" t="n">
        <v>0</v>
      </c>
      <c r="I740" t="n">
        <v>0</v>
      </c>
      <c r="J740" t="n">
        <v>0</v>
      </c>
      <c r="K740" t="n">
        <v>0</v>
      </c>
      <c r="L740" t="n">
        <v>0</v>
      </c>
      <c r="M740" t="n">
        <v>0</v>
      </c>
      <c r="N740" t="n">
        <v>0</v>
      </c>
      <c r="O740" t="n">
        <v>0</v>
      </c>
      <c r="P740" t="n">
        <v>0</v>
      </c>
      <c r="Q740" t="n">
        <v>0</v>
      </c>
      <c r="R740" s="2" t="inlineStr"/>
    </row>
    <row r="741" ht="15" customHeight="1">
      <c r="A741" t="inlineStr">
        <is>
          <t>A 18976-2022</t>
        </is>
      </c>
      <c r="B741" s="1" t="n">
        <v>44691</v>
      </c>
      <c r="C741" s="1" t="n">
        <v>45361</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18982-2022</t>
        </is>
      </c>
      <c r="B742" s="1" t="n">
        <v>44691</v>
      </c>
      <c r="C742" s="1" t="n">
        <v>45361</v>
      </c>
      <c r="D742" t="inlineStr">
        <is>
          <t>JÄMTLANDS LÄN</t>
        </is>
      </c>
      <c r="E742" t="inlineStr">
        <is>
          <t>BRÄCKE</t>
        </is>
      </c>
      <c r="G742" t="n">
        <v>2.8</v>
      </c>
      <c r="H742" t="n">
        <v>0</v>
      </c>
      <c r="I742" t="n">
        <v>0</v>
      </c>
      <c r="J742" t="n">
        <v>0</v>
      </c>
      <c r="K742" t="n">
        <v>0</v>
      </c>
      <c r="L742" t="n">
        <v>0</v>
      </c>
      <c r="M742" t="n">
        <v>0</v>
      </c>
      <c r="N742" t="n">
        <v>0</v>
      </c>
      <c r="O742" t="n">
        <v>0</v>
      </c>
      <c r="P742" t="n">
        <v>0</v>
      </c>
      <c r="Q742" t="n">
        <v>0</v>
      </c>
      <c r="R742" s="2" t="inlineStr"/>
    </row>
    <row r="743" ht="15" customHeight="1">
      <c r="A743" t="inlineStr">
        <is>
          <t>A 19601-2022</t>
        </is>
      </c>
      <c r="B743" s="1" t="n">
        <v>44694</v>
      </c>
      <c r="C743" s="1" t="n">
        <v>45361</v>
      </c>
      <c r="D743" t="inlineStr">
        <is>
          <t>JÄMTLANDS LÄN</t>
        </is>
      </c>
      <c r="E743" t="inlineStr">
        <is>
          <t>BRÄCKE</t>
        </is>
      </c>
      <c r="G743" t="n">
        <v>1</v>
      </c>
      <c r="H743" t="n">
        <v>0</v>
      </c>
      <c r="I743" t="n">
        <v>0</v>
      </c>
      <c r="J743" t="n">
        <v>0</v>
      </c>
      <c r="K743" t="n">
        <v>0</v>
      </c>
      <c r="L743" t="n">
        <v>0</v>
      </c>
      <c r="M743" t="n">
        <v>0</v>
      </c>
      <c r="N743" t="n">
        <v>0</v>
      </c>
      <c r="O743" t="n">
        <v>0</v>
      </c>
      <c r="P743" t="n">
        <v>0</v>
      </c>
      <c r="Q743" t="n">
        <v>0</v>
      </c>
      <c r="R743" s="2" t="inlineStr"/>
    </row>
    <row r="744" ht="15" customHeight="1">
      <c r="A744" t="inlineStr">
        <is>
          <t>A 19810-2022</t>
        </is>
      </c>
      <c r="B744" s="1" t="n">
        <v>44695</v>
      </c>
      <c r="C744" s="1" t="n">
        <v>45361</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20014-2022</t>
        </is>
      </c>
      <c r="B745" s="1" t="n">
        <v>44697</v>
      </c>
      <c r="C745" s="1" t="n">
        <v>45361</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20065-2022</t>
        </is>
      </c>
      <c r="B746" s="1" t="n">
        <v>44698</v>
      </c>
      <c r="C746" s="1" t="n">
        <v>45361</v>
      </c>
      <c r="D746" t="inlineStr">
        <is>
          <t>JÄMTLANDS LÄN</t>
        </is>
      </c>
      <c r="E746" t="inlineStr">
        <is>
          <t>BRÄCKE</t>
        </is>
      </c>
      <c r="G746" t="n">
        <v>33</v>
      </c>
      <c r="H746" t="n">
        <v>0</v>
      </c>
      <c r="I746" t="n">
        <v>0</v>
      </c>
      <c r="J746" t="n">
        <v>0</v>
      </c>
      <c r="K746" t="n">
        <v>0</v>
      </c>
      <c r="L746" t="n">
        <v>0</v>
      </c>
      <c r="M746" t="n">
        <v>0</v>
      </c>
      <c r="N746" t="n">
        <v>0</v>
      </c>
      <c r="O746" t="n">
        <v>0</v>
      </c>
      <c r="P746" t="n">
        <v>0</v>
      </c>
      <c r="Q746" t="n">
        <v>0</v>
      </c>
      <c r="R746" s="2" t="inlineStr"/>
    </row>
    <row r="747" ht="15" customHeight="1">
      <c r="A747" t="inlineStr">
        <is>
          <t>A 20067-2022</t>
        </is>
      </c>
      <c r="B747" s="1" t="n">
        <v>44698</v>
      </c>
      <c r="C747" s="1" t="n">
        <v>45361</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20066-2022</t>
        </is>
      </c>
      <c r="B748" s="1" t="n">
        <v>44697</v>
      </c>
      <c r="C748" s="1" t="n">
        <v>45361</v>
      </c>
      <c r="D748" t="inlineStr">
        <is>
          <t>JÄMTLANDS LÄN</t>
        </is>
      </c>
      <c r="E748" t="inlineStr">
        <is>
          <t>BRÄCKE</t>
        </is>
      </c>
      <c r="G748" t="n">
        <v>41.6</v>
      </c>
      <c r="H748" t="n">
        <v>0</v>
      </c>
      <c r="I748" t="n">
        <v>0</v>
      </c>
      <c r="J748" t="n">
        <v>0</v>
      </c>
      <c r="K748" t="n">
        <v>0</v>
      </c>
      <c r="L748" t="n">
        <v>0</v>
      </c>
      <c r="M748" t="n">
        <v>0</v>
      </c>
      <c r="N748" t="n">
        <v>0</v>
      </c>
      <c r="O748" t="n">
        <v>0</v>
      </c>
      <c r="P748" t="n">
        <v>0</v>
      </c>
      <c r="Q748" t="n">
        <v>0</v>
      </c>
      <c r="R748" s="2" t="inlineStr"/>
    </row>
    <row r="749" ht="15" customHeight="1">
      <c r="A749" t="inlineStr">
        <is>
          <t>A 20069-2022</t>
        </is>
      </c>
      <c r="B749" s="1" t="n">
        <v>44698</v>
      </c>
      <c r="C749" s="1" t="n">
        <v>45361</v>
      </c>
      <c r="D749" t="inlineStr">
        <is>
          <t>JÄMTLANDS LÄN</t>
        </is>
      </c>
      <c r="E749" t="inlineStr">
        <is>
          <t>BRÄCKE</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20070-2022</t>
        </is>
      </c>
      <c r="B750" s="1" t="n">
        <v>44698</v>
      </c>
      <c r="C750" s="1" t="n">
        <v>45361</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20300-2022</t>
        </is>
      </c>
      <c r="B751" s="1" t="n">
        <v>44699</v>
      </c>
      <c r="C751" s="1" t="n">
        <v>45361</v>
      </c>
      <c r="D751" t="inlineStr">
        <is>
          <t>JÄMTLANDS LÄN</t>
        </is>
      </c>
      <c r="E751" t="inlineStr">
        <is>
          <t>BRÄCKE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20399-2022</t>
        </is>
      </c>
      <c r="B752" s="1" t="n">
        <v>44699</v>
      </c>
      <c r="C752" s="1" t="n">
        <v>45361</v>
      </c>
      <c r="D752" t="inlineStr">
        <is>
          <t>JÄMTLANDS LÄN</t>
        </is>
      </c>
      <c r="E752" t="inlineStr">
        <is>
          <t>BRÄCKE</t>
        </is>
      </c>
      <c r="F752" t="inlineStr">
        <is>
          <t>Övriga Aktiebolag</t>
        </is>
      </c>
      <c r="G752" t="n">
        <v>20.9</v>
      </c>
      <c r="H752" t="n">
        <v>0</v>
      </c>
      <c r="I752" t="n">
        <v>0</v>
      </c>
      <c r="J752" t="n">
        <v>0</v>
      </c>
      <c r="K752" t="n">
        <v>0</v>
      </c>
      <c r="L752" t="n">
        <v>0</v>
      </c>
      <c r="M752" t="n">
        <v>0</v>
      </c>
      <c r="N752" t="n">
        <v>0</v>
      </c>
      <c r="O752" t="n">
        <v>0</v>
      </c>
      <c r="P752" t="n">
        <v>0</v>
      </c>
      <c r="Q752" t="n">
        <v>0</v>
      </c>
      <c r="R752" s="2" t="inlineStr"/>
    </row>
    <row r="753" ht="15" customHeight="1">
      <c r="A753" t="inlineStr">
        <is>
          <t>A 20667-2022</t>
        </is>
      </c>
      <c r="B753" s="1" t="n">
        <v>44700</v>
      </c>
      <c r="C753" s="1" t="n">
        <v>45361</v>
      </c>
      <c r="D753" t="inlineStr">
        <is>
          <t>JÄMTLANDS LÄN</t>
        </is>
      </c>
      <c r="E753" t="inlineStr">
        <is>
          <t>BRÄCKE</t>
        </is>
      </c>
      <c r="G753" t="n">
        <v>13.8</v>
      </c>
      <c r="H753" t="n">
        <v>0</v>
      </c>
      <c r="I753" t="n">
        <v>0</v>
      </c>
      <c r="J753" t="n">
        <v>0</v>
      </c>
      <c r="K753" t="n">
        <v>0</v>
      </c>
      <c r="L753" t="n">
        <v>0</v>
      </c>
      <c r="M753" t="n">
        <v>0</v>
      </c>
      <c r="N753" t="n">
        <v>0</v>
      </c>
      <c r="O753" t="n">
        <v>0</v>
      </c>
      <c r="P753" t="n">
        <v>0</v>
      </c>
      <c r="Q753" t="n">
        <v>0</v>
      </c>
      <c r="R753" s="2" t="inlineStr"/>
    </row>
    <row r="754" ht="15" customHeight="1">
      <c r="A754" t="inlineStr">
        <is>
          <t>A 20718-2022</t>
        </is>
      </c>
      <c r="B754" s="1" t="n">
        <v>44700</v>
      </c>
      <c r="C754" s="1" t="n">
        <v>45361</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20727-2022</t>
        </is>
      </c>
      <c r="B755" s="1" t="n">
        <v>44700</v>
      </c>
      <c r="C755" s="1" t="n">
        <v>45361</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21655-2022</t>
        </is>
      </c>
      <c r="B756" s="1" t="n">
        <v>44707</v>
      </c>
      <c r="C756" s="1" t="n">
        <v>45361</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21656-2022</t>
        </is>
      </c>
      <c r="B757" s="1" t="n">
        <v>44707</v>
      </c>
      <c r="C757" s="1" t="n">
        <v>45361</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21722-2022</t>
        </is>
      </c>
      <c r="B758" s="1" t="n">
        <v>44706</v>
      </c>
      <c r="C758" s="1" t="n">
        <v>45361</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21654-2022</t>
        </is>
      </c>
      <c r="B759" s="1" t="n">
        <v>44707</v>
      </c>
      <c r="C759" s="1" t="n">
        <v>45361</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21717-2022</t>
        </is>
      </c>
      <c r="B760" s="1" t="n">
        <v>44708</v>
      </c>
      <c r="C760" s="1" t="n">
        <v>45361</v>
      </c>
      <c r="D760" t="inlineStr">
        <is>
          <t>JÄMTLANDS LÄN</t>
        </is>
      </c>
      <c r="E760" t="inlineStr">
        <is>
          <t>BRÄCKE</t>
        </is>
      </c>
      <c r="G760" t="n">
        <v>10.8</v>
      </c>
      <c r="H760" t="n">
        <v>0</v>
      </c>
      <c r="I760" t="n">
        <v>0</v>
      </c>
      <c r="J760" t="n">
        <v>0</v>
      </c>
      <c r="K760" t="n">
        <v>0</v>
      </c>
      <c r="L760" t="n">
        <v>0</v>
      </c>
      <c r="M760" t="n">
        <v>0</v>
      </c>
      <c r="N760" t="n">
        <v>0</v>
      </c>
      <c r="O760" t="n">
        <v>0</v>
      </c>
      <c r="P760" t="n">
        <v>0</v>
      </c>
      <c r="Q760" t="n">
        <v>0</v>
      </c>
      <c r="R760" s="2" t="inlineStr"/>
    </row>
    <row r="761" ht="15" customHeight="1">
      <c r="A761" t="inlineStr">
        <is>
          <t>A 22094-2022</t>
        </is>
      </c>
      <c r="B761" s="1" t="n">
        <v>44712</v>
      </c>
      <c r="C761" s="1" t="n">
        <v>45361</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22095-2022</t>
        </is>
      </c>
      <c r="B762" s="1" t="n">
        <v>44712</v>
      </c>
      <c r="C762" s="1" t="n">
        <v>45361</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22612-2022</t>
        </is>
      </c>
      <c r="B763" s="1" t="n">
        <v>44714</v>
      </c>
      <c r="C763" s="1" t="n">
        <v>45361</v>
      </c>
      <c r="D763" t="inlineStr">
        <is>
          <t>JÄMTLANDS LÄN</t>
        </is>
      </c>
      <c r="E763" t="inlineStr">
        <is>
          <t>BRÄCKE</t>
        </is>
      </c>
      <c r="G763" t="n">
        <v>6.3</v>
      </c>
      <c r="H763" t="n">
        <v>0</v>
      </c>
      <c r="I763" t="n">
        <v>0</v>
      </c>
      <c r="J763" t="n">
        <v>0</v>
      </c>
      <c r="K763" t="n">
        <v>0</v>
      </c>
      <c r="L763" t="n">
        <v>0</v>
      </c>
      <c r="M763" t="n">
        <v>0</v>
      </c>
      <c r="N763" t="n">
        <v>0</v>
      </c>
      <c r="O763" t="n">
        <v>0</v>
      </c>
      <c r="P763" t="n">
        <v>0</v>
      </c>
      <c r="Q763" t="n">
        <v>0</v>
      </c>
      <c r="R763" s="2" t="inlineStr"/>
    </row>
    <row r="764" ht="15" customHeight="1">
      <c r="A764" t="inlineStr">
        <is>
          <t>A 22702-2022</t>
        </is>
      </c>
      <c r="B764" s="1" t="n">
        <v>44714</v>
      </c>
      <c r="C764" s="1" t="n">
        <v>45361</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23426-2022</t>
        </is>
      </c>
      <c r="B765" s="1" t="n">
        <v>44720</v>
      </c>
      <c r="C765" s="1" t="n">
        <v>45361</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23427-2022</t>
        </is>
      </c>
      <c r="B766" s="1" t="n">
        <v>44721</v>
      </c>
      <c r="C766" s="1" t="n">
        <v>45361</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23444-2022</t>
        </is>
      </c>
      <c r="B767" s="1" t="n">
        <v>44721</v>
      </c>
      <c r="C767" s="1" t="n">
        <v>45361</v>
      </c>
      <c r="D767" t="inlineStr">
        <is>
          <t>JÄMTLANDS LÄN</t>
        </is>
      </c>
      <c r="E767" t="inlineStr">
        <is>
          <t>BRÄCKE</t>
        </is>
      </c>
      <c r="G767" t="n">
        <v>1.9</v>
      </c>
      <c r="H767" t="n">
        <v>0</v>
      </c>
      <c r="I767" t="n">
        <v>0</v>
      </c>
      <c r="J767" t="n">
        <v>0</v>
      </c>
      <c r="K767" t="n">
        <v>0</v>
      </c>
      <c r="L767" t="n">
        <v>0</v>
      </c>
      <c r="M767" t="n">
        <v>0</v>
      </c>
      <c r="N767" t="n">
        <v>0</v>
      </c>
      <c r="O767" t="n">
        <v>0</v>
      </c>
      <c r="P767" t="n">
        <v>0</v>
      </c>
      <c r="Q767" t="n">
        <v>0</v>
      </c>
      <c r="R767" s="2" t="inlineStr"/>
    </row>
    <row r="768" ht="15" customHeight="1">
      <c r="A768" t="inlineStr">
        <is>
          <t>A 23441-2022</t>
        </is>
      </c>
      <c r="B768" s="1" t="n">
        <v>44721</v>
      </c>
      <c r="C768" s="1" t="n">
        <v>45361</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23433-2022</t>
        </is>
      </c>
      <c r="B769" s="1" t="n">
        <v>44720</v>
      </c>
      <c r="C769" s="1" t="n">
        <v>45361</v>
      </c>
      <c r="D769" t="inlineStr">
        <is>
          <t>JÄMTLANDS LÄN</t>
        </is>
      </c>
      <c r="E769" t="inlineStr">
        <is>
          <t>BRÄCKE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44721</v>
      </c>
      <c r="C770" s="1" t="n">
        <v>45361</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23687-2022</t>
        </is>
      </c>
      <c r="B771" s="1" t="n">
        <v>44721</v>
      </c>
      <c r="C771" s="1" t="n">
        <v>45361</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24056-2022</t>
        </is>
      </c>
      <c r="B772" s="1" t="n">
        <v>44725</v>
      </c>
      <c r="C772" s="1" t="n">
        <v>45361</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24055-2022</t>
        </is>
      </c>
      <c r="B773" s="1" t="n">
        <v>44725</v>
      </c>
      <c r="C773" s="1" t="n">
        <v>45361</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24054-2022</t>
        </is>
      </c>
      <c r="B774" s="1" t="n">
        <v>44725</v>
      </c>
      <c r="C774" s="1" t="n">
        <v>45361</v>
      </c>
      <c r="D774" t="inlineStr">
        <is>
          <t>JÄMTLANDS LÄN</t>
        </is>
      </c>
      <c r="E774" t="inlineStr">
        <is>
          <t>BRÄCKE</t>
        </is>
      </c>
      <c r="G774" t="n">
        <v>5.5</v>
      </c>
      <c r="H774" t="n">
        <v>0</v>
      </c>
      <c r="I774" t="n">
        <v>0</v>
      </c>
      <c r="J774" t="n">
        <v>0</v>
      </c>
      <c r="K774" t="n">
        <v>0</v>
      </c>
      <c r="L774" t="n">
        <v>0</v>
      </c>
      <c r="M774" t="n">
        <v>0</v>
      </c>
      <c r="N774" t="n">
        <v>0</v>
      </c>
      <c r="O774" t="n">
        <v>0</v>
      </c>
      <c r="P774" t="n">
        <v>0</v>
      </c>
      <c r="Q774" t="n">
        <v>0</v>
      </c>
      <c r="R774" s="2" t="inlineStr"/>
    </row>
    <row r="775" ht="15" customHeight="1">
      <c r="A775" t="inlineStr">
        <is>
          <t>A 24053-2022</t>
        </is>
      </c>
      <c r="B775" s="1" t="n">
        <v>44725</v>
      </c>
      <c r="C775" s="1" t="n">
        <v>45361</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24531-2022</t>
        </is>
      </c>
      <c r="B776" s="1" t="n">
        <v>44726</v>
      </c>
      <c r="C776" s="1" t="n">
        <v>45361</v>
      </c>
      <c r="D776" t="inlineStr">
        <is>
          <t>JÄMTLANDS LÄN</t>
        </is>
      </c>
      <c r="E776" t="inlineStr">
        <is>
          <t>BRÄCKE</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24718-2022</t>
        </is>
      </c>
      <c r="B777" s="1" t="n">
        <v>44728</v>
      </c>
      <c r="C777" s="1" t="n">
        <v>45361</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24717-2022</t>
        </is>
      </c>
      <c r="B778" s="1" t="n">
        <v>44727</v>
      </c>
      <c r="C778" s="1" t="n">
        <v>45361</v>
      </c>
      <c r="D778" t="inlineStr">
        <is>
          <t>JÄMTLANDS LÄN</t>
        </is>
      </c>
      <c r="E778" t="inlineStr">
        <is>
          <t>BRÄCKE</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24726-2022</t>
        </is>
      </c>
      <c r="B779" s="1" t="n">
        <v>44727</v>
      </c>
      <c r="C779" s="1" t="n">
        <v>45361</v>
      </c>
      <c r="D779" t="inlineStr">
        <is>
          <t>JÄMTLANDS LÄN</t>
        </is>
      </c>
      <c r="E779" t="inlineStr">
        <is>
          <t>BRÄCKE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25150-2022</t>
        </is>
      </c>
      <c r="B780" s="1" t="n">
        <v>44729</v>
      </c>
      <c r="C780" s="1" t="n">
        <v>45361</v>
      </c>
      <c r="D780" t="inlineStr">
        <is>
          <t>JÄMTLANDS LÄN</t>
        </is>
      </c>
      <c r="E780" t="inlineStr">
        <is>
          <t>BRÄCKE</t>
        </is>
      </c>
      <c r="F780" t="inlineStr">
        <is>
          <t>Övriga Aktiebolag</t>
        </is>
      </c>
      <c r="G780" t="n">
        <v>10.4</v>
      </c>
      <c r="H780" t="n">
        <v>0</v>
      </c>
      <c r="I780" t="n">
        <v>0</v>
      </c>
      <c r="J780" t="n">
        <v>0</v>
      </c>
      <c r="K780" t="n">
        <v>0</v>
      </c>
      <c r="L780" t="n">
        <v>0</v>
      </c>
      <c r="M780" t="n">
        <v>0</v>
      </c>
      <c r="N780" t="n">
        <v>0</v>
      </c>
      <c r="O780" t="n">
        <v>0</v>
      </c>
      <c r="P780" t="n">
        <v>0</v>
      </c>
      <c r="Q780" t="n">
        <v>0</v>
      </c>
      <c r="R780" s="2" t="inlineStr"/>
    </row>
    <row r="781" ht="15" customHeight="1">
      <c r="A781" t="inlineStr">
        <is>
          <t>A 25177-2022</t>
        </is>
      </c>
      <c r="B781" s="1" t="n">
        <v>44729</v>
      </c>
      <c r="C781" s="1" t="n">
        <v>45361</v>
      </c>
      <c r="D781" t="inlineStr">
        <is>
          <t>JÄMTLANDS LÄN</t>
        </is>
      </c>
      <c r="E781" t="inlineStr">
        <is>
          <t>BRÄCKE</t>
        </is>
      </c>
      <c r="F781" t="inlineStr">
        <is>
          <t>Övriga Aktiebolag</t>
        </is>
      </c>
      <c r="G781" t="n">
        <v>22.1</v>
      </c>
      <c r="H781" t="n">
        <v>0</v>
      </c>
      <c r="I781" t="n">
        <v>0</v>
      </c>
      <c r="J781" t="n">
        <v>0</v>
      </c>
      <c r="K781" t="n">
        <v>0</v>
      </c>
      <c r="L781" t="n">
        <v>0</v>
      </c>
      <c r="M781" t="n">
        <v>0</v>
      </c>
      <c r="N781" t="n">
        <v>0</v>
      </c>
      <c r="O781" t="n">
        <v>0</v>
      </c>
      <c r="P781" t="n">
        <v>0</v>
      </c>
      <c r="Q781" t="n">
        <v>0</v>
      </c>
      <c r="R781" s="2" t="inlineStr"/>
    </row>
    <row r="782" ht="15" customHeight="1">
      <c r="A782" t="inlineStr">
        <is>
          <t>A 25192-2022</t>
        </is>
      </c>
      <c r="B782" s="1" t="n">
        <v>44729</v>
      </c>
      <c r="C782" s="1" t="n">
        <v>45361</v>
      </c>
      <c r="D782" t="inlineStr">
        <is>
          <t>JÄMTLANDS LÄN</t>
        </is>
      </c>
      <c r="E782" t="inlineStr">
        <is>
          <t>BRÄCKE</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25883-2022</t>
        </is>
      </c>
      <c r="B783" s="1" t="n">
        <v>44733</v>
      </c>
      <c r="C783" s="1" t="n">
        <v>45361</v>
      </c>
      <c r="D783" t="inlineStr">
        <is>
          <t>JÄMTLANDS LÄN</t>
        </is>
      </c>
      <c r="E783" t="inlineStr">
        <is>
          <t>BRÄCKE</t>
        </is>
      </c>
      <c r="F783" t="inlineStr">
        <is>
          <t>Övriga Aktiebolag</t>
        </is>
      </c>
      <c r="G783" t="n">
        <v>23.4</v>
      </c>
      <c r="H783" t="n">
        <v>0</v>
      </c>
      <c r="I783" t="n">
        <v>0</v>
      </c>
      <c r="J783" t="n">
        <v>0</v>
      </c>
      <c r="K783" t="n">
        <v>0</v>
      </c>
      <c r="L783" t="n">
        <v>0</v>
      </c>
      <c r="M783" t="n">
        <v>0</v>
      </c>
      <c r="N783" t="n">
        <v>0</v>
      </c>
      <c r="O783" t="n">
        <v>0</v>
      </c>
      <c r="P783" t="n">
        <v>0</v>
      </c>
      <c r="Q783" t="n">
        <v>0</v>
      </c>
      <c r="R783" s="2" t="inlineStr"/>
    </row>
    <row r="784" ht="15" customHeight="1">
      <c r="A784" t="inlineStr">
        <is>
          <t>A 26139-2022</t>
        </is>
      </c>
      <c r="B784" s="1" t="n">
        <v>44734</v>
      </c>
      <c r="C784" s="1" t="n">
        <v>45361</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26138-2022</t>
        </is>
      </c>
      <c r="B785" s="1" t="n">
        <v>44734</v>
      </c>
      <c r="C785" s="1" t="n">
        <v>45361</v>
      </c>
      <c r="D785" t="inlineStr">
        <is>
          <t>JÄMTLANDS LÄN</t>
        </is>
      </c>
      <c r="E785" t="inlineStr">
        <is>
          <t>BRÄCKE</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26437-2022</t>
        </is>
      </c>
      <c r="B786" s="1" t="n">
        <v>44737</v>
      </c>
      <c r="C786" s="1" t="n">
        <v>45361</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26445-2022</t>
        </is>
      </c>
      <c r="B787" s="1" t="n">
        <v>44738</v>
      </c>
      <c r="C787" s="1" t="n">
        <v>45361</v>
      </c>
      <c r="D787" t="inlineStr">
        <is>
          <t>JÄMTLANDS LÄN</t>
        </is>
      </c>
      <c r="E787" t="inlineStr">
        <is>
          <t>BRÄCKE</t>
        </is>
      </c>
      <c r="F787" t="inlineStr">
        <is>
          <t>SCA</t>
        </is>
      </c>
      <c r="G787" t="n">
        <v>62.5</v>
      </c>
      <c r="H787" t="n">
        <v>0</v>
      </c>
      <c r="I787" t="n">
        <v>0</v>
      </c>
      <c r="J787" t="n">
        <v>0</v>
      </c>
      <c r="K787" t="n">
        <v>0</v>
      </c>
      <c r="L787" t="n">
        <v>0</v>
      </c>
      <c r="M787" t="n">
        <v>0</v>
      </c>
      <c r="N787" t="n">
        <v>0</v>
      </c>
      <c r="O787" t="n">
        <v>0</v>
      </c>
      <c r="P787" t="n">
        <v>0</v>
      </c>
      <c r="Q787" t="n">
        <v>0</v>
      </c>
      <c r="R787" s="2" t="inlineStr"/>
    </row>
    <row r="788" ht="15" customHeight="1">
      <c r="A788" t="inlineStr">
        <is>
          <t>A 26444-2022</t>
        </is>
      </c>
      <c r="B788" s="1" t="n">
        <v>44739</v>
      </c>
      <c r="C788" s="1" t="n">
        <v>45361</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26458-2022</t>
        </is>
      </c>
      <c r="B789" s="1" t="n">
        <v>44739</v>
      </c>
      <c r="C789" s="1" t="n">
        <v>45361</v>
      </c>
      <c r="D789" t="inlineStr">
        <is>
          <t>JÄMTLANDS LÄN</t>
        </is>
      </c>
      <c r="E789" t="inlineStr">
        <is>
          <t>BRÄCKE</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26750-2022</t>
        </is>
      </c>
      <c r="B790" s="1" t="n">
        <v>44740</v>
      </c>
      <c r="C790" s="1" t="n">
        <v>45361</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26751-2022</t>
        </is>
      </c>
      <c r="B791" s="1" t="n">
        <v>44739</v>
      </c>
      <c r="C791" s="1" t="n">
        <v>45361</v>
      </c>
      <c r="D791" t="inlineStr">
        <is>
          <t>JÄMTLANDS LÄN</t>
        </is>
      </c>
      <c r="E791" t="inlineStr">
        <is>
          <t>BRÄCKE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27351-2022</t>
        </is>
      </c>
      <c r="B792" s="1" t="n">
        <v>44742</v>
      </c>
      <c r="C792" s="1" t="n">
        <v>45361</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28285-2022</t>
        </is>
      </c>
      <c r="B793" s="1" t="n">
        <v>44746</v>
      </c>
      <c r="C793" s="1" t="n">
        <v>45361</v>
      </c>
      <c r="D793" t="inlineStr">
        <is>
          <t>JÄMTLANDS LÄN</t>
        </is>
      </c>
      <c r="E793" t="inlineStr">
        <is>
          <t>BRÄCKE</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28296-2022</t>
        </is>
      </c>
      <c r="B794" s="1" t="n">
        <v>44747</v>
      </c>
      <c r="C794" s="1" t="n">
        <v>45361</v>
      </c>
      <c r="D794" t="inlineStr">
        <is>
          <t>JÄMTLANDS LÄN</t>
        </is>
      </c>
      <c r="E794" t="inlineStr">
        <is>
          <t>BRÄCKE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28738-2022</t>
        </is>
      </c>
      <c r="B795" s="1" t="n">
        <v>44749</v>
      </c>
      <c r="C795" s="1" t="n">
        <v>45361</v>
      </c>
      <c r="D795" t="inlineStr">
        <is>
          <t>JÄMTLANDS LÄN</t>
        </is>
      </c>
      <c r="E795" t="inlineStr">
        <is>
          <t>BRÄCKE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29325-2022</t>
        </is>
      </c>
      <c r="B796" s="1" t="n">
        <v>44752</v>
      </c>
      <c r="C796" s="1" t="n">
        <v>45361</v>
      </c>
      <c r="D796" t="inlineStr">
        <is>
          <t>JÄMTLANDS LÄN</t>
        </is>
      </c>
      <c r="E796" t="inlineStr">
        <is>
          <t>BRÄCKE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29821-2022</t>
        </is>
      </c>
      <c r="B797" s="1" t="n">
        <v>44756</v>
      </c>
      <c r="C797" s="1" t="n">
        <v>45361</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29835-2022</t>
        </is>
      </c>
      <c r="B798" s="1" t="n">
        <v>44756</v>
      </c>
      <c r="C798" s="1" t="n">
        <v>45361</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29820-2022</t>
        </is>
      </c>
      <c r="B799" s="1" t="n">
        <v>44756</v>
      </c>
      <c r="C799" s="1" t="n">
        <v>45361</v>
      </c>
      <c r="D799" t="inlineStr">
        <is>
          <t>JÄMTLANDS LÄN</t>
        </is>
      </c>
      <c r="E799" t="inlineStr">
        <is>
          <t>BRÄCKE</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29819-2022</t>
        </is>
      </c>
      <c r="B800" s="1" t="n">
        <v>44755</v>
      </c>
      <c r="C800" s="1" t="n">
        <v>45361</v>
      </c>
      <c r="D800" t="inlineStr">
        <is>
          <t>JÄMTLANDS LÄN</t>
        </is>
      </c>
      <c r="E800" t="inlineStr">
        <is>
          <t>BRÄCKE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30258-2022</t>
        </is>
      </c>
      <c r="B801" s="1" t="n">
        <v>44759</v>
      </c>
      <c r="C801" s="1" t="n">
        <v>45361</v>
      </c>
      <c r="D801" t="inlineStr">
        <is>
          <t>JÄMTLANDS LÄN</t>
        </is>
      </c>
      <c r="E801" t="inlineStr">
        <is>
          <t>BRÄCKE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30479-2022</t>
        </is>
      </c>
      <c r="B802" s="1" t="n">
        <v>44762</v>
      </c>
      <c r="C802" s="1" t="n">
        <v>45361</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30490-2022</t>
        </is>
      </c>
      <c r="B803" s="1" t="n">
        <v>44761</v>
      </c>
      <c r="C803" s="1" t="n">
        <v>45361</v>
      </c>
      <c r="D803" t="inlineStr">
        <is>
          <t>JÄMTLANDS LÄN</t>
        </is>
      </c>
      <c r="E803" t="inlineStr">
        <is>
          <t>BRÄCKE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30478-2022</t>
        </is>
      </c>
      <c r="B804" s="1" t="n">
        <v>44761</v>
      </c>
      <c r="C804" s="1" t="n">
        <v>45361</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30483-2022</t>
        </is>
      </c>
      <c r="B805" s="1" t="n">
        <v>44762</v>
      </c>
      <c r="C805" s="1" t="n">
        <v>45361</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30480-2022</t>
        </is>
      </c>
      <c r="B806" s="1" t="n">
        <v>44762</v>
      </c>
      <c r="C806" s="1" t="n">
        <v>45361</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30603-2022</t>
        </is>
      </c>
      <c r="B807" s="1" t="n">
        <v>44763</v>
      </c>
      <c r="C807" s="1" t="n">
        <v>45361</v>
      </c>
      <c r="D807" t="inlineStr">
        <is>
          <t>JÄMTLANDS LÄN</t>
        </is>
      </c>
      <c r="E807" t="inlineStr">
        <is>
          <t>BRÄCKE</t>
        </is>
      </c>
      <c r="F807" t="inlineStr">
        <is>
          <t>SCA</t>
        </is>
      </c>
      <c r="G807" t="n">
        <v>18.6</v>
      </c>
      <c r="H807" t="n">
        <v>0</v>
      </c>
      <c r="I807" t="n">
        <v>0</v>
      </c>
      <c r="J807" t="n">
        <v>0</v>
      </c>
      <c r="K807" t="n">
        <v>0</v>
      </c>
      <c r="L807" t="n">
        <v>0</v>
      </c>
      <c r="M807" t="n">
        <v>0</v>
      </c>
      <c r="N807" t="n">
        <v>0</v>
      </c>
      <c r="O807" t="n">
        <v>0</v>
      </c>
      <c r="P807" t="n">
        <v>0</v>
      </c>
      <c r="Q807" t="n">
        <v>0</v>
      </c>
      <c r="R807" s="2" t="inlineStr"/>
    </row>
    <row r="808" ht="15" customHeight="1">
      <c r="A808" t="inlineStr">
        <is>
          <t>A 30604-2022</t>
        </is>
      </c>
      <c r="B808" s="1" t="n">
        <v>44763</v>
      </c>
      <c r="C808" s="1" t="n">
        <v>45361</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30719-2022</t>
        </is>
      </c>
      <c r="B809" s="1" t="n">
        <v>44764</v>
      </c>
      <c r="C809" s="1" t="n">
        <v>45361</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30810-2022</t>
        </is>
      </c>
      <c r="B810" s="1" t="n">
        <v>44765</v>
      </c>
      <c r="C810" s="1" t="n">
        <v>45361</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30811-2022</t>
        </is>
      </c>
      <c r="B811" s="1" t="n">
        <v>44764</v>
      </c>
      <c r="C811" s="1" t="n">
        <v>45361</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31467-2022</t>
        </is>
      </c>
      <c r="B812" s="1" t="n">
        <v>44774</v>
      </c>
      <c r="C812" s="1" t="n">
        <v>45361</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31466-2022</t>
        </is>
      </c>
      <c r="B813" s="1" t="n">
        <v>44774</v>
      </c>
      <c r="C813" s="1" t="n">
        <v>45361</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31521-2022</t>
        </is>
      </c>
      <c r="B814" s="1" t="n">
        <v>44775</v>
      </c>
      <c r="C814" s="1" t="n">
        <v>45361</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31520-2022</t>
        </is>
      </c>
      <c r="B815" s="1" t="n">
        <v>44775</v>
      </c>
      <c r="C815" s="1" t="n">
        <v>45361</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31516-2022</t>
        </is>
      </c>
      <c r="B816" s="1" t="n">
        <v>44775</v>
      </c>
      <c r="C816" s="1" t="n">
        <v>45361</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31844-2022</t>
        </is>
      </c>
      <c r="B817" s="1" t="n">
        <v>44777</v>
      </c>
      <c r="C817" s="1" t="n">
        <v>45361</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31853-2022</t>
        </is>
      </c>
      <c r="B818" s="1" t="n">
        <v>44776</v>
      </c>
      <c r="C818" s="1" t="n">
        <v>45361</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31843-2022</t>
        </is>
      </c>
      <c r="B819" s="1" t="n">
        <v>44777</v>
      </c>
      <c r="C819" s="1" t="n">
        <v>45361</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31978-2022</t>
        </is>
      </c>
      <c r="B820" s="1" t="n">
        <v>44778</v>
      </c>
      <c r="C820" s="1" t="n">
        <v>45361</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31982-2022</t>
        </is>
      </c>
      <c r="B821" s="1" t="n">
        <v>44778</v>
      </c>
      <c r="C821" s="1" t="n">
        <v>45361</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31980-2022</t>
        </is>
      </c>
      <c r="B822" s="1" t="n">
        <v>44777</v>
      </c>
      <c r="C822" s="1" t="n">
        <v>45361</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32141-2022</t>
        </is>
      </c>
      <c r="B823" s="1" t="n">
        <v>44779</v>
      </c>
      <c r="C823" s="1" t="n">
        <v>45361</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32533-2022</t>
        </is>
      </c>
      <c r="B824" s="1" t="n">
        <v>44783</v>
      </c>
      <c r="C824" s="1" t="n">
        <v>45361</v>
      </c>
      <c r="D824" t="inlineStr">
        <is>
          <t>JÄMTLANDS LÄN</t>
        </is>
      </c>
      <c r="E824" t="inlineStr">
        <is>
          <t>BRÄCKE</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32964-2022</t>
        </is>
      </c>
      <c r="B825" s="1" t="n">
        <v>44785</v>
      </c>
      <c r="C825" s="1" t="n">
        <v>45361</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32963-2022</t>
        </is>
      </c>
      <c r="B826" s="1" t="n">
        <v>44785</v>
      </c>
      <c r="C826" s="1" t="n">
        <v>45361</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33234-2022</t>
        </is>
      </c>
      <c r="B827" s="1" t="n">
        <v>44786</v>
      </c>
      <c r="C827" s="1" t="n">
        <v>45361</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33243-2022</t>
        </is>
      </c>
      <c r="B828" s="1" t="n">
        <v>44787</v>
      </c>
      <c r="C828" s="1" t="n">
        <v>45361</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33481-2022</t>
        </is>
      </c>
      <c r="B829" s="1" t="n">
        <v>44788</v>
      </c>
      <c r="C829" s="1" t="n">
        <v>45361</v>
      </c>
      <c r="D829" t="inlineStr">
        <is>
          <t>JÄMTLANDS LÄN</t>
        </is>
      </c>
      <c r="E829" t="inlineStr">
        <is>
          <t>BRÄCKE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33482-2022</t>
        </is>
      </c>
      <c r="B830" s="1" t="n">
        <v>44788</v>
      </c>
      <c r="C830" s="1" t="n">
        <v>45361</v>
      </c>
      <c r="D830" t="inlineStr">
        <is>
          <t>JÄMTLANDS LÄN</t>
        </is>
      </c>
      <c r="E830" t="inlineStr">
        <is>
          <t>BRÄCKE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33483-2022</t>
        </is>
      </c>
      <c r="B831" s="1" t="n">
        <v>44788</v>
      </c>
      <c r="C831" s="1" t="n">
        <v>45361</v>
      </c>
      <c r="D831" t="inlineStr">
        <is>
          <t>JÄMTLANDS LÄN</t>
        </is>
      </c>
      <c r="E831" t="inlineStr">
        <is>
          <t>BRÄCKE</t>
        </is>
      </c>
      <c r="F831" t="inlineStr">
        <is>
          <t>Sveaskog</t>
        </is>
      </c>
      <c r="G831" t="n">
        <v>2.7</v>
      </c>
      <c r="H831" t="n">
        <v>0</v>
      </c>
      <c r="I831" t="n">
        <v>0</v>
      </c>
      <c r="J831" t="n">
        <v>0</v>
      </c>
      <c r="K831" t="n">
        <v>0</v>
      </c>
      <c r="L831" t="n">
        <v>0</v>
      </c>
      <c r="M831" t="n">
        <v>0</v>
      </c>
      <c r="N831" t="n">
        <v>0</v>
      </c>
      <c r="O831" t="n">
        <v>0</v>
      </c>
      <c r="P831" t="n">
        <v>0</v>
      </c>
      <c r="Q831" t="n">
        <v>0</v>
      </c>
      <c r="R831" s="2" t="inlineStr"/>
    </row>
    <row r="832" ht="15" customHeight="1">
      <c r="A832" t="inlineStr">
        <is>
          <t>A 36714-2022</t>
        </is>
      </c>
      <c r="B832" s="1" t="n">
        <v>44789</v>
      </c>
      <c r="C832" s="1" t="n">
        <v>45361</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33992-2022</t>
        </is>
      </c>
      <c r="B833" s="1" t="n">
        <v>44791</v>
      </c>
      <c r="C833" s="1" t="n">
        <v>45361</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33998-2022</t>
        </is>
      </c>
      <c r="B834" s="1" t="n">
        <v>44791</v>
      </c>
      <c r="C834" s="1" t="n">
        <v>45361</v>
      </c>
      <c r="D834" t="inlineStr">
        <is>
          <t>JÄMTLANDS LÄN</t>
        </is>
      </c>
      <c r="E834" t="inlineStr">
        <is>
          <t>BRÄCKE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33993-2022</t>
        </is>
      </c>
      <c r="B835" s="1" t="n">
        <v>44790</v>
      </c>
      <c r="C835" s="1" t="n">
        <v>45361</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34315-2022</t>
        </is>
      </c>
      <c r="B836" s="1" t="n">
        <v>44792</v>
      </c>
      <c r="C836" s="1" t="n">
        <v>45361</v>
      </c>
      <c r="D836" t="inlineStr">
        <is>
          <t>JÄMTLANDS LÄN</t>
        </is>
      </c>
      <c r="E836" t="inlineStr">
        <is>
          <t>BRÄCKE</t>
        </is>
      </c>
      <c r="G836" t="n">
        <v>4.9</v>
      </c>
      <c r="H836" t="n">
        <v>0</v>
      </c>
      <c r="I836" t="n">
        <v>0</v>
      </c>
      <c r="J836" t="n">
        <v>0</v>
      </c>
      <c r="K836" t="n">
        <v>0</v>
      </c>
      <c r="L836" t="n">
        <v>0</v>
      </c>
      <c r="M836" t="n">
        <v>0</v>
      </c>
      <c r="N836" t="n">
        <v>0</v>
      </c>
      <c r="O836" t="n">
        <v>0</v>
      </c>
      <c r="P836" t="n">
        <v>0</v>
      </c>
      <c r="Q836" t="n">
        <v>0</v>
      </c>
      <c r="R836" s="2" t="inlineStr"/>
    </row>
    <row r="837" ht="15" customHeight="1">
      <c r="A837" t="inlineStr">
        <is>
          <t>A 34531-2022</t>
        </is>
      </c>
      <c r="B837" s="1" t="n">
        <v>44793</v>
      </c>
      <c r="C837" s="1" t="n">
        <v>45361</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34530-2022</t>
        </is>
      </c>
      <c r="B838" s="1" t="n">
        <v>44793</v>
      </c>
      <c r="C838" s="1" t="n">
        <v>45361</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35010-2022</t>
        </is>
      </c>
      <c r="B839" s="1" t="n">
        <v>44797</v>
      </c>
      <c r="C839" s="1" t="n">
        <v>45361</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35182-2022</t>
        </is>
      </c>
      <c r="B840" s="1" t="n">
        <v>44797</v>
      </c>
      <c r="C840" s="1" t="n">
        <v>45361</v>
      </c>
      <c r="D840" t="inlineStr">
        <is>
          <t>JÄMTLANDS LÄN</t>
        </is>
      </c>
      <c r="E840" t="inlineStr">
        <is>
          <t>BRÄCKE</t>
        </is>
      </c>
      <c r="G840" t="n">
        <v>0.5</v>
      </c>
      <c r="H840" t="n">
        <v>0</v>
      </c>
      <c r="I840" t="n">
        <v>0</v>
      </c>
      <c r="J840" t="n">
        <v>0</v>
      </c>
      <c r="K840" t="n">
        <v>0</v>
      </c>
      <c r="L840" t="n">
        <v>0</v>
      </c>
      <c r="M840" t="n">
        <v>0</v>
      </c>
      <c r="N840" t="n">
        <v>0</v>
      </c>
      <c r="O840" t="n">
        <v>0</v>
      </c>
      <c r="P840" t="n">
        <v>0</v>
      </c>
      <c r="Q840" t="n">
        <v>0</v>
      </c>
      <c r="R840" s="2" t="inlineStr"/>
    </row>
    <row r="841" ht="15" customHeight="1">
      <c r="A841" t="inlineStr">
        <is>
          <t>A 35232-2022</t>
        </is>
      </c>
      <c r="B841" s="1" t="n">
        <v>44797</v>
      </c>
      <c r="C841" s="1" t="n">
        <v>45361</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35501-2022</t>
        </is>
      </c>
      <c r="B842" s="1" t="n">
        <v>44799</v>
      </c>
      <c r="C842" s="1" t="n">
        <v>45361</v>
      </c>
      <c r="D842" t="inlineStr">
        <is>
          <t>JÄMTLANDS LÄN</t>
        </is>
      </c>
      <c r="E842" t="inlineStr">
        <is>
          <t>BRÄCKE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35511-2022</t>
        </is>
      </c>
      <c r="B843" s="1" t="n">
        <v>44798</v>
      </c>
      <c r="C843" s="1" t="n">
        <v>45361</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35512-2022</t>
        </is>
      </c>
      <c r="B844" s="1" t="n">
        <v>44799</v>
      </c>
      <c r="C844" s="1" t="n">
        <v>45361</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35746-2022</t>
        </is>
      </c>
      <c r="B845" s="1" t="n">
        <v>44800</v>
      </c>
      <c r="C845" s="1" t="n">
        <v>45361</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36129-2022</t>
        </is>
      </c>
      <c r="B846" s="1" t="n">
        <v>44803</v>
      </c>
      <c r="C846" s="1" t="n">
        <v>45361</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36364-2022</t>
        </is>
      </c>
      <c r="B847" s="1" t="n">
        <v>44804</v>
      </c>
      <c r="C847" s="1" t="n">
        <v>45361</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36392-2022</t>
        </is>
      </c>
      <c r="B848" s="1" t="n">
        <v>44804</v>
      </c>
      <c r="C848" s="1" t="n">
        <v>45361</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36389-2022</t>
        </is>
      </c>
      <c r="B849" s="1" t="n">
        <v>44803</v>
      </c>
      <c r="C849" s="1" t="n">
        <v>45361</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36685-2022</t>
        </is>
      </c>
      <c r="B850" s="1" t="n">
        <v>44804</v>
      </c>
      <c r="C850" s="1" t="n">
        <v>45361</v>
      </c>
      <c r="D850" t="inlineStr">
        <is>
          <t>JÄMTLANDS LÄN</t>
        </is>
      </c>
      <c r="E850" t="inlineStr">
        <is>
          <t>BRÄCKE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36840-2022</t>
        </is>
      </c>
      <c r="B851" s="1" t="n">
        <v>44805</v>
      </c>
      <c r="C851" s="1" t="n">
        <v>45361</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37032-2022</t>
        </is>
      </c>
      <c r="B852" s="1" t="n">
        <v>44806</v>
      </c>
      <c r="C852" s="1" t="n">
        <v>45361</v>
      </c>
      <c r="D852" t="inlineStr">
        <is>
          <t>JÄMTLANDS LÄN</t>
        </is>
      </c>
      <c r="E852" t="inlineStr">
        <is>
          <t>BRÄCKE</t>
        </is>
      </c>
      <c r="G852" t="n">
        <v>0.7</v>
      </c>
      <c r="H852" t="n">
        <v>0</v>
      </c>
      <c r="I852" t="n">
        <v>0</v>
      </c>
      <c r="J852" t="n">
        <v>0</v>
      </c>
      <c r="K852" t="n">
        <v>0</v>
      </c>
      <c r="L852" t="n">
        <v>0</v>
      </c>
      <c r="M852" t="n">
        <v>0</v>
      </c>
      <c r="N852" t="n">
        <v>0</v>
      </c>
      <c r="O852" t="n">
        <v>0</v>
      </c>
      <c r="P852" t="n">
        <v>0</v>
      </c>
      <c r="Q852" t="n">
        <v>0</v>
      </c>
      <c r="R852" s="2" t="inlineStr"/>
    </row>
    <row r="853" ht="15" customHeight="1">
      <c r="A853" t="inlineStr">
        <is>
          <t>A 37232-2022</t>
        </is>
      </c>
      <c r="B853" s="1" t="n">
        <v>44806</v>
      </c>
      <c r="C853" s="1" t="n">
        <v>45361</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37229-2022</t>
        </is>
      </c>
      <c r="B854" s="1" t="n">
        <v>44807</v>
      </c>
      <c r="C854" s="1" t="n">
        <v>45361</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37234-2022</t>
        </is>
      </c>
      <c r="B855" s="1" t="n">
        <v>44807</v>
      </c>
      <c r="C855" s="1" t="n">
        <v>45361</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37650-2022</t>
        </is>
      </c>
      <c r="B856" s="1" t="n">
        <v>44810</v>
      </c>
      <c r="C856" s="1" t="n">
        <v>45361</v>
      </c>
      <c r="D856" t="inlineStr">
        <is>
          <t>JÄMTLANDS LÄN</t>
        </is>
      </c>
      <c r="E856" t="inlineStr">
        <is>
          <t>BRÄCKE</t>
        </is>
      </c>
      <c r="G856" t="n">
        <v>2.3</v>
      </c>
      <c r="H856" t="n">
        <v>0</v>
      </c>
      <c r="I856" t="n">
        <v>0</v>
      </c>
      <c r="J856" t="n">
        <v>0</v>
      </c>
      <c r="K856" t="n">
        <v>0</v>
      </c>
      <c r="L856" t="n">
        <v>0</v>
      </c>
      <c r="M856" t="n">
        <v>0</v>
      </c>
      <c r="N856" t="n">
        <v>0</v>
      </c>
      <c r="O856" t="n">
        <v>0</v>
      </c>
      <c r="P856" t="n">
        <v>0</v>
      </c>
      <c r="Q856" t="n">
        <v>0</v>
      </c>
      <c r="R856" s="2" t="inlineStr"/>
    </row>
    <row r="857" ht="15" customHeight="1">
      <c r="A857" t="inlineStr">
        <is>
          <t>A 37829-2022</t>
        </is>
      </c>
      <c r="B857" s="1" t="n">
        <v>44811</v>
      </c>
      <c r="C857" s="1" t="n">
        <v>45361</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37828-2022</t>
        </is>
      </c>
      <c r="B858" s="1" t="n">
        <v>44811</v>
      </c>
      <c r="C858" s="1" t="n">
        <v>45361</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39701-2022</t>
        </is>
      </c>
      <c r="B859" s="1" t="n">
        <v>44818</v>
      </c>
      <c r="C859" s="1" t="n">
        <v>45361</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39702-2022</t>
        </is>
      </c>
      <c r="B860" s="1" t="n">
        <v>44818</v>
      </c>
      <c r="C860" s="1" t="n">
        <v>45361</v>
      </c>
      <c r="D860" t="inlineStr">
        <is>
          <t>JÄMTLANDS LÄN</t>
        </is>
      </c>
      <c r="E860" t="inlineStr">
        <is>
          <t>BRÄCKE</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39704-2022</t>
        </is>
      </c>
      <c r="B861" s="1" t="n">
        <v>44818</v>
      </c>
      <c r="C861" s="1" t="n">
        <v>45361</v>
      </c>
      <c r="D861" t="inlineStr">
        <is>
          <t>JÄMTLANDS LÄN</t>
        </is>
      </c>
      <c r="E861" t="inlineStr">
        <is>
          <t>BRÄCKE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39703-2022</t>
        </is>
      </c>
      <c r="B862" s="1" t="n">
        <v>44818</v>
      </c>
      <c r="C862" s="1" t="n">
        <v>45361</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39937-2022</t>
        </is>
      </c>
      <c r="B863" s="1" t="n">
        <v>44820</v>
      </c>
      <c r="C863" s="1" t="n">
        <v>45361</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39930-2022</t>
        </is>
      </c>
      <c r="B864" s="1" t="n">
        <v>44819</v>
      </c>
      <c r="C864" s="1" t="n">
        <v>45361</v>
      </c>
      <c r="D864" t="inlineStr">
        <is>
          <t>JÄMTLANDS LÄN</t>
        </is>
      </c>
      <c r="E864" t="inlineStr">
        <is>
          <t>BRÄCKE</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40278-2022</t>
        </is>
      </c>
      <c r="B865" s="1" t="n">
        <v>44820</v>
      </c>
      <c r="C865" s="1" t="n">
        <v>45361</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40268-2022</t>
        </is>
      </c>
      <c r="B866" s="1" t="n">
        <v>44821</v>
      </c>
      <c r="C866" s="1" t="n">
        <v>45361</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40285-2022</t>
        </is>
      </c>
      <c r="B867" s="1" t="n">
        <v>44821</v>
      </c>
      <c r="C867" s="1" t="n">
        <v>45361</v>
      </c>
      <c r="D867" t="inlineStr">
        <is>
          <t>JÄMTLANDS LÄN</t>
        </is>
      </c>
      <c r="E867" t="inlineStr">
        <is>
          <t>BRÄCKE</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40711-2022</t>
        </is>
      </c>
      <c r="B868" s="1" t="n">
        <v>44820</v>
      </c>
      <c r="C868" s="1" t="n">
        <v>45361</v>
      </c>
      <c r="D868" t="inlineStr">
        <is>
          <t>JÄMTLANDS LÄN</t>
        </is>
      </c>
      <c r="E868" t="inlineStr">
        <is>
          <t>BRÄCKE</t>
        </is>
      </c>
      <c r="G868" t="n">
        <v>5.4</v>
      </c>
      <c r="H868" t="n">
        <v>0</v>
      </c>
      <c r="I868" t="n">
        <v>0</v>
      </c>
      <c r="J868" t="n">
        <v>0</v>
      </c>
      <c r="K868" t="n">
        <v>0</v>
      </c>
      <c r="L868" t="n">
        <v>0</v>
      </c>
      <c r="M868" t="n">
        <v>0</v>
      </c>
      <c r="N868" t="n">
        <v>0</v>
      </c>
      <c r="O868" t="n">
        <v>0</v>
      </c>
      <c r="P868" t="n">
        <v>0</v>
      </c>
      <c r="Q868" t="n">
        <v>0</v>
      </c>
      <c r="R868" s="2" t="inlineStr"/>
    </row>
    <row r="869" ht="15" customHeight="1">
      <c r="A869" t="inlineStr">
        <is>
          <t>A 40440-2022</t>
        </is>
      </c>
      <c r="B869" s="1" t="n">
        <v>44823</v>
      </c>
      <c r="C869" s="1" t="n">
        <v>45361</v>
      </c>
      <c r="D869" t="inlineStr">
        <is>
          <t>JÄMTLANDS LÄN</t>
        </is>
      </c>
      <c r="E869" t="inlineStr">
        <is>
          <t>BRÄCKE</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40675-2022</t>
        </is>
      </c>
      <c r="B870" s="1" t="n">
        <v>44824</v>
      </c>
      <c r="C870" s="1" t="n">
        <v>45361</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40903-2022</t>
        </is>
      </c>
      <c r="B871" s="1" t="n">
        <v>44825</v>
      </c>
      <c r="C871" s="1" t="n">
        <v>45361</v>
      </c>
      <c r="D871" t="inlineStr">
        <is>
          <t>JÄMTLANDS LÄN</t>
        </is>
      </c>
      <c r="E871" t="inlineStr">
        <is>
          <t>BRÄCKE</t>
        </is>
      </c>
      <c r="G871" t="n">
        <v>65.59999999999999</v>
      </c>
      <c r="H871" t="n">
        <v>0</v>
      </c>
      <c r="I871" t="n">
        <v>0</v>
      </c>
      <c r="J871" t="n">
        <v>0</v>
      </c>
      <c r="K871" t="n">
        <v>0</v>
      </c>
      <c r="L871" t="n">
        <v>0</v>
      </c>
      <c r="M871" t="n">
        <v>0</v>
      </c>
      <c r="N871" t="n">
        <v>0</v>
      </c>
      <c r="O871" t="n">
        <v>0</v>
      </c>
      <c r="P871" t="n">
        <v>0</v>
      </c>
      <c r="Q871" t="n">
        <v>0</v>
      </c>
      <c r="R871" s="2" t="inlineStr"/>
    </row>
    <row r="872" ht="15" customHeight="1">
      <c r="A872" t="inlineStr">
        <is>
          <t>A 41175-2022</t>
        </is>
      </c>
      <c r="B872" s="1" t="n">
        <v>44826</v>
      </c>
      <c r="C872" s="1" t="n">
        <v>45361</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41182-2022</t>
        </is>
      </c>
      <c r="B873" s="1" t="n">
        <v>44826</v>
      </c>
      <c r="C873" s="1" t="n">
        <v>45361</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41817-2022</t>
        </is>
      </c>
      <c r="B874" s="1" t="n">
        <v>44827</v>
      </c>
      <c r="C874" s="1" t="n">
        <v>45361</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42113-2022</t>
        </is>
      </c>
      <c r="B875" s="1" t="n">
        <v>44830</v>
      </c>
      <c r="C875" s="1" t="n">
        <v>45361</v>
      </c>
      <c r="D875" t="inlineStr">
        <is>
          <t>JÄMTLANDS LÄN</t>
        </is>
      </c>
      <c r="E875" t="inlineStr">
        <is>
          <t>BRÄCKE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42288-2022</t>
        </is>
      </c>
      <c r="B876" s="1" t="n">
        <v>44830</v>
      </c>
      <c r="C876" s="1" t="n">
        <v>45361</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42290-2022</t>
        </is>
      </c>
      <c r="B877" s="1" t="n">
        <v>44830</v>
      </c>
      <c r="C877" s="1" t="n">
        <v>45361</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42656-2022</t>
        </is>
      </c>
      <c r="B878" s="1" t="n">
        <v>44831</v>
      </c>
      <c r="C878" s="1" t="n">
        <v>45361</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42894-2022</t>
        </is>
      </c>
      <c r="B879" s="1" t="n">
        <v>44833</v>
      </c>
      <c r="C879" s="1" t="n">
        <v>45361</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43142-2022</t>
        </is>
      </c>
      <c r="B880" s="1" t="n">
        <v>44834</v>
      </c>
      <c r="C880" s="1" t="n">
        <v>45361</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43126-2022</t>
        </is>
      </c>
      <c r="B881" s="1" t="n">
        <v>44833</v>
      </c>
      <c r="C881" s="1" t="n">
        <v>45361</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43421-2022</t>
        </is>
      </c>
      <c r="B882" s="1" t="n">
        <v>44834</v>
      </c>
      <c r="C882" s="1" t="n">
        <v>45361</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43789-2022</t>
        </is>
      </c>
      <c r="B883" s="1" t="n">
        <v>44837</v>
      </c>
      <c r="C883" s="1" t="n">
        <v>45361</v>
      </c>
      <c r="D883" t="inlineStr">
        <is>
          <t>JÄMTLANDS LÄN</t>
        </is>
      </c>
      <c r="E883" t="inlineStr">
        <is>
          <t>BRÄCKE</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45361</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44840</v>
      </c>
      <c r="C885" s="1" t="n">
        <v>45361</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44444-2022</t>
        </is>
      </c>
      <c r="B886" s="1" t="n">
        <v>44840</v>
      </c>
      <c r="C886" s="1" t="n">
        <v>45361</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44743-2022</t>
        </is>
      </c>
      <c r="B887" s="1" t="n">
        <v>44840</v>
      </c>
      <c r="C887" s="1" t="n">
        <v>45361</v>
      </c>
      <c r="D887" t="inlineStr">
        <is>
          <t>JÄMTLANDS LÄN</t>
        </is>
      </c>
      <c r="E887" t="inlineStr">
        <is>
          <t>BRÄCKE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44752-2022</t>
        </is>
      </c>
      <c r="B888" s="1" t="n">
        <v>44840</v>
      </c>
      <c r="C888" s="1" t="n">
        <v>45361</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44753-2022</t>
        </is>
      </c>
      <c r="B889" s="1" t="n">
        <v>44840</v>
      </c>
      <c r="C889" s="1" t="n">
        <v>45361</v>
      </c>
      <c r="D889" t="inlineStr">
        <is>
          <t>JÄMTLANDS LÄN</t>
        </is>
      </c>
      <c r="E889" t="inlineStr">
        <is>
          <t>BRÄCKE</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45304-2022</t>
        </is>
      </c>
      <c r="B890" s="1" t="n">
        <v>44841</v>
      </c>
      <c r="C890" s="1" t="n">
        <v>45361</v>
      </c>
      <c r="D890" t="inlineStr">
        <is>
          <t>JÄMTLANDS LÄN</t>
        </is>
      </c>
      <c r="E890" t="inlineStr">
        <is>
          <t>BRÄCKE</t>
        </is>
      </c>
      <c r="G890" t="n">
        <v>3.8</v>
      </c>
      <c r="H890" t="n">
        <v>0</v>
      </c>
      <c r="I890" t="n">
        <v>0</v>
      </c>
      <c r="J890" t="n">
        <v>0</v>
      </c>
      <c r="K890" t="n">
        <v>0</v>
      </c>
      <c r="L890" t="n">
        <v>0</v>
      </c>
      <c r="M890" t="n">
        <v>0</v>
      </c>
      <c r="N890" t="n">
        <v>0</v>
      </c>
      <c r="O890" t="n">
        <v>0</v>
      </c>
      <c r="P890" t="n">
        <v>0</v>
      </c>
      <c r="Q890" t="n">
        <v>0</v>
      </c>
      <c r="R890" s="2" t="inlineStr"/>
    </row>
    <row r="891" ht="15" customHeight="1">
      <c r="A891" t="inlineStr">
        <is>
          <t>A 45426-2022</t>
        </is>
      </c>
      <c r="B891" s="1" t="n">
        <v>44844</v>
      </c>
      <c r="C891" s="1" t="n">
        <v>45361</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45436-2022</t>
        </is>
      </c>
      <c r="B892" s="1" t="n">
        <v>44845</v>
      </c>
      <c r="C892" s="1" t="n">
        <v>45361</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45533-2022</t>
        </is>
      </c>
      <c r="B893" s="1" t="n">
        <v>44845</v>
      </c>
      <c r="C893" s="1" t="n">
        <v>45361</v>
      </c>
      <c r="D893" t="inlineStr">
        <is>
          <t>JÄMTLANDS LÄN</t>
        </is>
      </c>
      <c r="E893" t="inlineStr">
        <is>
          <t>BRÄCKE</t>
        </is>
      </c>
      <c r="F893" t="inlineStr">
        <is>
          <t>Övriga Aktiebolag</t>
        </is>
      </c>
      <c r="G893" t="n">
        <v>13.7</v>
      </c>
      <c r="H893" t="n">
        <v>0</v>
      </c>
      <c r="I893" t="n">
        <v>0</v>
      </c>
      <c r="J893" t="n">
        <v>0</v>
      </c>
      <c r="K893" t="n">
        <v>0</v>
      </c>
      <c r="L893" t="n">
        <v>0</v>
      </c>
      <c r="M893" t="n">
        <v>0</v>
      </c>
      <c r="N893" t="n">
        <v>0</v>
      </c>
      <c r="O893" t="n">
        <v>0</v>
      </c>
      <c r="P893" t="n">
        <v>0</v>
      </c>
      <c r="Q893" t="n">
        <v>0</v>
      </c>
      <c r="R893" s="2" t="inlineStr"/>
    </row>
    <row r="894" ht="15" customHeight="1">
      <c r="A894" t="inlineStr">
        <is>
          <t>A 45701-2022</t>
        </is>
      </c>
      <c r="B894" s="1" t="n">
        <v>44845</v>
      </c>
      <c r="C894" s="1" t="n">
        <v>45361</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45691-2022</t>
        </is>
      </c>
      <c r="B895" s="1" t="n">
        <v>44846</v>
      </c>
      <c r="C895" s="1" t="n">
        <v>45361</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45913-2022</t>
        </is>
      </c>
      <c r="B896" s="1" t="n">
        <v>44845</v>
      </c>
      <c r="C896" s="1" t="n">
        <v>45361</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46024-2022</t>
        </is>
      </c>
      <c r="B897" s="1" t="n">
        <v>44847</v>
      </c>
      <c r="C897" s="1" t="n">
        <v>45361</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46598-2022</t>
        </is>
      </c>
      <c r="B898" s="1" t="n">
        <v>44848</v>
      </c>
      <c r="C898" s="1" t="n">
        <v>45361</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46623-2022</t>
        </is>
      </c>
      <c r="B899" s="1" t="n">
        <v>44849</v>
      </c>
      <c r="C899" s="1" t="n">
        <v>45361</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46602-2022</t>
        </is>
      </c>
      <c r="B900" s="1" t="n">
        <v>44848</v>
      </c>
      <c r="C900" s="1" t="n">
        <v>45361</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45361</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46601-2022</t>
        </is>
      </c>
      <c r="B902" s="1" t="n">
        <v>44848</v>
      </c>
      <c r="C902" s="1" t="n">
        <v>45361</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46649-2022</t>
        </is>
      </c>
      <c r="B903" s="1" t="n">
        <v>44849</v>
      </c>
      <c r="C903" s="1" t="n">
        <v>45361</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46966-2022</t>
        </is>
      </c>
      <c r="B904" s="1" t="n">
        <v>44852</v>
      </c>
      <c r="C904" s="1" t="n">
        <v>45361</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47183-2022</t>
        </is>
      </c>
      <c r="B905" s="1" t="n">
        <v>44851</v>
      </c>
      <c r="C905" s="1" t="n">
        <v>45361</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47257-2022</t>
        </is>
      </c>
      <c r="B906" s="1" t="n">
        <v>44852</v>
      </c>
      <c r="C906" s="1" t="n">
        <v>45361</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47256-2022</t>
        </is>
      </c>
      <c r="B907" s="1" t="n">
        <v>44853</v>
      </c>
      <c r="C907" s="1" t="n">
        <v>45361</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47264-2022</t>
        </is>
      </c>
      <c r="B908" s="1" t="n">
        <v>44853</v>
      </c>
      <c r="C908" s="1" t="n">
        <v>45361</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47298-2022</t>
        </is>
      </c>
      <c r="B909" s="1" t="n">
        <v>44852</v>
      </c>
      <c r="C909" s="1" t="n">
        <v>45361</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47561-2022</t>
        </is>
      </c>
      <c r="B910" s="1" t="n">
        <v>44854</v>
      </c>
      <c r="C910" s="1" t="n">
        <v>45361</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47574-2022</t>
        </is>
      </c>
      <c r="B911" s="1" t="n">
        <v>44853</v>
      </c>
      <c r="C911" s="1" t="n">
        <v>45361</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48517-2022</t>
        </is>
      </c>
      <c r="B912" s="1" t="n">
        <v>44859</v>
      </c>
      <c r="C912" s="1" t="n">
        <v>45361</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48499-2022</t>
        </is>
      </c>
      <c r="B913" s="1" t="n">
        <v>44859</v>
      </c>
      <c r="C913" s="1" t="n">
        <v>45361</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48555-2022</t>
        </is>
      </c>
      <c r="B914" s="1" t="n">
        <v>44859</v>
      </c>
      <c r="C914" s="1" t="n">
        <v>45361</v>
      </c>
      <c r="D914" t="inlineStr">
        <is>
          <t>JÄMTLANDS LÄN</t>
        </is>
      </c>
      <c r="E914" t="inlineStr">
        <is>
          <t>BRÄCKE</t>
        </is>
      </c>
      <c r="G914" t="n">
        <v>1.6</v>
      </c>
      <c r="H914" t="n">
        <v>0</v>
      </c>
      <c r="I914" t="n">
        <v>0</v>
      </c>
      <c r="J914" t="n">
        <v>0</v>
      </c>
      <c r="K914" t="n">
        <v>0</v>
      </c>
      <c r="L914" t="n">
        <v>0</v>
      </c>
      <c r="M914" t="n">
        <v>0</v>
      </c>
      <c r="N914" t="n">
        <v>0</v>
      </c>
      <c r="O914" t="n">
        <v>0</v>
      </c>
      <c r="P914" t="n">
        <v>0</v>
      </c>
      <c r="Q914" t="n">
        <v>0</v>
      </c>
      <c r="R914" s="2" t="inlineStr"/>
    </row>
    <row r="915" ht="15" customHeight="1">
      <c r="A915" t="inlineStr">
        <is>
          <t>A 48928-2022</t>
        </is>
      </c>
      <c r="B915" s="1" t="n">
        <v>44860</v>
      </c>
      <c r="C915" s="1" t="n">
        <v>45361</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48816-2022</t>
        </is>
      </c>
      <c r="B916" s="1" t="n">
        <v>44859</v>
      </c>
      <c r="C916" s="1" t="n">
        <v>45361</v>
      </c>
      <c r="D916" t="inlineStr">
        <is>
          <t>JÄMTLANDS LÄN</t>
        </is>
      </c>
      <c r="E916" t="inlineStr">
        <is>
          <t>BRÄCKE</t>
        </is>
      </c>
      <c r="G916" t="n">
        <v>13.3</v>
      </c>
      <c r="H916" t="n">
        <v>0</v>
      </c>
      <c r="I916" t="n">
        <v>0</v>
      </c>
      <c r="J916" t="n">
        <v>0</v>
      </c>
      <c r="K916" t="n">
        <v>0</v>
      </c>
      <c r="L916" t="n">
        <v>0</v>
      </c>
      <c r="M916" t="n">
        <v>0</v>
      </c>
      <c r="N916" t="n">
        <v>0</v>
      </c>
      <c r="O916" t="n">
        <v>0</v>
      </c>
      <c r="P916" t="n">
        <v>0</v>
      </c>
      <c r="Q916" t="n">
        <v>0</v>
      </c>
      <c r="R916" s="2" t="inlineStr"/>
    </row>
    <row r="917" ht="15" customHeight="1">
      <c r="A917" t="inlineStr">
        <is>
          <t>A 48927-2022</t>
        </is>
      </c>
      <c r="B917" s="1" t="n">
        <v>44860</v>
      </c>
      <c r="C917" s="1" t="n">
        <v>45361</v>
      </c>
      <c r="D917" t="inlineStr">
        <is>
          <t>JÄMTLANDS LÄN</t>
        </is>
      </c>
      <c r="E917" t="inlineStr">
        <is>
          <t>BRÄCKE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49191-2022</t>
        </is>
      </c>
      <c r="B918" s="1" t="n">
        <v>44861</v>
      </c>
      <c r="C918" s="1" t="n">
        <v>45361</v>
      </c>
      <c r="D918" t="inlineStr">
        <is>
          <t>JÄMTLANDS LÄN</t>
        </is>
      </c>
      <c r="E918" t="inlineStr">
        <is>
          <t>BRÄCKE</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49523-2022</t>
        </is>
      </c>
      <c r="B919" s="1" t="n">
        <v>44862</v>
      </c>
      <c r="C919" s="1" t="n">
        <v>45361</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49516-2022</t>
        </is>
      </c>
      <c r="B920" s="1" t="n">
        <v>44862</v>
      </c>
      <c r="C920" s="1" t="n">
        <v>45361</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49839-2022</t>
        </is>
      </c>
      <c r="B921" s="1" t="n">
        <v>44863</v>
      </c>
      <c r="C921" s="1" t="n">
        <v>45361</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49858-2022</t>
        </is>
      </c>
      <c r="B922" s="1" t="n">
        <v>44862</v>
      </c>
      <c r="C922" s="1" t="n">
        <v>45361</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49838-2022</t>
        </is>
      </c>
      <c r="B923" s="1" t="n">
        <v>44863</v>
      </c>
      <c r="C923" s="1" t="n">
        <v>45361</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49864-2022</t>
        </is>
      </c>
      <c r="B924" s="1" t="n">
        <v>44862</v>
      </c>
      <c r="C924" s="1" t="n">
        <v>45361</v>
      </c>
      <c r="D924" t="inlineStr">
        <is>
          <t>JÄMTLANDS LÄN</t>
        </is>
      </c>
      <c r="E924" t="inlineStr">
        <is>
          <t>BRÄCKE</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49853-2022</t>
        </is>
      </c>
      <c r="B925" s="1" t="n">
        <v>44863</v>
      </c>
      <c r="C925" s="1" t="n">
        <v>45361</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49861-2022</t>
        </is>
      </c>
      <c r="B926" s="1" t="n">
        <v>44862</v>
      </c>
      <c r="C926" s="1" t="n">
        <v>45361</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50323-2022</t>
        </is>
      </c>
      <c r="B927" s="1" t="n">
        <v>44865</v>
      </c>
      <c r="C927" s="1" t="n">
        <v>45361</v>
      </c>
      <c r="D927" t="inlineStr">
        <is>
          <t>JÄMTLANDS LÄN</t>
        </is>
      </c>
      <c r="E927" t="inlineStr">
        <is>
          <t>BRÄCKE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50333-2022</t>
        </is>
      </c>
      <c r="B928" s="1" t="n">
        <v>44865</v>
      </c>
      <c r="C928" s="1" t="n">
        <v>45361</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50334-2022</t>
        </is>
      </c>
      <c r="B929" s="1" t="n">
        <v>44865</v>
      </c>
      <c r="C929" s="1" t="n">
        <v>45361</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51152-2022</t>
        </is>
      </c>
      <c r="B930" s="1" t="n">
        <v>44865</v>
      </c>
      <c r="C930" s="1" t="n">
        <v>45361</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51270-2022</t>
        </is>
      </c>
      <c r="B931" s="1" t="n">
        <v>44866</v>
      </c>
      <c r="C931" s="1" t="n">
        <v>45361</v>
      </c>
      <c r="D931" t="inlineStr">
        <is>
          <t>JÄMTLANDS LÄN</t>
        </is>
      </c>
      <c r="E931" t="inlineStr">
        <is>
          <t>BRÄCKE</t>
        </is>
      </c>
      <c r="F931" t="inlineStr">
        <is>
          <t>Kommuner</t>
        </is>
      </c>
      <c r="G931" t="n">
        <v>2.2</v>
      </c>
      <c r="H931" t="n">
        <v>0</v>
      </c>
      <c r="I931" t="n">
        <v>0</v>
      </c>
      <c r="J931" t="n">
        <v>0</v>
      </c>
      <c r="K931" t="n">
        <v>0</v>
      </c>
      <c r="L931" t="n">
        <v>0</v>
      </c>
      <c r="M931" t="n">
        <v>0</v>
      </c>
      <c r="N931" t="n">
        <v>0</v>
      </c>
      <c r="O931" t="n">
        <v>0</v>
      </c>
      <c r="P931" t="n">
        <v>0</v>
      </c>
      <c r="Q931" t="n">
        <v>0</v>
      </c>
      <c r="R931" s="2" t="inlineStr"/>
    </row>
    <row r="932" ht="15" customHeight="1">
      <c r="A932" t="inlineStr">
        <is>
          <t>A 51022-2022</t>
        </is>
      </c>
      <c r="B932" s="1" t="n">
        <v>44867</v>
      </c>
      <c r="C932" s="1" t="n">
        <v>45361</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51020-2022</t>
        </is>
      </c>
      <c r="B933" s="1" t="n">
        <v>44867</v>
      </c>
      <c r="C933" s="1" t="n">
        <v>45361</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51558-2022</t>
        </is>
      </c>
      <c r="B934" s="1" t="n">
        <v>44869</v>
      </c>
      <c r="C934" s="1" t="n">
        <v>45361</v>
      </c>
      <c r="D934" t="inlineStr">
        <is>
          <t>JÄMTLANDS LÄN</t>
        </is>
      </c>
      <c r="E934" t="inlineStr">
        <is>
          <t>BRÄCKE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51559-2022</t>
        </is>
      </c>
      <c r="B935" s="1" t="n">
        <v>44869</v>
      </c>
      <c r="C935" s="1" t="n">
        <v>45361</v>
      </c>
      <c r="D935" t="inlineStr">
        <is>
          <t>JÄMTLANDS LÄN</t>
        </is>
      </c>
      <c r="E935" t="inlineStr">
        <is>
          <t>BRÄCKE</t>
        </is>
      </c>
      <c r="F935" t="inlineStr">
        <is>
          <t>SCA</t>
        </is>
      </c>
      <c r="G935" t="n">
        <v>21.1</v>
      </c>
      <c r="H935" t="n">
        <v>0</v>
      </c>
      <c r="I935" t="n">
        <v>0</v>
      </c>
      <c r="J935" t="n">
        <v>0</v>
      </c>
      <c r="K935" t="n">
        <v>0</v>
      </c>
      <c r="L935" t="n">
        <v>0</v>
      </c>
      <c r="M935" t="n">
        <v>0</v>
      </c>
      <c r="N935" t="n">
        <v>0</v>
      </c>
      <c r="O935" t="n">
        <v>0</v>
      </c>
      <c r="P935" t="n">
        <v>0</v>
      </c>
      <c r="Q935" t="n">
        <v>0</v>
      </c>
      <c r="R935" s="2" t="inlineStr"/>
    </row>
    <row r="936" ht="15" customHeight="1">
      <c r="A936" t="inlineStr">
        <is>
          <t>A 51787-2022</t>
        </is>
      </c>
      <c r="B936" s="1" t="n">
        <v>44872</v>
      </c>
      <c r="C936" s="1" t="n">
        <v>45361</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52021-2022</t>
        </is>
      </c>
      <c r="B937" s="1" t="n">
        <v>44872</v>
      </c>
      <c r="C937" s="1" t="n">
        <v>45361</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v>
      </c>
      <c r="C938" s="1" t="n">
        <v>45361</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52022-2022</t>
        </is>
      </c>
      <c r="B939" s="1" t="n">
        <v>44872</v>
      </c>
      <c r="C939" s="1" t="n">
        <v>45361</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52844-2022</t>
        </is>
      </c>
      <c r="B940" s="1" t="n">
        <v>44872</v>
      </c>
      <c r="C940" s="1" t="n">
        <v>45361</v>
      </c>
      <c r="D940" t="inlineStr">
        <is>
          <t>JÄMTLANDS LÄN</t>
        </is>
      </c>
      <c r="E940" t="inlineStr">
        <is>
          <t>BRÄCKE</t>
        </is>
      </c>
      <c r="G940" t="n">
        <v>9.5</v>
      </c>
      <c r="H940" t="n">
        <v>0</v>
      </c>
      <c r="I940" t="n">
        <v>0</v>
      </c>
      <c r="J940" t="n">
        <v>0</v>
      </c>
      <c r="K940" t="n">
        <v>0</v>
      </c>
      <c r="L940" t="n">
        <v>0</v>
      </c>
      <c r="M940" t="n">
        <v>0</v>
      </c>
      <c r="N940" t="n">
        <v>0</v>
      </c>
      <c r="O940" t="n">
        <v>0</v>
      </c>
      <c r="P940" t="n">
        <v>0</v>
      </c>
      <c r="Q940" t="n">
        <v>0</v>
      </c>
      <c r="R940" s="2" t="inlineStr"/>
    </row>
    <row r="941" ht="15" customHeight="1">
      <c r="A941" t="inlineStr">
        <is>
          <t>A 52031-2022</t>
        </is>
      </c>
      <c r="B941" s="1" t="n">
        <v>44872</v>
      </c>
      <c r="C941" s="1" t="n">
        <v>45361</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52300-2022</t>
        </is>
      </c>
      <c r="B942" s="1" t="n">
        <v>44873</v>
      </c>
      <c r="C942" s="1" t="n">
        <v>45361</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53113-2022</t>
        </is>
      </c>
      <c r="B943" s="1" t="n">
        <v>44873</v>
      </c>
      <c r="C943" s="1" t="n">
        <v>45361</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52433-2022</t>
        </is>
      </c>
      <c r="B944" s="1" t="n">
        <v>44874</v>
      </c>
      <c r="C944" s="1" t="n">
        <v>45361</v>
      </c>
      <c r="D944" t="inlineStr">
        <is>
          <t>JÄMTLANDS LÄN</t>
        </is>
      </c>
      <c r="E944" t="inlineStr">
        <is>
          <t>BRÄCKE</t>
        </is>
      </c>
      <c r="G944" t="n">
        <v>8</v>
      </c>
      <c r="H944" t="n">
        <v>0</v>
      </c>
      <c r="I944" t="n">
        <v>0</v>
      </c>
      <c r="J944" t="n">
        <v>0</v>
      </c>
      <c r="K944" t="n">
        <v>0</v>
      </c>
      <c r="L944" t="n">
        <v>0</v>
      </c>
      <c r="M944" t="n">
        <v>0</v>
      </c>
      <c r="N944" t="n">
        <v>0</v>
      </c>
      <c r="O944" t="n">
        <v>0</v>
      </c>
      <c r="P944" t="n">
        <v>0</v>
      </c>
      <c r="Q944" t="n">
        <v>0</v>
      </c>
      <c r="R944" s="2" t="inlineStr"/>
    </row>
    <row r="945" ht="15" customHeight="1">
      <c r="A945" t="inlineStr">
        <is>
          <t>A 52712-2022</t>
        </is>
      </c>
      <c r="B945" s="1" t="n">
        <v>44874</v>
      </c>
      <c r="C945" s="1" t="n">
        <v>45361</v>
      </c>
      <c r="D945" t="inlineStr">
        <is>
          <t>JÄMTLANDS LÄN</t>
        </is>
      </c>
      <c r="E945" t="inlineStr">
        <is>
          <t>BRÄCKE</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52721-2022</t>
        </is>
      </c>
      <c r="B946" s="1" t="n">
        <v>44874</v>
      </c>
      <c r="C946" s="1" t="n">
        <v>45361</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52713-2022</t>
        </is>
      </c>
      <c r="B947" s="1" t="n">
        <v>44874</v>
      </c>
      <c r="C947" s="1" t="n">
        <v>45361</v>
      </c>
      <c r="D947" t="inlineStr">
        <is>
          <t>JÄMTLANDS LÄN</t>
        </is>
      </c>
      <c r="E947" t="inlineStr">
        <is>
          <t>BRÄCKE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52722-2022</t>
        </is>
      </c>
      <c r="B948" s="1" t="n">
        <v>44874</v>
      </c>
      <c r="C948" s="1" t="n">
        <v>45361</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52714-2022</t>
        </is>
      </c>
      <c r="B949" s="1" t="n">
        <v>44874</v>
      </c>
      <c r="C949" s="1" t="n">
        <v>45361</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52724-2022</t>
        </is>
      </c>
      <c r="B950" s="1" t="n">
        <v>44874</v>
      </c>
      <c r="C950" s="1" t="n">
        <v>45361</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53407-2022</t>
        </is>
      </c>
      <c r="B951" s="1" t="n">
        <v>44874</v>
      </c>
      <c r="C951" s="1" t="n">
        <v>45361</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45361</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52983-2022</t>
        </is>
      </c>
      <c r="B953" s="1" t="n">
        <v>44875</v>
      </c>
      <c r="C953" s="1" t="n">
        <v>45361</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53026-2022</t>
        </is>
      </c>
      <c r="B954" s="1" t="n">
        <v>44875</v>
      </c>
      <c r="C954" s="1" t="n">
        <v>45361</v>
      </c>
      <c r="D954" t="inlineStr">
        <is>
          <t>JÄMTLANDS LÄN</t>
        </is>
      </c>
      <c r="E954" t="inlineStr">
        <is>
          <t>BRÄCKE</t>
        </is>
      </c>
      <c r="F954" t="inlineStr">
        <is>
          <t>Naturvårdsverket</t>
        </is>
      </c>
      <c r="G954" t="n">
        <v>69.90000000000001</v>
      </c>
      <c r="H954" t="n">
        <v>0</v>
      </c>
      <c r="I954" t="n">
        <v>0</v>
      </c>
      <c r="J954" t="n">
        <v>0</v>
      </c>
      <c r="K954" t="n">
        <v>0</v>
      </c>
      <c r="L954" t="n">
        <v>0</v>
      </c>
      <c r="M954" t="n">
        <v>0</v>
      </c>
      <c r="N954" t="n">
        <v>0</v>
      </c>
      <c r="O954" t="n">
        <v>0</v>
      </c>
      <c r="P954" t="n">
        <v>0</v>
      </c>
      <c r="Q954" t="n">
        <v>0</v>
      </c>
      <c r="R954" s="2" t="inlineStr"/>
    </row>
    <row r="955" ht="15" customHeight="1">
      <c r="A955" t="inlineStr">
        <is>
          <t>A 53276-2022</t>
        </is>
      </c>
      <c r="B955" s="1" t="n">
        <v>44876</v>
      </c>
      <c r="C955" s="1" t="n">
        <v>45361</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53281-2022</t>
        </is>
      </c>
      <c r="B956" s="1" t="n">
        <v>44876</v>
      </c>
      <c r="C956" s="1" t="n">
        <v>45361</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53274-2022</t>
        </is>
      </c>
      <c r="B957" s="1" t="n">
        <v>44876</v>
      </c>
      <c r="C957" s="1" t="n">
        <v>45361</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53283-2022</t>
        </is>
      </c>
      <c r="B958" s="1" t="n">
        <v>44876</v>
      </c>
      <c r="C958" s="1" t="n">
        <v>45361</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53278-2022</t>
        </is>
      </c>
      <c r="B959" s="1" t="n">
        <v>44876</v>
      </c>
      <c r="C959" s="1" t="n">
        <v>45361</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54274-2022</t>
        </is>
      </c>
      <c r="B960" s="1" t="n">
        <v>44879</v>
      </c>
      <c r="C960" s="1" t="n">
        <v>45361</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53662-2022</t>
        </is>
      </c>
      <c r="B961" s="1" t="n">
        <v>44879</v>
      </c>
      <c r="C961" s="1" t="n">
        <v>45361</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53941-2022</t>
        </is>
      </c>
      <c r="B962" s="1" t="n">
        <v>44880</v>
      </c>
      <c r="C962" s="1" t="n">
        <v>45361</v>
      </c>
      <c r="D962" t="inlineStr">
        <is>
          <t>JÄMTLANDS LÄN</t>
        </is>
      </c>
      <c r="E962" t="inlineStr">
        <is>
          <t>BRÄCKE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54243-2022</t>
        </is>
      </c>
      <c r="B963" s="1" t="n">
        <v>44881</v>
      </c>
      <c r="C963" s="1" t="n">
        <v>45361</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54520-2022</t>
        </is>
      </c>
      <c r="B964" s="1" t="n">
        <v>44882</v>
      </c>
      <c r="C964" s="1" t="n">
        <v>45361</v>
      </c>
      <c r="D964" t="inlineStr">
        <is>
          <t>JÄMTLANDS LÄN</t>
        </is>
      </c>
      <c r="E964" t="inlineStr">
        <is>
          <t>BRÄCKE</t>
        </is>
      </c>
      <c r="G964" t="n">
        <v>2.9</v>
      </c>
      <c r="H964" t="n">
        <v>0</v>
      </c>
      <c r="I964" t="n">
        <v>0</v>
      </c>
      <c r="J964" t="n">
        <v>0</v>
      </c>
      <c r="K964" t="n">
        <v>0</v>
      </c>
      <c r="L964" t="n">
        <v>0</v>
      </c>
      <c r="M964" t="n">
        <v>0</v>
      </c>
      <c r="N964" t="n">
        <v>0</v>
      </c>
      <c r="O964" t="n">
        <v>0</v>
      </c>
      <c r="P964" t="n">
        <v>0</v>
      </c>
      <c r="Q964" t="n">
        <v>0</v>
      </c>
      <c r="R964" s="2" t="inlineStr"/>
    </row>
    <row r="965" ht="15" customHeight="1">
      <c r="A965" t="inlineStr">
        <is>
          <t>A 54566-2022</t>
        </is>
      </c>
      <c r="B965" s="1" t="n">
        <v>44882</v>
      </c>
      <c r="C965" s="1" t="n">
        <v>45361</v>
      </c>
      <c r="D965" t="inlineStr">
        <is>
          <t>JÄMTLANDS LÄN</t>
        </is>
      </c>
      <c r="E965" t="inlineStr">
        <is>
          <t>BRÄCKE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54524-2022</t>
        </is>
      </c>
      <c r="B966" s="1" t="n">
        <v>44882</v>
      </c>
      <c r="C966" s="1" t="n">
        <v>45361</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54568-2022</t>
        </is>
      </c>
      <c r="B967" s="1" t="n">
        <v>44882</v>
      </c>
      <c r="C967" s="1" t="n">
        <v>45361</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54565-2022</t>
        </is>
      </c>
      <c r="B968" s="1" t="n">
        <v>44882</v>
      </c>
      <c r="C968" s="1" t="n">
        <v>45361</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54567-2022</t>
        </is>
      </c>
      <c r="B969" s="1" t="n">
        <v>44882</v>
      </c>
      <c r="C969" s="1" t="n">
        <v>45361</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54668-2022</t>
        </is>
      </c>
      <c r="B970" s="1" t="n">
        <v>44883</v>
      </c>
      <c r="C970" s="1" t="n">
        <v>45361</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54829-2022</t>
        </is>
      </c>
      <c r="B971" s="1" t="n">
        <v>44883</v>
      </c>
      <c r="C971" s="1" t="n">
        <v>45361</v>
      </c>
      <c r="D971" t="inlineStr">
        <is>
          <t>JÄMTLANDS LÄN</t>
        </is>
      </c>
      <c r="E971" t="inlineStr">
        <is>
          <t>BRÄCKE</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54840-2022</t>
        </is>
      </c>
      <c r="B972" s="1" t="n">
        <v>44883</v>
      </c>
      <c r="C972" s="1" t="n">
        <v>45361</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54833-2022</t>
        </is>
      </c>
      <c r="B973" s="1" t="n">
        <v>44883</v>
      </c>
      <c r="C973" s="1" t="n">
        <v>45361</v>
      </c>
      <c r="D973" t="inlineStr">
        <is>
          <t>JÄMTLANDS LÄN</t>
        </is>
      </c>
      <c r="E973" t="inlineStr">
        <is>
          <t>BRÄCKE</t>
        </is>
      </c>
      <c r="F973" t="inlineStr">
        <is>
          <t>SCA</t>
        </is>
      </c>
      <c r="G973" t="n">
        <v>15.2</v>
      </c>
      <c r="H973" t="n">
        <v>0</v>
      </c>
      <c r="I973" t="n">
        <v>0</v>
      </c>
      <c r="J973" t="n">
        <v>0</v>
      </c>
      <c r="K973" t="n">
        <v>0</v>
      </c>
      <c r="L973" t="n">
        <v>0</v>
      </c>
      <c r="M973" t="n">
        <v>0</v>
      </c>
      <c r="N973" t="n">
        <v>0</v>
      </c>
      <c r="O973" t="n">
        <v>0</v>
      </c>
      <c r="P973" t="n">
        <v>0</v>
      </c>
      <c r="Q973" t="n">
        <v>0</v>
      </c>
      <c r="R973" s="2" t="inlineStr"/>
    </row>
    <row r="974" ht="15" customHeight="1">
      <c r="A974" t="inlineStr">
        <is>
          <t>A 55774-2022</t>
        </is>
      </c>
      <c r="B974" s="1" t="n">
        <v>44886</v>
      </c>
      <c r="C974" s="1" t="n">
        <v>45361</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55512-2022</t>
        </is>
      </c>
      <c r="B975" s="1" t="n">
        <v>44887</v>
      </c>
      <c r="C975" s="1" t="n">
        <v>45361</v>
      </c>
      <c r="D975" t="inlineStr">
        <is>
          <t>JÄMTLANDS LÄN</t>
        </is>
      </c>
      <c r="E975" t="inlineStr">
        <is>
          <t>BRÄCKE</t>
        </is>
      </c>
      <c r="G975" t="n">
        <v>3.9</v>
      </c>
      <c r="H975" t="n">
        <v>0</v>
      </c>
      <c r="I975" t="n">
        <v>0</v>
      </c>
      <c r="J975" t="n">
        <v>0</v>
      </c>
      <c r="K975" t="n">
        <v>0</v>
      </c>
      <c r="L975" t="n">
        <v>0</v>
      </c>
      <c r="M975" t="n">
        <v>0</v>
      </c>
      <c r="N975" t="n">
        <v>0</v>
      </c>
      <c r="O975" t="n">
        <v>0</v>
      </c>
      <c r="P975" t="n">
        <v>0</v>
      </c>
      <c r="Q975" t="n">
        <v>0</v>
      </c>
      <c r="R975" s="2" t="inlineStr"/>
    </row>
    <row r="976" ht="15" customHeight="1">
      <c r="A976" t="inlineStr">
        <is>
          <t>A 55520-2022</t>
        </is>
      </c>
      <c r="B976" s="1" t="n">
        <v>44887</v>
      </c>
      <c r="C976" s="1" t="n">
        <v>45361</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55529-2022</t>
        </is>
      </c>
      <c r="B977" s="1" t="n">
        <v>44887</v>
      </c>
      <c r="C977" s="1" t="n">
        <v>45361</v>
      </c>
      <c r="D977" t="inlineStr">
        <is>
          <t>JÄMTLANDS LÄN</t>
        </is>
      </c>
      <c r="E977" t="inlineStr">
        <is>
          <t>BRÄCKE</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55523-2022</t>
        </is>
      </c>
      <c r="B978" s="1" t="n">
        <v>44887</v>
      </c>
      <c r="C978" s="1" t="n">
        <v>45361</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55895-2022</t>
        </is>
      </c>
      <c r="B979" s="1" t="n">
        <v>44888</v>
      </c>
      <c r="C979" s="1" t="n">
        <v>45361</v>
      </c>
      <c r="D979" t="inlineStr">
        <is>
          <t>JÄMTLANDS LÄN</t>
        </is>
      </c>
      <c r="E979" t="inlineStr">
        <is>
          <t>BRÄCKE</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55900-2022</t>
        </is>
      </c>
      <c r="B980" s="1" t="n">
        <v>44888</v>
      </c>
      <c r="C980" s="1" t="n">
        <v>45361</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55905-2022</t>
        </is>
      </c>
      <c r="B981" s="1" t="n">
        <v>44888</v>
      </c>
      <c r="C981" s="1" t="n">
        <v>45361</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56185-2022</t>
        </is>
      </c>
      <c r="B982" s="1" t="n">
        <v>44889</v>
      </c>
      <c r="C982" s="1" t="n">
        <v>45361</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56424-2022</t>
        </is>
      </c>
      <c r="B983" s="1" t="n">
        <v>44890</v>
      </c>
      <c r="C983" s="1" t="n">
        <v>45361</v>
      </c>
      <c r="D983" t="inlineStr">
        <is>
          <t>JÄMTLANDS LÄN</t>
        </is>
      </c>
      <c r="E983" t="inlineStr">
        <is>
          <t>BRÄCKE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56641-2022</t>
        </is>
      </c>
      <c r="B984" s="1" t="n">
        <v>44893</v>
      </c>
      <c r="C984" s="1" t="n">
        <v>45361</v>
      </c>
      <c r="D984" t="inlineStr">
        <is>
          <t>JÄMTLANDS LÄN</t>
        </is>
      </c>
      <c r="E984" t="inlineStr">
        <is>
          <t>BRÄCKE</t>
        </is>
      </c>
      <c r="G984" t="n">
        <v>6.9</v>
      </c>
      <c r="H984" t="n">
        <v>0</v>
      </c>
      <c r="I984" t="n">
        <v>0</v>
      </c>
      <c r="J984" t="n">
        <v>0</v>
      </c>
      <c r="K984" t="n">
        <v>0</v>
      </c>
      <c r="L984" t="n">
        <v>0</v>
      </c>
      <c r="M984" t="n">
        <v>0</v>
      </c>
      <c r="N984" t="n">
        <v>0</v>
      </c>
      <c r="O984" t="n">
        <v>0</v>
      </c>
      <c r="P984" t="n">
        <v>0</v>
      </c>
      <c r="Q984" t="n">
        <v>0</v>
      </c>
      <c r="R984" s="2" t="inlineStr"/>
    </row>
    <row r="985" ht="15" customHeight="1">
      <c r="A985" t="inlineStr">
        <is>
          <t>A 56656-2022</t>
        </is>
      </c>
      <c r="B985" s="1" t="n">
        <v>44893</v>
      </c>
      <c r="C985" s="1" t="n">
        <v>45361</v>
      </c>
      <c r="D985" t="inlineStr">
        <is>
          <t>JÄMTLANDS LÄN</t>
        </is>
      </c>
      <c r="E985" t="inlineStr">
        <is>
          <t>BRÄCKE</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56732-2022</t>
        </is>
      </c>
      <c r="B986" s="1" t="n">
        <v>44893</v>
      </c>
      <c r="C986" s="1" t="n">
        <v>45361</v>
      </c>
      <c r="D986" t="inlineStr">
        <is>
          <t>JÄMTLANDS LÄN</t>
        </is>
      </c>
      <c r="E986" t="inlineStr">
        <is>
          <t>BRÄCKE</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56739-2022</t>
        </is>
      </c>
      <c r="B987" s="1" t="n">
        <v>44893</v>
      </c>
      <c r="C987" s="1" t="n">
        <v>45361</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57011-2022</t>
        </is>
      </c>
      <c r="B988" s="1" t="n">
        <v>44894</v>
      </c>
      <c r="C988" s="1" t="n">
        <v>45361</v>
      </c>
      <c r="D988" t="inlineStr">
        <is>
          <t>JÄMTLANDS LÄN</t>
        </is>
      </c>
      <c r="E988" t="inlineStr">
        <is>
          <t>BRÄCKE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56822-2022</t>
        </is>
      </c>
      <c r="B989" s="1" t="n">
        <v>44894</v>
      </c>
      <c r="C989" s="1" t="n">
        <v>45361</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57010-2022</t>
        </is>
      </c>
      <c r="B990" s="1" t="n">
        <v>44894</v>
      </c>
      <c r="C990" s="1" t="n">
        <v>45361</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58547-2022</t>
        </is>
      </c>
      <c r="B991" s="1" t="n">
        <v>44894</v>
      </c>
      <c r="C991" s="1" t="n">
        <v>45361</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57845-2022</t>
        </is>
      </c>
      <c r="B992" s="1" t="n">
        <v>44897</v>
      </c>
      <c r="C992" s="1" t="n">
        <v>45361</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58187-2022</t>
        </is>
      </c>
      <c r="B993" s="1" t="n">
        <v>44900</v>
      </c>
      <c r="C993" s="1" t="n">
        <v>45361</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58500-2022</t>
        </is>
      </c>
      <c r="B994" s="1" t="n">
        <v>44902</v>
      </c>
      <c r="C994" s="1" t="n">
        <v>45361</v>
      </c>
      <c r="D994" t="inlineStr">
        <is>
          <t>JÄMTLANDS LÄN</t>
        </is>
      </c>
      <c r="E994" t="inlineStr">
        <is>
          <t>BRÄCKE</t>
        </is>
      </c>
      <c r="G994" t="n">
        <v>4.8</v>
      </c>
      <c r="H994" t="n">
        <v>0</v>
      </c>
      <c r="I994" t="n">
        <v>0</v>
      </c>
      <c r="J994" t="n">
        <v>0</v>
      </c>
      <c r="K994" t="n">
        <v>0</v>
      </c>
      <c r="L994" t="n">
        <v>0</v>
      </c>
      <c r="M994" t="n">
        <v>0</v>
      </c>
      <c r="N994" t="n">
        <v>0</v>
      </c>
      <c r="O994" t="n">
        <v>0</v>
      </c>
      <c r="P994" t="n">
        <v>0</v>
      </c>
      <c r="Q994" t="n">
        <v>0</v>
      </c>
      <c r="R994" s="2" t="inlineStr"/>
    </row>
    <row r="995" ht="15" customHeight="1">
      <c r="A995" t="inlineStr">
        <is>
          <t>A 58498-2022</t>
        </is>
      </c>
      <c r="B995" s="1" t="n">
        <v>44902</v>
      </c>
      <c r="C995" s="1" t="n">
        <v>45361</v>
      </c>
      <c r="D995" t="inlineStr">
        <is>
          <t>JÄMTLANDS LÄN</t>
        </is>
      </c>
      <c r="E995" t="inlineStr">
        <is>
          <t>BRÄCKE</t>
        </is>
      </c>
      <c r="G995" t="n">
        <v>8.4</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v>
      </c>
      <c r="C996" s="1" t="n">
        <v>45361</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58497-2022</t>
        </is>
      </c>
      <c r="B997" s="1" t="n">
        <v>44902</v>
      </c>
      <c r="C997" s="1" t="n">
        <v>45361</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58728-2022</t>
        </is>
      </c>
      <c r="B998" s="1" t="n">
        <v>44902</v>
      </c>
      <c r="C998" s="1" t="n">
        <v>45361</v>
      </c>
      <c r="D998" t="inlineStr">
        <is>
          <t>JÄMTLANDS LÄN</t>
        </is>
      </c>
      <c r="E998" t="inlineStr">
        <is>
          <t>BRÄCKE</t>
        </is>
      </c>
      <c r="G998" t="n">
        <v>21.5</v>
      </c>
      <c r="H998" t="n">
        <v>0</v>
      </c>
      <c r="I998" t="n">
        <v>0</v>
      </c>
      <c r="J998" t="n">
        <v>0</v>
      </c>
      <c r="K998" t="n">
        <v>0</v>
      </c>
      <c r="L998" t="n">
        <v>0</v>
      </c>
      <c r="M998" t="n">
        <v>0</v>
      </c>
      <c r="N998" t="n">
        <v>0</v>
      </c>
      <c r="O998" t="n">
        <v>0</v>
      </c>
      <c r="P998" t="n">
        <v>0</v>
      </c>
      <c r="Q998" t="n">
        <v>0</v>
      </c>
      <c r="R998" s="2" t="inlineStr"/>
    </row>
    <row r="999" ht="15" customHeight="1">
      <c r="A999" t="inlineStr">
        <is>
          <t>A 58745-2022</t>
        </is>
      </c>
      <c r="B999" s="1" t="n">
        <v>44902</v>
      </c>
      <c r="C999" s="1" t="n">
        <v>45361</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58731-2022</t>
        </is>
      </c>
      <c r="B1000" s="1" t="n">
        <v>44902</v>
      </c>
      <c r="C1000" s="1" t="n">
        <v>45361</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59047-2022</t>
        </is>
      </c>
      <c r="B1001" s="1" t="n">
        <v>44903</v>
      </c>
      <c r="C1001" s="1" t="n">
        <v>45361</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59369-2022</t>
        </is>
      </c>
      <c r="B1002" s="1" t="n">
        <v>44904</v>
      </c>
      <c r="C1002" s="1" t="n">
        <v>45361</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59405-2022</t>
        </is>
      </c>
      <c r="B1003" s="1" t="n">
        <v>44906</v>
      </c>
      <c r="C1003" s="1" t="n">
        <v>45361</v>
      </c>
      <c r="D1003" t="inlineStr">
        <is>
          <t>JÄMTLANDS LÄN</t>
        </is>
      </c>
      <c r="E1003" t="inlineStr">
        <is>
          <t>BRÄCKE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59427-2022</t>
        </is>
      </c>
      <c r="B1004" s="1" t="n">
        <v>44907</v>
      </c>
      <c r="C1004" s="1" t="n">
        <v>45361</v>
      </c>
      <c r="D1004" t="inlineStr">
        <is>
          <t>JÄMTLANDS LÄN</t>
        </is>
      </c>
      <c r="E1004" t="inlineStr">
        <is>
          <t>BRÄCKE</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59640-2022</t>
        </is>
      </c>
      <c r="B1005" s="1" t="n">
        <v>44908</v>
      </c>
      <c r="C1005" s="1" t="n">
        <v>45361</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59644-2022</t>
        </is>
      </c>
      <c r="B1006" s="1" t="n">
        <v>44908</v>
      </c>
      <c r="C1006" s="1" t="n">
        <v>45361</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59641-2022</t>
        </is>
      </c>
      <c r="B1007" s="1" t="n">
        <v>44908</v>
      </c>
      <c r="C1007" s="1" t="n">
        <v>45361</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59642-2022</t>
        </is>
      </c>
      <c r="B1008" s="1" t="n">
        <v>44908</v>
      </c>
      <c r="C1008" s="1" t="n">
        <v>45361</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59643-2022</t>
        </is>
      </c>
      <c r="B1009" s="1" t="n">
        <v>44907</v>
      </c>
      <c r="C1009" s="1" t="n">
        <v>45361</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59910-2022</t>
        </is>
      </c>
      <c r="B1010" s="1" t="n">
        <v>44908</v>
      </c>
      <c r="C1010" s="1" t="n">
        <v>45361</v>
      </c>
      <c r="D1010" t="inlineStr">
        <is>
          <t>JÄMTLANDS LÄN</t>
        </is>
      </c>
      <c r="E1010" t="inlineStr">
        <is>
          <t>BRÄCKE</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59915-2022</t>
        </is>
      </c>
      <c r="B1011" s="1" t="n">
        <v>44909</v>
      </c>
      <c r="C1011" s="1" t="n">
        <v>45361</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59914-2022</t>
        </is>
      </c>
      <c r="B1012" s="1" t="n">
        <v>44909</v>
      </c>
      <c r="C1012" s="1" t="n">
        <v>45361</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59916-2022</t>
        </is>
      </c>
      <c r="B1013" s="1" t="n">
        <v>44909</v>
      </c>
      <c r="C1013" s="1" t="n">
        <v>45361</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59932-2022</t>
        </is>
      </c>
      <c r="B1014" s="1" t="n">
        <v>44909</v>
      </c>
      <c r="C1014" s="1" t="n">
        <v>45361</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60178-2022</t>
        </is>
      </c>
      <c r="B1015" s="1" t="n">
        <v>44909</v>
      </c>
      <c r="C1015" s="1" t="n">
        <v>45361</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60417-2022</t>
        </is>
      </c>
      <c r="B1016" s="1" t="n">
        <v>44911</v>
      </c>
      <c r="C1016" s="1" t="n">
        <v>45361</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60661-2022</t>
        </is>
      </c>
      <c r="B1017" s="1" t="n">
        <v>44911</v>
      </c>
      <c r="C1017" s="1" t="n">
        <v>45361</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61662-2022</t>
        </is>
      </c>
      <c r="B1018" s="1" t="n">
        <v>44917</v>
      </c>
      <c r="C1018" s="1" t="n">
        <v>45361</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61663-2022</t>
        </is>
      </c>
      <c r="B1019" s="1" t="n">
        <v>44916</v>
      </c>
      <c r="C1019" s="1" t="n">
        <v>45361</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123-2023</t>
        </is>
      </c>
      <c r="B1020" s="1" t="n">
        <v>44928</v>
      </c>
      <c r="C1020" s="1" t="n">
        <v>45361</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1070-2023</t>
        </is>
      </c>
      <c r="B1021" s="1" t="n">
        <v>44929</v>
      </c>
      <c r="C1021" s="1" t="n">
        <v>45361</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643-2023</t>
        </is>
      </c>
      <c r="B1022" s="1" t="n">
        <v>44930</v>
      </c>
      <c r="C1022" s="1" t="n">
        <v>45361</v>
      </c>
      <c r="D1022" t="inlineStr">
        <is>
          <t>JÄMTLANDS LÄN</t>
        </is>
      </c>
      <c r="E1022" t="inlineStr">
        <is>
          <t>BRÄCKE</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1178-2023</t>
        </is>
      </c>
      <c r="B1023" s="1" t="n">
        <v>44930</v>
      </c>
      <c r="C1023" s="1" t="n">
        <v>45361</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676-2023</t>
        </is>
      </c>
      <c r="B1024" s="1" t="n">
        <v>44930</v>
      </c>
      <c r="C1024" s="1" t="n">
        <v>45361</v>
      </c>
      <c r="D1024" t="inlineStr">
        <is>
          <t>JÄMTLANDS LÄN</t>
        </is>
      </c>
      <c r="E1024" t="inlineStr">
        <is>
          <t>BRÄCKE</t>
        </is>
      </c>
      <c r="F1024" t="inlineStr">
        <is>
          <t>Kyrkan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724-2023</t>
        </is>
      </c>
      <c r="B1025" s="1" t="n">
        <v>44930</v>
      </c>
      <c r="C1025" s="1" t="n">
        <v>45361</v>
      </c>
      <c r="D1025" t="inlineStr">
        <is>
          <t>JÄMTLANDS LÄN</t>
        </is>
      </c>
      <c r="E1025" t="inlineStr">
        <is>
          <t>BRÄCKE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1204-2023</t>
        </is>
      </c>
      <c r="B1026" s="1" t="n">
        <v>44930</v>
      </c>
      <c r="C1026" s="1" t="n">
        <v>45361</v>
      </c>
      <c r="D1026" t="inlineStr">
        <is>
          <t>JÄMTLANDS LÄN</t>
        </is>
      </c>
      <c r="E1026" t="inlineStr">
        <is>
          <t>BRÄCKE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1230-2023</t>
        </is>
      </c>
      <c r="B1027" s="1" t="n">
        <v>44936</v>
      </c>
      <c r="C1027" s="1" t="n">
        <v>45361</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2254-2023</t>
        </is>
      </c>
      <c r="B1028" s="1" t="n">
        <v>44939</v>
      </c>
      <c r="C1028" s="1" t="n">
        <v>45361</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2954-2023</t>
        </is>
      </c>
      <c r="B1029" s="1" t="n">
        <v>44945</v>
      </c>
      <c r="C1029" s="1" t="n">
        <v>45361</v>
      </c>
      <c r="D1029" t="inlineStr">
        <is>
          <t>JÄMTLANDS LÄN</t>
        </is>
      </c>
      <c r="E1029" t="inlineStr">
        <is>
          <t>BRÄCKE</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3032-2023</t>
        </is>
      </c>
      <c r="B1030" s="1" t="n">
        <v>44945</v>
      </c>
      <c r="C1030" s="1" t="n">
        <v>45361</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3036-2023</t>
        </is>
      </c>
      <c r="B1031" s="1" t="n">
        <v>44945</v>
      </c>
      <c r="C1031" s="1" t="n">
        <v>45361</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3020-2023</t>
        </is>
      </c>
      <c r="B1032" s="1" t="n">
        <v>44945</v>
      </c>
      <c r="C1032" s="1" t="n">
        <v>45361</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3031-2023</t>
        </is>
      </c>
      <c r="B1033" s="1" t="n">
        <v>44945</v>
      </c>
      <c r="C1033" s="1" t="n">
        <v>45361</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3035-2023</t>
        </is>
      </c>
      <c r="B1034" s="1" t="n">
        <v>44945</v>
      </c>
      <c r="C1034" s="1" t="n">
        <v>45361</v>
      </c>
      <c r="D1034" t="inlineStr">
        <is>
          <t>JÄMTLANDS LÄN</t>
        </is>
      </c>
      <c r="E1034" t="inlineStr">
        <is>
          <t>BRÄCKE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3033-2023</t>
        </is>
      </c>
      <c r="B1035" s="1" t="n">
        <v>44945</v>
      </c>
      <c r="C1035" s="1" t="n">
        <v>45361</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2985-2023</t>
        </is>
      </c>
      <c r="B1036" s="1" t="n">
        <v>44945</v>
      </c>
      <c r="C1036" s="1" t="n">
        <v>45361</v>
      </c>
      <c r="D1036" t="inlineStr">
        <is>
          <t>JÄMTLANDS LÄN</t>
        </is>
      </c>
      <c r="E1036" t="inlineStr">
        <is>
          <t>BRÄCKE</t>
        </is>
      </c>
      <c r="F1036" t="inlineStr">
        <is>
          <t>Övriga Aktiebolag</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3698-2023</t>
        </is>
      </c>
      <c r="B1037" s="1" t="n">
        <v>44950</v>
      </c>
      <c r="C1037" s="1" t="n">
        <v>45361</v>
      </c>
      <c r="D1037" t="inlineStr">
        <is>
          <t>JÄMTLANDS LÄN</t>
        </is>
      </c>
      <c r="E1037" t="inlineStr">
        <is>
          <t>BRÄCKE</t>
        </is>
      </c>
      <c r="F1037" t="inlineStr">
        <is>
          <t>SCA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3702-2023</t>
        </is>
      </c>
      <c r="B1038" s="1" t="n">
        <v>44950</v>
      </c>
      <c r="C1038" s="1" t="n">
        <v>45361</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3845-2023</t>
        </is>
      </c>
      <c r="B1039" s="1" t="n">
        <v>44950</v>
      </c>
      <c r="C1039" s="1" t="n">
        <v>45361</v>
      </c>
      <c r="D1039" t="inlineStr">
        <is>
          <t>JÄMTLANDS LÄN</t>
        </is>
      </c>
      <c r="E1039" t="inlineStr">
        <is>
          <t>BRÄCKE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3892-2023</t>
        </is>
      </c>
      <c r="B1040" s="1" t="n">
        <v>44951</v>
      </c>
      <c r="C1040" s="1" t="n">
        <v>45361</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3895-2023</t>
        </is>
      </c>
      <c r="B1041" s="1" t="n">
        <v>44951</v>
      </c>
      <c r="C1041" s="1" t="n">
        <v>45361</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4273-2023</t>
        </is>
      </c>
      <c r="B1042" s="1" t="n">
        <v>44953</v>
      </c>
      <c r="C1042" s="1" t="n">
        <v>45361</v>
      </c>
      <c r="D1042" t="inlineStr">
        <is>
          <t>JÄMTLANDS LÄN</t>
        </is>
      </c>
      <c r="E1042" t="inlineStr">
        <is>
          <t>BRÄCKE</t>
        </is>
      </c>
      <c r="F1042" t="inlineStr">
        <is>
          <t>Övriga Aktiebolag</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4365-2023</t>
        </is>
      </c>
      <c r="B1043" s="1" t="n">
        <v>44954</v>
      </c>
      <c r="C1043" s="1" t="n">
        <v>45361</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4366-2023</t>
        </is>
      </c>
      <c r="B1044" s="1" t="n">
        <v>44954</v>
      </c>
      <c r="C1044" s="1" t="n">
        <v>45361</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4381-2023</t>
        </is>
      </c>
      <c r="B1045" s="1" t="n">
        <v>44955</v>
      </c>
      <c r="C1045" s="1" t="n">
        <v>45361</v>
      </c>
      <c r="D1045" t="inlineStr">
        <is>
          <t>JÄMTLANDS LÄN</t>
        </is>
      </c>
      <c r="E1045" t="inlineStr">
        <is>
          <t>BRÄCKE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5004-2023</t>
        </is>
      </c>
      <c r="B1046" s="1" t="n">
        <v>44956</v>
      </c>
      <c r="C1046" s="1" t="n">
        <v>45361</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5160-2023</t>
        </is>
      </c>
      <c r="B1047" s="1" t="n">
        <v>44958</v>
      </c>
      <c r="C1047" s="1" t="n">
        <v>45361</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5180-2023</t>
        </is>
      </c>
      <c r="B1048" s="1" t="n">
        <v>44958</v>
      </c>
      <c r="C1048" s="1" t="n">
        <v>45361</v>
      </c>
      <c r="D1048" t="inlineStr">
        <is>
          <t>JÄMTLANDS LÄN</t>
        </is>
      </c>
      <c r="E1048" t="inlineStr">
        <is>
          <t>BRÄCKE</t>
        </is>
      </c>
      <c r="F1048" t="inlineStr">
        <is>
          <t>SCA</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6345-2023</t>
        </is>
      </c>
      <c r="B1049" s="1" t="n">
        <v>44960</v>
      </c>
      <c r="C1049" s="1" t="n">
        <v>45361</v>
      </c>
      <c r="D1049" t="inlineStr">
        <is>
          <t>JÄMTLANDS LÄN</t>
        </is>
      </c>
      <c r="E1049" t="inlineStr">
        <is>
          <t>BRÄCKE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6852-2023</t>
        </is>
      </c>
      <c r="B1050" s="1" t="n">
        <v>44964</v>
      </c>
      <c r="C1050" s="1" t="n">
        <v>45361</v>
      </c>
      <c r="D1050" t="inlineStr">
        <is>
          <t>JÄMTLANDS LÄN</t>
        </is>
      </c>
      <c r="E1050" t="inlineStr">
        <is>
          <t>BRÄCKE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6701-2023</t>
        </is>
      </c>
      <c r="B1051" s="1" t="n">
        <v>44964</v>
      </c>
      <c r="C1051" s="1" t="n">
        <v>45361</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6390-2023</t>
        </is>
      </c>
      <c r="B1052" s="1" t="n">
        <v>44965</v>
      </c>
      <c r="C1052" s="1" t="n">
        <v>45361</v>
      </c>
      <c r="D1052" t="inlineStr">
        <is>
          <t>JÄMTLANDS LÄN</t>
        </is>
      </c>
      <c r="E1052" t="inlineStr">
        <is>
          <t>BRÄCKE</t>
        </is>
      </c>
      <c r="F1052" t="inlineStr">
        <is>
          <t>Övriga Aktiebolag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6764-2023</t>
        </is>
      </c>
      <c r="B1053" s="1" t="n">
        <v>44966</v>
      </c>
      <c r="C1053" s="1" t="n">
        <v>45361</v>
      </c>
      <c r="D1053" t="inlineStr">
        <is>
          <t>JÄMTLANDS LÄN</t>
        </is>
      </c>
      <c r="E1053" t="inlineStr">
        <is>
          <t>BRÄCKE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6768-2023</t>
        </is>
      </c>
      <c r="B1054" s="1" t="n">
        <v>44966</v>
      </c>
      <c r="C1054" s="1" t="n">
        <v>45361</v>
      </c>
      <c r="D1054" t="inlineStr">
        <is>
          <t>JÄMTLANDS LÄN</t>
        </is>
      </c>
      <c r="E1054" t="inlineStr">
        <is>
          <t>BRÄCKE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6766-2023</t>
        </is>
      </c>
      <c r="B1055" s="1" t="n">
        <v>44966</v>
      </c>
      <c r="C1055" s="1" t="n">
        <v>45361</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6763-2023</t>
        </is>
      </c>
      <c r="B1056" s="1" t="n">
        <v>44966</v>
      </c>
      <c r="C1056" s="1" t="n">
        <v>45361</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6870-2023</t>
        </is>
      </c>
      <c r="B1057" s="1" t="n">
        <v>44967</v>
      </c>
      <c r="C1057" s="1" t="n">
        <v>45361</v>
      </c>
      <c r="D1057" t="inlineStr">
        <is>
          <t>JÄMTLANDS LÄN</t>
        </is>
      </c>
      <c r="E1057" t="inlineStr">
        <is>
          <t>BRÄCKE</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7549-2023</t>
        </is>
      </c>
      <c r="B1058" s="1" t="n">
        <v>44972</v>
      </c>
      <c r="C1058" s="1" t="n">
        <v>45361</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8975-2023</t>
        </is>
      </c>
      <c r="B1059" s="1" t="n">
        <v>44974</v>
      </c>
      <c r="C1059" s="1" t="n">
        <v>45361</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8657-2023</t>
        </is>
      </c>
      <c r="B1060" s="1" t="n">
        <v>44978</v>
      </c>
      <c r="C1060" s="1" t="n">
        <v>45361</v>
      </c>
      <c r="D1060" t="inlineStr">
        <is>
          <t>JÄMTLANDS LÄN</t>
        </is>
      </c>
      <c r="E1060" t="inlineStr">
        <is>
          <t>BRÄCKE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8674-2023</t>
        </is>
      </c>
      <c r="B1061" s="1" t="n">
        <v>44977</v>
      </c>
      <c r="C1061" s="1" t="n">
        <v>45361</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8864-2023</t>
        </is>
      </c>
      <c r="B1062" s="1" t="n">
        <v>44978</v>
      </c>
      <c r="C1062" s="1" t="n">
        <v>45361</v>
      </c>
      <c r="D1062" t="inlineStr">
        <is>
          <t>JÄMTLANDS LÄN</t>
        </is>
      </c>
      <c r="E1062" t="inlineStr">
        <is>
          <t>BRÄCKE</t>
        </is>
      </c>
      <c r="G1062" t="n">
        <v>17.3</v>
      </c>
      <c r="H1062" t="n">
        <v>0</v>
      </c>
      <c r="I1062" t="n">
        <v>0</v>
      </c>
      <c r="J1062" t="n">
        <v>0</v>
      </c>
      <c r="K1062" t="n">
        <v>0</v>
      </c>
      <c r="L1062" t="n">
        <v>0</v>
      </c>
      <c r="M1062" t="n">
        <v>0</v>
      </c>
      <c r="N1062" t="n">
        <v>0</v>
      </c>
      <c r="O1062" t="n">
        <v>0</v>
      </c>
      <c r="P1062" t="n">
        <v>0</v>
      </c>
      <c r="Q1062" t="n">
        <v>0</v>
      </c>
      <c r="R1062" s="2" t="inlineStr"/>
    </row>
    <row r="1063" ht="15" customHeight="1">
      <c r="A1063" t="inlineStr">
        <is>
          <t>A 8865-2023</t>
        </is>
      </c>
      <c r="B1063" s="1" t="n">
        <v>44978</v>
      </c>
      <c r="C1063" s="1" t="n">
        <v>45361</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8958-2023</t>
        </is>
      </c>
      <c r="B1064" s="1" t="n">
        <v>44979</v>
      </c>
      <c r="C1064" s="1" t="n">
        <v>45361</v>
      </c>
      <c r="D1064" t="inlineStr">
        <is>
          <t>JÄMTLANDS LÄN</t>
        </is>
      </c>
      <c r="E1064" t="inlineStr">
        <is>
          <t>BRÄCKE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9194-2023</t>
        </is>
      </c>
      <c r="B1065" s="1" t="n">
        <v>44980</v>
      </c>
      <c r="C1065" s="1" t="n">
        <v>45361</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9348-2023</t>
        </is>
      </c>
      <c r="B1066" s="1" t="n">
        <v>44980</v>
      </c>
      <c r="C1066" s="1" t="n">
        <v>45361</v>
      </c>
      <c r="D1066" t="inlineStr">
        <is>
          <t>JÄMTLANDS LÄN</t>
        </is>
      </c>
      <c r="E1066" t="inlineStr">
        <is>
          <t>BRÄCKE</t>
        </is>
      </c>
      <c r="F1066" t="inlineStr">
        <is>
          <t>SCA</t>
        </is>
      </c>
      <c r="G1066" t="n">
        <v>64.5</v>
      </c>
      <c r="H1066" t="n">
        <v>0</v>
      </c>
      <c r="I1066" t="n">
        <v>0</v>
      </c>
      <c r="J1066" t="n">
        <v>0</v>
      </c>
      <c r="K1066" t="n">
        <v>0</v>
      </c>
      <c r="L1066" t="n">
        <v>0</v>
      </c>
      <c r="M1066" t="n">
        <v>0</v>
      </c>
      <c r="N1066" t="n">
        <v>0</v>
      </c>
      <c r="O1066" t="n">
        <v>0</v>
      </c>
      <c r="P1066" t="n">
        <v>0</v>
      </c>
      <c r="Q1066" t="n">
        <v>0</v>
      </c>
      <c r="R1066" s="2" t="inlineStr"/>
    </row>
    <row r="1067" ht="15" customHeight="1">
      <c r="A1067" t="inlineStr">
        <is>
          <t>A 9356-2023</t>
        </is>
      </c>
      <c r="B1067" s="1" t="n">
        <v>44980</v>
      </c>
      <c r="C1067" s="1" t="n">
        <v>45361</v>
      </c>
      <c r="D1067" t="inlineStr">
        <is>
          <t>JÄMTLANDS LÄN</t>
        </is>
      </c>
      <c r="E1067" t="inlineStr">
        <is>
          <t>BRÄCKE</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9357-2023</t>
        </is>
      </c>
      <c r="B1068" s="1" t="n">
        <v>44980</v>
      </c>
      <c r="C1068" s="1" t="n">
        <v>45361</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10309-2023</t>
        </is>
      </c>
      <c r="B1069" s="1" t="n">
        <v>44986</v>
      </c>
      <c r="C1069" s="1" t="n">
        <v>45361</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10763-2023</t>
        </is>
      </c>
      <c r="B1070" s="1" t="n">
        <v>44988</v>
      </c>
      <c r="C1070" s="1" t="n">
        <v>45361</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11548-2023</t>
        </is>
      </c>
      <c r="B1071" s="1" t="n">
        <v>44993</v>
      </c>
      <c r="C1071" s="1" t="n">
        <v>45361</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11550-2023</t>
        </is>
      </c>
      <c r="B1072" s="1" t="n">
        <v>44993</v>
      </c>
      <c r="C1072" s="1" t="n">
        <v>45361</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11563-2023</t>
        </is>
      </c>
      <c r="B1073" s="1" t="n">
        <v>44993</v>
      </c>
      <c r="C1073" s="1" t="n">
        <v>45361</v>
      </c>
      <c r="D1073" t="inlineStr">
        <is>
          <t>JÄMTLANDS LÄN</t>
        </is>
      </c>
      <c r="E1073" t="inlineStr">
        <is>
          <t>BRÄCKE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11821-2023</t>
        </is>
      </c>
      <c r="B1074" s="1" t="n">
        <v>44994</v>
      </c>
      <c r="C1074" s="1" t="n">
        <v>45361</v>
      </c>
      <c r="D1074" t="inlineStr">
        <is>
          <t>JÄMTLANDS LÄN</t>
        </is>
      </c>
      <c r="E1074" t="inlineStr">
        <is>
          <t>BRÄCKE</t>
        </is>
      </c>
      <c r="F1074" t="inlineStr">
        <is>
          <t>SCA</t>
        </is>
      </c>
      <c r="G1074" t="n">
        <v>36.6</v>
      </c>
      <c r="H1074" t="n">
        <v>0</v>
      </c>
      <c r="I1074" t="n">
        <v>0</v>
      </c>
      <c r="J1074" t="n">
        <v>0</v>
      </c>
      <c r="K1074" t="n">
        <v>0</v>
      </c>
      <c r="L1074" t="n">
        <v>0</v>
      </c>
      <c r="M1074" t="n">
        <v>0</v>
      </c>
      <c r="N1074" t="n">
        <v>0</v>
      </c>
      <c r="O1074" t="n">
        <v>0</v>
      </c>
      <c r="P1074" t="n">
        <v>0</v>
      </c>
      <c r="Q1074" t="n">
        <v>0</v>
      </c>
      <c r="R1074" s="2" t="inlineStr"/>
    </row>
    <row r="1075" ht="15" customHeight="1">
      <c r="A1075" t="inlineStr">
        <is>
          <t>A 12023-2023</t>
        </is>
      </c>
      <c r="B1075" s="1" t="n">
        <v>44995</v>
      </c>
      <c r="C1075" s="1" t="n">
        <v>45361</v>
      </c>
      <c r="D1075" t="inlineStr">
        <is>
          <t>JÄMTLANDS LÄN</t>
        </is>
      </c>
      <c r="E1075" t="inlineStr">
        <is>
          <t>BRÄCKE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12034-2023</t>
        </is>
      </c>
      <c r="B1076" s="1" t="n">
        <v>44995</v>
      </c>
      <c r="C1076" s="1" t="n">
        <v>45361</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12036-2023</t>
        </is>
      </c>
      <c r="B1077" s="1" t="n">
        <v>44995</v>
      </c>
      <c r="C1077" s="1" t="n">
        <v>45361</v>
      </c>
      <c r="D1077" t="inlineStr">
        <is>
          <t>JÄMTLANDS LÄN</t>
        </is>
      </c>
      <c r="E1077" t="inlineStr">
        <is>
          <t>BRÄCKE</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12063-2023</t>
        </is>
      </c>
      <c r="B1078" s="1" t="n">
        <v>44996</v>
      </c>
      <c r="C1078" s="1" t="n">
        <v>45361</v>
      </c>
      <c r="D1078" t="inlineStr">
        <is>
          <t>JÄMTLANDS LÄN</t>
        </is>
      </c>
      <c r="E1078" t="inlineStr">
        <is>
          <t>BRÄCKE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12061-2023</t>
        </is>
      </c>
      <c r="B1079" s="1" t="n">
        <v>44996</v>
      </c>
      <c r="C1079" s="1" t="n">
        <v>45361</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12518-2023</t>
        </is>
      </c>
      <c r="B1080" s="1" t="n">
        <v>45000</v>
      </c>
      <c r="C1080" s="1" t="n">
        <v>45361</v>
      </c>
      <c r="D1080" t="inlineStr">
        <is>
          <t>JÄMTLANDS LÄN</t>
        </is>
      </c>
      <c r="E1080" t="inlineStr">
        <is>
          <t>BRÄCKE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12900-2023</t>
        </is>
      </c>
      <c r="B1081" s="1" t="n">
        <v>45001</v>
      </c>
      <c r="C1081" s="1" t="n">
        <v>45361</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45361</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13019-2023</t>
        </is>
      </c>
      <c r="B1083" s="1" t="n">
        <v>45001</v>
      </c>
      <c r="C1083" s="1" t="n">
        <v>45361</v>
      </c>
      <c r="D1083" t="inlineStr">
        <is>
          <t>JÄMTLANDS LÄN</t>
        </is>
      </c>
      <c r="E1083" t="inlineStr">
        <is>
          <t>BRÄCKE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12977-2023</t>
        </is>
      </c>
      <c r="B1084" s="1" t="n">
        <v>45001</v>
      </c>
      <c r="C1084" s="1" t="n">
        <v>45361</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13258-2023</t>
        </is>
      </c>
      <c r="B1085" s="1" t="n">
        <v>45002</v>
      </c>
      <c r="C1085" s="1" t="n">
        <v>45361</v>
      </c>
      <c r="D1085" t="inlineStr">
        <is>
          <t>JÄMTLANDS LÄN</t>
        </is>
      </c>
      <c r="E1085" t="inlineStr">
        <is>
          <t>BRÄCKE</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13244-2023</t>
        </is>
      </c>
      <c r="B1086" s="1" t="n">
        <v>45002</v>
      </c>
      <c r="C1086" s="1" t="n">
        <v>45361</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13709-2023</t>
        </is>
      </c>
      <c r="B1087" s="1" t="n">
        <v>45006</v>
      </c>
      <c r="C1087" s="1" t="n">
        <v>45361</v>
      </c>
      <c r="D1087" t="inlineStr">
        <is>
          <t>JÄMTLANDS LÄN</t>
        </is>
      </c>
      <c r="E1087" t="inlineStr">
        <is>
          <t>BRÄCKE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13708-2023</t>
        </is>
      </c>
      <c r="B1088" s="1" t="n">
        <v>45006</v>
      </c>
      <c r="C1088" s="1" t="n">
        <v>45361</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13707-2023</t>
        </is>
      </c>
      <c r="B1089" s="1" t="n">
        <v>45006</v>
      </c>
      <c r="C1089" s="1" t="n">
        <v>45361</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13925-2023</t>
        </is>
      </c>
      <c r="B1090" s="1" t="n">
        <v>45008</v>
      </c>
      <c r="C1090" s="1" t="n">
        <v>45361</v>
      </c>
      <c r="D1090" t="inlineStr">
        <is>
          <t>JÄMTLANDS LÄN</t>
        </is>
      </c>
      <c r="E1090" t="inlineStr">
        <is>
          <t>BRÄCKE</t>
        </is>
      </c>
      <c r="F1090" t="inlineStr">
        <is>
          <t>Kyrkan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13999-2023</t>
        </is>
      </c>
      <c r="B1091" s="1" t="n">
        <v>45008</v>
      </c>
      <c r="C1091" s="1" t="n">
        <v>45361</v>
      </c>
      <c r="D1091" t="inlineStr">
        <is>
          <t>JÄMTLANDS LÄN</t>
        </is>
      </c>
      <c r="E1091" t="inlineStr">
        <is>
          <t>BRÄCKE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14262-2023</t>
        </is>
      </c>
      <c r="B1092" s="1" t="n">
        <v>45009</v>
      </c>
      <c r="C1092" s="1" t="n">
        <v>45361</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14266-2023</t>
        </is>
      </c>
      <c r="B1093" s="1" t="n">
        <v>45010</v>
      </c>
      <c r="C1093" s="1" t="n">
        <v>45361</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14274-2023</t>
        </is>
      </c>
      <c r="B1094" s="1" t="n">
        <v>45009</v>
      </c>
      <c r="C1094" s="1" t="n">
        <v>45361</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14275-2023</t>
        </is>
      </c>
      <c r="B1095" s="1" t="n">
        <v>45009</v>
      </c>
      <c r="C1095" s="1" t="n">
        <v>45361</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14276-2023</t>
        </is>
      </c>
      <c r="B1096" s="1" t="n">
        <v>45010</v>
      </c>
      <c r="C1096" s="1" t="n">
        <v>45361</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14278-2023</t>
        </is>
      </c>
      <c r="B1097" s="1" t="n">
        <v>45009</v>
      </c>
      <c r="C1097" s="1" t="n">
        <v>45361</v>
      </c>
      <c r="D1097" t="inlineStr">
        <is>
          <t>JÄMTLANDS LÄN</t>
        </is>
      </c>
      <c r="E1097" t="inlineStr">
        <is>
          <t>BRÄCKE</t>
        </is>
      </c>
      <c r="F1097" t="inlineStr">
        <is>
          <t>SCA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14530-2023</t>
        </is>
      </c>
      <c r="B1098" s="1" t="n">
        <v>45013</v>
      </c>
      <c r="C1098" s="1" t="n">
        <v>45361</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14642-2023</t>
        </is>
      </c>
      <c r="B1099" s="1" t="n">
        <v>45012</v>
      </c>
      <c r="C1099" s="1" t="n">
        <v>45361</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14693-2023</t>
        </is>
      </c>
      <c r="B1100" s="1" t="n">
        <v>45012</v>
      </c>
      <c r="C1100" s="1" t="n">
        <v>45361</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14798-2023</t>
        </is>
      </c>
      <c r="B1101" s="1" t="n">
        <v>45014</v>
      </c>
      <c r="C1101" s="1" t="n">
        <v>45361</v>
      </c>
      <c r="D1101" t="inlineStr">
        <is>
          <t>JÄMTLANDS LÄN</t>
        </is>
      </c>
      <c r="E1101" t="inlineStr">
        <is>
          <t>BRÄCKE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15366-2023</t>
        </is>
      </c>
      <c r="B1102" s="1" t="n">
        <v>45019</v>
      </c>
      <c r="C1102" s="1" t="n">
        <v>45361</v>
      </c>
      <c r="D1102" t="inlineStr">
        <is>
          <t>JÄMTLANDS LÄN</t>
        </is>
      </c>
      <c r="E1102" t="inlineStr">
        <is>
          <t>BRÄCKE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15824-2023</t>
        </is>
      </c>
      <c r="B1103" s="1" t="n">
        <v>45022</v>
      </c>
      <c r="C1103" s="1" t="n">
        <v>45361</v>
      </c>
      <c r="D1103" t="inlineStr">
        <is>
          <t>JÄMTLANDS LÄN</t>
        </is>
      </c>
      <c r="E1103" t="inlineStr">
        <is>
          <t>BRÄCKE</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15813-2023</t>
        </is>
      </c>
      <c r="B1104" s="1" t="n">
        <v>45021</v>
      </c>
      <c r="C1104" s="1" t="n">
        <v>45361</v>
      </c>
      <c r="D1104" t="inlineStr">
        <is>
          <t>JÄMTLANDS LÄN</t>
        </is>
      </c>
      <c r="E1104" t="inlineStr">
        <is>
          <t>BRÄCKE</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16180-2023</t>
        </is>
      </c>
      <c r="B1105" s="1" t="n">
        <v>45027</v>
      </c>
      <c r="C1105" s="1" t="n">
        <v>45361</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16232-2023</t>
        </is>
      </c>
      <c r="B1106" s="1" t="n">
        <v>45028</v>
      </c>
      <c r="C1106" s="1" t="n">
        <v>45361</v>
      </c>
      <c r="D1106" t="inlineStr">
        <is>
          <t>JÄMTLANDS LÄN</t>
        </is>
      </c>
      <c r="E1106" t="inlineStr">
        <is>
          <t>BRÄCKE</t>
        </is>
      </c>
      <c r="G1106" t="n">
        <v>16.2</v>
      </c>
      <c r="H1106" t="n">
        <v>0</v>
      </c>
      <c r="I1106" t="n">
        <v>0</v>
      </c>
      <c r="J1106" t="n">
        <v>0</v>
      </c>
      <c r="K1106" t="n">
        <v>0</v>
      </c>
      <c r="L1106" t="n">
        <v>0</v>
      </c>
      <c r="M1106" t="n">
        <v>0</v>
      </c>
      <c r="N1106" t="n">
        <v>0</v>
      </c>
      <c r="O1106" t="n">
        <v>0</v>
      </c>
      <c r="P1106" t="n">
        <v>0</v>
      </c>
      <c r="Q1106" t="n">
        <v>0</v>
      </c>
      <c r="R1106" s="2" t="inlineStr"/>
    </row>
    <row r="1107" ht="15" customHeight="1">
      <c r="A1107" t="inlineStr">
        <is>
          <t>A 16372-2023</t>
        </is>
      </c>
      <c r="B1107" s="1" t="n">
        <v>45029</v>
      </c>
      <c r="C1107" s="1" t="n">
        <v>45361</v>
      </c>
      <c r="D1107" t="inlineStr">
        <is>
          <t>JÄMTLANDS LÄN</t>
        </is>
      </c>
      <c r="E1107" t="inlineStr">
        <is>
          <t>BRÄCKE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16649-2023</t>
        </is>
      </c>
      <c r="B1108" s="1" t="n">
        <v>45028</v>
      </c>
      <c r="C1108" s="1" t="n">
        <v>45361</v>
      </c>
      <c r="D1108" t="inlineStr">
        <is>
          <t>JÄMTLANDS LÄN</t>
        </is>
      </c>
      <c r="E1108" t="inlineStr">
        <is>
          <t>BRÄCKE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16371-2023</t>
        </is>
      </c>
      <c r="B1109" s="1" t="n">
        <v>45029</v>
      </c>
      <c r="C1109" s="1" t="n">
        <v>45361</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16573-2023</t>
        </is>
      </c>
      <c r="B1110" s="1" t="n">
        <v>45030</v>
      </c>
      <c r="C1110" s="1" t="n">
        <v>45361</v>
      </c>
      <c r="D1110" t="inlineStr">
        <is>
          <t>JÄMTLANDS LÄN</t>
        </is>
      </c>
      <c r="E1110" t="inlineStr">
        <is>
          <t>BRÄCKE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16574-2023</t>
        </is>
      </c>
      <c r="B1111" s="1" t="n">
        <v>45029</v>
      </c>
      <c r="C1111" s="1" t="n">
        <v>45361</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16751-2023</t>
        </is>
      </c>
      <c r="B1112" s="1" t="n">
        <v>45030</v>
      </c>
      <c r="C1112" s="1" t="n">
        <v>45361</v>
      </c>
      <c r="D1112" t="inlineStr">
        <is>
          <t>JÄMTLANDS LÄN</t>
        </is>
      </c>
      <c r="E1112" t="inlineStr">
        <is>
          <t>BRÄCKE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16752-2023</t>
        </is>
      </c>
      <c r="B1113" s="1" t="n">
        <v>45030</v>
      </c>
      <c r="C1113" s="1" t="n">
        <v>45361</v>
      </c>
      <c r="D1113" t="inlineStr">
        <is>
          <t>JÄMTLANDS LÄN</t>
        </is>
      </c>
      <c r="E1113" t="inlineStr">
        <is>
          <t>BRÄCKE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16982-2023</t>
        </is>
      </c>
      <c r="B1114" s="1" t="n">
        <v>45033</v>
      </c>
      <c r="C1114" s="1" t="n">
        <v>45361</v>
      </c>
      <c r="D1114" t="inlineStr">
        <is>
          <t>JÄMTLANDS LÄN</t>
        </is>
      </c>
      <c r="E1114" t="inlineStr">
        <is>
          <t>BRÄCKE</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17209-2023</t>
        </is>
      </c>
      <c r="B1115" s="1" t="n">
        <v>45034</v>
      </c>
      <c r="C1115" s="1" t="n">
        <v>45361</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17223-2023</t>
        </is>
      </c>
      <c r="B1116" s="1" t="n">
        <v>45034</v>
      </c>
      <c r="C1116" s="1" t="n">
        <v>45361</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17568-2023</t>
        </is>
      </c>
      <c r="B1117" s="1" t="n">
        <v>45036</v>
      </c>
      <c r="C1117" s="1" t="n">
        <v>45361</v>
      </c>
      <c r="D1117" t="inlineStr">
        <is>
          <t>JÄMTLANDS LÄN</t>
        </is>
      </c>
      <c r="E1117" t="inlineStr">
        <is>
          <t>BRÄCKE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17665-2023</t>
        </is>
      </c>
      <c r="B1118" s="1" t="n">
        <v>45036</v>
      </c>
      <c r="C1118" s="1" t="n">
        <v>45361</v>
      </c>
      <c r="D1118" t="inlineStr">
        <is>
          <t>JÄMTLANDS LÄN</t>
        </is>
      </c>
      <c r="E1118" t="inlineStr">
        <is>
          <t>BRÄCKE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17857-2023</t>
        </is>
      </c>
      <c r="B1119" s="1" t="n">
        <v>45037</v>
      </c>
      <c r="C1119" s="1" t="n">
        <v>45361</v>
      </c>
      <c r="D1119" t="inlineStr">
        <is>
          <t>JÄMTLANDS LÄN</t>
        </is>
      </c>
      <c r="E1119" t="inlineStr">
        <is>
          <t>BRÄCKE</t>
        </is>
      </c>
      <c r="F1119" t="inlineStr">
        <is>
          <t>SCA</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17888-2023</t>
        </is>
      </c>
      <c r="B1120" s="1" t="n">
        <v>45037</v>
      </c>
      <c r="C1120" s="1" t="n">
        <v>45361</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18152-2023</t>
        </is>
      </c>
      <c r="B1121" s="1" t="n">
        <v>45040</v>
      </c>
      <c r="C1121" s="1" t="n">
        <v>45361</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18150-2023</t>
        </is>
      </c>
      <c r="B1122" s="1" t="n">
        <v>45041</v>
      </c>
      <c r="C1122" s="1" t="n">
        <v>45361</v>
      </c>
      <c r="D1122" t="inlineStr">
        <is>
          <t>JÄMTLANDS LÄN</t>
        </is>
      </c>
      <c r="E1122" t="inlineStr">
        <is>
          <t>BRÄCKE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18164-2023</t>
        </is>
      </c>
      <c r="B1123" s="1" t="n">
        <v>45041</v>
      </c>
      <c r="C1123" s="1" t="n">
        <v>45361</v>
      </c>
      <c r="D1123" t="inlineStr">
        <is>
          <t>JÄMTLANDS LÄN</t>
        </is>
      </c>
      <c r="E1123" t="inlineStr">
        <is>
          <t>BRÄCKE</t>
        </is>
      </c>
      <c r="F1123" t="inlineStr">
        <is>
          <t>SCA</t>
        </is>
      </c>
      <c r="G1123" t="n">
        <v>31.4</v>
      </c>
      <c r="H1123" t="n">
        <v>0</v>
      </c>
      <c r="I1123" t="n">
        <v>0</v>
      </c>
      <c r="J1123" t="n">
        <v>0</v>
      </c>
      <c r="K1123" t="n">
        <v>0</v>
      </c>
      <c r="L1123" t="n">
        <v>0</v>
      </c>
      <c r="M1123" t="n">
        <v>0</v>
      </c>
      <c r="N1123" t="n">
        <v>0</v>
      </c>
      <c r="O1123" t="n">
        <v>0</v>
      </c>
      <c r="P1123" t="n">
        <v>0</v>
      </c>
      <c r="Q1123" t="n">
        <v>0</v>
      </c>
      <c r="R1123" s="2" t="inlineStr"/>
    </row>
    <row r="1124" ht="15" customHeight="1">
      <c r="A1124" t="inlineStr">
        <is>
          <t>A 18229-2023</t>
        </is>
      </c>
      <c r="B1124" s="1" t="n">
        <v>45040</v>
      </c>
      <c r="C1124" s="1" t="n">
        <v>45361</v>
      </c>
      <c r="D1124" t="inlineStr">
        <is>
          <t>JÄMTLANDS LÄN</t>
        </is>
      </c>
      <c r="E1124" t="inlineStr">
        <is>
          <t>BRÄCKE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18151-2023</t>
        </is>
      </c>
      <c r="B1125" s="1" t="n">
        <v>45040</v>
      </c>
      <c r="C1125" s="1" t="n">
        <v>45361</v>
      </c>
      <c r="D1125" t="inlineStr">
        <is>
          <t>JÄMTLANDS LÄN</t>
        </is>
      </c>
      <c r="E1125" t="inlineStr">
        <is>
          <t>BRÄCKE</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18236-2023</t>
        </is>
      </c>
      <c r="B1126" s="1" t="n">
        <v>45040</v>
      </c>
      <c r="C1126" s="1" t="n">
        <v>45361</v>
      </c>
      <c r="D1126" t="inlineStr">
        <is>
          <t>JÄMTLANDS LÄN</t>
        </is>
      </c>
      <c r="E1126" t="inlineStr">
        <is>
          <t>BRÄCKE</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18206-2023</t>
        </is>
      </c>
      <c r="B1127" s="1" t="n">
        <v>45041</v>
      </c>
      <c r="C1127" s="1" t="n">
        <v>45361</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18559-2023</t>
        </is>
      </c>
      <c r="B1128" s="1" t="n">
        <v>45043</v>
      </c>
      <c r="C1128" s="1" t="n">
        <v>45361</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18552-2023</t>
        </is>
      </c>
      <c r="B1129" s="1" t="n">
        <v>45043</v>
      </c>
      <c r="C1129" s="1" t="n">
        <v>45361</v>
      </c>
      <c r="D1129" t="inlineStr">
        <is>
          <t>JÄMTLANDS LÄN</t>
        </is>
      </c>
      <c r="E1129" t="inlineStr">
        <is>
          <t>BRÄCKE</t>
        </is>
      </c>
      <c r="F1129" t="inlineStr">
        <is>
          <t>SCA</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18698-2023</t>
        </is>
      </c>
      <c r="B1130" s="1" t="n">
        <v>45042</v>
      </c>
      <c r="C1130" s="1" t="n">
        <v>45361</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18555-2023</t>
        </is>
      </c>
      <c r="B1131" s="1" t="n">
        <v>45042</v>
      </c>
      <c r="C1131" s="1" t="n">
        <v>45361</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18674-2023</t>
        </is>
      </c>
      <c r="B1132" s="1" t="n">
        <v>45043</v>
      </c>
      <c r="C1132" s="1" t="n">
        <v>45361</v>
      </c>
      <c r="D1132" t="inlineStr">
        <is>
          <t>JÄMTLANDS LÄN</t>
        </is>
      </c>
      <c r="E1132" t="inlineStr">
        <is>
          <t>BRÄCKE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19237-2023</t>
        </is>
      </c>
      <c r="B1133" s="1" t="n">
        <v>45049</v>
      </c>
      <c r="C1133" s="1" t="n">
        <v>45361</v>
      </c>
      <c r="D1133" t="inlineStr">
        <is>
          <t>JÄMTLANDS LÄN</t>
        </is>
      </c>
      <c r="E1133" t="inlineStr">
        <is>
          <t>BRÄCKE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19436-2023</t>
        </is>
      </c>
      <c r="B1134" s="1" t="n">
        <v>45050</v>
      </c>
      <c r="C1134" s="1" t="n">
        <v>45361</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19465-2023</t>
        </is>
      </c>
      <c r="B1135" s="1" t="n">
        <v>45049</v>
      </c>
      <c r="C1135" s="1" t="n">
        <v>45361</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19486-2023</t>
        </is>
      </c>
      <c r="B1136" s="1" t="n">
        <v>45049</v>
      </c>
      <c r="C1136" s="1" t="n">
        <v>45361</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19485-2023</t>
        </is>
      </c>
      <c r="B1137" s="1" t="n">
        <v>45049</v>
      </c>
      <c r="C1137" s="1" t="n">
        <v>45361</v>
      </c>
      <c r="D1137" t="inlineStr">
        <is>
          <t>JÄMTLANDS LÄN</t>
        </is>
      </c>
      <c r="E1137" t="inlineStr">
        <is>
          <t>BRÄCKE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19496-2023</t>
        </is>
      </c>
      <c r="B1138" s="1" t="n">
        <v>45049</v>
      </c>
      <c r="C1138" s="1" t="n">
        <v>45361</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19533-2023</t>
        </is>
      </c>
      <c r="B1139" s="1" t="n">
        <v>45050</v>
      </c>
      <c r="C1139" s="1" t="n">
        <v>45361</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19461-2023</t>
        </is>
      </c>
      <c r="B1140" s="1" t="n">
        <v>45050</v>
      </c>
      <c r="C1140" s="1" t="n">
        <v>45361</v>
      </c>
      <c r="D1140" t="inlineStr">
        <is>
          <t>JÄMTLANDS LÄN</t>
        </is>
      </c>
      <c r="E1140" t="inlineStr">
        <is>
          <t>BRÄCKE</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19819-2023</t>
        </is>
      </c>
      <c r="B1141" s="1" t="n">
        <v>45052</v>
      </c>
      <c r="C1141" s="1" t="n">
        <v>45361</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19823-2023</t>
        </is>
      </c>
      <c r="B1142" s="1" t="n">
        <v>45052</v>
      </c>
      <c r="C1142" s="1" t="n">
        <v>45361</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19820-2023</t>
        </is>
      </c>
      <c r="B1143" s="1" t="n">
        <v>45051</v>
      </c>
      <c r="C1143" s="1" t="n">
        <v>45361</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19824-2023</t>
        </is>
      </c>
      <c r="B1144" s="1" t="n">
        <v>45051</v>
      </c>
      <c r="C1144" s="1" t="n">
        <v>45361</v>
      </c>
      <c r="D1144" t="inlineStr">
        <is>
          <t>JÄMTLANDS LÄN</t>
        </is>
      </c>
      <c r="E1144" t="inlineStr">
        <is>
          <t>BRÄCKE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19822-2023</t>
        </is>
      </c>
      <c r="B1145" s="1" t="n">
        <v>45052</v>
      </c>
      <c r="C1145" s="1" t="n">
        <v>45361</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19821-2023</t>
        </is>
      </c>
      <c r="B1146" s="1" t="n">
        <v>45051</v>
      </c>
      <c r="C1146" s="1" t="n">
        <v>45361</v>
      </c>
      <c r="D1146" t="inlineStr">
        <is>
          <t>JÄMTLANDS LÄN</t>
        </is>
      </c>
      <c r="E1146" t="inlineStr">
        <is>
          <t>BRÄCKE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19941-2023</t>
        </is>
      </c>
      <c r="B1147" s="1" t="n">
        <v>45051</v>
      </c>
      <c r="C1147" s="1" t="n">
        <v>45361</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20095-2023</t>
        </is>
      </c>
      <c r="B1148" s="1" t="n">
        <v>45055</v>
      </c>
      <c r="C1148" s="1" t="n">
        <v>45361</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20100-2023</t>
        </is>
      </c>
      <c r="B1149" s="1" t="n">
        <v>45055</v>
      </c>
      <c r="C1149" s="1" t="n">
        <v>45361</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20101-2023</t>
        </is>
      </c>
      <c r="B1150" s="1" t="n">
        <v>45055</v>
      </c>
      <c r="C1150" s="1" t="n">
        <v>45361</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20093-2023</t>
        </is>
      </c>
      <c r="B1151" s="1" t="n">
        <v>45055</v>
      </c>
      <c r="C1151" s="1" t="n">
        <v>45361</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20265-2023</t>
        </is>
      </c>
      <c r="B1152" s="1" t="n">
        <v>45056</v>
      </c>
      <c r="C1152" s="1" t="n">
        <v>45361</v>
      </c>
      <c r="D1152" t="inlineStr">
        <is>
          <t>JÄMTLANDS LÄN</t>
        </is>
      </c>
      <c r="E1152" t="inlineStr">
        <is>
          <t>BRÄCKE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20270-2023</t>
        </is>
      </c>
      <c r="B1153" s="1" t="n">
        <v>45056</v>
      </c>
      <c r="C1153" s="1" t="n">
        <v>45361</v>
      </c>
      <c r="D1153" t="inlineStr">
        <is>
          <t>JÄMTLANDS LÄN</t>
        </is>
      </c>
      <c r="E1153" t="inlineStr">
        <is>
          <t>BRÄCKE</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20276-2023</t>
        </is>
      </c>
      <c r="B1154" s="1" t="n">
        <v>45056</v>
      </c>
      <c r="C1154" s="1" t="n">
        <v>45361</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20603-2023</t>
        </is>
      </c>
      <c r="B1155" s="1" t="n">
        <v>45057</v>
      </c>
      <c r="C1155" s="1" t="n">
        <v>45361</v>
      </c>
      <c r="D1155" t="inlineStr">
        <is>
          <t>JÄMTLANDS LÄN</t>
        </is>
      </c>
      <c r="E1155" t="inlineStr">
        <is>
          <t>BRÄCKE</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20612-2023</t>
        </is>
      </c>
      <c r="B1156" s="1" t="n">
        <v>45057</v>
      </c>
      <c r="C1156" s="1" t="n">
        <v>45361</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20616-2023</t>
        </is>
      </c>
      <c r="B1157" s="1" t="n">
        <v>45057</v>
      </c>
      <c r="C1157" s="1" t="n">
        <v>45361</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20602-2023</t>
        </is>
      </c>
      <c r="B1158" s="1" t="n">
        <v>45058</v>
      </c>
      <c r="C1158" s="1" t="n">
        <v>45361</v>
      </c>
      <c r="D1158" t="inlineStr">
        <is>
          <t>JÄMTLANDS LÄN</t>
        </is>
      </c>
      <c r="E1158" t="inlineStr">
        <is>
          <t>BRÄCKE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20615-2023</t>
        </is>
      </c>
      <c r="B1159" s="1" t="n">
        <v>45058</v>
      </c>
      <c r="C1159" s="1" t="n">
        <v>45361</v>
      </c>
      <c r="D1159" t="inlineStr">
        <is>
          <t>JÄMTLANDS LÄN</t>
        </is>
      </c>
      <c r="E1159" t="inlineStr">
        <is>
          <t>BRÄCKE</t>
        </is>
      </c>
      <c r="F1159" t="inlineStr">
        <is>
          <t>SCA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20625-2023</t>
        </is>
      </c>
      <c r="B1160" s="1" t="n">
        <v>45058</v>
      </c>
      <c r="C1160" s="1" t="n">
        <v>45361</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20630-2023</t>
        </is>
      </c>
      <c r="B1161" s="1" t="n">
        <v>45057</v>
      </c>
      <c r="C1161" s="1" t="n">
        <v>45361</v>
      </c>
      <c r="D1161" t="inlineStr">
        <is>
          <t>JÄMTLANDS LÄN</t>
        </is>
      </c>
      <c r="E1161" t="inlineStr">
        <is>
          <t>BRÄCKE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20605-2023</t>
        </is>
      </c>
      <c r="B1162" s="1" t="n">
        <v>45057</v>
      </c>
      <c r="C1162" s="1" t="n">
        <v>45361</v>
      </c>
      <c r="D1162" t="inlineStr">
        <is>
          <t>JÄMTLANDS LÄN</t>
        </is>
      </c>
      <c r="E1162" t="inlineStr">
        <is>
          <t>BRÄCKE</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20614-2023</t>
        </is>
      </c>
      <c r="B1163" s="1" t="n">
        <v>45057</v>
      </c>
      <c r="C1163" s="1" t="n">
        <v>45361</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20624-2023</t>
        </is>
      </c>
      <c r="B1164" s="1" t="n">
        <v>45058</v>
      </c>
      <c r="C1164" s="1" t="n">
        <v>45361</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20613-2023</t>
        </is>
      </c>
      <c r="B1165" s="1" t="n">
        <v>45057</v>
      </c>
      <c r="C1165" s="1" t="n">
        <v>45361</v>
      </c>
      <c r="D1165" t="inlineStr">
        <is>
          <t>JÄMTLANDS LÄN</t>
        </is>
      </c>
      <c r="E1165" t="inlineStr">
        <is>
          <t>BRÄCKE</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20617-2023</t>
        </is>
      </c>
      <c r="B1166" s="1" t="n">
        <v>45057</v>
      </c>
      <c r="C1166" s="1" t="n">
        <v>45361</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20864-2023</t>
        </is>
      </c>
      <c r="B1167" s="1" t="n">
        <v>45058</v>
      </c>
      <c r="C1167" s="1" t="n">
        <v>45361</v>
      </c>
      <c r="D1167" t="inlineStr">
        <is>
          <t>JÄMTLANDS LÄN</t>
        </is>
      </c>
      <c r="E1167" t="inlineStr">
        <is>
          <t>BRÄCKE</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20866-2023</t>
        </is>
      </c>
      <c r="B1168" s="1" t="n">
        <v>45058</v>
      </c>
      <c r="C1168" s="1" t="n">
        <v>45361</v>
      </c>
      <c r="D1168" t="inlineStr">
        <is>
          <t>JÄMTLANDS LÄN</t>
        </is>
      </c>
      <c r="E1168" t="inlineStr">
        <is>
          <t>BRÄCKE</t>
        </is>
      </c>
      <c r="F1168" t="inlineStr">
        <is>
          <t>SCA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20863-2023</t>
        </is>
      </c>
      <c r="B1169" s="1" t="n">
        <v>45058</v>
      </c>
      <c r="C1169" s="1" t="n">
        <v>45361</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20867-2023</t>
        </is>
      </c>
      <c r="B1170" s="1" t="n">
        <v>45058</v>
      </c>
      <c r="C1170" s="1" t="n">
        <v>45361</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20865-2023</t>
        </is>
      </c>
      <c r="B1171" s="1" t="n">
        <v>45059</v>
      </c>
      <c r="C1171" s="1" t="n">
        <v>45361</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20869-2023</t>
        </is>
      </c>
      <c r="B1172" s="1" t="n">
        <v>45058</v>
      </c>
      <c r="C1172" s="1" t="n">
        <v>45361</v>
      </c>
      <c r="D1172" t="inlineStr">
        <is>
          <t>JÄMTLANDS LÄN</t>
        </is>
      </c>
      <c r="E1172" t="inlineStr">
        <is>
          <t>BRÄCKE</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20870-2023</t>
        </is>
      </c>
      <c r="B1173" s="1" t="n">
        <v>45059</v>
      </c>
      <c r="C1173" s="1" t="n">
        <v>45361</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20868-2023</t>
        </is>
      </c>
      <c r="B1174" s="1" t="n">
        <v>45059</v>
      </c>
      <c r="C1174" s="1" t="n">
        <v>45361</v>
      </c>
      <c r="D1174" t="inlineStr">
        <is>
          <t>JÄMTLANDS LÄN</t>
        </is>
      </c>
      <c r="E1174" t="inlineStr">
        <is>
          <t>BRÄCKE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45059</v>
      </c>
      <c r="C1175" s="1" t="n">
        <v>45361</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21183-2023</t>
        </is>
      </c>
      <c r="B1176" s="1" t="n">
        <v>45058</v>
      </c>
      <c r="C1176" s="1" t="n">
        <v>45361</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21243-2023</t>
        </is>
      </c>
      <c r="B1177" s="1" t="n">
        <v>45058</v>
      </c>
      <c r="C1177" s="1" t="n">
        <v>45361</v>
      </c>
      <c r="D1177" t="inlineStr">
        <is>
          <t>JÄMTLANDS LÄN</t>
        </is>
      </c>
      <c r="E1177" t="inlineStr">
        <is>
          <t>BRÄCKE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21114-2023</t>
        </is>
      </c>
      <c r="B1178" s="1" t="n">
        <v>45062</v>
      </c>
      <c r="C1178" s="1" t="n">
        <v>45361</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21118-2023</t>
        </is>
      </c>
      <c r="B1179" s="1" t="n">
        <v>45062</v>
      </c>
      <c r="C1179" s="1" t="n">
        <v>45361</v>
      </c>
      <c r="D1179" t="inlineStr">
        <is>
          <t>JÄMTLANDS LÄN</t>
        </is>
      </c>
      <c r="E1179" t="inlineStr">
        <is>
          <t>BRÄCKE</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21116-2023</t>
        </is>
      </c>
      <c r="B1180" s="1" t="n">
        <v>45062</v>
      </c>
      <c r="C1180" s="1" t="n">
        <v>45361</v>
      </c>
      <c r="D1180" t="inlineStr">
        <is>
          <t>JÄMTLANDS LÄN</t>
        </is>
      </c>
      <c r="E1180" t="inlineStr">
        <is>
          <t>BRÄCKE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21113-2023</t>
        </is>
      </c>
      <c r="B1181" s="1" t="n">
        <v>45062</v>
      </c>
      <c r="C1181" s="1" t="n">
        <v>45361</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21117-2023</t>
        </is>
      </c>
      <c r="B1182" s="1" t="n">
        <v>45061</v>
      </c>
      <c r="C1182" s="1" t="n">
        <v>45361</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21308-2023</t>
        </is>
      </c>
      <c r="B1183" s="1" t="n">
        <v>45062</v>
      </c>
      <c r="C1183" s="1" t="n">
        <v>45361</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21350-2023</t>
        </is>
      </c>
      <c r="B1184" s="1" t="n">
        <v>45063</v>
      </c>
      <c r="C1184" s="1" t="n">
        <v>45361</v>
      </c>
      <c r="D1184" t="inlineStr">
        <is>
          <t>JÄMTLANDS LÄN</t>
        </is>
      </c>
      <c r="E1184" t="inlineStr">
        <is>
          <t>BRÄCKE</t>
        </is>
      </c>
      <c r="F1184" t="inlineStr">
        <is>
          <t>Naturvårdsverket</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21359-2023</t>
        </is>
      </c>
      <c r="B1185" s="1" t="n">
        <v>45062</v>
      </c>
      <c r="C1185" s="1" t="n">
        <v>45361</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21360-2023</t>
        </is>
      </c>
      <c r="B1186" s="1" t="n">
        <v>45062</v>
      </c>
      <c r="C1186" s="1" t="n">
        <v>45361</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21673-2023</t>
        </is>
      </c>
      <c r="B1187" s="1" t="n">
        <v>45064</v>
      </c>
      <c r="C1187" s="1" t="n">
        <v>45361</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21780-2023</t>
        </is>
      </c>
      <c r="B1188" s="1" t="n">
        <v>45066</v>
      </c>
      <c r="C1188" s="1" t="n">
        <v>45361</v>
      </c>
      <c r="D1188" t="inlineStr">
        <is>
          <t>JÄMTLANDS LÄN</t>
        </is>
      </c>
      <c r="E1188" t="inlineStr">
        <is>
          <t>BRÄCKE</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21781-2023</t>
        </is>
      </c>
      <c r="B1189" s="1" t="n">
        <v>45065</v>
      </c>
      <c r="C1189" s="1" t="n">
        <v>45361</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21779-2023</t>
        </is>
      </c>
      <c r="B1190" s="1" t="n">
        <v>45065</v>
      </c>
      <c r="C1190" s="1" t="n">
        <v>45361</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21782-2023</t>
        </is>
      </c>
      <c r="B1191" s="1" t="n">
        <v>45066</v>
      </c>
      <c r="C1191" s="1" t="n">
        <v>45361</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22012-2023</t>
        </is>
      </c>
      <c r="B1192" s="1" t="n">
        <v>45069</v>
      </c>
      <c r="C1192" s="1" t="n">
        <v>45361</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22010-2023</t>
        </is>
      </c>
      <c r="B1193" s="1" t="n">
        <v>45068</v>
      </c>
      <c r="C1193" s="1" t="n">
        <v>45361</v>
      </c>
      <c r="D1193" t="inlineStr">
        <is>
          <t>JÄMTLANDS LÄN</t>
        </is>
      </c>
      <c r="E1193" t="inlineStr">
        <is>
          <t>BRÄCKE</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22231-2023</t>
        </is>
      </c>
      <c r="B1194" s="1" t="n">
        <v>45069</v>
      </c>
      <c r="C1194" s="1" t="n">
        <v>45361</v>
      </c>
      <c r="D1194" t="inlineStr">
        <is>
          <t>JÄMTLANDS LÄN</t>
        </is>
      </c>
      <c r="E1194" t="inlineStr">
        <is>
          <t>BRÄCKE</t>
        </is>
      </c>
      <c r="F1194" t="inlineStr">
        <is>
          <t>SCA</t>
        </is>
      </c>
      <c r="G1194" t="n">
        <v>30.6</v>
      </c>
      <c r="H1194" t="n">
        <v>0</v>
      </c>
      <c r="I1194" t="n">
        <v>0</v>
      </c>
      <c r="J1194" t="n">
        <v>0</v>
      </c>
      <c r="K1194" t="n">
        <v>0</v>
      </c>
      <c r="L1194" t="n">
        <v>0</v>
      </c>
      <c r="M1194" t="n">
        <v>0</v>
      </c>
      <c r="N1194" t="n">
        <v>0</v>
      </c>
      <c r="O1194" t="n">
        <v>0</v>
      </c>
      <c r="P1194" t="n">
        <v>0</v>
      </c>
      <c r="Q1194" t="n">
        <v>0</v>
      </c>
      <c r="R1194" s="2" t="inlineStr"/>
    </row>
    <row r="1195" ht="15" customHeight="1">
      <c r="A1195" t="inlineStr">
        <is>
          <t>A 22232-2023</t>
        </is>
      </c>
      <c r="B1195" s="1" t="n">
        <v>45069</v>
      </c>
      <c r="C1195" s="1" t="n">
        <v>45361</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22471-2023</t>
        </is>
      </c>
      <c r="B1196" s="1" t="n">
        <v>45070</v>
      </c>
      <c r="C1196" s="1" t="n">
        <v>45361</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22748-2023</t>
        </is>
      </c>
      <c r="B1197" s="1" t="n">
        <v>45071</v>
      </c>
      <c r="C1197" s="1" t="n">
        <v>45361</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22986-2023</t>
        </is>
      </c>
      <c r="B1198" s="1" t="n">
        <v>45073</v>
      </c>
      <c r="C1198" s="1" t="n">
        <v>45361</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22983-2023</t>
        </is>
      </c>
      <c r="B1199" s="1" t="n">
        <v>45073</v>
      </c>
      <c r="C1199" s="1" t="n">
        <v>45361</v>
      </c>
      <c r="D1199" t="inlineStr">
        <is>
          <t>JÄMTLANDS LÄN</t>
        </is>
      </c>
      <c r="E1199" t="inlineStr">
        <is>
          <t>BRÄCKE</t>
        </is>
      </c>
      <c r="F1199" t="inlineStr">
        <is>
          <t>SCA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22988-2023</t>
        </is>
      </c>
      <c r="B1200" s="1" t="n">
        <v>45072</v>
      </c>
      <c r="C1200" s="1" t="n">
        <v>45361</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23000-2023</t>
        </is>
      </c>
      <c r="B1201" s="1" t="n">
        <v>45073</v>
      </c>
      <c r="C1201" s="1" t="n">
        <v>45361</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22985-2023</t>
        </is>
      </c>
      <c r="B1202" s="1" t="n">
        <v>45072</v>
      </c>
      <c r="C1202" s="1" t="n">
        <v>45361</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23312-2023</t>
        </is>
      </c>
      <c r="B1203" s="1" t="n">
        <v>45076</v>
      </c>
      <c r="C1203" s="1" t="n">
        <v>45361</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23301-2023</t>
        </is>
      </c>
      <c r="B1204" s="1" t="n">
        <v>45075</v>
      </c>
      <c r="C1204" s="1" t="n">
        <v>45361</v>
      </c>
      <c r="D1204" t="inlineStr">
        <is>
          <t>JÄMTLANDS LÄN</t>
        </is>
      </c>
      <c r="E1204" t="inlineStr">
        <is>
          <t>BRÄCKE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23313-2023</t>
        </is>
      </c>
      <c r="B1205" s="1" t="n">
        <v>45076</v>
      </c>
      <c r="C1205" s="1" t="n">
        <v>45361</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23306-2023</t>
        </is>
      </c>
      <c r="B1206" s="1" t="n">
        <v>45075</v>
      </c>
      <c r="C1206" s="1" t="n">
        <v>45361</v>
      </c>
      <c r="D1206" t="inlineStr">
        <is>
          <t>JÄMTLANDS LÄN</t>
        </is>
      </c>
      <c r="E1206" t="inlineStr">
        <is>
          <t>BRÄCKE</t>
        </is>
      </c>
      <c r="F1206" t="inlineStr">
        <is>
          <t>SCA</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23517-2023</t>
        </is>
      </c>
      <c r="B1207" s="1" t="n">
        <v>45077</v>
      </c>
      <c r="C1207" s="1" t="n">
        <v>45361</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23526-2023</t>
        </is>
      </c>
      <c r="B1208" s="1" t="n">
        <v>45077</v>
      </c>
      <c r="C1208" s="1" t="n">
        <v>45361</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23752-2023</t>
        </is>
      </c>
      <c r="B1209" s="1" t="n">
        <v>45078</v>
      </c>
      <c r="C1209" s="1" t="n">
        <v>45361</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23756-2023</t>
        </is>
      </c>
      <c r="B1210" s="1" t="n">
        <v>45078</v>
      </c>
      <c r="C1210" s="1" t="n">
        <v>45361</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23764-2023</t>
        </is>
      </c>
      <c r="B1211" s="1" t="n">
        <v>45078</v>
      </c>
      <c r="C1211" s="1" t="n">
        <v>45361</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23773-2023</t>
        </is>
      </c>
      <c r="B1212" s="1" t="n">
        <v>45078</v>
      </c>
      <c r="C1212" s="1" t="n">
        <v>45361</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23766-2023</t>
        </is>
      </c>
      <c r="B1213" s="1" t="n">
        <v>45078</v>
      </c>
      <c r="C1213" s="1" t="n">
        <v>45361</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23778-2023</t>
        </is>
      </c>
      <c r="B1214" s="1" t="n">
        <v>45077</v>
      </c>
      <c r="C1214" s="1" t="n">
        <v>45361</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23754-2023</t>
        </is>
      </c>
      <c r="B1215" s="1" t="n">
        <v>45078</v>
      </c>
      <c r="C1215" s="1" t="n">
        <v>45361</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23767-2023</t>
        </is>
      </c>
      <c r="B1216" s="1" t="n">
        <v>45077</v>
      </c>
      <c r="C1216" s="1" t="n">
        <v>45361</v>
      </c>
      <c r="D1216" t="inlineStr">
        <is>
          <t>JÄMTLANDS LÄN</t>
        </is>
      </c>
      <c r="E1216" t="inlineStr">
        <is>
          <t>BRÄCKE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23771-2023</t>
        </is>
      </c>
      <c r="B1217" s="1" t="n">
        <v>45077</v>
      </c>
      <c r="C1217" s="1" t="n">
        <v>45361</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23755-2023</t>
        </is>
      </c>
      <c r="B1218" s="1" t="n">
        <v>45078</v>
      </c>
      <c r="C1218" s="1" t="n">
        <v>45361</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23763-2023</t>
        </is>
      </c>
      <c r="B1219" s="1" t="n">
        <v>45078</v>
      </c>
      <c r="C1219" s="1" t="n">
        <v>45361</v>
      </c>
      <c r="D1219" t="inlineStr">
        <is>
          <t>JÄMTLANDS LÄN</t>
        </is>
      </c>
      <c r="E1219" t="inlineStr">
        <is>
          <t>BRÄCKE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23772-2023</t>
        </is>
      </c>
      <c r="B1220" s="1" t="n">
        <v>45077</v>
      </c>
      <c r="C1220" s="1" t="n">
        <v>45361</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24043-2023</t>
        </is>
      </c>
      <c r="B1221" s="1" t="n">
        <v>45078</v>
      </c>
      <c r="C1221" s="1" t="n">
        <v>45361</v>
      </c>
      <c r="D1221" t="inlineStr">
        <is>
          <t>JÄMTLANDS LÄN</t>
        </is>
      </c>
      <c r="E1221" t="inlineStr">
        <is>
          <t>BRÄCKE</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24045-2023</t>
        </is>
      </c>
      <c r="B1222" s="1" t="n">
        <v>45078</v>
      </c>
      <c r="C1222" s="1" t="n">
        <v>45361</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24049-2023</t>
        </is>
      </c>
      <c r="B1223" s="1" t="n">
        <v>45079</v>
      </c>
      <c r="C1223" s="1" t="n">
        <v>45361</v>
      </c>
      <c r="D1223" t="inlineStr">
        <is>
          <t>JÄMTLANDS LÄN</t>
        </is>
      </c>
      <c r="E1223" t="inlineStr">
        <is>
          <t>BRÄCKE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24046-2023</t>
        </is>
      </c>
      <c r="B1224" s="1" t="n">
        <v>45078</v>
      </c>
      <c r="C1224" s="1" t="n">
        <v>45361</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24048-2023</t>
        </is>
      </c>
      <c r="B1225" s="1" t="n">
        <v>45079</v>
      </c>
      <c r="C1225" s="1" t="n">
        <v>45361</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24047-2023</t>
        </is>
      </c>
      <c r="B1226" s="1" t="n">
        <v>45079</v>
      </c>
      <c r="C1226" s="1" t="n">
        <v>45361</v>
      </c>
      <c r="D1226" t="inlineStr">
        <is>
          <t>JÄMTLANDS LÄN</t>
        </is>
      </c>
      <c r="E1226" t="inlineStr">
        <is>
          <t>BRÄCKE</t>
        </is>
      </c>
      <c r="G1226" t="n">
        <v>21.6</v>
      </c>
      <c r="H1226" t="n">
        <v>0</v>
      </c>
      <c r="I1226" t="n">
        <v>0</v>
      </c>
      <c r="J1226" t="n">
        <v>0</v>
      </c>
      <c r="K1226" t="n">
        <v>0</v>
      </c>
      <c r="L1226" t="n">
        <v>0</v>
      </c>
      <c r="M1226" t="n">
        <v>0</v>
      </c>
      <c r="N1226" t="n">
        <v>0</v>
      </c>
      <c r="O1226" t="n">
        <v>0</v>
      </c>
      <c r="P1226" t="n">
        <v>0</v>
      </c>
      <c r="Q1226" t="n">
        <v>0</v>
      </c>
      <c r="R1226" s="2" t="inlineStr"/>
    </row>
    <row r="1227" ht="15" customHeight="1">
      <c r="A1227" t="inlineStr">
        <is>
          <t>A 24195-2023</t>
        </is>
      </c>
      <c r="B1227" s="1" t="n">
        <v>45079</v>
      </c>
      <c r="C1227" s="1" t="n">
        <v>45361</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24214-2023</t>
        </is>
      </c>
      <c r="B1228" s="1" t="n">
        <v>45079</v>
      </c>
      <c r="C1228" s="1" t="n">
        <v>45361</v>
      </c>
      <c r="D1228" t="inlineStr">
        <is>
          <t>JÄMTLANDS LÄN</t>
        </is>
      </c>
      <c r="E1228" t="inlineStr">
        <is>
          <t>BRÄCKE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24206-2023</t>
        </is>
      </c>
      <c r="B1229" s="1" t="n">
        <v>45079</v>
      </c>
      <c r="C1229" s="1" t="n">
        <v>45361</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24182-2023</t>
        </is>
      </c>
      <c r="B1230" s="1" t="n">
        <v>45079</v>
      </c>
      <c r="C1230" s="1" t="n">
        <v>45361</v>
      </c>
      <c r="D1230" t="inlineStr">
        <is>
          <t>JÄMTLANDS LÄN</t>
        </is>
      </c>
      <c r="E1230" t="inlineStr">
        <is>
          <t>BRÄCKE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24550-2023</t>
        </is>
      </c>
      <c r="B1231" s="1" t="n">
        <v>45082</v>
      </c>
      <c r="C1231" s="1" t="n">
        <v>45361</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25043-2023</t>
        </is>
      </c>
      <c r="B1232" s="1" t="n">
        <v>45085</v>
      </c>
      <c r="C1232" s="1" t="n">
        <v>45361</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45086</v>
      </c>
      <c r="C1233" s="1" t="n">
        <v>45361</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25060-2023</t>
        </is>
      </c>
      <c r="B1234" s="1" t="n">
        <v>45086</v>
      </c>
      <c r="C1234" s="1" t="n">
        <v>45361</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25041-2023</t>
        </is>
      </c>
      <c r="B1235" s="1" t="n">
        <v>45085</v>
      </c>
      <c r="C1235" s="1" t="n">
        <v>45361</v>
      </c>
      <c r="D1235" t="inlineStr">
        <is>
          <t>JÄMTLANDS LÄN</t>
        </is>
      </c>
      <c r="E1235" t="inlineStr">
        <is>
          <t>BRÄCKE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25058-2023</t>
        </is>
      </c>
      <c r="B1236" s="1" t="n">
        <v>45086</v>
      </c>
      <c r="C1236" s="1" t="n">
        <v>45361</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25057-2023</t>
        </is>
      </c>
      <c r="B1237" s="1" t="n">
        <v>45086</v>
      </c>
      <c r="C1237" s="1" t="n">
        <v>45361</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25061-2023</t>
        </is>
      </c>
      <c r="B1238" s="1" t="n">
        <v>45085</v>
      </c>
      <c r="C1238" s="1" t="n">
        <v>45361</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25895-2023</t>
        </is>
      </c>
      <c r="B1239" s="1" t="n">
        <v>45085</v>
      </c>
      <c r="C1239" s="1" t="n">
        <v>45361</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25042-2023</t>
        </is>
      </c>
      <c r="B1240" s="1" t="n">
        <v>45086</v>
      </c>
      <c r="C1240" s="1" t="n">
        <v>45361</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25055-2023</t>
        </is>
      </c>
      <c r="B1241" s="1" t="n">
        <v>45086</v>
      </c>
      <c r="C1241" s="1" t="n">
        <v>45361</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25059-2023</t>
        </is>
      </c>
      <c r="B1242" s="1" t="n">
        <v>45086</v>
      </c>
      <c r="C1242" s="1" t="n">
        <v>45361</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25909-2023</t>
        </is>
      </c>
      <c r="B1243" s="1" t="n">
        <v>45085</v>
      </c>
      <c r="C1243" s="1" t="n">
        <v>45361</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25319-2023</t>
        </is>
      </c>
      <c r="B1244" s="1" t="n">
        <v>45087</v>
      </c>
      <c r="C1244" s="1" t="n">
        <v>45361</v>
      </c>
      <c r="D1244" t="inlineStr">
        <is>
          <t>JÄMTLANDS LÄN</t>
        </is>
      </c>
      <c r="E1244" t="inlineStr">
        <is>
          <t>BRÄCKE</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25317-2023</t>
        </is>
      </c>
      <c r="B1245" s="1" t="n">
        <v>45087</v>
      </c>
      <c r="C1245" s="1" t="n">
        <v>45361</v>
      </c>
      <c r="D1245" t="inlineStr">
        <is>
          <t>JÄMTLANDS LÄN</t>
        </is>
      </c>
      <c r="E1245" t="inlineStr">
        <is>
          <t>BRÄCKE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25329-2023</t>
        </is>
      </c>
      <c r="B1246" s="1" t="n">
        <v>45087</v>
      </c>
      <c r="C1246" s="1" t="n">
        <v>45361</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25318-2023</t>
        </is>
      </c>
      <c r="B1247" s="1" t="n">
        <v>45086</v>
      </c>
      <c r="C1247" s="1" t="n">
        <v>45361</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25330-2023</t>
        </is>
      </c>
      <c r="B1248" s="1" t="n">
        <v>45087</v>
      </c>
      <c r="C1248" s="1" t="n">
        <v>45361</v>
      </c>
      <c r="D1248" t="inlineStr">
        <is>
          <t>JÄMTLANDS LÄN</t>
        </is>
      </c>
      <c r="E1248" t="inlineStr">
        <is>
          <t>BRÄCKE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25352-2023</t>
        </is>
      </c>
      <c r="B1249" s="1" t="n">
        <v>45088</v>
      </c>
      <c r="C1249" s="1" t="n">
        <v>45361</v>
      </c>
      <c r="D1249" t="inlineStr">
        <is>
          <t>JÄMTLANDS LÄN</t>
        </is>
      </c>
      <c r="E1249" t="inlineStr">
        <is>
          <t>BRÄCKE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25374-2023</t>
        </is>
      </c>
      <c r="B1250" s="1" t="n">
        <v>45088</v>
      </c>
      <c r="C1250" s="1" t="n">
        <v>45361</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25373-2023</t>
        </is>
      </c>
      <c r="B1251" s="1" t="n">
        <v>45089</v>
      </c>
      <c r="C1251" s="1" t="n">
        <v>45361</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25689-2023</t>
        </is>
      </c>
      <c r="B1252" s="1" t="n">
        <v>45090</v>
      </c>
      <c r="C1252" s="1" t="n">
        <v>45361</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25677-2023</t>
        </is>
      </c>
      <c r="B1253" s="1" t="n">
        <v>45090</v>
      </c>
      <c r="C1253" s="1" t="n">
        <v>45361</v>
      </c>
      <c r="D1253" t="inlineStr">
        <is>
          <t>JÄMTLANDS LÄN</t>
        </is>
      </c>
      <c r="E1253" t="inlineStr">
        <is>
          <t>BRÄCKE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25675-2023</t>
        </is>
      </c>
      <c r="B1254" s="1" t="n">
        <v>45089</v>
      </c>
      <c r="C1254" s="1" t="n">
        <v>45361</v>
      </c>
      <c r="D1254" t="inlineStr">
        <is>
          <t>JÄMTLANDS LÄN</t>
        </is>
      </c>
      <c r="E1254" t="inlineStr">
        <is>
          <t>BRÄCKE</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25687-2023</t>
        </is>
      </c>
      <c r="B1255" s="1" t="n">
        <v>45090</v>
      </c>
      <c r="C1255" s="1" t="n">
        <v>45361</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45090</v>
      </c>
      <c r="C1256" s="1" t="n">
        <v>45361</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25674-2023</t>
        </is>
      </c>
      <c r="B1257" s="1" t="n">
        <v>45089</v>
      </c>
      <c r="C1257" s="1" t="n">
        <v>45361</v>
      </c>
      <c r="D1257" t="inlineStr">
        <is>
          <t>JÄMTLANDS LÄN</t>
        </is>
      </c>
      <c r="E1257" t="inlineStr">
        <is>
          <t>BRÄCKE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25686-2023</t>
        </is>
      </c>
      <c r="B1258" s="1" t="n">
        <v>45090</v>
      </c>
      <c r="C1258" s="1" t="n">
        <v>45361</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25678-2023</t>
        </is>
      </c>
      <c r="B1259" s="1" t="n">
        <v>45089</v>
      </c>
      <c r="C1259" s="1" t="n">
        <v>45361</v>
      </c>
      <c r="D1259" t="inlineStr">
        <is>
          <t>JÄMTLANDS LÄN</t>
        </is>
      </c>
      <c r="E1259" t="inlineStr">
        <is>
          <t>BRÄCKE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25684-2023</t>
        </is>
      </c>
      <c r="B1260" s="1" t="n">
        <v>45090</v>
      </c>
      <c r="C1260" s="1" t="n">
        <v>45361</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25685-2023</t>
        </is>
      </c>
      <c r="B1261" s="1" t="n">
        <v>45090</v>
      </c>
      <c r="C1261" s="1" t="n">
        <v>45361</v>
      </c>
      <c r="D1261" t="inlineStr">
        <is>
          <t>JÄMTLANDS LÄN</t>
        </is>
      </c>
      <c r="E1261" t="inlineStr">
        <is>
          <t>BRÄCKE</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26004-2023</t>
        </is>
      </c>
      <c r="B1262" s="1" t="n">
        <v>45090</v>
      </c>
      <c r="C1262" s="1" t="n">
        <v>45361</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26370-2023</t>
        </is>
      </c>
      <c r="B1263" s="1" t="n">
        <v>45092</v>
      </c>
      <c r="C1263" s="1" t="n">
        <v>45361</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26350-2023</t>
        </is>
      </c>
      <c r="B1264" s="1" t="n">
        <v>45092</v>
      </c>
      <c r="C1264" s="1" t="n">
        <v>45361</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26351-2023</t>
        </is>
      </c>
      <c r="B1265" s="1" t="n">
        <v>45091</v>
      </c>
      <c r="C1265" s="1" t="n">
        <v>45361</v>
      </c>
      <c r="D1265" t="inlineStr">
        <is>
          <t>JÄMTLANDS LÄN</t>
        </is>
      </c>
      <c r="E1265" t="inlineStr">
        <is>
          <t>BRÄCKE</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26353-2023</t>
        </is>
      </c>
      <c r="B1266" s="1" t="n">
        <v>45092</v>
      </c>
      <c r="C1266" s="1" t="n">
        <v>45361</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26345-2023</t>
        </is>
      </c>
      <c r="B1267" s="1" t="n">
        <v>45091</v>
      </c>
      <c r="C1267" s="1" t="n">
        <v>45361</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26352-2023</t>
        </is>
      </c>
      <c r="B1268" s="1" t="n">
        <v>45092</v>
      </c>
      <c r="C1268" s="1" t="n">
        <v>45361</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26664-2023</t>
        </is>
      </c>
      <c r="B1269" s="1" t="n">
        <v>45093</v>
      </c>
      <c r="C1269" s="1" t="n">
        <v>45361</v>
      </c>
      <c r="D1269" t="inlineStr">
        <is>
          <t>JÄMTLANDS LÄN</t>
        </is>
      </c>
      <c r="E1269" t="inlineStr">
        <is>
          <t>BRÄCKE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27354-2023</t>
        </is>
      </c>
      <c r="B1270" s="1" t="n">
        <v>45096</v>
      </c>
      <c r="C1270" s="1" t="n">
        <v>45361</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28801-2023</t>
        </is>
      </c>
      <c r="B1271" s="1" t="n">
        <v>45096</v>
      </c>
      <c r="C1271" s="1" t="n">
        <v>45361</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27363-2023</t>
        </is>
      </c>
      <c r="B1272" s="1" t="n">
        <v>45097</v>
      </c>
      <c r="C1272" s="1" t="n">
        <v>45361</v>
      </c>
      <c r="D1272" t="inlineStr">
        <is>
          <t>JÄMTLANDS LÄN</t>
        </is>
      </c>
      <c r="E1272" t="inlineStr">
        <is>
          <t>BRÄCKE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28796-2023</t>
        </is>
      </c>
      <c r="B1273" s="1" t="n">
        <v>45096</v>
      </c>
      <c r="C1273" s="1" t="n">
        <v>45361</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27691-2023</t>
        </is>
      </c>
      <c r="B1274" s="1" t="n">
        <v>45098</v>
      </c>
      <c r="C1274" s="1" t="n">
        <v>45361</v>
      </c>
      <c r="D1274" t="inlineStr">
        <is>
          <t>JÄMTLANDS LÄN</t>
        </is>
      </c>
      <c r="E1274" t="inlineStr">
        <is>
          <t>BRÄCKE</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27690-2023</t>
        </is>
      </c>
      <c r="B1275" s="1" t="n">
        <v>45098</v>
      </c>
      <c r="C1275" s="1" t="n">
        <v>45361</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28392-2023</t>
        </is>
      </c>
      <c r="B1276" s="1" t="n">
        <v>45099</v>
      </c>
      <c r="C1276" s="1" t="n">
        <v>45361</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28762-2023</t>
        </is>
      </c>
      <c r="B1277" s="1" t="n">
        <v>45104</v>
      </c>
      <c r="C1277" s="1" t="n">
        <v>45361</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28759-2023</t>
        </is>
      </c>
      <c r="B1278" s="1" t="n">
        <v>45104</v>
      </c>
      <c r="C1278" s="1" t="n">
        <v>45361</v>
      </c>
      <c r="D1278" t="inlineStr">
        <is>
          <t>JÄMTLANDS LÄN</t>
        </is>
      </c>
      <c r="E1278" t="inlineStr">
        <is>
          <t>BRÄCKE</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28764-2023</t>
        </is>
      </c>
      <c r="B1279" s="1" t="n">
        <v>45104</v>
      </c>
      <c r="C1279" s="1" t="n">
        <v>45361</v>
      </c>
      <c r="D1279" t="inlineStr">
        <is>
          <t>JÄMTLANDS LÄN</t>
        </is>
      </c>
      <c r="E1279" t="inlineStr">
        <is>
          <t>BRÄCKE</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28760-2023</t>
        </is>
      </c>
      <c r="B1280" s="1" t="n">
        <v>45104</v>
      </c>
      <c r="C1280" s="1" t="n">
        <v>45361</v>
      </c>
      <c r="D1280" t="inlineStr">
        <is>
          <t>JÄMTLANDS LÄN</t>
        </is>
      </c>
      <c r="E1280" t="inlineStr">
        <is>
          <t>BRÄCKE</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45361</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31471-2023</t>
        </is>
      </c>
      <c r="B1282" s="1" t="n">
        <v>45104</v>
      </c>
      <c r="C1282" s="1" t="n">
        <v>45361</v>
      </c>
      <c r="D1282" t="inlineStr">
        <is>
          <t>JÄMTLANDS LÄN</t>
        </is>
      </c>
      <c r="E1282" t="inlineStr">
        <is>
          <t>BRÄCKE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31470-2023</t>
        </is>
      </c>
      <c r="B1283" s="1" t="n">
        <v>45104</v>
      </c>
      <c r="C1283" s="1" t="n">
        <v>45361</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29322-2023</t>
        </is>
      </c>
      <c r="B1284" s="1" t="n">
        <v>45105</v>
      </c>
      <c r="C1284" s="1" t="n">
        <v>45361</v>
      </c>
      <c r="D1284" t="inlineStr">
        <is>
          <t>JÄMTLANDS LÄN</t>
        </is>
      </c>
      <c r="E1284" t="inlineStr">
        <is>
          <t>BRÄCKE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29334-2023</t>
        </is>
      </c>
      <c r="B1285" s="1" t="n">
        <v>45105</v>
      </c>
      <c r="C1285" s="1" t="n">
        <v>45361</v>
      </c>
      <c r="D1285" t="inlineStr">
        <is>
          <t>JÄMTLANDS LÄN</t>
        </is>
      </c>
      <c r="E1285" t="inlineStr">
        <is>
          <t>BRÄCKE</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45361</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29621-2023</t>
        </is>
      </c>
      <c r="B1287" s="1" t="n">
        <v>45107</v>
      </c>
      <c r="C1287" s="1" t="n">
        <v>45361</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29805-2023</t>
        </is>
      </c>
      <c r="B1288" s="1" t="n">
        <v>45107</v>
      </c>
      <c r="C1288" s="1" t="n">
        <v>45361</v>
      </c>
      <c r="D1288" t="inlineStr">
        <is>
          <t>JÄMTLANDS LÄN</t>
        </is>
      </c>
      <c r="E1288" t="inlineStr">
        <is>
          <t>BRÄCKE</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29751-2023</t>
        </is>
      </c>
      <c r="B1289" s="1" t="n">
        <v>45107</v>
      </c>
      <c r="C1289" s="1" t="n">
        <v>45361</v>
      </c>
      <c r="D1289" t="inlineStr">
        <is>
          <t>JÄMTLANDS LÄN</t>
        </is>
      </c>
      <c r="E1289" t="inlineStr">
        <is>
          <t>BRÄCKE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29941-2023</t>
        </is>
      </c>
      <c r="B1290" s="1" t="n">
        <v>45107</v>
      </c>
      <c r="C1290" s="1" t="n">
        <v>45361</v>
      </c>
      <c r="D1290" t="inlineStr">
        <is>
          <t>JÄMTLANDS LÄN</t>
        </is>
      </c>
      <c r="E1290" t="inlineStr">
        <is>
          <t>BRÄCKE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29942-2023</t>
        </is>
      </c>
      <c r="B1291" s="1" t="n">
        <v>45107</v>
      </c>
      <c r="C1291" s="1" t="n">
        <v>45361</v>
      </c>
      <c r="D1291" t="inlineStr">
        <is>
          <t>JÄMTLANDS LÄN</t>
        </is>
      </c>
      <c r="E1291" t="inlineStr">
        <is>
          <t>BRÄCKE</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32000-2023</t>
        </is>
      </c>
      <c r="B1292" s="1" t="n">
        <v>45107</v>
      </c>
      <c r="C1292" s="1" t="n">
        <v>45361</v>
      </c>
      <c r="D1292" t="inlineStr">
        <is>
          <t>JÄMTLANDS LÄN</t>
        </is>
      </c>
      <c r="E1292" t="inlineStr">
        <is>
          <t>BRÄCKE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30312-2023</t>
        </is>
      </c>
      <c r="B1293" s="1" t="n">
        <v>45111</v>
      </c>
      <c r="C1293" s="1" t="n">
        <v>45361</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30311-2023</t>
        </is>
      </c>
      <c r="B1294" s="1" t="n">
        <v>45111</v>
      </c>
      <c r="C1294" s="1" t="n">
        <v>45361</v>
      </c>
      <c r="D1294" t="inlineStr">
        <is>
          <t>JÄMTLANDS LÄN</t>
        </is>
      </c>
      <c r="E1294" t="inlineStr">
        <is>
          <t>BRÄCKE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30309-2023</t>
        </is>
      </c>
      <c r="B1295" s="1" t="n">
        <v>45111</v>
      </c>
      <c r="C1295" s="1" t="n">
        <v>45361</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30313-2023</t>
        </is>
      </c>
      <c r="B1296" s="1" t="n">
        <v>45111</v>
      </c>
      <c r="C1296" s="1" t="n">
        <v>45361</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30310-2023</t>
        </is>
      </c>
      <c r="B1297" s="1" t="n">
        <v>45110</v>
      </c>
      <c r="C1297" s="1" t="n">
        <v>45361</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30854-2023</t>
        </is>
      </c>
      <c r="B1298" s="1" t="n">
        <v>45113</v>
      </c>
      <c r="C1298" s="1" t="n">
        <v>45361</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30833-2023</t>
        </is>
      </c>
      <c r="B1299" s="1" t="n">
        <v>45112</v>
      </c>
      <c r="C1299" s="1" t="n">
        <v>45361</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30685-2023</t>
        </is>
      </c>
      <c r="B1300" s="1" t="n">
        <v>45112</v>
      </c>
      <c r="C1300" s="1" t="n">
        <v>45361</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31195-2023</t>
        </is>
      </c>
      <c r="B1301" s="1" t="n">
        <v>45114</v>
      </c>
      <c r="C1301" s="1" t="n">
        <v>45361</v>
      </c>
      <c r="D1301" t="inlineStr">
        <is>
          <t>JÄMTLANDS LÄN</t>
        </is>
      </c>
      <c r="E1301" t="inlineStr">
        <is>
          <t>BRÄCKE</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31933-2023</t>
        </is>
      </c>
      <c r="B1302" s="1" t="n">
        <v>45119</v>
      </c>
      <c r="C1302" s="1" t="n">
        <v>45361</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32228-2023</t>
        </is>
      </c>
      <c r="B1303" s="1" t="n">
        <v>45120</v>
      </c>
      <c r="C1303" s="1" t="n">
        <v>45361</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32229-2023</t>
        </is>
      </c>
      <c r="B1304" s="1" t="n">
        <v>45120</v>
      </c>
      <c r="C1304" s="1" t="n">
        <v>45361</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32479-2023</t>
        </is>
      </c>
      <c r="B1305" s="1" t="n">
        <v>45121</v>
      </c>
      <c r="C1305" s="1" t="n">
        <v>45361</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32477-2023</t>
        </is>
      </c>
      <c r="B1306" s="1" t="n">
        <v>45120</v>
      </c>
      <c r="C1306" s="1" t="n">
        <v>45361</v>
      </c>
      <c r="D1306" t="inlineStr">
        <is>
          <t>JÄMTLANDS LÄN</t>
        </is>
      </c>
      <c r="E1306" t="inlineStr">
        <is>
          <t>BRÄCKE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32476-2023</t>
        </is>
      </c>
      <c r="B1307" s="1" t="n">
        <v>45120</v>
      </c>
      <c r="C1307" s="1" t="n">
        <v>45361</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32481-2023</t>
        </is>
      </c>
      <c r="B1308" s="1" t="n">
        <v>45120</v>
      </c>
      <c r="C1308" s="1" t="n">
        <v>45361</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32732-2023</t>
        </is>
      </c>
      <c r="B1309" s="1" t="n">
        <v>45122</v>
      </c>
      <c r="C1309" s="1" t="n">
        <v>45361</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33031-2023</t>
        </is>
      </c>
      <c r="B1310" s="1" t="n">
        <v>45125</v>
      </c>
      <c r="C1310" s="1" t="n">
        <v>45361</v>
      </c>
      <c r="D1310" t="inlineStr">
        <is>
          <t>JÄMTLANDS LÄN</t>
        </is>
      </c>
      <c r="E1310" t="inlineStr">
        <is>
          <t>BRÄCKE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33032-2023</t>
        </is>
      </c>
      <c r="B1311" s="1" t="n">
        <v>45126</v>
      </c>
      <c r="C1311" s="1" t="n">
        <v>45361</v>
      </c>
      <c r="D1311" t="inlineStr">
        <is>
          <t>JÄMTLANDS LÄN</t>
        </is>
      </c>
      <c r="E1311" t="inlineStr">
        <is>
          <t>BRÄCKE</t>
        </is>
      </c>
      <c r="F1311" t="inlineStr">
        <is>
          <t>SCA</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33033-2023</t>
        </is>
      </c>
      <c r="B1312" s="1" t="n">
        <v>45126</v>
      </c>
      <c r="C1312" s="1" t="n">
        <v>45361</v>
      </c>
      <c r="D1312" t="inlineStr">
        <is>
          <t>JÄMTLANDS LÄN</t>
        </is>
      </c>
      <c r="E1312" t="inlineStr">
        <is>
          <t>BRÄCKE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33172-2023</t>
        </is>
      </c>
      <c r="B1313" s="1" t="n">
        <v>45127</v>
      </c>
      <c r="C1313" s="1" t="n">
        <v>45361</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33174-2023</t>
        </is>
      </c>
      <c r="B1314" s="1" t="n">
        <v>45127</v>
      </c>
      <c r="C1314" s="1" t="n">
        <v>45361</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33585-2023</t>
        </is>
      </c>
      <c r="B1315" s="1" t="n">
        <v>45132</v>
      </c>
      <c r="C1315" s="1" t="n">
        <v>45361</v>
      </c>
      <c r="D1315" t="inlineStr">
        <is>
          <t>JÄMTLANDS LÄN</t>
        </is>
      </c>
      <c r="E1315" t="inlineStr">
        <is>
          <t>BRÄCKE</t>
        </is>
      </c>
      <c r="F1315" t="inlineStr">
        <is>
          <t>SCA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33584-2023</t>
        </is>
      </c>
      <c r="B1316" s="1" t="n">
        <v>45132</v>
      </c>
      <c r="C1316" s="1" t="n">
        <v>45361</v>
      </c>
      <c r="D1316" t="inlineStr">
        <is>
          <t>JÄMTLANDS LÄN</t>
        </is>
      </c>
      <c r="E1316" t="inlineStr">
        <is>
          <t>BRÄCKE</t>
        </is>
      </c>
      <c r="F1316" t="inlineStr">
        <is>
          <t>SCA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33872-2023</t>
        </is>
      </c>
      <c r="B1317" s="1" t="n">
        <v>45134</v>
      </c>
      <c r="C1317" s="1" t="n">
        <v>45361</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33869-2023</t>
        </is>
      </c>
      <c r="B1318" s="1" t="n">
        <v>45134</v>
      </c>
      <c r="C1318" s="1" t="n">
        <v>45361</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33873-2023</t>
        </is>
      </c>
      <c r="B1319" s="1" t="n">
        <v>45134</v>
      </c>
      <c r="C1319" s="1" t="n">
        <v>45361</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33870-2023</t>
        </is>
      </c>
      <c r="B1320" s="1" t="n">
        <v>45134</v>
      </c>
      <c r="C1320" s="1" t="n">
        <v>45361</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33878-2023</t>
        </is>
      </c>
      <c r="B1321" s="1" t="n">
        <v>45133</v>
      </c>
      <c r="C1321" s="1" t="n">
        <v>45361</v>
      </c>
      <c r="D1321" t="inlineStr">
        <is>
          <t>JÄMTLANDS LÄN</t>
        </is>
      </c>
      <c r="E1321" t="inlineStr">
        <is>
          <t>BRÄCKE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33998-2023</t>
        </is>
      </c>
      <c r="B1322" s="1" t="n">
        <v>45134</v>
      </c>
      <c r="C1322" s="1" t="n">
        <v>45361</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34137-2023</t>
        </is>
      </c>
      <c r="B1323" s="1" t="n">
        <v>45135</v>
      </c>
      <c r="C1323" s="1" t="n">
        <v>45361</v>
      </c>
      <c r="D1323" t="inlineStr">
        <is>
          <t>JÄMTLANDS LÄN</t>
        </is>
      </c>
      <c r="E1323" t="inlineStr">
        <is>
          <t>BRÄCKE</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34136-2023</t>
        </is>
      </c>
      <c r="B1324" s="1" t="n">
        <v>45135</v>
      </c>
      <c r="C1324" s="1" t="n">
        <v>45361</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45361</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34587-2023</t>
        </is>
      </c>
      <c r="B1326" s="1" t="n">
        <v>45135</v>
      </c>
      <c r="C1326" s="1" t="n">
        <v>45361</v>
      </c>
      <c r="D1326" t="inlineStr">
        <is>
          <t>JÄMTLANDS LÄN</t>
        </is>
      </c>
      <c r="E1326" t="inlineStr">
        <is>
          <t>BRÄCKE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34320-2023</t>
        </is>
      </c>
      <c r="B1327" s="1" t="n">
        <v>45139</v>
      </c>
      <c r="C1327" s="1" t="n">
        <v>45361</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34693-2023</t>
        </is>
      </c>
      <c r="B1328" s="1" t="n">
        <v>45140</v>
      </c>
      <c r="C1328" s="1" t="n">
        <v>45361</v>
      </c>
      <c r="D1328" t="inlineStr">
        <is>
          <t>JÄMTLANDS LÄN</t>
        </is>
      </c>
      <c r="E1328" t="inlineStr">
        <is>
          <t>BRÄCKE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34704-2023</t>
        </is>
      </c>
      <c r="B1329" s="1" t="n">
        <v>45140</v>
      </c>
      <c r="C1329" s="1" t="n">
        <v>45361</v>
      </c>
      <c r="D1329" t="inlineStr">
        <is>
          <t>JÄMTLANDS LÄN</t>
        </is>
      </c>
      <c r="E1329" t="inlineStr">
        <is>
          <t>BRÄCKE</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34947-2023</t>
        </is>
      </c>
      <c r="B1330" s="1" t="n">
        <v>45142</v>
      </c>
      <c r="C1330" s="1" t="n">
        <v>45361</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35013-2023</t>
        </is>
      </c>
      <c r="B1331" s="1" t="n">
        <v>45143</v>
      </c>
      <c r="C1331" s="1" t="n">
        <v>45361</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35017-2023</t>
        </is>
      </c>
      <c r="B1332" s="1" t="n">
        <v>45142</v>
      </c>
      <c r="C1332" s="1" t="n">
        <v>45361</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35014-2023</t>
        </is>
      </c>
      <c r="B1333" s="1" t="n">
        <v>45143</v>
      </c>
      <c r="C1333" s="1" t="n">
        <v>45361</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35015-2023</t>
        </is>
      </c>
      <c r="B1334" s="1" t="n">
        <v>45143</v>
      </c>
      <c r="C1334" s="1" t="n">
        <v>45361</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35255-2023</t>
        </is>
      </c>
      <c r="B1335" s="1" t="n">
        <v>45145</v>
      </c>
      <c r="C1335" s="1" t="n">
        <v>45361</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35256-2023</t>
        </is>
      </c>
      <c r="B1336" s="1" t="n">
        <v>45145</v>
      </c>
      <c r="C1336" s="1" t="n">
        <v>45361</v>
      </c>
      <c r="D1336" t="inlineStr">
        <is>
          <t>JÄMTLANDS LÄN</t>
        </is>
      </c>
      <c r="E1336" t="inlineStr">
        <is>
          <t>BRÄCKE</t>
        </is>
      </c>
      <c r="F1336" t="inlineStr">
        <is>
          <t>SCA</t>
        </is>
      </c>
      <c r="G1336" t="n">
        <v>34.5</v>
      </c>
      <c r="H1336" t="n">
        <v>0</v>
      </c>
      <c r="I1336" t="n">
        <v>0</v>
      </c>
      <c r="J1336" t="n">
        <v>0</v>
      </c>
      <c r="K1336" t="n">
        <v>0</v>
      </c>
      <c r="L1336" t="n">
        <v>0</v>
      </c>
      <c r="M1336" t="n">
        <v>0</v>
      </c>
      <c r="N1336" t="n">
        <v>0</v>
      </c>
      <c r="O1336" t="n">
        <v>0</v>
      </c>
      <c r="P1336" t="n">
        <v>0</v>
      </c>
      <c r="Q1336" t="n">
        <v>0</v>
      </c>
      <c r="R1336" s="2" t="inlineStr"/>
    </row>
    <row r="1337" ht="15" customHeight="1">
      <c r="A1337" t="inlineStr">
        <is>
          <t>A 35503-2023</t>
        </is>
      </c>
      <c r="B1337" s="1" t="n">
        <v>45147</v>
      </c>
      <c r="C1337" s="1" t="n">
        <v>45361</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35506-2023</t>
        </is>
      </c>
      <c r="B1338" s="1" t="n">
        <v>45146</v>
      </c>
      <c r="C1338" s="1" t="n">
        <v>45361</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35424-2023</t>
        </is>
      </c>
      <c r="B1339" s="1" t="n">
        <v>45146</v>
      </c>
      <c r="C1339" s="1" t="n">
        <v>45361</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35742-2023</t>
        </is>
      </c>
      <c r="B1340" s="1" t="n">
        <v>45147</v>
      </c>
      <c r="C1340" s="1" t="n">
        <v>45361</v>
      </c>
      <c r="D1340" t="inlineStr">
        <is>
          <t>JÄMTLANDS LÄN</t>
        </is>
      </c>
      <c r="E1340" t="inlineStr">
        <is>
          <t>BRÄCKE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35766-2023</t>
        </is>
      </c>
      <c r="B1341" s="1" t="n">
        <v>45147</v>
      </c>
      <c r="C1341" s="1" t="n">
        <v>45361</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35862-2023</t>
        </is>
      </c>
      <c r="B1342" s="1" t="n">
        <v>45147</v>
      </c>
      <c r="C1342" s="1" t="n">
        <v>45361</v>
      </c>
      <c r="D1342" t="inlineStr">
        <is>
          <t>JÄMTLANDS LÄN</t>
        </is>
      </c>
      <c r="E1342" t="inlineStr">
        <is>
          <t>BRÄCKE</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35741-2023</t>
        </is>
      </c>
      <c r="B1343" s="1" t="n">
        <v>45147</v>
      </c>
      <c r="C1343" s="1" t="n">
        <v>45361</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35896-2023</t>
        </is>
      </c>
      <c r="B1344" s="1" t="n">
        <v>45148</v>
      </c>
      <c r="C1344" s="1" t="n">
        <v>45361</v>
      </c>
      <c r="D1344" t="inlineStr">
        <is>
          <t>JÄMTLANDS LÄN</t>
        </is>
      </c>
      <c r="E1344" t="inlineStr">
        <is>
          <t>BRÄCKE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35880-2023</t>
        </is>
      </c>
      <c r="B1345" s="1" t="n">
        <v>45148</v>
      </c>
      <c r="C1345" s="1" t="n">
        <v>45361</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35972-2023</t>
        </is>
      </c>
      <c r="B1346" s="1" t="n">
        <v>45148</v>
      </c>
      <c r="C1346" s="1" t="n">
        <v>45361</v>
      </c>
      <c r="D1346" t="inlineStr">
        <is>
          <t>JÄMTLANDS LÄN</t>
        </is>
      </c>
      <c r="E1346" t="inlineStr">
        <is>
          <t>BRÄCKE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36205-2023</t>
        </is>
      </c>
      <c r="B1347" s="1" t="n">
        <v>45149</v>
      </c>
      <c r="C1347" s="1" t="n">
        <v>45361</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36209-2023</t>
        </is>
      </c>
      <c r="B1348" s="1" t="n">
        <v>45149</v>
      </c>
      <c r="C1348" s="1" t="n">
        <v>45361</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36497-2023</t>
        </is>
      </c>
      <c r="B1349" s="1" t="n">
        <v>45152</v>
      </c>
      <c r="C1349" s="1" t="n">
        <v>45361</v>
      </c>
      <c r="D1349" t="inlineStr">
        <is>
          <t>JÄMTLANDS LÄN</t>
        </is>
      </c>
      <c r="E1349" t="inlineStr">
        <is>
          <t>BRÄCKE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36753-2023</t>
        </is>
      </c>
      <c r="B1350" s="1" t="n">
        <v>45153</v>
      </c>
      <c r="C1350" s="1" t="n">
        <v>45361</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36988-2023</t>
        </is>
      </c>
      <c r="B1351" s="1" t="n">
        <v>45154</v>
      </c>
      <c r="C1351" s="1" t="n">
        <v>45361</v>
      </c>
      <c r="D1351" t="inlineStr">
        <is>
          <t>JÄMTLANDS LÄN</t>
        </is>
      </c>
      <c r="E1351" t="inlineStr">
        <is>
          <t>BRÄCKE</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37265-2023</t>
        </is>
      </c>
      <c r="B1352" s="1" t="n">
        <v>45156</v>
      </c>
      <c r="C1352" s="1" t="n">
        <v>45361</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37264-2023</t>
        </is>
      </c>
      <c r="B1353" s="1" t="n">
        <v>45155</v>
      </c>
      <c r="C1353" s="1" t="n">
        <v>45361</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37268-2023</t>
        </is>
      </c>
      <c r="B1354" s="1" t="n">
        <v>45156</v>
      </c>
      <c r="C1354" s="1" t="n">
        <v>45361</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37238-2023</t>
        </is>
      </c>
      <c r="B1355" s="1" t="n">
        <v>45156</v>
      </c>
      <c r="C1355" s="1" t="n">
        <v>45361</v>
      </c>
      <c r="D1355" t="inlineStr">
        <is>
          <t>JÄMTLANDS LÄN</t>
        </is>
      </c>
      <c r="E1355" t="inlineStr">
        <is>
          <t>BRÄCKE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37239-2023</t>
        </is>
      </c>
      <c r="B1356" s="1" t="n">
        <v>45156</v>
      </c>
      <c r="C1356" s="1" t="n">
        <v>45361</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37263-2023</t>
        </is>
      </c>
      <c r="B1357" s="1" t="n">
        <v>45156</v>
      </c>
      <c r="C1357" s="1" t="n">
        <v>45361</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37267-2023</t>
        </is>
      </c>
      <c r="B1358" s="1" t="n">
        <v>45156</v>
      </c>
      <c r="C1358" s="1" t="n">
        <v>45361</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37492-2023</t>
        </is>
      </c>
      <c r="B1359" s="1" t="n">
        <v>45156</v>
      </c>
      <c r="C1359" s="1" t="n">
        <v>45361</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37472-2023</t>
        </is>
      </c>
      <c r="B1360" s="1" t="n">
        <v>45157</v>
      </c>
      <c r="C1360" s="1" t="n">
        <v>45361</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37504-2023</t>
        </is>
      </c>
      <c r="B1361" s="1" t="n">
        <v>45157</v>
      </c>
      <c r="C1361" s="1" t="n">
        <v>45361</v>
      </c>
      <c r="D1361" t="inlineStr">
        <is>
          <t>JÄMTLANDS LÄN</t>
        </is>
      </c>
      <c r="E1361" t="inlineStr">
        <is>
          <t>BRÄCKE</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37806-2023</t>
        </is>
      </c>
      <c r="B1362" s="1" t="n">
        <v>45159</v>
      </c>
      <c r="C1362" s="1" t="n">
        <v>45361</v>
      </c>
      <c r="D1362" t="inlineStr">
        <is>
          <t>JÄMTLANDS LÄN</t>
        </is>
      </c>
      <c r="E1362" t="inlineStr">
        <is>
          <t>BRÄCKE</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38087-2023</t>
        </is>
      </c>
      <c r="B1363" s="1" t="n">
        <v>45160</v>
      </c>
      <c r="C1363" s="1" t="n">
        <v>45361</v>
      </c>
      <c r="D1363" t="inlineStr">
        <is>
          <t>JÄMTLANDS LÄN</t>
        </is>
      </c>
      <c r="E1363" t="inlineStr">
        <is>
          <t>BRÄCKE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38091-2023</t>
        </is>
      </c>
      <c r="B1364" s="1" t="n">
        <v>45160</v>
      </c>
      <c r="C1364" s="1" t="n">
        <v>45361</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38359-2023</t>
        </is>
      </c>
      <c r="B1365" s="1" t="n">
        <v>45162</v>
      </c>
      <c r="C1365" s="1" t="n">
        <v>45361</v>
      </c>
      <c r="D1365" t="inlineStr">
        <is>
          <t>JÄMTLANDS LÄN</t>
        </is>
      </c>
      <c r="E1365" t="inlineStr">
        <is>
          <t>BRÄCKE</t>
        </is>
      </c>
      <c r="F1365" t="inlineStr">
        <is>
          <t>Naturvårdsverket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38533-2023</t>
        </is>
      </c>
      <c r="B1366" s="1" t="n">
        <v>45162</v>
      </c>
      <c r="C1366" s="1" t="n">
        <v>45361</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38856-2023</t>
        </is>
      </c>
      <c r="B1367" s="1" t="n">
        <v>45162</v>
      </c>
      <c r="C1367" s="1" t="n">
        <v>45361</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39004-2023</t>
        </is>
      </c>
      <c r="B1368" s="1" t="n">
        <v>45162</v>
      </c>
      <c r="C1368" s="1" t="n">
        <v>45361</v>
      </c>
      <c r="D1368" t="inlineStr">
        <is>
          <t>JÄMTLANDS LÄN</t>
        </is>
      </c>
      <c r="E1368" t="inlineStr">
        <is>
          <t>BRÄCKE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38841-2023</t>
        </is>
      </c>
      <c r="B1369" s="1" t="n">
        <v>45162</v>
      </c>
      <c r="C1369" s="1" t="n">
        <v>45361</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39007-2023</t>
        </is>
      </c>
      <c r="B1370" s="1" t="n">
        <v>45162</v>
      </c>
      <c r="C1370" s="1" t="n">
        <v>45361</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38996-2023</t>
        </is>
      </c>
      <c r="B1371" s="1" t="n">
        <v>45162</v>
      </c>
      <c r="C1371" s="1" t="n">
        <v>45361</v>
      </c>
      <c r="D1371" t="inlineStr">
        <is>
          <t>JÄMTLANDS LÄN</t>
        </is>
      </c>
      <c r="E1371" t="inlineStr">
        <is>
          <t>BRÄCKE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38688-2023</t>
        </is>
      </c>
      <c r="B1372" s="1" t="n">
        <v>45163</v>
      </c>
      <c r="C1372" s="1" t="n">
        <v>45361</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38692-2023</t>
        </is>
      </c>
      <c r="B1373" s="1" t="n">
        <v>45163</v>
      </c>
      <c r="C1373" s="1" t="n">
        <v>45361</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38675-2023</t>
        </is>
      </c>
      <c r="B1374" s="1" t="n">
        <v>45162</v>
      </c>
      <c r="C1374" s="1" t="n">
        <v>45361</v>
      </c>
      <c r="D1374" t="inlineStr">
        <is>
          <t>JÄMTLANDS LÄN</t>
        </is>
      </c>
      <c r="E1374" t="inlineStr">
        <is>
          <t>BRÄCKE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38691-2023</t>
        </is>
      </c>
      <c r="B1375" s="1" t="n">
        <v>45163</v>
      </c>
      <c r="C1375" s="1" t="n">
        <v>45361</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38693-2023</t>
        </is>
      </c>
      <c r="B1376" s="1" t="n">
        <v>45162</v>
      </c>
      <c r="C1376" s="1" t="n">
        <v>45361</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38689-2023</t>
        </is>
      </c>
      <c r="B1377" s="1" t="n">
        <v>45162</v>
      </c>
      <c r="C1377" s="1" t="n">
        <v>45361</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38690-2023</t>
        </is>
      </c>
      <c r="B1378" s="1" t="n">
        <v>45163</v>
      </c>
      <c r="C1378" s="1" t="n">
        <v>45361</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39439-2023</t>
        </is>
      </c>
      <c r="B1379" s="1" t="n">
        <v>45163</v>
      </c>
      <c r="C1379" s="1" t="n">
        <v>45361</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39509-2023</t>
        </is>
      </c>
      <c r="B1380" s="1" t="n">
        <v>45167</v>
      </c>
      <c r="C1380" s="1" t="n">
        <v>45361</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40096-2023</t>
        </is>
      </c>
      <c r="B1381" s="1" t="n">
        <v>45168</v>
      </c>
      <c r="C1381" s="1" t="n">
        <v>45361</v>
      </c>
      <c r="D1381" t="inlineStr">
        <is>
          <t>JÄMTLANDS LÄN</t>
        </is>
      </c>
      <c r="E1381" t="inlineStr">
        <is>
          <t>BRÄCKE</t>
        </is>
      </c>
      <c r="F1381" t="inlineStr">
        <is>
          <t>SCA</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40114-2023</t>
        </is>
      </c>
      <c r="B1382" s="1" t="n">
        <v>45169</v>
      </c>
      <c r="C1382" s="1" t="n">
        <v>45361</v>
      </c>
      <c r="D1382" t="inlineStr">
        <is>
          <t>JÄMTLANDS LÄN</t>
        </is>
      </c>
      <c r="E1382" t="inlineStr">
        <is>
          <t>BRÄCKE</t>
        </is>
      </c>
      <c r="F1382" t="inlineStr">
        <is>
          <t>Naturvårdsverket</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40108-2023</t>
        </is>
      </c>
      <c r="B1383" s="1" t="n">
        <v>45169</v>
      </c>
      <c r="C1383" s="1" t="n">
        <v>45361</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40094-2023</t>
        </is>
      </c>
      <c r="B1384" s="1" t="n">
        <v>45168</v>
      </c>
      <c r="C1384" s="1" t="n">
        <v>45361</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39907-2023</t>
        </is>
      </c>
      <c r="B1385" s="1" t="n">
        <v>45168</v>
      </c>
      <c r="C1385" s="1" t="n">
        <v>45361</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40389-2023</t>
        </is>
      </c>
      <c r="B1386" s="1" t="n">
        <v>45170</v>
      </c>
      <c r="C1386" s="1" t="n">
        <v>45361</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40394-2023</t>
        </is>
      </c>
      <c r="B1387" s="1" t="n">
        <v>45170</v>
      </c>
      <c r="C1387" s="1" t="n">
        <v>45361</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40410-2023</t>
        </is>
      </c>
      <c r="B1388" s="1" t="n">
        <v>45169</v>
      </c>
      <c r="C1388" s="1" t="n">
        <v>45361</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40430-2023</t>
        </is>
      </c>
      <c r="B1389" s="1" t="n">
        <v>45169</v>
      </c>
      <c r="C1389" s="1" t="n">
        <v>45361</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40387-2023</t>
        </is>
      </c>
      <c r="B1390" s="1" t="n">
        <v>45170</v>
      </c>
      <c r="C1390" s="1" t="n">
        <v>45361</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40405-2023</t>
        </is>
      </c>
      <c r="B1391" s="1" t="n">
        <v>45170</v>
      </c>
      <c r="C1391" s="1" t="n">
        <v>45361</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40761-2023</t>
        </is>
      </c>
      <c r="B1392" s="1" t="n">
        <v>45171</v>
      </c>
      <c r="C1392" s="1" t="n">
        <v>45361</v>
      </c>
      <c r="D1392" t="inlineStr">
        <is>
          <t>JÄMTLANDS LÄN</t>
        </is>
      </c>
      <c r="E1392" t="inlineStr">
        <is>
          <t>BRÄCKE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40765-2023</t>
        </is>
      </c>
      <c r="B1393" s="1" t="n">
        <v>45170</v>
      </c>
      <c r="C1393" s="1" t="n">
        <v>45361</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41175-2023</t>
        </is>
      </c>
      <c r="B1394" s="1" t="n">
        <v>45170</v>
      </c>
      <c r="C1394" s="1" t="n">
        <v>45361</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40775-2023</t>
        </is>
      </c>
      <c r="B1395" s="1" t="n">
        <v>45171</v>
      </c>
      <c r="C1395" s="1" t="n">
        <v>45361</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41183-2023</t>
        </is>
      </c>
      <c r="B1396" s="1" t="n">
        <v>45170</v>
      </c>
      <c r="C1396" s="1" t="n">
        <v>45361</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41188-2023</t>
        </is>
      </c>
      <c r="B1397" s="1" t="n">
        <v>45170</v>
      </c>
      <c r="C1397" s="1" t="n">
        <v>45361</v>
      </c>
      <c r="D1397" t="inlineStr">
        <is>
          <t>JÄMTLANDS LÄN</t>
        </is>
      </c>
      <c r="E1397" t="inlineStr">
        <is>
          <t>BRÄCKE</t>
        </is>
      </c>
      <c r="F1397" t="inlineStr">
        <is>
          <t>Kommuner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40844-2023</t>
        </is>
      </c>
      <c r="B1398" s="1" t="n">
        <v>45173</v>
      </c>
      <c r="C1398" s="1" t="n">
        <v>45361</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41148-2023</t>
        </is>
      </c>
      <c r="B1399" s="1" t="n">
        <v>45173</v>
      </c>
      <c r="C1399" s="1" t="n">
        <v>45361</v>
      </c>
      <c r="D1399" t="inlineStr">
        <is>
          <t>JÄMTLANDS LÄN</t>
        </is>
      </c>
      <c r="E1399" t="inlineStr">
        <is>
          <t>BRÄCKE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41401-2023</t>
        </is>
      </c>
      <c r="B1400" s="1" t="n">
        <v>45174</v>
      </c>
      <c r="C1400" s="1" t="n">
        <v>45361</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41412-2023</t>
        </is>
      </c>
      <c r="B1401" s="1" t="n">
        <v>45175</v>
      </c>
      <c r="C1401" s="1" t="n">
        <v>45361</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41647-2023</t>
        </is>
      </c>
      <c r="B1402" s="1" t="n">
        <v>45176</v>
      </c>
      <c r="C1402" s="1" t="n">
        <v>45361</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41663-2023</t>
        </is>
      </c>
      <c r="B1403" s="1" t="n">
        <v>45176</v>
      </c>
      <c r="C1403" s="1" t="n">
        <v>45361</v>
      </c>
      <c r="D1403" t="inlineStr">
        <is>
          <t>JÄMTLANDS LÄN</t>
        </is>
      </c>
      <c r="E1403" t="inlineStr">
        <is>
          <t>BRÄCKE</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42103-2023</t>
        </is>
      </c>
      <c r="B1404" s="1" t="n">
        <v>45175</v>
      </c>
      <c r="C1404" s="1" t="n">
        <v>45361</v>
      </c>
      <c r="D1404" t="inlineStr">
        <is>
          <t>JÄMTLANDS LÄN</t>
        </is>
      </c>
      <c r="E1404" t="inlineStr">
        <is>
          <t>BRÄCKE</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45361</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41722-2023</t>
        </is>
      </c>
      <c r="B1406" s="1" t="n">
        <v>45176</v>
      </c>
      <c r="C1406" s="1" t="n">
        <v>45361</v>
      </c>
      <c r="D1406" t="inlineStr">
        <is>
          <t>JÄMTLANDS LÄN</t>
        </is>
      </c>
      <c r="E1406" t="inlineStr">
        <is>
          <t>BRÄCKE</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41922-2023</t>
        </is>
      </c>
      <c r="B1407" s="1" t="n">
        <v>45176</v>
      </c>
      <c r="C1407" s="1" t="n">
        <v>45361</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41738-2023</t>
        </is>
      </c>
      <c r="B1408" s="1" t="n">
        <v>45176</v>
      </c>
      <c r="C1408" s="1" t="n">
        <v>45361</v>
      </c>
      <c r="D1408" t="inlineStr">
        <is>
          <t>JÄMTLANDS LÄN</t>
        </is>
      </c>
      <c r="E1408" t="inlineStr">
        <is>
          <t>BRÄCKE</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41936-2023</t>
        </is>
      </c>
      <c r="B1409" s="1" t="n">
        <v>45177</v>
      </c>
      <c r="C1409" s="1" t="n">
        <v>45361</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42159-2023</t>
        </is>
      </c>
      <c r="B1410" s="1" t="n">
        <v>45177</v>
      </c>
      <c r="C1410" s="1" t="n">
        <v>45361</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42500-2023</t>
        </is>
      </c>
      <c r="B1411" s="1" t="n">
        <v>45181</v>
      </c>
      <c r="C1411" s="1" t="n">
        <v>45361</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43180-2023</t>
        </is>
      </c>
      <c r="B1412" s="1" t="n">
        <v>45180</v>
      </c>
      <c r="C1412" s="1" t="n">
        <v>45361</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43551-2023</t>
        </is>
      </c>
      <c r="B1413" s="1" t="n">
        <v>45181</v>
      </c>
      <c r="C1413" s="1" t="n">
        <v>45361</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43591-2023</t>
        </is>
      </c>
      <c r="B1414" s="1" t="n">
        <v>45181</v>
      </c>
      <c r="C1414" s="1" t="n">
        <v>45361</v>
      </c>
      <c r="D1414" t="inlineStr">
        <is>
          <t>JÄMTLANDS LÄN</t>
        </is>
      </c>
      <c r="E1414" t="inlineStr">
        <is>
          <t>BRÄCKE</t>
        </is>
      </c>
      <c r="F1414" t="inlineStr">
        <is>
          <t>SCA</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43596-2023</t>
        </is>
      </c>
      <c r="B1415" s="1" t="n">
        <v>45181</v>
      </c>
      <c r="C1415" s="1" t="n">
        <v>45361</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43123-2023</t>
        </is>
      </c>
      <c r="B1416" s="1" t="n">
        <v>45182</v>
      </c>
      <c r="C1416" s="1" t="n">
        <v>45361</v>
      </c>
      <c r="D1416" t="inlineStr">
        <is>
          <t>JÄMTLANDS LÄN</t>
        </is>
      </c>
      <c r="E1416" t="inlineStr">
        <is>
          <t>BRÄCKE</t>
        </is>
      </c>
      <c r="F1416" t="inlineStr">
        <is>
          <t>Naturvårdsverket</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43108-2023</t>
        </is>
      </c>
      <c r="B1417" s="1" t="n">
        <v>45183</v>
      </c>
      <c r="C1417" s="1" t="n">
        <v>45361</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43906-2023</t>
        </is>
      </c>
      <c r="B1418" s="1" t="n">
        <v>45182</v>
      </c>
      <c r="C1418" s="1" t="n">
        <v>45361</v>
      </c>
      <c r="D1418" t="inlineStr">
        <is>
          <t>JÄMTLANDS LÄN</t>
        </is>
      </c>
      <c r="E1418" t="inlineStr">
        <is>
          <t>BRÄCKE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43910-2023</t>
        </is>
      </c>
      <c r="B1419" s="1" t="n">
        <v>45182</v>
      </c>
      <c r="C1419" s="1" t="n">
        <v>45361</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43093-2023</t>
        </is>
      </c>
      <c r="B1420" s="1" t="n">
        <v>45182</v>
      </c>
      <c r="C1420" s="1" t="n">
        <v>45361</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43869-2023</t>
        </is>
      </c>
      <c r="B1421" s="1" t="n">
        <v>45182</v>
      </c>
      <c r="C1421" s="1" t="n">
        <v>45361</v>
      </c>
      <c r="D1421" t="inlineStr">
        <is>
          <t>JÄMTLANDS LÄN</t>
        </is>
      </c>
      <c r="E1421" t="inlineStr">
        <is>
          <t>BRÄCKE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43292-2023</t>
        </is>
      </c>
      <c r="B1422" s="1" t="n">
        <v>45183</v>
      </c>
      <c r="C1422" s="1" t="n">
        <v>45361</v>
      </c>
      <c r="D1422" t="inlineStr">
        <is>
          <t>JÄMTLANDS LÄN</t>
        </is>
      </c>
      <c r="E1422" t="inlineStr">
        <is>
          <t>BRÄCKE</t>
        </is>
      </c>
      <c r="F1422" t="inlineStr">
        <is>
          <t>Kyrkan</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43957-2023</t>
        </is>
      </c>
      <c r="B1423" s="1" t="n">
        <v>45187</v>
      </c>
      <c r="C1423" s="1" t="n">
        <v>45361</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43969-2023</t>
        </is>
      </c>
      <c r="B1424" s="1" t="n">
        <v>45187</v>
      </c>
      <c r="C1424" s="1" t="n">
        <v>45361</v>
      </c>
      <c r="D1424" t="inlineStr">
        <is>
          <t>JÄMTLANDS LÄN</t>
        </is>
      </c>
      <c r="E1424" t="inlineStr">
        <is>
          <t>BRÄCKE</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43989-2023</t>
        </is>
      </c>
      <c r="B1425" s="1" t="n">
        <v>45187</v>
      </c>
      <c r="C1425" s="1" t="n">
        <v>45361</v>
      </c>
      <c r="D1425" t="inlineStr">
        <is>
          <t>JÄMTLANDS LÄN</t>
        </is>
      </c>
      <c r="E1425" t="inlineStr">
        <is>
          <t>BRÄCKE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43977-2023</t>
        </is>
      </c>
      <c r="B1426" s="1" t="n">
        <v>45187</v>
      </c>
      <c r="C1426" s="1" t="n">
        <v>45361</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43971-2023</t>
        </is>
      </c>
      <c r="B1427" s="1" t="n">
        <v>45188</v>
      </c>
      <c r="C1427" s="1" t="n">
        <v>45361</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43958-2023</t>
        </is>
      </c>
      <c r="B1428" s="1" t="n">
        <v>45187</v>
      </c>
      <c r="C1428" s="1" t="n">
        <v>45361</v>
      </c>
      <c r="D1428" t="inlineStr">
        <is>
          <t>JÄMTLANDS LÄN</t>
        </is>
      </c>
      <c r="E1428" t="inlineStr">
        <is>
          <t>BRÄCKE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43982-2023</t>
        </is>
      </c>
      <c r="B1429" s="1" t="n">
        <v>45187</v>
      </c>
      <c r="C1429" s="1" t="n">
        <v>45361</v>
      </c>
      <c r="D1429" t="inlineStr">
        <is>
          <t>JÄMTLANDS LÄN</t>
        </is>
      </c>
      <c r="E1429" t="inlineStr">
        <is>
          <t>BRÄCKE</t>
        </is>
      </c>
      <c r="F1429" t="inlineStr">
        <is>
          <t>SCA</t>
        </is>
      </c>
      <c r="G1429" t="n">
        <v>25.6</v>
      </c>
      <c r="H1429" t="n">
        <v>0</v>
      </c>
      <c r="I1429" t="n">
        <v>0</v>
      </c>
      <c r="J1429" t="n">
        <v>0</v>
      </c>
      <c r="K1429" t="n">
        <v>0</v>
      </c>
      <c r="L1429" t="n">
        <v>0</v>
      </c>
      <c r="M1429" t="n">
        <v>0</v>
      </c>
      <c r="N1429" t="n">
        <v>0</v>
      </c>
      <c r="O1429" t="n">
        <v>0</v>
      </c>
      <c r="P1429" t="n">
        <v>0</v>
      </c>
      <c r="Q1429" t="n">
        <v>0</v>
      </c>
      <c r="R1429" s="2" t="inlineStr"/>
    </row>
    <row r="1430" ht="15" customHeight="1">
      <c r="A1430" t="inlineStr">
        <is>
          <t>A 43970-2023</t>
        </is>
      </c>
      <c r="B1430" s="1" t="n">
        <v>45187</v>
      </c>
      <c r="C1430" s="1" t="n">
        <v>45361</v>
      </c>
      <c r="D1430" t="inlineStr">
        <is>
          <t>JÄMTLANDS LÄN</t>
        </is>
      </c>
      <c r="E1430" t="inlineStr">
        <is>
          <t>BRÄCKE</t>
        </is>
      </c>
      <c r="F1430" t="inlineStr">
        <is>
          <t>SCA</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44324-2023</t>
        </is>
      </c>
      <c r="B1431" s="1" t="n">
        <v>45188</v>
      </c>
      <c r="C1431" s="1" t="n">
        <v>45361</v>
      </c>
      <c r="D1431" t="inlineStr">
        <is>
          <t>JÄMTLANDS LÄN</t>
        </is>
      </c>
      <c r="E1431" t="inlineStr">
        <is>
          <t>BRÄCKE</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44318-2023</t>
        </is>
      </c>
      <c r="B1432" s="1" t="n">
        <v>45188</v>
      </c>
      <c r="C1432" s="1" t="n">
        <v>45361</v>
      </c>
      <c r="D1432" t="inlineStr">
        <is>
          <t>JÄMTLANDS LÄN</t>
        </is>
      </c>
      <c r="E1432" t="inlineStr">
        <is>
          <t>BRÄCKE</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44321-2023</t>
        </is>
      </c>
      <c r="B1433" s="1" t="n">
        <v>45188</v>
      </c>
      <c r="C1433" s="1" t="n">
        <v>45361</v>
      </c>
      <c r="D1433" t="inlineStr">
        <is>
          <t>JÄMTLANDS LÄN</t>
        </is>
      </c>
      <c r="E1433" t="inlineStr">
        <is>
          <t>BRÄCKE</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44328-2023</t>
        </is>
      </c>
      <c r="B1434" s="1" t="n">
        <v>45188</v>
      </c>
      <c r="C1434" s="1" t="n">
        <v>45361</v>
      </c>
      <c r="D1434" t="inlineStr">
        <is>
          <t>JÄMTLANDS LÄN</t>
        </is>
      </c>
      <c r="E1434" t="inlineStr">
        <is>
          <t>BRÄCKE</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44357-2023</t>
        </is>
      </c>
      <c r="B1435" s="1" t="n">
        <v>45188</v>
      </c>
      <c r="C1435" s="1" t="n">
        <v>45361</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44381-2023</t>
        </is>
      </c>
      <c r="B1436" s="1" t="n">
        <v>45188</v>
      </c>
      <c r="C1436" s="1" t="n">
        <v>45361</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44400-2023</t>
        </is>
      </c>
      <c r="B1437" s="1" t="n">
        <v>45189</v>
      </c>
      <c r="C1437" s="1" t="n">
        <v>45361</v>
      </c>
      <c r="D1437" t="inlineStr">
        <is>
          <t>JÄMTLANDS LÄN</t>
        </is>
      </c>
      <c r="E1437" t="inlineStr">
        <is>
          <t>BRÄCKE</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44399-2023</t>
        </is>
      </c>
      <c r="B1438" s="1" t="n">
        <v>45189</v>
      </c>
      <c r="C1438" s="1" t="n">
        <v>45361</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44403-2023</t>
        </is>
      </c>
      <c r="B1439" s="1" t="n">
        <v>45189</v>
      </c>
      <c r="C1439" s="1" t="n">
        <v>45361</v>
      </c>
      <c r="D1439" t="inlineStr">
        <is>
          <t>JÄMTLANDS LÄN</t>
        </is>
      </c>
      <c r="E1439" t="inlineStr">
        <is>
          <t>BRÄCKE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44358-2023</t>
        </is>
      </c>
      <c r="B1440" s="1" t="n">
        <v>45188</v>
      </c>
      <c r="C1440" s="1" t="n">
        <v>45361</v>
      </c>
      <c r="D1440" t="inlineStr">
        <is>
          <t>JÄMTLANDS LÄN</t>
        </is>
      </c>
      <c r="E1440" t="inlineStr">
        <is>
          <t>BRÄCKE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44693-2023</t>
        </is>
      </c>
      <c r="B1441" s="1" t="n">
        <v>45190</v>
      </c>
      <c r="C1441" s="1" t="n">
        <v>45361</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44694-2023</t>
        </is>
      </c>
      <c r="B1442" s="1" t="n">
        <v>45190</v>
      </c>
      <c r="C1442" s="1" t="n">
        <v>45361</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45019-2023</t>
        </is>
      </c>
      <c r="B1443" s="1" t="n">
        <v>45191</v>
      </c>
      <c r="C1443" s="1" t="n">
        <v>45361</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45002-2023</t>
        </is>
      </c>
      <c r="B1444" s="1" t="n">
        <v>45191</v>
      </c>
      <c r="C1444" s="1" t="n">
        <v>45361</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45010-2023</t>
        </is>
      </c>
      <c r="B1445" s="1" t="n">
        <v>45191</v>
      </c>
      <c r="C1445" s="1" t="n">
        <v>45361</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44989-2023</t>
        </is>
      </c>
      <c r="B1446" s="1" t="n">
        <v>45190</v>
      </c>
      <c r="C1446" s="1" t="n">
        <v>45361</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45005-2023</t>
        </is>
      </c>
      <c r="B1447" s="1" t="n">
        <v>45190</v>
      </c>
      <c r="C1447" s="1" t="n">
        <v>45361</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45009-2023</t>
        </is>
      </c>
      <c r="B1448" s="1" t="n">
        <v>45191</v>
      </c>
      <c r="C1448" s="1" t="n">
        <v>45361</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45013-2023</t>
        </is>
      </c>
      <c r="B1449" s="1" t="n">
        <v>45191</v>
      </c>
      <c r="C1449" s="1" t="n">
        <v>45361</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45028-2023</t>
        </is>
      </c>
      <c r="B1450" s="1" t="n">
        <v>45190</v>
      </c>
      <c r="C1450" s="1" t="n">
        <v>45361</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45029-2023</t>
        </is>
      </c>
      <c r="B1451" s="1" t="n">
        <v>45191</v>
      </c>
      <c r="C1451" s="1" t="n">
        <v>45361</v>
      </c>
      <c r="D1451" t="inlineStr">
        <is>
          <t>JÄMTLANDS LÄN</t>
        </is>
      </c>
      <c r="E1451" t="inlineStr">
        <is>
          <t>BRÄCKE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45337-2023</t>
        </is>
      </c>
      <c r="B1452" s="1" t="n">
        <v>45191</v>
      </c>
      <c r="C1452" s="1" t="n">
        <v>45361</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45345-2023</t>
        </is>
      </c>
      <c r="B1453" s="1" t="n">
        <v>45192</v>
      </c>
      <c r="C1453" s="1" t="n">
        <v>45361</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45344-2023</t>
        </is>
      </c>
      <c r="B1454" s="1" t="n">
        <v>45191</v>
      </c>
      <c r="C1454" s="1" t="n">
        <v>45361</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45334-2023</t>
        </is>
      </c>
      <c r="B1455" s="1" t="n">
        <v>45192</v>
      </c>
      <c r="C1455" s="1" t="n">
        <v>45361</v>
      </c>
      <c r="D1455" t="inlineStr">
        <is>
          <t>JÄMTLANDS LÄN</t>
        </is>
      </c>
      <c r="E1455" t="inlineStr">
        <is>
          <t>BRÄCKE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45342-2023</t>
        </is>
      </c>
      <c r="B1456" s="1" t="n">
        <v>45192</v>
      </c>
      <c r="C1456" s="1" t="n">
        <v>45361</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45370-2023</t>
        </is>
      </c>
      <c r="B1457" s="1" t="n">
        <v>45193</v>
      </c>
      <c r="C1457" s="1" t="n">
        <v>45361</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45369-2023</t>
        </is>
      </c>
      <c r="B1458" s="1" t="n">
        <v>45193</v>
      </c>
      <c r="C1458" s="1" t="n">
        <v>45361</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45577-2023</t>
        </is>
      </c>
      <c r="B1459" s="1" t="n">
        <v>45194</v>
      </c>
      <c r="C1459" s="1" t="n">
        <v>45361</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45937-2023</t>
        </is>
      </c>
      <c r="B1460" s="1" t="n">
        <v>45196</v>
      </c>
      <c r="C1460" s="1" t="n">
        <v>45361</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45950-2023</t>
        </is>
      </c>
      <c r="B1461" s="1" t="n">
        <v>45195</v>
      </c>
      <c r="C1461" s="1" t="n">
        <v>45361</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45963-2023</t>
        </is>
      </c>
      <c r="B1462" s="1" t="n">
        <v>45196</v>
      </c>
      <c r="C1462" s="1" t="n">
        <v>45361</v>
      </c>
      <c r="D1462" t="inlineStr">
        <is>
          <t>JÄMTLANDS LÄN</t>
        </is>
      </c>
      <c r="E1462" t="inlineStr">
        <is>
          <t>BRÄCKE</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46939-2023</t>
        </is>
      </c>
      <c r="B1463" s="1" t="n">
        <v>45195</v>
      </c>
      <c r="C1463" s="1" t="n">
        <v>45361</v>
      </c>
      <c r="D1463" t="inlineStr">
        <is>
          <t>JÄMTLANDS LÄN</t>
        </is>
      </c>
      <c r="E1463" t="inlineStr">
        <is>
          <t>BRÄCKE</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45936-2023</t>
        </is>
      </c>
      <c r="B1464" s="1" t="n">
        <v>45196</v>
      </c>
      <c r="C1464" s="1" t="n">
        <v>45361</v>
      </c>
      <c r="D1464" t="inlineStr">
        <is>
          <t>JÄMTLANDS LÄN</t>
        </is>
      </c>
      <c r="E1464" t="inlineStr">
        <is>
          <t>BRÄCKE</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46952-2023</t>
        </is>
      </c>
      <c r="B1465" s="1" t="n">
        <v>45195</v>
      </c>
      <c r="C1465" s="1" t="n">
        <v>45361</v>
      </c>
      <c r="D1465" t="inlineStr">
        <is>
          <t>JÄMTLANDS LÄN</t>
        </is>
      </c>
      <c r="E1465" t="inlineStr">
        <is>
          <t>BRÄCKE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45951-2023</t>
        </is>
      </c>
      <c r="B1466" s="1" t="n">
        <v>45196</v>
      </c>
      <c r="C1466" s="1" t="n">
        <v>45361</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46274-2023</t>
        </is>
      </c>
      <c r="B1467" s="1" t="n">
        <v>45197</v>
      </c>
      <c r="C1467" s="1" t="n">
        <v>45361</v>
      </c>
      <c r="D1467" t="inlineStr">
        <is>
          <t>JÄMTLANDS LÄN</t>
        </is>
      </c>
      <c r="E1467" t="inlineStr">
        <is>
          <t>BRÄCKE</t>
        </is>
      </c>
      <c r="F1467" t="inlineStr">
        <is>
          <t>Naturvårdsverket</t>
        </is>
      </c>
      <c r="G1467" t="n">
        <v>70.3</v>
      </c>
      <c r="H1467" t="n">
        <v>0</v>
      </c>
      <c r="I1467" t="n">
        <v>0</v>
      </c>
      <c r="J1467" t="n">
        <v>0</v>
      </c>
      <c r="K1467" t="n">
        <v>0</v>
      </c>
      <c r="L1467" t="n">
        <v>0</v>
      </c>
      <c r="M1467" t="n">
        <v>0</v>
      </c>
      <c r="N1467" t="n">
        <v>0</v>
      </c>
      <c r="O1467" t="n">
        <v>0</v>
      </c>
      <c r="P1467" t="n">
        <v>0</v>
      </c>
      <c r="Q1467" t="n">
        <v>0</v>
      </c>
      <c r="R1467" s="2" t="inlineStr"/>
    </row>
    <row r="1468" ht="15" customHeight="1">
      <c r="A1468" t="inlineStr">
        <is>
          <t>A 46257-2023</t>
        </is>
      </c>
      <c r="B1468" s="1" t="n">
        <v>45197</v>
      </c>
      <c r="C1468" s="1" t="n">
        <v>45361</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46273-2023</t>
        </is>
      </c>
      <c r="B1469" s="1" t="n">
        <v>45197</v>
      </c>
      <c r="C1469" s="1" t="n">
        <v>45361</v>
      </c>
      <c r="D1469" t="inlineStr">
        <is>
          <t>JÄMTLANDS LÄN</t>
        </is>
      </c>
      <c r="E1469" t="inlineStr">
        <is>
          <t>BRÄCKE</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46263-2023</t>
        </is>
      </c>
      <c r="B1470" s="1" t="n">
        <v>45196</v>
      </c>
      <c r="C1470" s="1" t="n">
        <v>45361</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46551-2023</t>
        </is>
      </c>
      <c r="B1471" s="1" t="n">
        <v>45198</v>
      </c>
      <c r="C1471" s="1" t="n">
        <v>45361</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46812-2023</t>
        </is>
      </c>
      <c r="B1472" s="1" t="n">
        <v>45198</v>
      </c>
      <c r="C1472" s="1" t="n">
        <v>45361</v>
      </c>
      <c r="D1472" t="inlineStr">
        <is>
          <t>JÄMTLANDS LÄN</t>
        </is>
      </c>
      <c r="E1472" t="inlineStr">
        <is>
          <t>BRÄCKE</t>
        </is>
      </c>
      <c r="F1472" t="inlineStr">
        <is>
          <t>SCA</t>
        </is>
      </c>
      <c r="G1472" t="n">
        <v>17.5</v>
      </c>
      <c r="H1472" t="n">
        <v>0</v>
      </c>
      <c r="I1472" t="n">
        <v>0</v>
      </c>
      <c r="J1472" t="n">
        <v>0</v>
      </c>
      <c r="K1472" t="n">
        <v>0</v>
      </c>
      <c r="L1472" t="n">
        <v>0</v>
      </c>
      <c r="M1472" t="n">
        <v>0</v>
      </c>
      <c r="N1472" t="n">
        <v>0</v>
      </c>
      <c r="O1472" t="n">
        <v>0</v>
      </c>
      <c r="P1472" t="n">
        <v>0</v>
      </c>
      <c r="Q1472" t="n">
        <v>0</v>
      </c>
      <c r="R1472" s="2" t="inlineStr"/>
    </row>
    <row r="1473" ht="15" customHeight="1">
      <c r="A1473" t="inlineStr">
        <is>
          <t>A 46798-2023</t>
        </is>
      </c>
      <c r="B1473" s="1" t="n">
        <v>45198</v>
      </c>
      <c r="C1473" s="1" t="n">
        <v>45361</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46805-2023</t>
        </is>
      </c>
      <c r="B1474" s="1" t="n">
        <v>45198</v>
      </c>
      <c r="C1474" s="1" t="n">
        <v>45361</v>
      </c>
      <c r="D1474" t="inlineStr">
        <is>
          <t>JÄMTLANDS LÄN</t>
        </is>
      </c>
      <c r="E1474" t="inlineStr">
        <is>
          <t>BRÄCKE</t>
        </is>
      </c>
      <c r="F1474" t="inlineStr">
        <is>
          <t>SCA</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46809-2023</t>
        </is>
      </c>
      <c r="B1475" s="1" t="n">
        <v>45199</v>
      </c>
      <c r="C1475" s="1" t="n">
        <v>45361</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46799-2023</t>
        </is>
      </c>
      <c r="B1476" s="1" t="n">
        <v>45198</v>
      </c>
      <c r="C1476" s="1" t="n">
        <v>45361</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46810-2023</t>
        </is>
      </c>
      <c r="B1477" s="1" t="n">
        <v>45199</v>
      </c>
      <c r="C1477" s="1" t="n">
        <v>45361</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46860-2023</t>
        </is>
      </c>
      <c r="B1478" s="1" t="n">
        <v>45200</v>
      </c>
      <c r="C1478" s="1" t="n">
        <v>45361</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47163-2023</t>
        </is>
      </c>
      <c r="B1479" s="1" t="n">
        <v>45202</v>
      </c>
      <c r="C1479" s="1" t="n">
        <v>45361</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47183-2023</t>
        </is>
      </c>
      <c r="B1480" s="1" t="n">
        <v>45201</v>
      </c>
      <c r="C1480" s="1" t="n">
        <v>45361</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c r="U1480">
        <f>HYPERLINK("https://klasma.github.io/Logging_2305/knärot/A 47183-2023 karta knärot.png", "A 47183-2023")</f>
        <v/>
      </c>
      <c r="V1480">
        <f>HYPERLINK("https://klasma.github.io/Logging_2305/klagomål/A 47183-2023 FSC-klagomål.docx", "A 47183-2023")</f>
        <v/>
      </c>
      <c r="W1480">
        <f>HYPERLINK("https://klasma.github.io/Logging_2305/klagomålsmail/A 47183-2023 FSC-klagomål mail.docx", "A 47183-2023")</f>
        <v/>
      </c>
      <c r="X1480">
        <f>HYPERLINK("https://klasma.github.io/Logging_2305/tillsyn/A 47183-2023 tillsynsbegäran.docx", "A 47183-2023")</f>
        <v/>
      </c>
      <c r="Y1480">
        <f>HYPERLINK("https://klasma.github.io/Logging_2305/tillsynsmail/A 47183-2023 tillsynsbegäran mail.docx", "A 47183-2023")</f>
        <v/>
      </c>
    </row>
    <row r="1481" ht="15" customHeight="1">
      <c r="A1481" t="inlineStr">
        <is>
          <t>A 47186-2023</t>
        </is>
      </c>
      <c r="B1481" s="1" t="n">
        <v>45201</v>
      </c>
      <c r="C1481" s="1" t="n">
        <v>45361</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47169-2023</t>
        </is>
      </c>
      <c r="B1482" s="1" t="n">
        <v>45202</v>
      </c>
      <c r="C1482" s="1" t="n">
        <v>45361</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48349-2023</t>
        </is>
      </c>
      <c r="B1483" s="1" t="n">
        <v>45201</v>
      </c>
      <c r="C1483" s="1" t="n">
        <v>45361</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48390-2023</t>
        </is>
      </c>
      <c r="B1484" s="1" t="n">
        <v>45201</v>
      </c>
      <c r="C1484" s="1" t="n">
        <v>45361</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47365-2023</t>
        </is>
      </c>
      <c r="B1485" s="1" t="n">
        <v>45202</v>
      </c>
      <c r="C1485" s="1" t="n">
        <v>45361</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47486-2023</t>
        </is>
      </c>
      <c r="B1486" s="1" t="n">
        <v>45203</v>
      </c>
      <c r="C1486" s="1" t="n">
        <v>45361</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47500-2023</t>
        </is>
      </c>
      <c r="B1487" s="1" t="n">
        <v>45203</v>
      </c>
      <c r="C1487" s="1" t="n">
        <v>45361</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47487-2023</t>
        </is>
      </c>
      <c r="B1488" s="1" t="n">
        <v>45203</v>
      </c>
      <c r="C1488" s="1" t="n">
        <v>45361</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47788-2023</t>
        </is>
      </c>
      <c r="B1489" s="1" t="n">
        <v>45204</v>
      </c>
      <c r="C1489" s="1" t="n">
        <v>45361</v>
      </c>
      <c r="D1489" t="inlineStr">
        <is>
          <t>JÄMTLANDS LÄN</t>
        </is>
      </c>
      <c r="E1489" t="inlineStr">
        <is>
          <t>BRÄCKE</t>
        </is>
      </c>
      <c r="F1489" t="inlineStr">
        <is>
          <t>SCA</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48079-2023</t>
        </is>
      </c>
      <c r="B1490" s="1" t="n">
        <v>45204</v>
      </c>
      <c r="C1490" s="1" t="n">
        <v>45361</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48058-2023</t>
        </is>
      </c>
      <c r="B1491" s="1" t="n">
        <v>45205</v>
      </c>
      <c r="C1491" s="1" t="n">
        <v>45361</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48064-2023</t>
        </is>
      </c>
      <c r="B1492" s="1" t="n">
        <v>45204</v>
      </c>
      <c r="C1492" s="1" t="n">
        <v>45361</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48068-2023</t>
        </is>
      </c>
      <c r="B1493" s="1" t="n">
        <v>45205</v>
      </c>
      <c r="C1493" s="1" t="n">
        <v>45361</v>
      </c>
      <c r="D1493" t="inlineStr">
        <is>
          <t>JÄMTLANDS LÄN</t>
        </is>
      </c>
      <c r="E1493" t="inlineStr">
        <is>
          <t>BRÄCKE</t>
        </is>
      </c>
      <c r="F1493" t="inlineStr">
        <is>
          <t>SCA</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48080-2023</t>
        </is>
      </c>
      <c r="B1494" s="1" t="n">
        <v>45205</v>
      </c>
      <c r="C1494" s="1" t="n">
        <v>45361</v>
      </c>
      <c r="D1494" t="inlineStr">
        <is>
          <t>JÄMTLANDS LÄN</t>
        </is>
      </c>
      <c r="E1494" t="inlineStr">
        <is>
          <t>BRÄCKE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49085-2023</t>
        </is>
      </c>
      <c r="B1495" s="1" t="n">
        <v>45204</v>
      </c>
      <c r="C1495" s="1" t="n">
        <v>45361</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48159-2023</t>
        </is>
      </c>
      <c r="B1496" s="1" t="n">
        <v>45205</v>
      </c>
      <c r="C1496" s="1" t="n">
        <v>45361</v>
      </c>
      <c r="D1496" t="inlineStr">
        <is>
          <t>JÄMTLANDS LÄN</t>
        </is>
      </c>
      <c r="E1496" t="inlineStr">
        <is>
          <t>BRÄCKE</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48434-2023</t>
        </is>
      </c>
      <c r="B1497" s="1" t="n">
        <v>45205</v>
      </c>
      <c r="C1497" s="1" t="n">
        <v>45361</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48419-2023</t>
        </is>
      </c>
      <c r="B1498" s="1" t="n">
        <v>45205</v>
      </c>
      <c r="C1498" s="1" t="n">
        <v>45361</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48433-2023</t>
        </is>
      </c>
      <c r="B1499" s="1" t="n">
        <v>45205</v>
      </c>
      <c r="C1499" s="1" t="n">
        <v>45361</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48432-2023</t>
        </is>
      </c>
      <c r="B1500" s="1" t="n">
        <v>45205</v>
      </c>
      <c r="C1500" s="1" t="n">
        <v>45361</v>
      </c>
      <c r="D1500" t="inlineStr">
        <is>
          <t>JÄMTLANDS LÄN</t>
        </is>
      </c>
      <c r="E1500" t="inlineStr">
        <is>
          <t>BRÄCKE</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48425-2023</t>
        </is>
      </c>
      <c r="B1501" s="1" t="n">
        <v>45205</v>
      </c>
      <c r="C1501" s="1" t="n">
        <v>45361</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48435-2023</t>
        </is>
      </c>
      <c r="B1502" s="1" t="n">
        <v>45205</v>
      </c>
      <c r="C1502" s="1" t="n">
        <v>45361</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48482-2023</t>
        </is>
      </c>
      <c r="B1503" s="1" t="n">
        <v>45207</v>
      </c>
      <c r="C1503" s="1" t="n">
        <v>45361</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48473-2023</t>
        </is>
      </c>
      <c r="B1504" s="1" t="n">
        <v>45207</v>
      </c>
      <c r="C1504" s="1" t="n">
        <v>45361</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48481-2023</t>
        </is>
      </c>
      <c r="B1505" s="1" t="n">
        <v>45206</v>
      </c>
      <c r="C1505" s="1" t="n">
        <v>45361</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48480-2023</t>
        </is>
      </c>
      <c r="B1506" s="1" t="n">
        <v>45207</v>
      </c>
      <c r="C1506" s="1" t="n">
        <v>45361</v>
      </c>
      <c r="D1506" t="inlineStr">
        <is>
          <t>JÄMTLANDS LÄN</t>
        </is>
      </c>
      <c r="E1506" t="inlineStr">
        <is>
          <t>BRÄCKE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48507-2023</t>
        </is>
      </c>
      <c r="B1507" s="1" t="n">
        <v>45208</v>
      </c>
      <c r="C1507" s="1" t="n">
        <v>45361</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48509-2023</t>
        </is>
      </c>
      <c r="B1508" s="1" t="n">
        <v>45207</v>
      </c>
      <c r="C1508" s="1" t="n">
        <v>45361</v>
      </c>
      <c r="D1508" t="inlineStr">
        <is>
          <t>JÄMTLANDS LÄN</t>
        </is>
      </c>
      <c r="E1508" t="inlineStr">
        <is>
          <t>BRÄCKE</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48672-2023</t>
        </is>
      </c>
      <c r="B1509" s="1" t="n">
        <v>45208</v>
      </c>
      <c r="C1509" s="1" t="n">
        <v>45361</v>
      </c>
      <c r="D1509" t="inlineStr">
        <is>
          <t>JÄMTLANDS LÄN</t>
        </is>
      </c>
      <c r="E1509" t="inlineStr">
        <is>
          <t>BRÄCKE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48770-2023</t>
        </is>
      </c>
      <c r="B1510" s="1" t="n">
        <v>45209</v>
      </c>
      <c r="C1510" s="1" t="n">
        <v>45361</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48779-2023</t>
        </is>
      </c>
      <c r="B1511" s="1" t="n">
        <v>45209</v>
      </c>
      <c r="C1511" s="1" t="n">
        <v>45361</v>
      </c>
      <c r="D1511" t="inlineStr">
        <is>
          <t>JÄMTLANDS LÄN</t>
        </is>
      </c>
      <c r="E1511" t="inlineStr">
        <is>
          <t>BRÄCKE</t>
        </is>
      </c>
      <c r="F1511" t="inlineStr">
        <is>
          <t>Naturvårdsverket</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48781-2023</t>
        </is>
      </c>
      <c r="B1512" s="1" t="n">
        <v>45209</v>
      </c>
      <c r="C1512" s="1" t="n">
        <v>45361</v>
      </c>
      <c r="D1512" t="inlineStr">
        <is>
          <t>JÄMTLANDS LÄN</t>
        </is>
      </c>
      <c r="E1512" t="inlineStr">
        <is>
          <t>BRÄCKE</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50151-2023</t>
        </is>
      </c>
      <c r="B1513" s="1" t="n">
        <v>45208</v>
      </c>
      <c r="C1513" s="1" t="n">
        <v>45361</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48900-2023</t>
        </is>
      </c>
      <c r="B1514" s="1" t="n">
        <v>45209</v>
      </c>
      <c r="C1514" s="1" t="n">
        <v>45361</v>
      </c>
      <c r="D1514" t="inlineStr">
        <is>
          <t>JÄMTLANDS LÄN</t>
        </is>
      </c>
      <c r="E1514" t="inlineStr">
        <is>
          <t>BRÄCKE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49035-2023</t>
        </is>
      </c>
      <c r="B1515" s="1" t="n">
        <v>45210</v>
      </c>
      <c r="C1515" s="1" t="n">
        <v>45361</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49043-2023</t>
        </is>
      </c>
      <c r="B1516" s="1" t="n">
        <v>45210</v>
      </c>
      <c r="C1516" s="1" t="n">
        <v>45361</v>
      </c>
      <c r="D1516" t="inlineStr">
        <is>
          <t>JÄMTLANDS LÄN</t>
        </is>
      </c>
      <c r="E1516" t="inlineStr">
        <is>
          <t>BRÄCKE</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49044-2023</t>
        </is>
      </c>
      <c r="B1517" s="1" t="n">
        <v>45209</v>
      </c>
      <c r="C1517" s="1" t="n">
        <v>45361</v>
      </c>
      <c r="D1517" t="inlineStr">
        <is>
          <t>JÄMTLANDS LÄN</t>
        </is>
      </c>
      <c r="E1517" t="inlineStr">
        <is>
          <t>BRÄCKE</t>
        </is>
      </c>
      <c r="F1517" t="inlineStr">
        <is>
          <t>SCA</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49034-2023</t>
        </is>
      </c>
      <c r="B1518" s="1" t="n">
        <v>45210</v>
      </c>
      <c r="C1518" s="1" t="n">
        <v>45361</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49042-2023</t>
        </is>
      </c>
      <c r="B1519" s="1" t="n">
        <v>45210</v>
      </c>
      <c r="C1519" s="1" t="n">
        <v>45361</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49037-2023</t>
        </is>
      </c>
      <c r="B1520" s="1" t="n">
        <v>45210</v>
      </c>
      <c r="C1520" s="1" t="n">
        <v>45361</v>
      </c>
      <c r="D1520" t="inlineStr">
        <is>
          <t>JÄMTLANDS LÄN</t>
        </is>
      </c>
      <c r="E1520" t="inlineStr">
        <is>
          <t>BRÄCKE</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49326-2023</t>
        </is>
      </c>
      <c r="B1521" s="1" t="n">
        <v>45211</v>
      </c>
      <c r="C1521" s="1" t="n">
        <v>45361</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49330-2023</t>
        </is>
      </c>
      <c r="B1522" s="1" t="n">
        <v>45211</v>
      </c>
      <c r="C1522" s="1" t="n">
        <v>45361</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49315-2023</t>
        </is>
      </c>
      <c r="B1523" s="1" t="n">
        <v>45210</v>
      </c>
      <c r="C1523" s="1" t="n">
        <v>45361</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49316-2023</t>
        </is>
      </c>
      <c r="B1524" s="1" t="n">
        <v>45211</v>
      </c>
      <c r="C1524" s="1" t="n">
        <v>45361</v>
      </c>
      <c r="D1524" t="inlineStr">
        <is>
          <t>JÄMTLANDS LÄN</t>
        </is>
      </c>
      <c r="E1524" t="inlineStr">
        <is>
          <t>BRÄCKE</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49328-2023</t>
        </is>
      </c>
      <c r="B1525" s="1" t="n">
        <v>45210</v>
      </c>
      <c r="C1525" s="1" t="n">
        <v>45361</v>
      </c>
      <c r="D1525" t="inlineStr">
        <is>
          <t>JÄMTLANDS LÄN</t>
        </is>
      </c>
      <c r="E1525" t="inlineStr">
        <is>
          <t>BRÄCKE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49646-2023</t>
        </is>
      </c>
      <c r="B1526" s="1" t="n">
        <v>45211</v>
      </c>
      <c r="C1526" s="1" t="n">
        <v>45361</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49653-2023</t>
        </is>
      </c>
      <c r="B1527" s="1" t="n">
        <v>45211</v>
      </c>
      <c r="C1527" s="1" t="n">
        <v>45361</v>
      </c>
      <c r="D1527" t="inlineStr">
        <is>
          <t>JÄMTLANDS LÄN</t>
        </is>
      </c>
      <c r="E1527" t="inlineStr">
        <is>
          <t>BRÄCKE</t>
        </is>
      </c>
      <c r="F1527" t="inlineStr">
        <is>
          <t>SCA</t>
        </is>
      </c>
      <c r="G1527" t="n">
        <v>66.7</v>
      </c>
      <c r="H1527" t="n">
        <v>0</v>
      </c>
      <c r="I1527" t="n">
        <v>0</v>
      </c>
      <c r="J1527" t="n">
        <v>0</v>
      </c>
      <c r="K1527" t="n">
        <v>0</v>
      </c>
      <c r="L1527" t="n">
        <v>0</v>
      </c>
      <c r="M1527" t="n">
        <v>0</v>
      </c>
      <c r="N1527" t="n">
        <v>0</v>
      </c>
      <c r="O1527" t="n">
        <v>0</v>
      </c>
      <c r="P1527" t="n">
        <v>0</v>
      </c>
      <c r="Q1527" t="n">
        <v>0</v>
      </c>
      <c r="R1527" s="2" t="inlineStr"/>
    </row>
    <row r="1528" ht="15" customHeight="1">
      <c r="A1528" t="inlineStr">
        <is>
          <t>A 49864-2023</t>
        </is>
      </c>
      <c r="B1528" s="1" t="n">
        <v>45212</v>
      </c>
      <c r="C1528" s="1" t="n">
        <v>45361</v>
      </c>
      <c r="D1528" t="inlineStr">
        <is>
          <t>JÄMTLANDS LÄN</t>
        </is>
      </c>
      <c r="E1528" t="inlineStr">
        <is>
          <t>BRÄCKE</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51140-2023</t>
        </is>
      </c>
      <c r="B1529" s="1" t="n">
        <v>45212</v>
      </c>
      <c r="C1529" s="1" t="n">
        <v>45361</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50222-2023</t>
        </is>
      </c>
      <c r="B1530" s="1" t="n">
        <v>45216</v>
      </c>
      <c r="C1530" s="1" t="n">
        <v>45361</v>
      </c>
      <c r="D1530" t="inlineStr">
        <is>
          <t>JÄMTLANDS LÄN</t>
        </is>
      </c>
      <c r="E1530" t="inlineStr">
        <is>
          <t>BRÄCKE</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50060-2023</t>
        </is>
      </c>
      <c r="B1531" s="1" t="n">
        <v>45215</v>
      </c>
      <c r="C1531" s="1" t="n">
        <v>45361</v>
      </c>
      <c r="D1531" t="inlineStr">
        <is>
          <t>JÄMTLANDS LÄN</t>
        </is>
      </c>
      <c r="E1531" t="inlineStr">
        <is>
          <t>BRÄCKE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50223-2023</t>
        </is>
      </c>
      <c r="B1532" s="1" t="n">
        <v>45216</v>
      </c>
      <c r="C1532" s="1" t="n">
        <v>45361</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50221-2023</t>
        </is>
      </c>
      <c r="B1533" s="1" t="n">
        <v>45216</v>
      </c>
      <c r="C1533" s="1" t="n">
        <v>45361</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50220-2023</t>
        </is>
      </c>
      <c r="B1534" s="1" t="n">
        <v>45215</v>
      </c>
      <c r="C1534" s="1" t="n">
        <v>45361</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50515-2023</t>
        </is>
      </c>
      <c r="B1535" s="1" t="n">
        <v>45216</v>
      </c>
      <c r="C1535" s="1" t="n">
        <v>45361</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50514-2023</t>
        </is>
      </c>
      <c r="B1536" s="1" t="n">
        <v>45217</v>
      </c>
      <c r="C1536" s="1" t="n">
        <v>45361</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50513-2023</t>
        </is>
      </c>
      <c r="B1537" s="1" t="n">
        <v>45216</v>
      </c>
      <c r="C1537" s="1" t="n">
        <v>45361</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50609-2023</t>
        </is>
      </c>
      <c r="B1538" s="1" t="n">
        <v>45217</v>
      </c>
      <c r="C1538" s="1" t="n">
        <v>45361</v>
      </c>
      <c r="D1538" t="inlineStr">
        <is>
          <t>JÄMTLANDS LÄN</t>
        </is>
      </c>
      <c r="E1538" t="inlineStr">
        <is>
          <t>BRÄCKE</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50637-2023</t>
        </is>
      </c>
      <c r="B1539" s="1" t="n">
        <v>45217</v>
      </c>
      <c r="C1539" s="1" t="n">
        <v>45361</v>
      </c>
      <c r="D1539" t="inlineStr">
        <is>
          <t>JÄMTLANDS LÄN</t>
        </is>
      </c>
      <c r="E1539" t="inlineStr">
        <is>
          <t>BRÄCKE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50837-2023</t>
        </is>
      </c>
      <c r="B1540" s="1" t="n">
        <v>45217</v>
      </c>
      <c r="C1540" s="1" t="n">
        <v>45361</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50827-2023</t>
        </is>
      </c>
      <c r="B1541" s="1" t="n">
        <v>45218</v>
      </c>
      <c r="C1541" s="1" t="n">
        <v>45361</v>
      </c>
      <c r="D1541" t="inlineStr">
        <is>
          <t>JÄMTLANDS LÄN</t>
        </is>
      </c>
      <c r="E1541" t="inlineStr">
        <is>
          <t>BRÄCKE</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50828-2023</t>
        </is>
      </c>
      <c r="B1542" s="1" t="n">
        <v>45218</v>
      </c>
      <c r="C1542" s="1" t="n">
        <v>45361</v>
      </c>
      <c r="D1542" t="inlineStr">
        <is>
          <t>JÄMTLANDS LÄN</t>
        </is>
      </c>
      <c r="E1542" t="inlineStr">
        <is>
          <t>BRÄCKE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50836-2023</t>
        </is>
      </c>
      <c r="B1543" s="1" t="n">
        <v>45217</v>
      </c>
      <c r="C1543" s="1" t="n">
        <v>45361</v>
      </c>
      <c r="D1543" t="inlineStr">
        <is>
          <t>JÄMTLANDS LÄN</t>
        </is>
      </c>
      <c r="E1543" t="inlineStr">
        <is>
          <t>BRÄCKE</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50840-2023</t>
        </is>
      </c>
      <c r="B1544" s="1" t="n">
        <v>45217</v>
      </c>
      <c r="C1544" s="1" t="n">
        <v>45361</v>
      </c>
      <c r="D1544" t="inlineStr">
        <is>
          <t>JÄMTLANDS LÄN</t>
        </is>
      </c>
      <c r="E1544" t="inlineStr">
        <is>
          <t>BRÄCKE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52269-2023</t>
        </is>
      </c>
      <c r="B1545" s="1" t="n">
        <v>45217</v>
      </c>
      <c r="C1545" s="1" t="n">
        <v>45361</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51029-2023</t>
        </is>
      </c>
      <c r="B1546" s="1" t="n">
        <v>45218</v>
      </c>
      <c r="C1546" s="1" t="n">
        <v>45361</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v>
      </c>
      <c r="C1547" s="1" t="n">
        <v>45361</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51039-2023</t>
        </is>
      </c>
      <c r="B1548" s="1" t="n">
        <v>45218</v>
      </c>
      <c r="C1548" s="1" t="n">
        <v>45361</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51161-2023</t>
        </is>
      </c>
      <c r="B1549" s="1" t="n">
        <v>45219</v>
      </c>
      <c r="C1549" s="1" t="n">
        <v>45361</v>
      </c>
      <c r="D1549" t="inlineStr">
        <is>
          <t>JÄMTLANDS LÄN</t>
        </is>
      </c>
      <c r="E1549" t="inlineStr">
        <is>
          <t>BRÄCKE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51421-2023</t>
        </is>
      </c>
      <c r="B1550" s="1" t="n">
        <v>45219</v>
      </c>
      <c r="C1550" s="1" t="n">
        <v>45361</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51433-2023</t>
        </is>
      </c>
      <c r="B1551" s="1" t="n">
        <v>45220</v>
      </c>
      <c r="C1551" s="1" t="n">
        <v>45361</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51441-2023</t>
        </is>
      </c>
      <c r="B1552" s="1" t="n">
        <v>45220</v>
      </c>
      <c r="C1552" s="1" t="n">
        <v>45361</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51424-2023</t>
        </is>
      </c>
      <c r="B1553" s="1" t="n">
        <v>45220</v>
      </c>
      <c r="C1553" s="1" t="n">
        <v>45361</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51432-2023</t>
        </is>
      </c>
      <c r="B1554" s="1" t="n">
        <v>45220</v>
      </c>
      <c r="C1554" s="1" t="n">
        <v>45361</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51440-2023</t>
        </is>
      </c>
      <c r="B1555" s="1" t="n">
        <v>45220</v>
      </c>
      <c r="C1555" s="1" t="n">
        <v>45361</v>
      </c>
      <c r="D1555" t="inlineStr">
        <is>
          <t>JÄMTLANDS LÄN</t>
        </is>
      </c>
      <c r="E1555" t="inlineStr">
        <is>
          <t>BRÄCKE</t>
        </is>
      </c>
      <c r="F1555" t="inlineStr">
        <is>
          <t>SCA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51431-2023</t>
        </is>
      </c>
      <c r="B1556" s="1" t="n">
        <v>45220</v>
      </c>
      <c r="C1556" s="1" t="n">
        <v>45361</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51423-2023</t>
        </is>
      </c>
      <c r="B1557" s="1" t="n">
        <v>45220</v>
      </c>
      <c r="C1557" s="1" t="n">
        <v>45361</v>
      </c>
      <c r="D1557" t="inlineStr">
        <is>
          <t>JÄMTLANDS LÄN</t>
        </is>
      </c>
      <c r="E1557" t="inlineStr">
        <is>
          <t>BRÄCKE</t>
        </is>
      </c>
      <c r="F1557" t="inlineStr">
        <is>
          <t>SCA</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51167-2023</t>
        </is>
      </c>
      <c r="B1558" s="1" t="n">
        <v>45219</v>
      </c>
      <c r="C1558" s="1" t="n">
        <v>45361</v>
      </c>
      <c r="D1558" t="inlineStr">
        <is>
          <t>JÄMTLANDS LÄN</t>
        </is>
      </c>
      <c r="E1558" t="inlineStr">
        <is>
          <t>BRÄCKE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51422-2023</t>
        </is>
      </c>
      <c r="B1559" s="1" t="n">
        <v>45219</v>
      </c>
      <c r="C1559" s="1" t="n">
        <v>45361</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51434-2023</t>
        </is>
      </c>
      <c r="B1560" s="1" t="n">
        <v>45220</v>
      </c>
      <c r="C1560" s="1" t="n">
        <v>45361</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51808-2023</t>
        </is>
      </c>
      <c r="B1561" s="1" t="n">
        <v>45222</v>
      </c>
      <c r="C1561" s="1" t="n">
        <v>45361</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51809-2023</t>
        </is>
      </c>
      <c r="B1562" s="1" t="n">
        <v>45223</v>
      </c>
      <c r="C1562" s="1" t="n">
        <v>45361</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51821-2023</t>
        </is>
      </c>
      <c r="B1563" s="1" t="n">
        <v>45222</v>
      </c>
      <c r="C1563" s="1" t="n">
        <v>45361</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51832-2023</t>
        </is>
      </c>
      <c r="B1564" s="1" t="n">
        <v>45223</v>
      </c>
      <c r="C1564" s="1" t="n">
        <v>45361</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45223</v>
      </c>
      <c r="C1565" s="1" t="n">
        <v>45361</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53027-2023</t>
        </is>
      </c>
      <c r="B1566" s="1" t="n">
        <v>45222</v>
      </c>
      <c r="C1566" s="1" t="n">
        <v>45361</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52124-2023</t>
        </is>
      </c>
      <c r="B1567" s="1" t="n">
        <v>45224</v>
      </c>
      <c r="C1567" s="1" t="n">
        <v>45361</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52127-2023</t>
        </is>
      </c>
      <c r="B1568" s="1" t="n">
        <v>45224</v>
      </c>
      <c r="C1568" s="1" t="n">
        <v>45361</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52133-2023</t>
        </is>
      </c>
      <c r="B1569" s="1" t="n">
        <v>45224</v>
      </c>
      <c r="C1569" s="1" t="n">
        <v>45361</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52137-2023</t>
        </is>
      </c>
      <c r="B1570" s="1" t="n">
        <v>45224</v>
      </c>
      <c r="C1570" s="1" t="n">
        <v>45361</v>
      </c>
      <c r="D1570" t="inlineStr">
        <is>
          <t>JÄMTLANDS LÄN</t>
        </is>
      </c>
      <c r="E1570" t="inlineStr">
        <is>
          <t>BRÄCKE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45361</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53480-2023</t>
        </is>
      </c>
      <c r="B1572" s="1" t="n">
        <v>45223</v>
      </c>
      <c r="C1572" s="1" t="n">
        <v>45361</v>
      </c>
      <c r="D1572" t="inlineStr">
        <is>
          <t>JÄMTLANDS LÄN</t>
        </is>
      </c>
      <c r="E1572" t="inlineStr">
        <is>
          <t>BRÄCKE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52723-2023</t>
        </is>
      </c>
      <c r="B1573" s="1" t="n">
        <v>45225</v>
      </c>
      <c r="C1573" s="1" t="n">
        <v>45361</v>
      </c>
      <c r="D1573" t="inlineStr">
        <is>
          <t>JÄMTLANDS LÄN</t>
        </is>
      </c>
      <c r="E1573" t="inlineStr">
        <is>
          <t>BRÄCKE</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52760-2023</t>
        </is>
      </c>
      <c r="B1574" s="1" t="n">
        <v>45225</v>
      </c>
      <c r="C1574" s="1" t="n">
        <v>45361</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52761-2023</t>
        </is>
      </c>
      <c r="B1575" s="1" t="n">
        <v>45225</v>
      </c>
      <c r="C1575" s="1" t="n">
        <v>45361</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52754-2023</t>
        </is>
      </c>
      <c r="B1576" s="1" t="n">
        <v>45226</v>
      </c>
      <c r="C1576" s="1" t="n">
        <v>45361</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52739-2023</t>
        </is>
      </c>
      <c r="B1577" s="1" t="n">
        <v>45225</v>
      </c>
      <c r="C1577" s="1" t="n">
        <v>45361</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52743-2023</t>
        </is>
      </c>
      <c r="B1578" s="1" t="n">
        <v>45226</v>
      </c>
      <c r="C1578" s="1" t="n">
        <v>45361</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53054-2023</t>
        </is>
      </c>
      <c r="B1579" s="1" t="n">
        <v>45227</v>
      </c>
      <c r="C1579" s="1" t="n">
        <v>45361</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45227</v>
      </c>
      <c r="C1580" s="1" t="n">
        <v>45361</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53047-2023</t>
        </is>
      </c>
      <c r="B1581" s="1" t="n">
        <v>45227</v>
      </c>
      <c r="C1581" s="1" t="n">
        <v>45361</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53760-2023</t>
        </is>
      </c>
      <c r="B1582" s="1" t="n">
        <v>45230</v>
      </c>
      <c r="C1582" s="1" t="n">
        <v>45361</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53555-2023</t>
        </is>
      </c>
      <c r="B1583" s="1" t="n">
        <v>45230</v>
      </c>
      <c r="C1583" s="1" t="n">
        <v>45361</v>
      </c>
      <c r="D1583" t="inlineStr">
        <is>
          <t>JÄMTLANDS LÄN</t>
        </is>
      </c>
      <c r="E1583" t="inlineStr">
        <is>
          <t>BRÄCKE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53761-2023</t>
        </is>
      </c>
      <c r="B1584" s="1" t="n">
        <v>45231</v>
      </c>
      <c r="C1584" s="1" t="n">
        <v>45361</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54070-2023</t>
        </is>
      </c>
      <c r="B1585" s="1" t="n">
        <v>45232</v>
      </c>
      <c r="C1585" s="1" t="n">
        <v>45361</v>
      </c>
      <c r="D1585" t="inlineStr">
        <is>
          <t>JÄMTLANDS LÄN</t>
        </is>
      </c>
      <c r="E1585" t="inlineStr">
        <is>
          <t>BRÄCKE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54074-2023</t>
        </is>
      </c>
      <c r="B1586" s="1" t="n">
        <v>45232</v>
      </c>
      <c r="C1586" s="1" t="n">
        <v>45361</v>
      </c>
      <c r="D1586" t="inlineStr">
        <is>
          <t>JÄMTLANDS LÄN</t>
        </is>
      </c>
      <c r="E1586" t="inlineStr">
        <is>
          <t>BRÄCKE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54072-2023</t>
        </is>
      </c>
      <c r="B1587" s="1" t="n">
        <v>45231</v>
      </c>
      <c r="C1587" s="1" t="n">
        <v>45361</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55242-2023</t>
        </is>
      </c>
      <c r="B1588" s="1" t="n">
        <v>45231</v>
      </c>
      <c r="C1588" s="1" t="n">
        <v>45361</v>
      </c>
      <c r="D1588" t="inlineStr">
        <is>
          <t>JÄMTLANDS LÄN</t>
        </is>
      </c>
      <c r="E1588" t="inlineStr">
        <is>
          <t>BRÄCKE</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54073-2023</t>
        </is>
      </c>
      <c r="B1589" s="1" t="n">
        <v>45231</v>
      </c>
      <c r="C1589" s="1" t="n">
        <v>45361</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54334-2023</t>
        </is>
      </c>
      <c r="B1590" s="1" t="n">
        <v>45232</v>
      </c>
      <c r="C1590" s="1" t="n">
        <v>45361</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54355-2023</t>
        </is>
      </c>
      <c r="B1591" s="1" t="n">
        <v>45233</v>
      </c>
      <c r="C1591" s="1" t="n">
        <v>45361</v>
      </c>
      <c r="D1591" t="inlineStr">
        <is>
          <t>JÄMTLANDS LÄN</t>
        </is>
      </c>
      <c r="E1591" t="inlineStr">
        <is>
          <t>BRÄCKE</t>
        </is>
      </c>
      <c r="F1591" t="inlineStr">
        <is>
          <t>Kyrkan</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54350-2023</t>
        </is>
      </c>
      <c r="B1592" s="1" t="n">
        <v>45232</v>
      </c>
      <c r="C1592" s="1" t="n">
        <v>45361</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54328-2023</t>
        </is>
      </c>
      <c r="B1593" s="1" t="n">
        <v>45232</v>
      </c>
      <c r="C1593" s="1" t="n">
        <v>45361</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54332-2023</t>
        </is>
      </c>
      <c r="B1594" s="1" t="n">
        <v>45232</v>
      </c>
      <c r="C1594" s="1" t="n">
        <v>45361</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54331-2023</t>
        </is>
      </c>
      <c r="B1595" s="1" t="n">
        <v>45232</v>
      </c>
      <c r="C1595" s="1" t="n">
        <v>45361</v>
      </c>
      <c r="D1595" t="inlineStr">
        <is>
          <t>JÄMTLANDS LÄN</t>
        </is>
      </c>
      <c r="E1595" t="inlineStr">
        <is>
          <t>BRÄCKE</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54335-2023</t>
        </is>
      </c>
      <c r="B1596" s="1" t="n">
        <v>45232</v>
      </c>
      <c r="C1596" s="1" t="n">
        <v>45361</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54352-2023</t>
        </is>
      </c>
      <c r="B1597" s="1" t="n">
        <v>45233</v>
      </c>
      <c r="C1597" s="1" t="n">
        <v>45361</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55548-2023</t>
        </is>
      </c>
      <c r="B1598" s="1" t="n">
        <v>45232</v>
      </c>
      <c r="C1598" s="1" t="n">
        <v>45361</v>
      </c>
      <c r="D1598" t="inlineStr">
        <is>
          <t>JÄMTLANDS LÄN</t>
        </is>
      </c>
      <c r="E1598" t="inlineStr">
        <is>
          <t>BRÄCKE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54612-2023</t>
        </is>
      </c>
      <c r="B1599" s="1" t="n">
        <v>45233</v>
      </c>
      <c r="C1599" s="1" t="n">
        <v>45361</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54460-2023</t>
        </is>
      </c>
      <c r="B1600" s="1" t="n">
        <v>45233</v>
      </c>
      <c r="C1600" s="1" t="n">
        <v>45361</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v>
      </c>
      <c r="C1601" s="1" t="n">
        <v>45361</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54447-2023</t>
        </is>
      </c>
      <c r="B1602" s="1" t="n">
        <v>45233</v>
      </c>
      <c r="C1602" s="1" t="n">
        <v>45361</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54451-2023</t>
        </is>
      </c>
      <c r="B1603" s="1" t="n">
        <v>45233</v>
      </c>
      <c r="C1603" s="1" t="n">
        <v>45361</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54986-2023</t>
        </is>
      </c>
      <c r="B1604" s="1" t="n">
        <v>45237</v>
      </c>
      <c r="C1604" s="1" t="n">
        <v>45361</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v>
      </c>
      <c r="C1605" s="1" t="n">
        <v>45361</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54949-2023</t>
        </is>
      </c>
      <c r="B1606" s="1" t="n">
        <v>45236</v>
      </c>
      <c r="C1606" s="1" t="n">
        <v>45361</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56499-2023</t>
        </is>
      </c>
      <c r="B1607" s="1" t="n">
        <v>45237</v>
      </c>
      <c r="C1607" s="1" t="n">
        <v>45361</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55665-2023</t>
        </is>
      </c>
      <c r="B1608" s="1" t="n">
        <v>45239</v>
      </c>
      <c r="C1608" s="1" t="n">
        <v>45361</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55662-2023</t>
        </is>
      </c>
      <c r="B1609" s="1" t="n">
        <v>45239</v>
      </c>
      <c r="C1609" s="1" t="n">
        <v>45361</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55668-2023</t>
        </is>
      </c>
      <c r="B1610" s="1" t="n">
        <v>45238</v>
      </c>
      <c r="C1610" s="1" t="n">
        <v>45361</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55659-2023</t>
        </is>
      </c>
      <c r="B1611" s="1" t="n">
        <v>45239</v>
      </c>
      <c r="C1611" s="1" t="n">
        <v>45361</v>
      </c>
      <c r="D1611" t="inlineStr">
        <is>
          <t>JÄMTLANDS LÄN</t>
        </is>
      </c>
      <c r="E1611" t="inlineStr">
        <is>
          <t>BRÄCKE</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55663-2023</t>
        </is>
      </c>
      <c r="B1612" s="1" t="n">
        <v>45239</v>
      </c>
      <c r="C1612" s="1" t="n">
        <v>45361</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55667-2023</t>
        </is>
      </c>
      <c r="B1613" s="1" t="n">
        <v>45239</v>
      </c>
      <c r="C1613" s="1" t="n">
        <v>45361</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56253-2023</t>
        </is>
      </c>
      <c r="B1614" s="1" t="n">
        <v>45240</v>
      </c>
      <c r="C1614" s="1" t="n">
        <v>45361</v>
      </c>
      <c r="D1614" t="inlineStr">
        <is>
          <t>JÄMTLANDS LÄN</t>
        </is>
      </c>
      <c r="E1614" t="inlineStr">
        <is>
          <t>BRÄCKE</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56688-2023</t>
        </is>
      </c>
      <c r="B1615" s="1" t="n">
        <v>45244</v>
      </c>
      <c r="C1615" s="1" t="n">
        <v>45361</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56686-2023</t>
        </is>
      </c>
      <c r="B1616" s="1" t="n">
        <v>45244</v>
      </c>
      <c r="C1616" s="1" t="n">
        <v>45361</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56690-2023</t>
        </is>
      </c>
      <c r="B1617" s="1" t="n">
        <v>45244</v>
      </c>
      <c r="C1617" s="1" t="n">
        <v>45361</v>
      </c>
      <c r="D1617" t="inlineStr">
        <is>
          <t>JÄMTLANDS LÄN</t>
        </is>
      </c>
      <c r="E1617" t="inlineStr">
        <is>
          <t>BRÄCKE</t>
        </is>
      </c>
      <c r="G1617" t="n">
        <v>24.3</v>
      </c>
      <c r="H1617" t="n">
        <v>0</v>
      </c>
      <c r="I1617" t="n">
        <v>0</v>
      </c>
      <c r="J1617" t="n">
        <v>0</v>
      </c>
      <c r="K1617" t="n">
        <v>0</v>
      </c>
      <c r="L1617" t="n">
        <v>0</v>
      </c>
      <c r="M1617" t="n">
        <v>0</v>
      </c>
      <c r="N1617" t="n">
        <v>0</v>
      </c>
      <c r="O1617" t="n">
        <v>0</v>
      </c>
      <c r="P1617" t="n">
        <v>0</v>
      </c>
      <c r="Q1617" t="n">
        <v>0</v>
      </c>
      <c r="R1617" s="2" t="inlineStr"/>
    </row>
    <row r="1618" ht="15" customHeight="1">
      <c r="A1618" t="inlineStr">
        <is>
          <t>A 56525-2023</t>
        </is>
      </c>
      <c r="B1618" s="1" t="n">
        <v>45243</v>
      </c>
      <c r="C1618" s="1" t="n">
        <v>45361</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56687-2023</t>
        </is>
      </c>
      <c r="B1619" s="1" t="n">
        <v>45244</v>
      </c>
      <c r="C1619" s="1" t="n">
        <v>45361</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57612-2023</t>
        </is>
      </c>
      <c r="B1620" s="1" t="n">
        <v>45243</v>
      </c>
      <c r="C1620" s="1" t="n">
        <v>45361</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57942-2023</t>
        </is>
      </c>
      <c r="B1621" s="1" t="n">
        <v>45244</v>
      </c>
      <c r="C1621" s="1" t="n">
        <v>45361</v>
      </c>
      <c r="D1621" t="inlineStr">
        <is>
          <t>JÄMTLANDS LÄN</t>
        </is>
      </c>
      <c r="E1621" t="inlineStr">
        <is>
          <t>BRÄCKE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57412-2023</t>
        </is>
      </c>
      <c r="B1622" s="1" t="n">
        <v>45246</v>
      </c>
      <c r="C1622" s="1" t="n">
        <v>45361</v>
      </c>
      <c r="D1622" t="inlineStr">
        <is>
          <t>JÄMTLANDS LÄN</t>
        </is>
      </c>
      <c r="E1622" t="inlineStr">
        <is>
          <t>BRÄCKE</t>
        </is>
      </c>
      <c r="F1622" t="inlineStr">
        <is>
          <t>SCA</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57420-2023</t>
        </is>
      </c>
      <c r="B1623" s="1" t="n">
        <v>45246</v>
      </c>
      <c r="C1623" s="1" t="n">
        <v>45361</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57393-2023</t>
        </is>
      </c>
      <c r="B1624" s="1" t="n">
        <v>45246</v>
      </c>
      <c r="C1624" s="1" t="n">
        <v>45361</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57397-2023</t>
        </is>
      </c>
      <c r="B1625" s="1" t="n">
        <v>45245</v>
      </c>
      <c r="C1625" s="1" t="n">
        <v>45361</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57414-2023</t>
        </is>
      </c>
      <c r="B1626" s="1" t="n">
        <v>45246</v>
      </c>
      <c r="C1626" s="1" t="n">
        <v>45361</v>
      </c>
      <c r="D1626" t="inlineStr">
        <is>
          <t>JÄMTLANDS LÄN</t>
        </is>
      </c>
      <c r="E1626" t="inlineStr">
        <is>
          <t>BRÄCKE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57405-2023</t>
        </is>
      </c>
      <c r="B1627" s="1" t="n">
        <v>45245</v>
      </c>
      <c r="C1627" s="1" t="n">
        <v>45361</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57417-2023</t>
        </is>
      </c>
      <c r="B1628" s="1" t="n">
        <v>45246</v>
      </c>
      <c r="C1628" s="1" t="n">
        <v>45361</v>
      </c>
      <c r="D1628" t="inlineStr">
        <is>
          <t>JÄMTLANDS LÄN</t>
        </is>
      </c>
      <c r="E1628" t="inlineStr">
        <is>
          <t>BRÄCKE</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57407-2023</t>
        </is>
      </c>
      <c r="B1629" s="1" t="n">
        <v>45245</v>
      </c>
      <c r="C1629" s="1" t="n">
        <v>45361</v>
      </c>
      <c r="D1629" t="inlineStr">
        <is>
          <t>JÄMTLANDS LÄN</t>
        </is>
      </c>
      <c r="E1629" t="inlineStr">
        <is>
          <t>BRÄCKE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57419-2023</t>
        </is>
      </c>
      <c r="B1630" s="1" t="n">
        <v>45246</v>
      </c>
      <c r="C1630" s="1" t="n">
        <v>45361</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57779-2023</t>
        </is>
      </c>
      <c r="B1631" s="1" t="n">
        <v>45247</v>
      </c>
      <c r="C1631" s="1" t="n">
        <v>45361</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57783-2023</t>
        </is>
      </c>
      <c r="B1632" s="1" t="n">
        <v>45247</v>
      </c>
      <c r="C1632" s="1" t="n">
        <v>45361</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57798-2023</t>
        </is>
      </c>
      <c r="B1633" s="1" t="n">
        <v>45247</v>
      </c>
      <c r="C1633" s="1" t="n">
        <v>45361</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58080-2023</t>
        </is>
      </c>
      <c r="B1634" s="1" t="n">
        <v>45248</v>
      </c>
      <c r="C1634" s="1" t="n">
        <v>45361</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45248</v>
      </c>
      <c r="C1635" s="1" t="n">
        <v>45361</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58082-2023</t>
        </is>
      </c>
      <c r="B1636" s="1" t="n">
        <v>45248</v>
      </c>
      <c r="C1636" s="1" t="n">
        <v>45361</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58083-2023</t>
        </is>
      </c>
      <c r="B1637" s="1" t="n">
        <v>45248</v>
      </c>
      <c r="C1637" s="1" t="n">
        <v>45361</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45248</v>
      </c>
      <c r="C1638" s="1" t="n">
        <v>45361</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58468-2023</t>
        </is>
      </c>
      <c r="B1639" s="1" t="n">
        <v>45251</v>
      </c>
      <c r="C1639" s="1" t="n">
        <v>45361</v>
      </c>
      <c r="D1639" t="inlineStr">
        <is>
          <t>JÄMTLANDS LÄN</t>
        </is>
      </c>
      <c r="E1639" t="inlineStr">
        <is>
          <t>BRÄCKE</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58467-2023</t>
        </is>
      </c>
      <c r="B1640" s="1" t="n">
        <v>45251</v>
      </c>
      <c r="C1640" s="1" t="n">
        <v>45361</v>
      </c>
      <c r="D1640" t="inlineStr">
        <is>
          <t>JÄMTLANDS LÄN</t>
        </is>
      </c>
      <c r="E1640" t="inlineStr">
        <is>
          <t>BRÄCKE</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58471-2023</t>
        </is>
      </c>
      <c r="B1641" s="1" t="n">
        <v>45251</v>
      </c>
      <c r="C1641" s="1" t="n">
        <v>45361</v>
      </c>
      <c r="D1641" t="inlineStr">
        <is>
          <t>JÄMTLANDS LÄN</t>
        </is>
      </c>
      <c r="E1641" t="inlineStr">
        <is>
          <t>BRÄCKE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58368-2023</t>
        </is>
      </c>
      <c r="B1642" s="1" t="n">
        <v>45250</v>
      </c>
      <c r="C1642" s="1" t="n">
        <v>45361</v>
      </c>
      <c r="D1642" t="inlineStr">
        <is>
          <t>JÄMTLANDS LÄN</t>
        </is>
      </c>
      <c r="E1642" t="inlineStr">
        <is>
          <t>BRÄCKE</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58461-2023</t>
        </is>
      </c>
      <c r="B1643" s="1" t="n">
        <v>45250</v>
      </c>
      <c r="C1643" s="1" t="n">
        <v>45361</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58742-2023</t>
        </is>
      </c>
      <c r="B1644" s="1" t="n">
        <v>45251</v>
      </c>
      <c r="C1644" s="1" t="n">
        <v>45361</v>
      </c>
      <c r="D1644" t="inlineStr">
        <is>
          <t>JÄMTLANDS LÄN</t>
        </is>
      </c>
      <c r="E1644" t="inlineStr">
        <is>
          <t>BRÄCKE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58758-2023</t>
        </is>
      </c>
      <c r="B1645" s="1" t="n">
        <v>45251</v>
      </c>
      <c r="C1645" s="1" t="n">
        <v>45361</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58762-2023</t>
        </is>
      </c>
      <c r="B1646" s="1" t="n">
        <v>45252</v>
      </c>
      <c r="C1646" s="1" t="n">
        <v>45361</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58740-2023</t>
        </is>
      </c>
      <c r="B1647" s="1" t="n">
        <v>45251</v>
      </c>
      <c r="C1647" s="1" t="n">
        <v>45361</v>
      </c>
      <c r="D1647" t="inlineStr">
        <is>
          <t>JÄMTLANDS LÄN</t>
        </is>
      </c>
      <c r="E1647" t="inlineStr">
        <is>
          <t>BRÄCKE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58776-2023</t>
        </is>
      </c>
      <c r="B1648" s="1" t="n">
        <v>45252</v>
      </c>
      <c r="C1648" s="1" t="n">
        <v>45361</v>
      </c>
      <c r="D1648" t="inlineStr">
        <is>
          <t>JÄMTLANDS LÄN</t>
        </is>
      </c>
      <c r="E1648" t="inlineStr">
        <is>
          <t>BRÄCKE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45361</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58777-2023</t>
        </is>
      </c>
      <c r="B1650" s="1" t="n">
        <v>45252</v>
      </c>
      <c r="C1650" s="1" t="n">
        <v>45361</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58767-2023</t>
        </is>
      </c>
      <c r="B1651" s="1" t="n">
        <v>45252</v>
      </c>
      <c r="C1651" s="1" t="n">
        <v>45361</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59102-2023</t>
        </is>
      </c>
      <c r="B1652" s="1" t="n">
        <v>45253</v>
      </c>
      <c r="C1652" s="1" t="n">
        <v>45361</v>
      </c>
      <c r="D1652" t="inlineStr">
        <is>
          <t>JÄMTLANDS LÄN</t>
        </is>
      </c>
      <c r="E1652" t="inlineStr">
        <is>
          <t>BRÄCKE</t>
        </is>
      </c>
      <c r="F1652" t="inlineStr">
        <is>
          <t>SCA</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59416-2023</t>
        </is>
      </c>
      <c r="B1653" s="1" t="n">
        <v>45254</v>
      </c>
      <c r="C1653" s="1" t="n">
        <v>45361</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59419-2023</t>
        </is>
      </c>
      <c r="B1654" s="1" t="n">
        <v>45254</v>
      </c>
      <c r="C1654" s="1" t="n">
        <v>45361</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59561-2023</t>
        </is>
      </c>
      <c r="B1655" s="1" t="n">
        <v>45253</v>
      </c>
      <c r="C1655" s="1" t="n">
        <v>45361</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59417-2023</t>
        </is>
      </c>
      <c r="B1656" s="1" t="n">
        <v>45254</v>
      </c>
      <c r="C1656" s="1" t="n">
        <v>45361</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59595-2023</t>
        </is>
      </c>
      <c r="B1657" s="1" t="n">
        <v>45254</v>
      </c>
      <c r="C1657" s="1" t="n">
        <v>45361</v>
      </c>
      <c r="D1657" t="inlineStr">
        <is>
          <t>JÄMTLANDS LÄN</t>
        </is>
      </c>
      <c r="E1657" t="inlineStr">
        <is>
          <t>BRÄCKE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59586-2023</t>
        </is>
      </c>
      <c r="B1658" s="1" t="n">
        <v>45254</v>
      </c>
      <c r="C1658" s="1" t="n">
        <v>45361</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59667-2023</t>
        </is>
      </c>
      <c r="B1659" s="1" t="n">
        <v>45255</v>
      </c>
      <c r="C1659" s="1" t="n">
        <v>45361</v>
      </c>
      <c r="D1659" t="inlineStr">
        <is>
          <t>JÄMTLANDS LÄN</t>
        </is>
      </c>
      <c r="E1659" t="inlineStr">
        <is>
          <t>BRÄCKE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60085-2023</t>
        </is>
      </c>
      <c r="B1660" s="1" t="n">
        <v>45258</v>
      </c>
      <c r="C1660" s="1" t="n">
        <v>45361</v>
      </c>
      <c r="D1660" t="inlineStr">
        <is>
          <t>JÄMTLANDS LÄN</t>
        </is>
      </c>
      <c r="E1660" t="inlineStr">
        <is>
          <t>BRÄCKE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60326-2023</t>
        </is>
      </c>
      <c r="B1661" s="1" t="n">
        <v>45258</v>
      </c>
      <c r="C1661" s="1" t="n">
        <v>45361</v>
      </c>
      <c r="D1661" t="inlineStr">
        <is>
          <t>JÄMTLANDS LÄN</t>
        </is>
      </c>
      <c r="E1661" t="inlineStr">
        <is>
          <t>BRÄCKE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60415-2023</t>
        </is>
      </c>
      <c r="B1662" s="1" t="n">
        <v>45258</v>
      </c>
      <c r="C1662" s="1" t="n">
        <v>45361</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45361</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60581-2023</t>
        </is>
      </c>
      <c r="B1664" s="1" t="n">
        <v>45260</v>
      </c>
      <c r="C1664" s="1" t="n">
        <v>45361</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60453-2023</t>
        </is>
      </c>
      <c r="B1665" s="1" t="n">
        <v>45259</v>
      </c>
      <c r="C1665" s="1" t="n">
        <v>45361</v>
      </c>
      <c r="D1665" t="inlineStr">
        <is>
          <t>JÄMTLANDS LÄN</t>
        </is>
      </c>
      <c r="E1665" t="inlineStr">
        <is>
          <t>BRÄCKE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60582-2023</t>
        </is>
      </c>
      <c r="B1666" s="1" t="n">
        <v>45260</v>
      </c>
      <c r="C1666" s="1" t="n">
        <v>45361</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60996-2023</t>
        </is>
      </c>
      <c r="B1667" s="1" t="n">
        <v>45259</v>
      </c>
      <c r="C1667" s="1" t="n">
        <v>45361</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60865-2023</t>
        </is>
      </c>
      <c r="B1668" s="1" t="n">
        <v>45260</v>
      </c>
      <c r="C1668" s="1" t="n">
        <v>45361</v>
      </c>
      <c r="D1668" t="inlineStr">
        <is>
          <t>JÄMTLANDS LÄN</t>
        </is>
      </c>
      <c r="E1668" t="inlineStr">
        <is>
          <t>BRÄCKE</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60833-2023</t>
        </is>
      </c>
      <c r="B1669" s="1" t="n">
        <v>45260</v>
      </c>
      <c r="C1669" s="1" t="n">
        <v>45361</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60870-2023</t>
        </is>
      </c>
      <c r="B1670" s="1" t="n">
        <v>45261</v>
      </c>
      <c r="C1670" s="1" t="n">
        <v>45361</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60866-2023</t>
        </is>
      </c>
      <c r="B1671" s="1" t="n">
        <v>45261</v>
      </c>
      <c r="C1671" s="1" t="n">
        <v>45361</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60954-2023</t>
        </is>
      </c>
      <c r="B1672" s="1" t="n">
        <v>45261</v>
      </c>
      <c r="C1672" s="1" t="n">
        <v>45361</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61149-2023</t>
        </is>
      </c>
      <c r="B1673" s="1" t="n">
        <v>45262</v>
      </c>
      <c r="C1673" s="1" t="n">
        <v>45361</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61440-2023</t>
        </is>
      </c>
      <c r="B1674" s="1" t="n">
        <v>45261</v>
      </c>
      <c r="C1674" s="1" t="n">
        <v>45361</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61504-2023</t>
        </is>
      </c>
      <c r="B1675" s="1" t="n">
        <v>45264</v>
      </c>
      <c r="C1675" s="1" t="n">
        <v>45361</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61503-2023</t>
        </is>
      </c>
      <c r="B1676" s="1" t="n">
        <v>45264</v>
      </c>
      <c r="C1676" s="1" t="n">
        <v>45361</v>
      </c>
      <c r="D1676" t="inlineStr">
        <is>
          <t>JÄMTLANDS LÄN</t>
        </is>
      </c>
      <c r="E1676" t="inlineStr">
        <is>
          <t>BRÄCKE</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61796-2023</t>
        </is>
      </c>
      <c r="B1677" s="1" t="n">
        <v>45266</v>
      </c>
      <c r="C1677" s="1" t="n">
        <v>45361</v>
      </c>
      <c r="D1677" t="inlineStr">
        <is>
          <t>JÄMTLANDS LÄN</t>
        </is>
      </c>
      <c r="E1677" t="inlineStr">
        <is>
          <t>BRÄCKE</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61787-2023</t>
        </is>
      </c>
      <c r="B1678" s="1" t="n">
        <v>45265</v>
      </c>
      <c r="C1678" s="1" t="n">
        <v>45361</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62074-2023</t>
        </is>
      </c>
      <c r="B1679" s="1" t="n">
        <v>45266</v>
      </c>
      <c r="C1679" s="1" t="n">
        <v>45361</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62410-2023</t>
        </is>
      </c>
      <c r="B1680" s="1" t="n">
        <v>45266</v>
      </c>
      <c r="C1680" s="1" t="n">
        <v>45361</v>
      </c>
      <c r="D1680" t="inlineStr">
        <is>
          <t>JÄMTLANDS LÄN</t>
        </is>
      </c>
      <c r="E1680" t="inlineStr">
        <is>
          <t>BRÄCKE</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62114-2023</t>
        </is>
      </c>
      <c r="B1681" s="1" t="n">
        <v>45266</v>
      </c>
      <c r="C1681" s="1" t="n">
        <v>45361</v>
      </c>
      <c r="D1681" t="inlineStr">
        <is>
          <t>JÄMTLANDS LÄN</t>
        </is>
      </c>
      <c r="E1681" t="inlineStr">
        <is>
          <t>BRÄCKE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62354-2023</t>
        </is>
      </c>
      <c r="B1682" s="1" t="n">
        <v>45267</v>
      </c>
      <c r="C1682" s="1" t="n">
        <v>45361</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62899-2023</t>
        </is>
      </c>
      <c r="B1683" s="1" t="n">
        <v>45271</v>
      </c>
      <c r="C1683" s="1" t="n">
        <v>45361</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63089-2023</t>
        </is>
      </c>
      <c r="B1684" s="1" t="n">
        <v>45272</v>
      </c>
      <c r="C1684" s="1" t="n">
        <v>45361</v>
      </c>
      <c r="D1684" t="inlineStr">
        <is>
          <t>JÄMTLANDS LÄN</t>
        </is>
      </c>
      <c r="E1684" t="inlineStr">
        <is>
          <t>BRÄCKE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63295-2023</t>
        </is>
      </c>
      <c r="B1685" s="1" t="n">
        <v>45273</v>
      </c>
      <c r="C1685" s="1" t="n">
        <v>45361</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63292-2023</t>
        </is>
      </c>
      <c r="B1686" s="1" t="n">
        <v>45273</v>
      </c>
      <c r="C1686" s="1" t="n">
        <v>45361</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63534-2023</t>
        </is>
      </c>
      <c r="B1687" s="1" t="n">
        <v>45274</v>
      </c>
      <c r="C1687" s="1" t="n">
        <v>45361</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63713-2023</t>
        </is>
      </c>
      <c r="B1688" s="1" t="n">
        <v>45275</v>
      </c>
      <c r="C1688" s="1" t="n">
        <v>45361</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63714-2023</t>
        </is>
      </c>
      <c r="B1689" s="1" t="n">
        <v>45275</v>
      </c>
      <c r="C1689" s="1" t="n">
        <v>45361</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63706-2023</t>
        </is>
      </c>
      <c r="B1690" s="1" t="n">
        <v>45275</v>
      </c>
      <c r="C1690" s="1" t="n">
        <v>45361</v>
      </c>
      <c r="D1690" t="inlineStr">
        <is>
          <t>JÄMTLANDS LÄN</t>
        </is>
      </c>
      <c r="E1690" t="inlineStr">
        <is>
          <t>BRÄCKE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63716-2023</t>
        </is>
      </c>
      <c r="B1691" s="1" t="n">
        <v>45275</v>
      </c>
      <c r="C1691" s="1" t="n">
        <v>45361</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64038-2023</t>
        </is>
      </c>
      <c r="B1692" s="1" t="n">
        <v>45278</v>
      </c>
      <c r="C1692" s="1" t="n">
        <v>45361</v>
      </c>
      <c r="D1692" t="inlineStr">
        <is>
          <t>JÄMTLANDS LÄN</t>
        </is>
      </c>
      <c r="E1692" t="inlineStr">
        <is>
          <t>BRÄCKE</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64034-2023</t>
        </is>
      </c>
      <c r="B1693" s="1" t="n">
        <v>45278</v>
      </c>
      <c r="C1693" s="1" t="n">
        <v>45361</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64025-2023</t>
        </is>
      </c>
      <c r="B1694" s="1" t="n">
        <v>45278</v>
      </c>
      <c r="C1694" s="1" t="n">
        <v>45361</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64037-2023</t>
        </is>
      </c>
      <c r="B1695" s="1" t="n">
        <v>45278</v>
      </c>
      <c r="C1695" s="1" t="n">
        <v>45361</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64024-2023</t>
        </is>
      </c>
      <c r="B1696" s="1" t="n">
        <v>45278</v>
      </c>
      <c r="C1696" s="1" t="n">
        <v>45361</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64117-2023</t>
        </is>
      </c>
      <c r="B1697" s="1" t="n">
        <v>45279</v>
      </c>
      <c r="C1697" s="1" t="n">
        <v>45361</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64143-2023</t>
        </is>
      </c>
      <c r="B1698" s="1" t="n">
        <v>45279</v>
      </c>
      <c r="C1698" s="1" t="n">
        <v>45361</v>
      </c>
      <c r="D1698" t="inlineStr">
        <is>
          <t>JÄMTLANDS LÄN</t>
        </is>
      </c>
      <c r="E1698" t="inlineStr">
        <is>
          <t>BRÄCKE</t>
        </is>
      </c>
      <c r="G1698" t="n">
        <v>5.5</v>
      </c>
      <c r="H1698" t="n">
        <v>0</v>
      </c>
      <c r="I1698" t="n">
        <v>0</v>
      </c>
      <c r="J1698" t="n">
        <v>0</v>
      </c>
      <c r="K1698" t="n">
        <v>0</v>
      </c>
      <c r="L1698" t="n">
        <v>0</v>
      </c>
      <c r="M1698" t="n">
        <v>0</v>
      </c>
      <c r="N1698" t="n">
        <v>0</v>
      </c>
      <c r="O1698" t="n">
        <v>0</v>
      </c>
      <c r="P1698" t="n">
        <v>0</v>
      </c>
      <c r="Q1698" t="n">
        <v>0</v>
      </c>
      <c r="R1698" s="2" t="inlineStr"/>
      <c r="U1698">
        <f>HYPERLINK("https://klasma.github.io/Logging_2305/knärot/A 64143-2023 karta knärot.png", "A 64143-2023")</f>
        <v/>
      </c>
      <c r="V1698">
        <f>HYPERLINK("https://klasma.github.io/Logging_2305/klagomål/A 64143-2023 FSC-klagomål.docx", "A 64143-2023")</f>
        <v/>
      </c>
      <c r="W1698">
        <f>HYPERLINK("https://klasma.github.io/Logging_2305/klagomålsmail/A 64143-2023 FSC-klagomål mail.docx", "A 64143-2023")</f>
        <v/>
      </c>
      <c r="X1698">
        <f>HYPERLINK("https://klasma.github.io/Logging_2305/tillsyn/A 64143-2023 tillsynsbegäran.docx", "A 64143-2023")</f>
        <v/>
      </c>
      <c r="Y1698">
        <f>HYPERLINK("https://klasma.github.io/Logging_2305/tillsynsmail/A 64143-2023 tillsynsbegäran mail.docx", "A 64143-2023")</f>
        <v/>
      </c>
    </row>
    <row r="1699" ht="15" customHeight="1">
      <c r="A1699" t="inlineStr">
        <is>
          <t>A 64269-2023</t>
        </is>
      </c>
      <c r="B1699" s="1" t="n">
        <v>45279</v>
      </c>
      <c r="C1699" s="1" t="n">
        <v>45361</v>
      </c>
      <c r="D1699" t="inlineStr">
        <is>
          <t>JÄMTLANDS LÄN</t>
        </is>
      </c>
      <c r="E1699" t="inlineStr">
        <is>
          <t>BRÄCKE</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64266-2023</t>
        </is>
      </c>
      <c r="B1700" s="1" t="n">
        <v>45279</v>
      </c>
      <c r="C1700" s="1" t="n">
        <v>45361</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64268-2023</t>
        </is>
      </c>
      <c r="B1701" s="1" t="n">
        <v>45279</v>
      </c>
      <c r="C1701" s="1" t="n">
        <v>45361</v>
      </c>
      <c r="D1701" t="inlineStr">
        <is>
          <t>JÄMTLANDS LÄN</t>
        </is>
      </c>
      <c r="E1701" t="inlineStr">
        <is>
          <t>BRÄCKE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64272-2023</t>
        </is>
      </c>
      <c r="B1702" s="1" t="n">
        <v>45279</v>
      </c>
      <c r="C1702" s="1" t="n">
        <v>45361</v>
      </c>
      <c r="D1702" t="inlineStr">
        <is>
          <t>JÄMTLANDS LÄN</t>
        </is>
      </c>
      <c r="E1702" t="inlineStr">
        <is>
          <t>BRÄCKE</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64302-2023</t>
        </is>
      </c>
      <c r="B1703" s="1" t="n">
        <v>45280</v>
      </c>
      <c r="C1703" s="1" t="n">
        <v>45361</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64413-2023</t>
        </is>
      </c>
      <c r="B1704" s="1" t="n">
        <v>45280</v>
      </c>
      <c r="C1704" s="1" t="n">
        <v>45361</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64643-2023</t>
        </is>
      </c>
      <c r="B1705" s="1" t="n">
        <v>45281</v>
      </c>
      <c r="C1705" s="1" t="n">
        <v>45361</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64757-2023</t>
        </is>
      </c>
      <c r="B1706" s="1" t="n">
        <v>45281</v>
      </c>
      <c r="C1706" s="1" t="n">
        <v>45361</v>
      </c>
      <c r="D1706" t="inlineStr">
        <is>
          <t>JÄMTLANDS LÄN</t>
        </is>
      </c>
      <c r="E1706" t="inlineStr">
        <is>
          <t>BRÄCKE</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65041-2023</t>
        </is>
      </c>
      <c r="B1707" s="1" t="n">
        <v>45287</v>
      </c>
      <c r="C1707" s="1" t="n">
        <v>45361</v>
      </c>
      <c r="D1707" t="inlineStr">
        <is>
          <t>JÄMTLANDS LÄN</t>
        </is>
      </c>
      <c r="E1707" t="inlineStr">
        <is>
          <t>BRÄCKE</t>
        </is>
      </c>
      <c r="G1707" t="n">
        <v>45.2</v>
      </c>
      <c r="H1707" t="n">
        <v>0</v>
      </c>
      <c r="I1707" t="n">
        <v>0</v>
      </c>
      <c r="J1707" t="n">
        <v>0</v>
      </c>
      <c r="K1707" t="n">
        <v>0</v>
      </c>
      <c r="L1707" t="n">
        <v>0</v>
      </c>
      <c r="M1707" t="n">
        <v>0</v>
      </c>
      <c r="N1707" t="n">
        <v>0</v>
      </c>
      <c r="O1707" t="n">
        <v>0</v>
      </c>
      <c r="P1707" t="n">
        <v>0</v>
      </c>
      <c r="Q1707" t="n">
        <v>0</v>
      </c>
      <c r="R1707" s="2" t="inlineStr"/>
    </row>
    <row r="1708" ht="15" customHeight="1">
      <c r="A1708" t="inlineStr">
        <is>
          <t>A 65096-2023</t>
        </is>
      </c>
      <c r="B1708" s="1" t="n">
        <v>45288</v>
      </c>
      <c r="C1708" s="1" t="n">
        <v>45361</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65226-2023</t>
        </is>
      </c>
      <c r="B1709" s="1" t="n">
        <v>45289</v>
      </c>
      <c r="C1709" s="1" t="n">
        <v>45361</v>
      </c>
      <c r="D1709" t="inlineStr">
        <is>
          <t>JÄMTLANDS LÄN</t>
        </is>
      </c>
      <c r="E1709" t="inlineStr">
        <is>
          <t>BRÄCKE</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107-2024</t>
        </is>
      </c>
      <c r="B1710" s="1" t="n">
        <v>45293</v>
      </c>
      <c r="C1710" s="1" t="n">
        <v>45361</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477-2024</t>
        </is>
      </c>
      <c r="B1711" s="1" t="n">
        <v>45298</v>
      </c>
      <c r="C1711" s="1" t="n">
        <v>45361</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662-2024</t>
        </is>
      </c>
      <c r="B1712" s="1" t="n">
        <v>45299</v>
      </c>
      <c r="C1712" s="1" t="n">
        <v>45361</v>
      </c>
      <c r="D1712" t="inlineStr">
        <is>
          <t>JÄMTLANDS LÄN</t>
        </is>
      </c>
      <c r="E1712" t="inlineStr">
        <is>
          <t>BRÄCKE</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861-2024</t>
        </is>
      </c>
      <c r="B1713" s="1" t="n">
        <v>45301</v>
      </c>
      <c r="C1713" s="1" t="n">
        <v>45361</v>
      </c>
      <c r="D1713" t="inlineStr">
        <is>
          <t>JÄMTLANDS LÄN</t>
        </is>
      </c>
      <c r="E1713" t="inlineStr">
        <is>
          <t>BRÄCKE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1277-2024</t>
        </is>
      </c>
      <c r="B1714" s="1" t="n">
        <v>45303</v>
      </c>
      <c r="C1714" s="1" t="n">
        <v>45361</v>
      </c>
      <c r="D1714" t="inlineStr">
        <is>
          <t>JÄMTLANDS LÄN</t>
        </is>
      </c>
      <c r="E1714" t="inlineStr">
        <is>
          <t>BRÄCKE</t>
        </is>
      </c>
      <c r="F1714" t="inlineStr">
        <is>
          <t>SCA</t>
        </is>
      </c>
      <c r="G1714" t="n">
        <v>25.7</v>
      </c>
      <c r="H1714" t="n">
        <v>0</v>
      </c>
      <c r="I1714" t="n">
        <v>0</v>
      </c>
      <c r="J1714" t="n">
        <v>0</v>
      </c>
      <c r="K1714" t="n">
        <v>0</v>
      </c>
      <c r="L1714" t="n">
        <v>0</v>
      </c>
      <c r="M1714" t="n">
        <v>0</v>
      </c>
      <c r="N1714" t="n">
        <v>0</v>
      </c>
      <c r="O1714" t="n">
        <v>0</v>
      </c>
      <c r="P1714" t="n">
        <v>0</v>
      </c>
      <c r="Q1714" t="n">
        <v>0</v>
      </c>
      <c r="R1714" s="2" t="inlineStr"/>
    </row>
    <row r="1715" ht="15" customHeight="1">
      <c r="A1715" t="inlineStr">
        <is>
          <t>A 1681-2024</t>
        </is>
      </c>
      <c r="B1715" s="1" t="n">
        <v>45307</v>
      </c>
      <c r="C1715" s="1" t="n">
        <v>45361</v>
      </c>
      <c r="D1715" t="inlineStr">
        <is>
          <t>JÄMTLANDS LÄN</t>
        </is>
      </c>
      <c r="E1715" t="inlineStr">
        <is>
          <t>BRÄCKE</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1799-2024</t>
        </is>
      </c>
      <c r="B1716" s="1" t="n">
        <v>45307</v>
      </c>
      <c r="C1716" s="1" t="n">
        <v>45361</v>
      </c>
      <c r="D1716" t="inlineStr">
        <is>
          <t>JÄMTLANDS LÄN</t>
        </is>
      </c>
      <c r="E1716" t="inlineStr">
        <is>
          <t>BRÄCKE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1746-2024</t>
        </is>
      </c>
      <c r="B1717" s="1" t="n">
        <v>45307</v>
      </c>
      <c r="C1717" s="1" t="n">
        <v>45361</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1881-2024</t>
        </is>
      </c>
      <c r="B1718" s="1" t="n">
        <v>45308</v>
      </c>
      <c r="C1718" s="1" t="n">
        <v>45361</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2064-2024</t>
        </is>
      </c>
      <c r="B1719" s="1" t="n">
        <v>45308</v>
      </c>
      <c r="C1719" s="1" t="n">
        <v>45361</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2065-2024</t>
        </is>
      </c>
      <c r="B1720" s="1" t="n">
        <v>45309</v>
      </c>
      <c r="C1720" s="1" t="n">
        <v>45361</v>
      </c>
      <c r="D1720" t="inlineStr">
        <is>
          <t>JÄMTLANDS LÄN</t>
        </is>
      </c>
      <c r="E1720" t="inlineStr">
        <is>
          <t>BRÄCKE</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2421-2024</t>
        </is>
      </c>
      <c r="B1721" s="1" t="n">
        <v>45310</v>
      </c>
      <c r="C1721" s="1" t="n">
        <v>45361</v>
      </c>
      <c r="D1721" t="inlineStr">
        <is>
          <t>JÄMTLANDS LÄN</t>
        </is>
      </c>
      <c r="E1721" t="inlineStr">
        <is>
          <t>BRÄCKE</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2420-2024</t>
        </is>
      </c>
      <c r="B1722" s="1" t="n">
        <v>45310</v>
      </c>
      <c r="C1722" s="1" t="n">
        <v>45361</v>
      </c>
      <c r="D1722" t="inlineStr">
        <is>
          <t>JÄMTLANDS LÄN</t>
        </is>
      </c>
      <c r="E1722" t="inlineStr">
        <is>
          <t>BRÄCKE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2422-2024</t>
        </is>
      </c>
      <c r="B1723" s="1" t="n">
        <v>45310</v>
      </c>
      <c r="C1723" s="1" t="n">
        <v>45361</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2621-2024</t>
        </is>
      </c>
      <c r="B1724" s="1" t="n">
        <v>45313</v>
      </c>
      <c r="C1724" s="1" t="n">
        <v>45361</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3182-2024</t>
        </is>
      </c>
      <c r="B1725" s="1" t="n">
        <v>45316</v>
      </c>
      <c r="C1725" s="1" t="n">
        <v>45361</v>
      </c>
      <c r="D1725" t="inlineStr">
        <is>
          <t>JÄMTLANDS LÄN</t>
        </is>
      </c>
      <c r="E1725" t="inlineStr">
        <is>
          <t>BRÄCKE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3179-2024</t>
        </is>
      </c>
      <c r="B1726" s="1" t="n">
        <v>45316</v>
      </c>
      <c r="C1726" s="1" t="n">
        <v>45361</v>
      </c>
      <c r="D1726" t="inlineStr">
        <is>
          <t>JÄMTLANDS LÄN</t>
        </is>
      </c>
      <c r="E1726" t="inlineStr">
        <is>
          <t>BRÄCKE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3180-2024</t>
        </is>
      </c>
      <c r="B1727" s="1" t="n">
        <v>45316</v>
      </c>
      <c r="C1727" s="1" t="n">
        <v>45361</v>
      </c>
      <c r="D1727" t="inlineStr">
        <is>
          <t>JÄMTLANDS LÄN</t>
        </is>
      </c>
      <c r="E1727" t="inlineStr">
        <is>
          <t>BRÄCKE</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3233-2024</t>
        </is>
      </c>
      <c r="B1728" s="1" t="n">
        <v>45316</v>
      </c>
      <c r="C1728" s="1" t="n">
        <v>45361</v>
      </c>
      <c r="D1728" t="inlineStr">
        <is>
          <t>JÄMTLANDS LÄN</t>
        </is>
      </c>
      <c r="E1728" t="inlineStr">
        <is>
          <t>BRÄCKE</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3390-2024</t>
        </is>
      </c>
      <c r="B1729" s="1" t="n">
        <v>45317</v>
      </c>
      <c r="C1729" s="1" t="n">
        <v>45361</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3487-2024</t>
        </is>
      </c>
      <c r="B1730" s="1" t="n">
        <v>45317</v>
      </c>
      <c r="C1730" s="1" t="n">
        <v>45361</v>
      </c>
      <c r="D1730" t="inlineStr">
        <is>
          <t>JÄMTLANDS LÄN</t>
        </is>
      </c>
      <c r="E1730" t="inlineStr">
        <is>
          <t>BRÄCKE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3389-2024</t>
        </is>
      </c>
      <c r="B1731" s="1" t="n">
        <v>45317</v>
      </c>
      <c r="C1731" s="1" t="n">
        <v>45361</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3528-2024</t>
        </is>
      </c>
      <c r="B1732" s="1" t="n">
        <v>45320</v>
      </c>
      <c r="C1732" s="1" t="n">
        <v>45361</v>
      </c>
      <c r="D1732" t="inlineStr">
        <is>
          <t>JÄMTLANDS LÄN</t>
        </is>
      </c>
      <c r="E1732" t="inlineStr">
        <is>
          <t>BRÄCKE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3626-2024</t>
        </is>
      </c>
      <c r="B1733" s="1" t="n">
        <v>45320</v>
      </c>
      <c r="C1733" s="1" t="n">
        <v>45361</v>
      </c>
      <c r="D1733" t="inlineStr">
        <is>
          <t>JÄMTLANDS LÄN</t>
        </is>
      </c>
      <c r="E1733" t="inlineStr">
        <is>
          <t>BRÄCKE</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3616-2024</t>
        </is>
      </c>
      <c r="B1734" s="1" t="n">
        <v>45320</v>
      </c>
      <c r="C1734" s="1" t="n">
        <v>45361</v>
      </c>
      <c r="D1734" t="inlineStr">
        <is>
          <t>JÄMTLANDS LÄN</t>
        </is>
      </c>
      <c r="E1734" t="inlineStr">
        <is>
          <t>BRÄCKE</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3840-2024</t>
        </is>
      </c>
      <c r="B1735" s="1" t="n">
        <v>45321</v>
      </c>
      <c r="C1735" s="1" t="n">
        <v>45361</v>
      </c>
      <c r="D1735" t="inlineStr">
        <is>
          <t>JÄMTLANDS LÄN</t>
        </is>
      </c>
      <c r="E1735" t="inlineStr">
        <is>
          <t>BRÄCKE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3972-2024</t>
        </is>
      </c>
      <c r="B1736" s="1" t="n">
        <v>45322</v>
      </c>
      <c r="C1736" s="1" t="n">
        <v>45361</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3995-2024</t>
        </is>
      </c>
      <c r="B1737" s="1" t="n">
        <v>45322</v>
      </c>
      <c r="C1737" s="1" t="n">
        <v>45361</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4171-2024</t>
        </is>
      </c>
      <c r="B1738" s="1" t="n">
        <v>45323</v>
      </c>
      <c r="C1738" s="1" t="n">
        <v>45361</v>
      </c>
      <c r="D1738" t="inlineStr">
        <is>
          <t>JÄMTLANDS LÄN</t>
        </is>
      </c>
      <c r="E1738" t="inlineStr">
        <is>
          <t>BRÄCKE</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4170-2024</t>
        </is>
      </c>
      <c r="B1739" s="1" t="n">
        <v>45323</v>
      </c>
      <c r="C1739" s="1" t="n">
        <v>45361</v>
      </c>
      <c r="D1739" t="inlineStr">
        <is>
          <t>JÄMTLANDS LÄN</t>
        </is>
      </c>
      <c r="E1739" t="inlineStr">
        <is>
          <t>BRÄCKE</t>
        </is>
      </c>
      <c r="F1739" t="inlineStr">
        <is>
          <t>SCA</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4491-2024</t>
        </is>
      </c>
      <c r="B1740" s="1" t="n">
        <v>45327</v>
      </c>
      <c r="C1740" s="1" t="n">
        <v>45361</v>
      </c>
      <c r="D1740" t="inlineStr">
        <is>
          <t>JÄMTLANDS LÄN</t>
        </is>
      </c>
      <c r="E1740" t="inlineStr">
        <is>
          <t>BRÄCKE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4590-2024</t>
        </is>
      </c>
      <c r="B1741" s="1" t="n">
        <v>45327</v>
      </c>
      <c r="C1741" s="1" t="n">
        <v>45361</v>
      </c>
      <c r="D1741" t="inlineStr">
        <is>
          <t>JÄMTLANDS LÄN</t>
        </is>
      </c>
      <c r="E1741" t="inlineStr">
        <is>
          <t>BRÄCKE</t>
        </is>
      </c>
      <c r="F1741" t="inlineStr">
        <is>
          <t>SCA</t>
        </is>
      </c>
      <c r="G1741" t="n">
        <v>16.6</v>
      </c>
      <c r="H1741" t="n">
        <v>0</v>
      </c>
      <c r="I1741" t="n">
        <v>0</v>
      </c>
      <c r="J1741" t="n">
        <v>0</v>
      </c>
      <c r="K1741" t="n">
        <v>0</v>
      </c>
      <c r="L1741" t="n">
        <v>0</v>
      </c>
      <c r="M1741" t="n">
        <v>0</v>
      </c>
      <c r="N1741" t="n">
        <v>0</v>
      </c>
      <c r="O1741" t="n">
        <v>0</v>
      </c>
      <c r="P1741" t="n">
        <v>0</v>
      </c>
      <c r="Q1741" t="n">
        <v>0</v>
      </c>
      <c r="R1741" s="2" t="inlineStr"/>
    </row>
    <row r="1742" ht="15" customHeight="1">
      <c r="A1742" t="inlineStr">
        <is>
          <t>A 4585-2024</t>
        </is>
      </c>
      <c r="B1742" s="1" t="n">
        <v>45327</v>
      </c>
      <c r="C1742" s="1" t="n">
        <v>45361</v>
      </c>
      <c r="D1742" t="inlineStr">
        <is>
          <t>JÄMTLANDS LÄN</t>
        </is>
      </c>
      <c r="E1742" t="inlineStr">
        <is>
          <t>BRÄCKE</t>
        </is>
      </c>
      <c r="F1742" t="inlineStr">
        <is>
          <t>SCA</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4556-2024</t>
        </is>
      </c>
      <c r="B1743" s="1" t="n">
        <v>45327</v>
      </c>
      <c r="C1743" s="1" t="n">
        <v>45361</v>
      </c>
      <c r="D1743" t="inlineStr">
        <is>
          <t>JÄMTLANDS LÄN</t>
        </is>
      </c>
      <c r="E1743" t="inlineStr">
        <is>
          <t>BRÄCKE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4930-2024</t>
        </is>
      </c>
      <c r="B1744" s="1" t="n">
        <v>45329</v>
      </c>
      <c r="C1744" s="1" t="n">
        <v>45361</v>
      </c>
      <c r="D1744" t="inlineStr">
        <is>
          <t>JÄMTLANDS LÄN</t>
        </is>
      </c>
      <c r="E1744" t="inlineStr">
        <is>
          <t>BRÄCKE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7843-2024</t>
        </is>
      </c>
      <c r="B1745" s="1" t="n">
        <v>45329</v>
      </c>
      <c r="C1745" s="1" t="n">
        <v>45361</v>
      </c>
      <c r="D1745" t="inlineStr">
        <is>
          <t>JÄMTLANDS LÄN</t>
        </is>
      </c>
      <c r="E1745" t="inlineStr">
        <is>
          <t>BRÄCKE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5053-2024</t>
        </is>
      </c>
      <c r="B1746" s="1" t="n">
        <v>45329</v>
      </c>
      <c r="C1746" s="1" t="n">
        <v>45361</v>
      </c>
      <c r="D1746" t="inlineStr">
        <is>
          <t>JÄMTLANDS LÄN</t>
        </is>
      </c>
      <c r="E1746" t="inlineStr">
        <is>
          <t>BRÄCKE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5052-2024</t>
        </is>
      </c>
      <c r="B1747" s="1" t="n">
        <v>45329</v>
      </c>
      <c r="C1747" s="1" t="n">
        <v>45361</v>
      </c>
      <c r="D1747" t="inlineStr">
        <is>
          <t>JÄMTLANDS LÄN</t>
        </is>
      </c>
      <c r="E1747" t="inlineStr">
        <is>
          <t>BRÄCKE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5266-2024</t>
        </is>
      </c>
      <c r="B1748" s="1" t="n">
        <v>45330</v>
      </c>
      <c r="C1748" s="1" t="n">
        <v>45361</v>
      </c>
      <c r="D1748" t="inlineStr">
        <is>
          <t>JÄMTLANDS LÄN</t>
        </is>
      </c>
      <c r="E1748" t="inlineStr">
        <is>
          <t>BRÄCKE</t>
        </is>
      </c>
      <c r="F1748" t="inlineStr">
        <is>
          <t>SCA</t>
        </is>
      </c>
      <c r="G1748" t="n">
        <v>15.2</v>
      </c>
      <c r="H1748" t="n">
        <v>0</v>
      </c>
      <c r="I1748" t="n">
        <v>0</v>
      </c>
      <c r="J1748" t="n">
        <v>0</v>
      </c>
      <c r="K1748" t="n">
        <v>0</v>
      </c>
      <c r="L1748" t="n">
        <v>0</v>
      </c>
      <c r="M1748" t="n">
        <v>0</v>
      </c>
      <c r="N1748" t="n">
        <v>0</v>
      </c>
      <c r="O1748" t="n">
        <v>0</v>
      </c>
      <c r="P1748" t="n">
        <v>0</v>
      </c>
      <c r="Q1748" t="n">
        <v>0</v>
      </c>
      <c r="R1748" s="2" t="inlineStr"/>
    </row>
    <row r="1749" ht="15" customHeight="1">
      <c r="A1749" t="inlineStr">
        <is>
          <t>A 5270-2024</t>
        </is>
      </c>
      <c r="B1749" s="1" t="n">
        <v>45331</v>
      </c>
      <c r="C1749" s="1" t="n">
        <v>45361</v>
      </c>
      <c r="D1749" t="inlineStr">
        <is>
          <t>JÄMTLANDS LÄN</t>
        </is>
      </c>
      <c r="E1749" t="inlineStr">
        <is>
          <t>BRÄCKE</t>
        </is>
      </c>
      <c r="F1749" t="inlineStr">
        <is>
          <t>SCA</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5269-2024</t>
        </is>
      </c>
      <c r="B1750" s="1" t="n">
        <v>45331</v>
      </c>
      <c r="C1750" s="1" t="n">
        <v>45361</v>
      </c>
      <c r="D1750" t="inlineStr">
        <is>
          <t>JÄMTLANDS LÄN</t>
        </is>
      </c>
      <c r="E1750" t="inlineStr">
        <is>
          <t>BRÄCKE</t>
        </is>
      </c>
      <c r="F1750" t="inlineStr">
        <is>
          <t>SCA</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5439-2024</t>
        </is>
      </c>
      <c r="B1751" s="1" t="n">
        <v>45331</v>
      </c>
      <c r="C1751" s="1" t="n">
        <v>45361</v>
      </c>
      <c r="D1751" t="inlineStr">
        <is>
          <t>JÄMTLANDS LÄN</t>
        </is>
      </c>
      <c r="E1751" t="inlineStr">
        <is>
          <t>BRÄCKE</t>
        </is>
      </c>
      <c r="F1751" t="inlineStr">
        <is>
          <t>SCA</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5441-2024</t>
        </is>
      </c>
      <c r="B1752" s="1" t="n">
        <v>45331</v>
      </c>
      <c r="C1752" s="1" t="n">
        <v>45361</v>
      </c>
      <c r="D1752" t="inlineStr">
        <is>
          <t>JÄMTLANDS LÄN</t>
        </is>
      </c>
      <c r="E1752" t="inlineStr">
        <is>
          <t>BRÄCKE</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5367-2024</t>
        </is>
      </c>
      <c r="B1753" s="1" t="n">
        <v>45331</v>
      </c>
      <c r="C1753" s="1" t="n">
        <v>45361</v>
      </c>
      <c r="D1753" t="inlineStr">
        <is>
          <t>JÄMTLANDS LÄN</t>
        </is>
      </c>
      <c r="E1753" t="inlineStr">
        <is>
          <t>BRÄCKE</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5737-2024</t>
        </is>
      </c>
      <c r="B1754" s="1" t="n">
        <v>45334</v>
      </c>
      <c r="C1754" s="1" t="n">
        <v>45361</v>
      </c>
      <c r="D1754" t="inlineStr">
        <is>
          <t>JÄMTLANDS LÄN</t>
        </is>
      </c>
      <c r="E1754" t="inlineStr">
        <is>
          <t>BRÄCKE</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5914-2024</t>
        </is>
      </c>
      <c r="B1755" s="1" t="n">
        <v>45335</v>
      </c>
      <c r="C1755" s="1" t="n">
        <v>45361</v>
      </c>
      <c r="D1755" t="inlineStr">
        <is>
          <t>JÄMTLANDS LÄN</t>
        </is>
      </c>
      <c r="E1755" t="inlineStr">
        <is>
          <t>BRÄCKE</t>
        </is>
      </c>
      <c r="F1755" t="inlineStr">
        <is>
          <t>SCA</t>
        </is>
      </c>
      <c r="G1755" t="n">
        <v>21.2</v>
      </c>
      <c r="H1755" t="n">
        <v>0</v>
      </c>
      <c r="I1755" t="n">
        <v>0</v>
      </c>
      <c r="J1755" t="n">
        <v>0</v>
      </c>
      <c r="K1755" t="n">
        <v>0</v>
      </c>
      <c r="L1755" t="n">
        <v>0</v>
      </c>
      <c r="M1755" t="n">
        <v>0</v>
      </c>
      <c r="N1755" t="n">
        <v>0</v>
      </c>
      <c r="O1755" t="n">
        <v>0</v>
      </c>
      <c r="P1755" t="n">
        <v>0</v>
      </c>
      <c r="Q1755" t="n">
        <v>0</v>
      </c>
      <c r="R1755" s="2" t="inlineStr"/>
    </row>
    <row r="1756" ht="15" customHeight="1">
      <c r="A1756" t="inlineStr">
        <is>
          <t>A 5915-2024</t>
        </is>
      </c>
      <c r="B1756" s="1" t="n">
        <v>45335</v>
      </c>
      <c r="C1756" s="1" t="n">
        <v>45361</v>
      </c>
      <c r="D1756" t="inlineStr">
        <is>
          <t>JÄMTLANDS LÄN</t>
        </is>
      </c>
      <c r="E1756" t="inlineStr">
        <is>
          <t>BRÄCKE</t>
        </is>
      </c>
      <c r="F1756" t="inlineStr">
        <is>
          <t>SCA</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6086-2024</t>
        </is>
      </c>
      <c r="B1757" s="1" t="n">
        <v>45337</v>
      </c>
      <c r="C1757" s="1" t="n">
        <v>45361</v>
      </c>
      <c r="D1757" t="inlineStr">
        <is>
          <t>JÄMTLANDS LÄN</t>
        </is>
      </c>
      <c r="E1757" t="inlineStr">
        <is>
          <t>BRÄCKE</t>
        </is>
      </c>
      <c r="F1757" t="inlineStr">
        <is>
          <t>SCA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6087-2024</t>
        </is>
      </c>
      <c r="B1758" s="1" t="n">
        <v>45337</v>
      </c>
      <c r="C1758" s="1" t="n">
        <v>45361</v>
      </c>
      <c r="D1758" t="inlineStr">
        <is>
          <t>JÄMTLANDS LÄN</t>
        </is>
      </c>
      <c r="E1758" t="inlineStr">
        <is>
          <t>BRÄCKE</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6190-2024</t>
        </is>
      </c>
      <c r="B1759" s="1" t="n">
        <v>45337</v>
      </c>
      <c r="C1759" s="1" t="n">
        <v>45361</v>
      </c>
      <c r="D1759" t="inlineStr">
        <is>
          <t>JÄMTLANDS LÄN</t>
        </is>
      </c>
      <c r="E1759" t="inlineStr">
        <is>
          <t>BRÄCKE</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6185-2024</t>
        </is>
      </c>
      <c r="B1760" s="1" t="n">
        <v>45337</v>
      </c>
      <c r="C1760" s="1" t="n">
        <v>45361</v>
      </c>
      <c r="D1760" t="inlineStr">
        <is>
          <t>JÄMTLANDS LÄN</t>
        </is>
      </c>
      <c r="E1760" t="inlineStr">
        <is>
          <t>BRÄCKE</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6362-2024</t>
        </is>
      </c>
      <c r="B1761" s="1" t="n">
        <v>45338</v>
      </c>
      <c r="C1761" s="1" t="n">
        <v>45361</v>
      </c>
      <c r="D1761" t="inlineStr">
        <is>
          <t>JÄMTLANDS LÄN</t>
        </is>
      </c>
      <c r="E1761" t="inlineStr">
        <is>
          <t>BRÄCKE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6516-2024</t>
        </is>
      </c>
      <c r="B1762" s="1" t="n">
        <v>45341</v>
      </c>
      <c r="C1762" s="1" t="n">
        <v>45361</v>
      </c>
      <c r="D1762" t="inlineStr">
        <is>
          <t>JÄMTLANDS LÄN</t>
        </is>
      </c>
      <c r="E1762" t="inlineStr">
        <is>
          <t>BRÄCKE</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6748-2024</t>
        </is>
      </c>
      <c r="B1763" s="1" t="n">
        <v>45342</v>
      </c>
      <c r="C1763" s="1" t="n">
        <v>45361</v>
      </c>
      <c r="D1763" t="inlineStr">
        <is>
          <t>JÄMTLANDS LÄN</t>
        </is>
      </c>
      <c r="E1763" t="inlineStr">
        <is>
          <t>BRÄCKE</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6906-2024</t>
        </is>
      </c>
      <c r="B1764" s="1" t="n">
        <v>45342</v>
      </c>
      <c r="C1764" s="1" t="n">
        <v>45361</v>
      </c>
      <c r="D1764" t="inlineStr">
        <is>
          <t>JÄMTLANDS LÄN</t>
        </is>
      </c>
      <c r="E1764" t="inlineStr">
        <is>
          <t>BRÄCKE</t>
        </is>
      </c>
      <c r="F1764" t="inlineStr">
        <is>
          <t>SCA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6903-2024</t>
        </is>
      </c>
      <c r="B1765" s="1" t="n">
        <v>45342</v>
      </c>
      <c r="C1765" s="1" t="n">
        <v>45361</v>
      </c>
      <c r="D1765" t="inlineStr">
        <is>
          <t>JÄMTLANDS LÄN</t>
        </is>
      </c>
      <c r="E1765" t="inlineStr">
        <is>
          <t>BRÄCKE</t>
        </is>
      </c>
      <c r="F1765" t="inlineStr">
        <is>
          <t>SCA</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6907-2024</t>
        </is>
      </c>
      <c r="B1766" s="1" t="n">
        <v>45342</v>
      </c>
      <c r="C1766" s="1" t="n">
        <v>45361</v>
      </c>
      <c r="D1766" t="inlineStr">
        <is>
          <t>JÄMTLANDS LÄN</t>
        </is>
      </c>
      <c r="E1766" t="inlineStr">
        <is>
          <t>BRÄCKE</t>
        </is>
      </c>
      <c r="F1766" t="inlineStr">
        <is>
          <t>SCA</t>
        </is>
      </c>
      <c r="G1766" t="n">
        <v>11.7</v>
      </c>
      <c r="H1766" t="n">
        <v>0</v>
      </c>
      <c r="I1766" t="n">
        <v>0</v>
      </c>
      <c r="J1766" t="n">
        <v>0</v>
      </c>
      <c r="K1766" t="n">
        <v>0</v>
      </c>
      <c r="L1766" t="n">
        <v>0</v>
      </c>
      <c r="M1766" t="n">
        <v>0</v>
      </c>
      <c r="N1766" t="n">
        <v>0</v>
      </c>
      <c r="O1766" t="n">
        <v>0</v>
      </c>
      <c r="P1766" t="n">
        <v>0</v>
      </c>
      <c r="Q1766" t="n">
        <v>0</v>
      </c>
      <c r="R1766" s="2" t="inlineStr"/>
    </row>
    <row r="1767" ht="15" customHeight="1">
      <c r="A1767" t="inlineStr">
        <is>
          <t>A 7286-2024</t>
        </is>
      </c>
      <c r="B1767" s="1" t="n">
        <v>45344</v>
      </c>
      <c r="C1767" s="1" t="n">
        <v>45361</v>
      </c>
      <c r="D1767" t="inlineStr">
        <is>
          <t>JÄMTLANDS LÄN</t>
        </is>
      </c>
      <c r="E1767" t="inlineStr">
        <is>
          <t>BRÄCKE</t>
        </is>
      </c>
      <c r="F1767" t="inlineStr">
        <is>
          <t>SCA</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7283-2024</t>
        </is>
      </c>
      <c r="B1768" s="1" t="n">
        <v>45344</v>
      </c>
      <c r="C1768" s="1" t="n">
        <v>45361</v>
      </c>
      <c r="D1768" t="inlineStr">
        <is>
          <t>JÄMTLANDS LÄN</t>
        </is>
      </c>
      <c r="E1768" t="inlineStr">
        <is>
          <t>BRÄCKE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7287-2024</t>
        </is>
      </c>
      <c r="B1769" s="1" t="n">
        <v>45344</v>
      </c>
      <c r="C1769" s="1" t="n">
        <v>45361</v>
      </c>
      <c r="D1769" t="inlineStr">
        <is>
          <t>JÄMTLANDS LÄN</t>
        </is>
      </c>
      <c r="E1769" t="inlineStr">
        <is>
          <t>BRÄCKE</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7434-2024</t>
        </is>
      </c>
      <c r="B1770" s="1" t="n">
        <v>45345</v>
      </c>
      <c r="C1770" s="1" t="n">
        <v>45361</v>
      </c>
      <c r="D1770" t="inlineStr">
        <is>
          <t>JÄMTLANDS LÄN</t>
        </is>
      </c>
      <c r="E1770" t="inlineStr">
        <is>
          <t>BRÄCKE</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7508-2024</t>
        </is>
      </c>
      <c r="B1771" s="1" t="n">
        <v>45347</v>
      </c>
      <c r="C1771" s="1" t="n">
        <v>45361</v>
      </c>
      <c r="D1771" t="inlineStr">
        <is>
          <t>JÄMTLANDS LÄN</t>
        </is>
      </c>
      <c r="E1771" t="inlineStr">
        <is>
          <t>BRÄCKE</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7844-2024</t>
        </is>
      </c>
      <c r="B1772" s="1" t="n">
        <v>45350</v>
      </c>
      <c r="C1772" s="1" t="n">
        <v>45361</v>
      </c>
      <c r="D1772" t="inlineStr">
        <is>
          <t>JÄMTLANDS LÄN</t>
        </is>
      </c>
      <c r="E1772" t="inlineStr">
        <is>
          <t>BRÄCKE</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8037-2024</t>
        </is>
      </c>
      <c r="B1773" s="1" t="n">
        <v>45350</v>
      </c>
      <c r="C1773" s="1" t="n">
        <v>45361</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8253-2024</t>
        </is>
      </c>
      <c r="B1774" s="1" t="n">
        <v>45350</v>
      </c>
      <c r="C1774" s="1" t="n">
        <v>45361</v>
      </c>
      <c r="D1774" t="inlineStr">
        <is>
          <t>JÄMTLANDS LÄN</t>
        </is>
      </c>
      <c r="E1774" t="inlineStr">
        <is>
          <t>BRÄCKE</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8242-2024</t>
        </is>
      </c>
      <c r="B1775" s="1" t="n">
        <v>45352</v>
      </c>
      <c r="C1775" s="1" t="n">
        <v>45361</v>
      </c>
      <c r="D1775" t="inlineStr">
        <is>
          <t>JÄMTLANDS LÄN</t>
        </is>
      </c>
      <c r="E1775" t="inlineStr">
        <is>
          <t>BRÄCKE</t>
        </is>
      </c>
      <c r="F1775" t="inlineStr">
        <is>
          <t>SCA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8415-2024</t>
        </is>
      </c>
      <c r="B1776" s="1" t="n">
        <v>45353</v>
      </c>
      <c r="C1776" s="1" t="n">
        <v>45361</v>
      </c>
      <c r="D1776" t="inlineStr">
        <is>
          <t>JÄMTLANDS LÄN</t>
        </is>
      </c>
      <c r="E1776" t="inlineStr">
        <is>
          <t>BRÄCKE</t>
        </is>
      </c>
      <c r="F1776" t="inlineStr">
        <is>
          <t>SCA</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8416-2024</t>
        </is>
      </c>
      <c r="B1777" s="1" t="n">
        <v>45353</v>
      </c>
      <c r="C1777" s="1" t="n">
        <v>45361</v>
      </c>
      <c r="D1777" t="inlineStr">
        <is>
          <t>JÄMTLANDS LÄN</t>
        </is>
      </c>
      <c r="E1777" t="inlineStr">
        <is>
          <t>BRÄCKE</t>
        </is>
      </c>
      <c r="G1777" t="n">
        <v>11.9</v>
      </c>
      <c r="H1777" t="n">
        <v>0</v>
      </c>
      <c r="I1777" t="n">
        <v>0</v>
      </c>
      <c r="J1777" t="n">
        <v>0</v>
      </c>
      <c r="K1777" t="n">
        <v>0</v>
      </c>
      <c r="L1777" t="n">
        <v>0</v>
      </c>
      <c r="M1777" t="n">
        <v>0</v>
      </c>
      <c r="N1777" t="n">
        <v>0</v>
      </c>
      <c r="O1777" t="n">
        <v>0</v>
      </c>
      <c r="P1777" t="n">
        <v>0</v>
      </c>
      <c r="Q1777" t="n">
        <v>0</v>
      </c>
      <c r="R1777" s="2" t="inlineStr"/>
    </row>
    <row r="1778" ht="15" customHeight="1">
      <c r="A1778" t="inlineStr">
        <is>
          <t>A 8657-2024</t>
        </is>
      </c>
      <c r="B1778" s="1" t="n">
        <v>45356</v>
      </c>
      <c r="C1778" s="1" t="n">
        <v>45361</v>
      </c>
      <c r="D1778" t="inlineStr">
        <is>
          <t>JÄMTLANDS LÄN</t>
        </is>
      </c>
      <c r="E1778" t="inlineStr">
        <is>
          <t>BRÄCKE</t>
        </is>
      </c>
      <c r="F1778" t="inlineStr">
        <is>
          <t>SCA</t>
        </is>
      </c>
      <c r="G1778" t="n">
        <v>35.6</v>
      </c>
      <c r="H1778" t="n">
        <v>0</v>
      </c>
      <c r="I1778" t="n">
        <v>0</v>
      </c>
      <c r="J1778" t="n">
        <v>0</v>
      </c>
      <c r="K1778" t="n">
        <v>0</v>
      </c>
      <c r="L1778" t="n">
        <v>0</v>
      </c>
      <c r="M1778" t="n">
        <v>0</v>
      </c>
      <c r="N1778" t="n">
        <v>0</v>
      </c>
      <c r="O1778" t="n">
        <v>0</v>
      </c>
      <c r="P1778" t="n">
        <v>0</v>
      </c>
      <c r="Q1778" t="n">
        <v>0</v>
      </c>
      <c r="R1778" s="2" t="inlineStr"/>
    </row>
    <row r="1779" ht="15" customHeight="1">
      <c r="A1779" t="inlineStr">
        <is>
          <t>A 8882-2024</t>
        </is>
      </c>
      <c r="B1779" s="1" t="n">
        <v>45357</v>
      </c>
      <c r="C1779" s="1" t="n">
        <v>45361</v>
      </c>
      <c r="D1779" t="inlineStr">
        <is>
          <t>JÄMTLANDS LÄN</t>
        </is>
      </c>
      <c r="E1779" t="inlineStr">
        <is>
          <t>BRÄCKE</t>
        </is>
      </c>
      <c r="F1779" t="inlineStr">
        <is>
          <t>SCA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9118-2024</t>
        </is>
      </c>
      <c r="B1780" s="1" t="n">
        <v>45358</v>
      </c>
      <c r="C1780" s="1" t="n">
        <v>45361</v>
      </c>
      <c r="D1780" t="inlineStr">
        <is>
          <t>JÄMTLANDS LÄN</t>
        </is>
      </c>
      <c r="E1780" t="inlineStr">
        <is>
          <t>BRÄCKE</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9332-2024</t>
        </is>
      </c>
      <c r="B1781" s="1" t="n">
        <v>45359</v>
      </c>
      <c r="C1781" s="1" t="n">
        <v>45361</v>
      </c>
      <c r="D1781" t="inlineStr">
        <is>
          <t>JÄMTLANDS LÄN</t>
        </is>
      </c>
      <c r="E1781" t="inlineStr">
        <is>
          <t>BRÄCKE</t>
        </is>
      </c>
      <c r="F1781" t="inlineStr">
        <is>
          <t>SCA</t>
        </is>
      </c>
      <c r="G1781" t="n">
        <v>30.2</v>
      </c>
      <c r="H1781" t="n">
        <v>0</v>
      </c>
      <c r="I1781" t="n">
        <v>0</v>
      </c>
      <c r="J1781" t="n">
        <v>0</v>
      </c>
      <c r="K1781" t="n">
        <v>0</v>
      </c>
      <c r="L1781" t="n">
        <v>0</v>
      </c>
      <c r="M1781" t="n">
        <v>0</v>
      </c>
      <c r="N1781" t="n">
        <v>0</v>
      </c>
      <c r="O1781" t="n">
        <v>0</v>
      </c>
      <c r="P1781" t="n">
        <v>0</v>
      </c>
      <c r="Q1781" t="n">
        <v>0</v>
      </c>
      <c r="R1781" s="2" t="inlineStr"/>
    </row>
    <row r="1782">
      <c r="A1782" t="inlineStr">
        <is>
          <t>A 9553-2024</t>
        </is>
      </c>
      <c r="B1782" s="1" t="n">
        <v>45360</v>
      </c>
      <c r="C1782" s="1" t="n">
        <v>45361</v>
      </c>
      <c r="D1782" t="inlineStr">
        <is>
          <t>JÄMTLANDS LÄN</t>
        </is>
      </c>
      <c r="E1782" t="inlineStr">
        <is>
          <t>BRÄCKE</t>
        </is>
      </c>
      <c r="F1782" t="inlineStr">
        <is>
          <t>SCA</t>
        </is>
      </c>
      <c r="G1782" t="n">
        <v>1.4</v>
      </c>
      <c r="H1782" t="n">
        <v>0</v>
      </c>
      <c r="I1782" t="n">
        <v>0</v>
      </c>
      <c r="J1782" t="n">
        <v>0</v>
      </c>
      <c r="K1782" t="n">
        <v>0</v>
      </c>
      <c r="L1782" t="n">
        <v>0</v>
      </c>
      <c r="M1782" t="n">
        <v>0</v>
      </c>
      <c r="N1782" t="n">
        <v>0</v>
      </c>
      <c r="O1782" t="n">
        <v>0</v>
      </c>
      <c r="P1782" t="n">
        <v>0</v>
      </c>
      <c r="Q1782" t="n">
        <v>0</v>
      </c>
      <c r="R178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2024-03-10T17:25:20Z</dcterms:created>
  <dcterms:modified xmlns:dcterms="http://purl.org/dc/terms/" xmlns:xsi="http://www.w3.org/2001/XMLSchema-instance" xsi:type="dcterms:W3CDTF">2024-03-10T17:25:22Z</dcterms:modified>
</cp:coreProperties>
</file>