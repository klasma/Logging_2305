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46118</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46118</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46118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46118</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46118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46118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46118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46118</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46118</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46118</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46118</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46118</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30779-2024</t>
        </is>
      </c>
      <c r="B23" s="1" t="n">
        <v>45496.95019675926</v>
      </c>
      <c r="C23" s="1" t="n">
        <v>46118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46118</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46118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46118</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46118</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29102-2024</t>
        </is>
      </c>
      <c r="B29" s="1" t="n">
        <v>45481.95128472222</v>
      </c>
      <c r="C29" s="1" t="n">
        <v>46118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22983-2024</t>
        </is>
      </c>
      <c r="B30" s="1" t="n">
        <v>45449</v>
      </c>
      <c r="C30" s="1" t="n">
        <v>46118</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46118</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46118</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46118</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61483-2024</t>
        </is>
      </c>
      <c r="B34" s="1" t="n">
        <v>45646</v>
      </c>
      <c r="C34" s="1" t="n">
        <v>46118</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19337-2024</t>
        </is>
      </c>
      <c r="B35" s="1" t="n">
        <v>45428.97097222223</v>
      </c>
      <c r="C35" s="1" t="n">
        <v>46118</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46118</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46118</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46118</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60620-2025</t>
        </is>
      </c>
      <c r="B39" s="1" t="n">
        <v>45996.38583333333</v>
      </c>
      <c r="C39" s="1" t="n">
        <v>46118</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46118</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46118</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46118</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46118</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34747-2025</t>
        </is>
      </c>
      <c r="B45" s="1" t="n">
        <v>45848.61520833334</v>
      </c>
      <c r="C45" s="1" t="n">
        <v>46118</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38594-2025</t>
        </is>
      </c>
      <c r="B46" s="1" t="n">
        <v>45884.49010416667</v>
      </c>
      <c r="C46" s="1" t="n">
        <v>46118</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46118</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46118</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46118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46118</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49336-2023</t>
        </is>
      </c>
      <c r="B51" s="1" t="n">
        <v>45210</v>
      </c>
      <c r="C51" s="1" t="n">
        <v>46118</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46118</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49372-2024</t>
        </is>
      </c>
      <c r="B53" s="1" t="n">
        <v>45595.64168981482</v>
      </c>
      <c r="C53" s="1" t="n">
        <v>46118</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46118</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55271-2025</t>
        </is>
      </c>
      <c r="B55" s="1" t="n">
        <v>45968.67741898148</v>
      </c>
      <c r="C55" s="1" t="n">
        <v>46118</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51037-2023</t>
        </is>
      </c>
      <c r="B56" s="1" t="n">
        <v>45218</v>
      </c>
      <c r="C56" s="1" t="n">
        <v>46118</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51819-2023</t>
        </is>
      </c>
      <c r="B57" s="1" t="n">
        <v>45222</v>
      </c>
      <c r="C57" s="1" t="n">
        <v>46118</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58903-2024</t>
        </is>
      </c>
      <c r="B58" s="1" t="n">
        <v>45636</v>
      </c>
      <c r="C58" s="1" t="n">
        <v>46118</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51820-2023</t>
        </is>
      </c>
      <c r="B59" s="1" t="n">
        <v>45222</v>
      </c>
      <c r="C59" s="1" t="n">
        <v>46118</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61173-2025</t>
        </is>
      </c>
      <c r="B60" s="1" t="n">
        <v>46000</v>
      </c>
      <c r="C60" s="1" t="n">
        <v>46118</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8707-2025</t>
        </is>
      </c>
      <c r="B61" s="1" t="n">
        <v>45712.49047453704</v>
      </c>
      <c r="C61" s="1" t="n">
        <v>46118</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32565-2025</t>
        </is>
      </c>
      <c r="B62" s="1" t="n">
        <v>45838.57340277778</v>
      </c>
      <c r="C62" s="1" t="n">
        <v>46118</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46118</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62113-2023</t>
        </is>
      </c>
      <c r="B64" s="1" t="n">
        <v>45266</v>
      </c>
      <c r="C64" s="1" t="n">
        <v>46118</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34540-2025</t>
        </is>
      </c>
      <c r="B65" s="1" t="n">
        <v>45847.53170138889</v>
      </c>
      <c r="C65" s="1" t="n">
        <v>46118</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46118</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46118</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41199-2025</t>
        </is>
      </c>
      <c r="B68" s="1" t="n">
        <v>45898.57366898148</v>
      </c>
      <c r="C68" s="1" t="n">
        <v>46118</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45109-2024</t>
        </is>
      </c>
      <c r="B69" s="1" t="n">
        <v>45575.59435185185</v>
      </c>
      <c r="C69" s="1" t="n">
        <v>46118</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62925-2025</t>
        </is>
      </c>
      <c r="B70" s="1" t="n">
        <v>46009.38592592593</v>
      </c>
      <c r="C70" s="1" t="n">
        <v>46118</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61433-2025</t>
        </is>
      </c>
      <c r="B71" s="1" t="n">
        <v>46001.55944444444</v>
      </c>
      <c r="C71" s="1" t="n">
        <v>46118</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18898-2025</t>
        </is>
      </c>
      <c r="B72" s="1" t="n">
        <v>45764.44885416667</v>
      </c>
      <c r="C72" s="1" t="n">
        <v>46118</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46118</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34300-2025</t>
        </is>
      </c>
      <c r="B74" s="1" t="n">
        <v>45846.34518518519</v>
      </c>
      <c r="C74" s="1" t="n">
        <v>46118</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52152-2024</t>
        </is>
      </c>
      <c r="B75" s="1" t="n">
        <v>45608.52387731482</v>
      </c>
      <c r="C75" s="1" t="n">
        <v>46118</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46118</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43989-2023</t>
        </is>
      </c>
      <c r="B77" s="1" t="n">
        <v>45187</v>
      </c>
      <c r="C77" s="1" t="n">
        <v>46118</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46118</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46118</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13548-2024</t>
        </is>
      </c>
      <c r="B80" s="1" t="n">
        <v>45387.95348379629</v>
      </c>
      <c r="C80" s="1" t="n">
        <v>46118</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29464-2024</t>
        </is>
      </c>
      <c r="B81" s="1" t="n">
        <v>45483.97010416666</v>
      </c>
      <c r="C81" s="1" t="n">
        <v>46118</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46118</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 agg.</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22143-2025</t>
        </is>
      </c>
      <c r="B83" s="1" t="n">
        <v>45785.55251157407</v>
      </c>
      <c r="C83" s="1" t="n">
        <v>46118</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29272-2024</t>
        </is>
      </c>
      <c r="B84" s="1" t="n">
        <v>45482</v>
      </c>
      <c r="C84" s="1" t="n">
        <v>46118</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35419-2024</t>
        </is>
      </c>
      <c r="B85" s="1" t="n">
        <v>45531.40895833333</v>
      </c>
      <c r="C85" s="1" t="n">
        <v>46118</v>
      </c>
      <c r="D85" t="inlineStr">
        <is>
          <t>JÄMTLANDS LÄN</t>
        </is>
      </c>
      <c r="E85" t="inlineStr">
        <is>
          <t>BRÄCKE</t>
        </is>
      </c>
      <c r="F85" t="inlineStr">
        <is>
          <t>SCA</t>
        </is>
      </c>
      <c r="G85" t="n">
        <v>3.6</v>
      </c>
      <c r="H85" t="n">
        <v>3</v>
      </c>
      <c r="I85" t="n">
        <v>1</v>
      </c>
      <c r="J85" t="n">
        <v>3</v>
      </c>
      <c r="K85" t="n">
        <v>0</v>
      </c>
      <c r="L85" t="n">
        <v>0</v>
      </c>
      <c r="M85" t="n">
        <v>0</v>
      </c>
      <c r="N85" t="n">
        <v>0</v>
      </c>
      <c r="O85" t="n">
        <v>3</v>
      </c>
      <c r="P85" t="n">
        <v>0</v>
      </c>
      <c r="Q85" t="n">
        <v>6</v>
      </c>
      <c r="R85" s="2" t="inlineStr">
        <is>
          <t>Lunglav
Skrovellav
Talltita
Stuplav
Kungsfågel
Nattviol</t>
        </is>
      </c>
      <c r="S85">
        <f>HYPERLINK("https://klasma.github.io/Logging_2305/artfynd/A 35419-2024 artfynd.xlsx", "A 35419-2024")</f>
        <v/>
      </c>
      <c r="T85">
        <f>HYPERLINK("https://klasma.github.io/Logging_2305/kartor/A 35419-2024 karta.png", "A 35419-2024")</f>
        <v/>
      </c>
      <c r="V85">
        <f>HYPERLINK("https://klasma.github.io/Logging_2305/klagomål/A 35419-2024 FSC-klagomål.docx", "A 35419-2024")</f>
        <v/>
      </c>
      <c r="W85">
        <f>HYPERLINK("https://klasma.github.io/Logging_2305/klagomålsmail/A 35419-2024 FSC-klagomål mail.docx", "A 35419-2024")</f>
        <v/>
      </c>
      <c r="X85">
        <f>HYPERLINK("https://klasma.github.io/Logging_2305/tillsyn/A 35419-2024 tillsynsbegäran.docx", "A 35419-2024")</f>
        <v/>
      </c>
      <c r="Y85">
        <f>HYPERLINK("https://klasma.github.io/Logging_2305/tillsynsmail/A 35419-2024 tillsynsbegäran mail.docx", "A 35419-2024")</f>
        <v/>
      </c>
      <c r="Z85">
        <f>HYPERLINK("https://klasma.github.io/Logging_2305/fåglar/A 35419-2024 prioriterade fågelarter.docx", "A 35419-2024")</f>
        <v/>
      </c>
    </row>
    <row r="86" ht="15" customHeight="1">
      <c r="A86" t="inlineStr">
        <is>
          <t>A 59719-2024</t>
        </is>
      </c>
      <c r="B86" s="1" t="n">
        <v>45639.47033564815</v>
      </c>
      <c r="C86" s="1" t="n">
        <v>46118</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29141-2025</t>
        </is>
      </c>
      <c r="B87" s="1" t="n">
        <v>45821.61508101852</v>
      </c>
      <c r="C87" s="1" t="n">
        <v>46118</v>
      </c>
      <c r="D87" t="inlineStr">
        <is>
          <t>JÄMTLANDS LÄN</t>
        </is>
      </c>
      <c r="E87" t="inlineStr">
        <is>
          <t>BRÄCKE</t>
        </is>
      </c>
      <c r="G87" t="n">
        <v>6.1</v>
      </c>
      <c r="H87" t="n">
        <v>0</v>
      </c>
      <c r="I87" t="n">
        <v>0</v>
      </c>
      <c r="J87" t="n">
        <v>6</v>
      </c>
      <c r="K87" t="n">
        <v>0</v>
      </c>
      <c r="L87" t="n">
        <v>0</v>
      </c>
      <c r="M87" t="n">
        <v>0</v>
      </c>
      <c r="N87" t="n">
        <v>0</v>
      </c>
      <c r="O87" t="n">
        <v>6</v>
      </c>
      <c r="P87" t="n">
        <v>0</v>
      </c>
      <c r="Q87" t="n">
        <v>6</v>
      </c>
      <c r="R87" s="2" t="inlineStr">
        <is>
          <t>Blå taggsvamp
Dvärgbägarlav
Nordtagging
Vaddporing
Vedflamlav
Vedskivlav</t>
        </is>
      </c>
      <c r="S87">
        <f>HYPERLINK("https://klasma.github.io/Logging_2305/artfynd/A 29141-2025 artfynd.xlsx", "A 29141-2025")</f>
        <v/>
      </c>
      <c r="T87">
        <f>HYPERLINK("https://klasma.github.io/Logging_2305/kartor/A 29141-2025 karta.png", "A 29141-2025")</f>
        <v/>
      </c>
      <c r="V87">
        <f>HYPERLINK("https://klasma.github.io/Logging_2305/klagomål/A 29141-2025 FSC-klagomål.docx", "A 29141-2025")</f>
        <v/>
      </c>
      <c r="W87">
        <f>HYPERLINK("https://klasma.github.io/Logging_2305/klagomålsmail/A 29141-2025 FSC-klagomål mail.docx", "A 29141-2025")</f>
        <v/>
      </c>
      <c r="X87">
        <f>HYPERLINK("https://klasma.github.io/Logging_2305/tillsyn/A 29141-2025 tillsynsbegäran.docx", "A 29141-2025")</f>
        <v/>
      </c>
      <c r="Y87">
        <f>HYPERLINK("https://klasma.github.io/Logging_2305/tillsynsmail/A 29141-2025 tillsynsbegäran mail.docx", "A 29141-2025")</f>
        <v/>
      </c>
    </row>
    <row r="88" ht="15" customHeight="1">
      <c r="A88" t="inlineStr">
        <is>
          <t>A 5269-2024</t>
        </is>
      </c>
      <c r="B88" s="1" t="n">
        <v>45330</v>
      </c>
      <c r="C88" s="1" t="n">
        <v>46118</v>
      </c>
      <c r="D88" t="inlineStr">
        <is>
          <t>JÄMTLANDS LÄN</t>
        </is>
      </c>
      <c r="E88" t="inlineStr">
        <is>
          <t>BRÄCKE</t>
        </is>
      </c>
      <c r="F88" t="inlineStr">
        <is>
          <t>SCA</t>
        </is>
      </c>
      <c r="G88" t="n">
        <v>8.300000000000001</v>
      </c>
      <c r="H88" t="n">
        <v>2</v>
      </c>
      <c r="I88" t="n">
        <v>0</v>
      </c>
      <c r="J88" t="n">
        <v>5</v>
      </c>
      <c r="K88" t="n">
        <v>1</v>
      </c>
      <c r="L88" t="n">
        <v>0</v>
      </c>
      <c r="M88" t="n">
        <v>0</v>
      </c>
      <c r="N88" t="n">
        <v>0</v>
      </c>
      <c r="O88" t="n">
        <v>6</v>
      </c>
      <c r="P88" t="n">
        <v>1</v>
      </c>
      <c r="Q88" t="n">
        <v>6</v>
      </c>
      <c r="R88" s="2" t="inlineStr">
        <is>
          <t>Knärot
Granticka
Lunglav
Skogshare
Tretåig hackspett
Ullticka</t>
        </is>
      </c>
      <c r="S88">
        <f>HYPERLINK("https://klasma.github.io/Logging_2305/artfynd/A 5269-2024 artfynd.xlsx", "A 5269-2024")</f>
        <v/>
      </c>
      <c r="T88">
        <f>HYPERLINK("https://klasma.github.io/Logging_2305/kartor/A 5269-2024 karta.png", "A 5269-2024")</f>
        <v/>
      </c>
      <c r="U88">
        <f>HYPERLINK("https://klasma.github.io/Logging_2305/knärot/A 5269-2024 karta knärot.png", "A 5269-2024")</f>
        <v/>
      </c>
      <c r="V88">
        <f>HYPERLINK("https://klasma.github.io/Logging_2305/klagomål/A 5269-2024 FSC-klagomål.docx", "A 5269-2024")</f>
        <v/>
      </c>
      <c r="W88">
        <f>HYPERLINK("https://klasma.github.io/Logging_2305/klagomålsmail/A 5269-2024 FSC-klagomål mail.docx", "A 5269-2024")</f>
        <v/>
      </c>
      <c r="X88">
        <f>HYPERLINK("https://klasma.github.io/Logging_2305/tillsyn/A 5269-2024 tillsynsbegäran.docx", "A 5269-2024")</f>
        <v/>
      </c>
      <c r="Y88">
        <f>HYPERLINK("https://klasma.github.io/Logging_2305/tillsynsmail/A 5269-2024 tillsynsbegäran mail.docx", "A 5269-2024")</f>
        <v/>
      </c>
      <c r="Z88">
        <f>HYPERLINK("https://klasma.github.io/Logging_2305/fåglar/A 5269-2024 prioriterade fågelarter.docx", "A 5269-2024")</f>
        <v/>
      </c>
    </row>
    <row r="89" ht="15" customHeight="1">
      <c r="A89" t="inlineStr">
        <is>
          <t>A 32580-2025</t>
        </is>
      </c>
      <c r="B89" s="1" t="n">
        <v>45838.59434027778</v>
      </c>
      <c r="C89" s="1" t="n">
        <v>46118</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53280-2022</t>
        </is>
      </c>
      <c r="B90" s="1" t="n">
        <v>44876</v>
      </c>
      <c r="C90" s="1" t="n">
        <v>46118</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18634-2025</t>
        </is>
      </c>
      <c r="B91" s="1" t="n">
        <v>45763.55266203704</v>
      </c>
      <c r="C91" s="1" t="n">
        <v>46118</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46118</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38527-2025</t>
        </is>
      </c>
      <c r="B93" s="1" t="n">
        <v>45884.40715277778</v>
      </c>
      <c r="C93" s="1" t="n">
        <v>46118</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44217-2025</t>
        </is>
      </c>
      <c r="B94" s="1" t="n">
        <v>45915.6362037037</v>
      </c>
      <c r="C94" s="1" t="n">
        <v>46118</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6748-2024</t>
        </is>
      </c>
      <c r="B95" s="1" t="n">
        <v>45342</v>
      </c>
      <c r="C95" s="1" t="n">
        <v>46118</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48780-2023</t>
        </is>
      </c>
      <c r="B96" s="1" t="n">
        <v>45208</v>
      </c>
      <c r="C96" s="1" t="n">
        <v>46118</v>
      </c>
      <c r="D96" t="inlineStr">
        <is>
          <t>JÄMTLANDS LÄN</t>
        </is>
      </c>
      <c r="E96" t="inlineStr">
        <is>
          <t>BRÄCKE</t>
        </is>
      </c>
      <c r="F96" t="inlineStr">
        <is>
          <t>Naturvårdsverket</t>
        </is>
      </c>
      <c r="G96" t="n">
        <v>11.2</v>
      </c>
      <c r="H96" t="n">
        <v>0</v>
      </c>
      <c r="I96" t="n">
        <v>1</v>
      </c>
      <c r="J96" t="n">
        <v>4</v>
      </c>
      <c r="K96" t="n">
        <v>0</v>
      </c>
      <c r="L96" t="n">
        <v>0</v>
      </c>
      <c r="M96" t="n">
        <v>0</v>
      </c>
      <c r="N96" t="n">
        <v>0</v>
      </c>
      <c r="O96" t="n">
        <v>4</v>
      </c>
      <c r="P96" t="n">
        <v>0</v>
      </c>
      <c r="Q96" t="n">
        <v>5</v>
      </c>
      <c r="R96" s="2" t="inlineStr">
        <is>
          <t>Blå taggsvamp
Dofttaggsvamp
Lunglav
Tallticka
Dropptaggsvamp</t>
        </is>
      </c>
      <c r="S96">
        <f>HYPERLINK("https://klasma.github.io/Logging_2305/artfynd/A 48780-2023 artfynd.xlsx", "A 48780-2023")</f>
        <v/>
      </c>
      <c r="T96">
        <f>HYPERLINK("https://klasma.github.io/Logging_2305/kartor/A 48780-2023 karta.png", "A 48780-2023")</f>
        <v/>
      </c>
      <c r="V96">
        <f>HYPERLINK("https://klasma.github.io/Logging_2305/klagomål/A 48780-2023 FSC-klagomål.docx", "A 48780-2023")</f>
        <v/>
      </c>
      <c r="W96">
        <f>HYPERLINK("https://klasma.github.io/Logging_2305/klagomålsmail/A 48780-2023 FSC-klagomål mail.docx", "A 48780-2023")</f>
        <v/>
      </c>
      <c r="X96">
        <f>HYPERLINK("https://klasma.github.io/Logging_2305/tillsyn/A 48780-2023 tillsynsbegäran.docx", "A 48780-2023")</f>
        <v/>
      </c>
      <c r="Y96">
        <f>HYPERLINK("https://klasma.github.io/Logging_2305/tillsynsmail/A 48780-2023 tillsynsbegäran mail.docx", "A 48780-2023")</f>
        <v/>
      </c>
    </row>
    <row r="97" ht="15" customHeight="1">
      <c r="A97" t="inlineStr">
        <is>
          <t>A 56737-2025</t>
        </is>
      </c>
      <c r="B97" s="1" t="n">
        <v>45978.34453703704</v>
      </c>
      <c r="C97" s="1" t="n">
        <v>46118</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30991-2024</t>
        </is>
      </c>
      <c r="B98" s="1" t="n">
        <v>45499.55119212963</v>
      </c>
      <c r="C98" s="1" t="n">
        <v>46118</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46118</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47560-2024</t>
        </is>
      </c>
      <c r="B100" s="1" t="n">
        <v>45587.6758449074</v>
      </c>
      <c r="C100" s="1" t="n">
        <v>46118</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46118</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30620-2025</t>
        </is>
      </c>
      <c r="B102" s="1" t="n">
        <v>45831.46936342592</v>
      </c>
      <c r="C102" s="1" t="n">
        <v>46118</v>
      </c>
      <c r="D102" t="inlineStr">
        <is>
          <t>JÄMTLANDS LÄN</t>
        </is>
      </c>
      <c r="E102" t="inlineStr">
        <is>
          <t>BRÄCKE</t>
        </is>
      </c>
      <c r="G102" t="n">
        <v>4</v>
      </c>
      <c r="H102" t="n">
        <v>0</v>
      </c>
      <c r="I102" t="n">
        <v>1</v>
      </c>
      <c r="J102" t="n">
        <v>4</v>
      </c>
      <c r="K102" t="n">
        <v>0</v>
      </c>
      <c r="L102" t="n">
        <v>0</v>
      </c>
      <c r="M102" t="n">
        <v>0</v>
      </c>
      <c r="N102" t="n">
        <v>0</v>
      </c>
      <c r="O102" t="n">
        <v>4</v>
      </c>
      <c r="P102" t="n">
        <v>0</v>
      </c>
      <c r="Q102" t="n">
        <v>5</v>
      </c>
      <c r="R102" s="2" t="inlineStr">
        <is>
          <t>Garnlav
Granticka
Lunglav
Ullticka
Rödgul trumpetsvamp</t>
        </is>
      </c>
      <c r="S102">
        <f>HYPERLINK("https://klasma.github.io/Logging_2305/artfynd/A 30620-2025 artfynd.xlsx", "A 30620-2025")</f>
        <v/>
      </c>
      <c r="T102">
        <f>HYPERLINK("https://klasma.github.io/Logging_2305/kartor/A 30620-2025 karta.png", "A 30620-2025")</f>
        <v/>
      </c>
      <c r="V102">
        <f>HYPERLINK("https://klasma.github.io/Logging_2305/klagomål/A 30620-2025 FSC-klagomål.docx", "A 30620-2025")</f>
        <v/>
      </c>
      <c r="W102">
        <f>HYPERLINK("https://klasma.github.io/Logging_2305/klagomålsmail/A 30620-2025 FSC-klagomål mail.docx", "A 30620-2025")</f>
        <v/>
      </c>
      <c r="X102">
        <f>HYPERLINK("https://klasma.github.io/Logging_2305/tillsyn/A 30620-2025 tillsynsbegäran.docx", "A 30620-2025")</f>
        <v/>
      </c>
      <c r="Y102">
        <f>HYPERLINK("https://klasma.github.io/Logging_2305/tillsynsmail/A 30620-2025 tillsynsbegäran mail.docx", "A 30620-2025")</f>
        <v/>
      </c>
    </row>
    <row r="103" ht="15" customHeight="1">
      <c r="A103" t="inlineStr">
        <is>
          <t>A 31378-2025</t>
        </is>
      </c>
      <c r="B103" s="1" t="n">
        <v>45833.44834490741</v>
      </c>
      <c r="C103" s="1" t="n">
        <v>46118</v>
      </c>
      <c r="D103" t="inlineStr">
        <is>
          <t>JÄMTLANDS LÄN</t>
        </is>
      </c>
      <c r="E103" t="inlineStr">
        <is>
          <t>BRÄCKE</t>
        </is>
      </c>
      <c r="F103" t="inlineStr">
        <is>
          <t>SCA</t>
        </is>
      </c>
      <c r="G103" t="n">
        <v>1.6</v>
      </c>
      <c r="H103" t="n">
        <v>1</v>
      </c>
      <c r="I103" t="n">
        <v>1</v>
      </c>
      <c r="J103" t="n">
        <v>3</v>
      </c>
      <c r="K103" t="n">
        <v>1</v>
      </c>
      <c r="L103" t="n">
        <v>0</v>
      </c>
      <c r="M103" t="n">
        <v>0</v>
      </c>
      <c r="N103" t="n">
        <v>0</v>
      </c>
      <c r="O103" t="n">
        <v>4</v>
      </c>
      <c r="P103" t="n">
        <v>1</v>
      </c>
      <c r="Q103" t="n">
        <v>5</v>
      </c>
      <c r="R103" s="2" t="inlineStr">
        <is>
          <t>Knärot
Granticka
Gränsticka
Lunglav
Stuplav</t>
        </is>
      </c>
      <c r="S103">
        <f>HYPERLINK("https://klasma.github.io/Logging_2305/artfynd/A 31378-2025 artfynd.xlsx", "A 31378-2025")</f>
        <v/>
      </c>
      <c r="T103">
        <f>HYPERLINK("https://klasma.github.io/Logging_2305/kartor/A 31378-2025 karta.png", "A 31378-2025")</f>
        <v/>
      </c>
      <c r="U103">
        <f>HYPERLINK("https://klasma.github.io/Logging_2305/knärot/A 31378-2025 karta knärot.png", "A 31378-2025")</f>
        <v/>
      </c>
      <c r="V103">
        <f>HYPERLINK("https://klasma.github.io/Logging_2305/klagomål/A 31378-2025 FSC-klagomål.docx", "A 31378-2025")</f>
        <v/>
      </c>
      <c r="W103">
        <f>HYPERLINK("https://klasma.github.io/Logging_2305/klagomålsmail/A 31378-2025 FSC-klagomål mail.docx", "A 31378-2025")</f>
        <v/>
      </c>
      <c r="X103">
        <f>HYPERLINK("https://klasma.github.io/Logging_2305/tillsyn/A 31378-2025 tillsynsbegäran.docx", "A 31378-2025")</f>
        <v/>
      </c>
      <c r="Y103">
        <f>HYPERLINK("https://klasma.github.io/Logging_2305/tillsynsmail/A 31378-2025 tillsynsbegäran mail.docx", "A 31378-2025")</f>
        <v/>
      </c>
    </row>
    <row r="104" ht="15" customHeight="1">
      <c r="A104" t="inlineStr">
        <is>
          <t>A 31592-2025</t>
        </is>
      </c>
      <c r="B104" s="1" t="n">
        <v>45833.69836805556</v>
      </c>
      <c r="C104" s="1" t="n">
        <v>46118</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Grantaggsvamp
Lunglav
Rosenticka
Ullticka
Kryddspindling</t>
        </is>
      </c>
      <c r="S104">
        <f>HYPERLINK("https://klasma.github.io/Logging_2305/artfynd/A 31592-2025 artfynd.xlsx", "A 31592-2025")</f>
        <v/>
      </c>
      <c r="T104">
        <f>HYPERLINK("https://klasma.github.io/Logging_2305/kartor/A 31592-2025 karta.png", "A 31592-2025")</f>
        <v/>
      </c>
      <c r="V104">
        <f>HYPERLINK("https://klasma.github.io/Logging_2305/klagomål/A 31592-2025 FSC-klagomål.docx", "A 31592-2025")</f>
        <v/>
      </c>
      <c r="W104">
        <f>HYPERLINK("https://klasma.github.io/Logging_2305/klagomålsmail/A 31592-2025 FSC-klagomål mail.docx", "A 31592-2025")</f>
        <v/>
      </c>
      <c r="X104">
        <f>HYPERLINK("https://klasma.github.io/Logging_2305/tillsyn/A 31592-2025 tillsynsbegäran.docx", "A 31592-2025")</f>
        <v/>
      </c>
      <c r="Y104">
        <f>HYPERLINK("https://klasma.github.io/Logging_2305/tillsynsmail/A 31592-2025 tillsynsbegäran mail.docx", "A 31592-2025")</f>
        <v/>
      </c>
    </row>
    <row r="105" ht="15" customHeight="1">
      <c r="A105" t="inlineStr">
        <is>
          <t>A 31731-2025</t>
        </is>
      </c>
      <c r="B105" s="1" t="n">
        <v>45834.46990740741</v>
      </c>
      <c r="C105" s="1" t="n">
        <v>46118</v>
      </c>
      <c r="D105" t="inlineStr">
        <is>
          <t>JÄMTLANDS LÄN</t>
        </is>
      </c>
      <c r="E105" t="inlineStr">
        <is>
          <t>BRÄCKE</t>
        </is>
      </c>
      <c r="F105" t="inlineStr">
        <is>
          <t>SCA</t>
        </is>
      </c>
      <c r="G105" t="n">
        <v>9.1</v>
      </c>
      <c r="H105" t="n">
        <v>0</v>
      </c>
      <c r="I105" t="n">
        <v>0</v>
      </c>
      <c r="J105" t="n">
        <v>5</v>
      </c>
      <c r="K105" t="n">
        <v>0</v>
      </c>
      <c r="L105" t="n">
        <v>0</v>
      </c>
      <c r="M105" t="n">
        <v>0</v>
      </c>
      <c r="N105" t="n">
        <v>0</v>
      </c>
      <c r="O105" t="n">
        <v>5</v>
      </c>
      <c r="P105" t="n">
        <v>0</v>
      </c>
      <c r="Q105" t="n">
        <v>5</v>
      </c>
      <c r="R105" s="2" t="inlineStr">
        <is>
          <t>Doftskinn
Gammelgransskål
Lunglav
Nordtagging
Skrovellav</t>
        </is>
      </c>
      <c r="S105">
        <f>HYPERLINK("https://klasma.github.io/Logging_2305/artfynd/A 31731-2025 artfynd.xlsx", "A 31731-2025")</f>
        <v/>
      </c>
      <c r="T105">
        <f>HYPERLINK("https://klasma.github.io/Logging_2305/kartor/A 31731-2025 karta.png", "A 31731-2025")</f>
        <v/>
      </c>
      <c r="V105">
        <f>HYPERLINK("https://klasma.github.io/Logging_2305/klagomål/A 31731-2025 FSC-klagomål.docx", "A 31731-2025")</f>
        <v/>
      </c>
      <c r="W105">
        <f>HYPERLINK("https://klasma.github.io/Logging_2305/klagomålsmail/A 31731-2025 FSC-klagomål mail.docx", "A 31731-2025")</f>
        <v/>
      </c>
      <c r="X105">
        <f>HYPERLINK("https://klasma.github.io/Logging_2305/tillsyn/A 31731-2025 tillsynsbegäran.docx", "A 31731-2025")</f>
        <v/>
      </c>
      <c r="Y105">
        <f>HYPERLINK("https://klasma.github.io/Logging_2305/tillsynsmail/A 31731-2025 tillsynsbegäran mail.docx", "A 31731-2025")</f>
        <v/>
      </c>
    </row>
    <row r="106" ht="15" customHeight="1">
      <c r="A106" t="inlineStr">
        <is>
          <t>A 36820-2021</t>
        </is>
      </c>
      <c r="B106" s="1" t="n">
        <v>44392</v>
      </c>
      <c r="C106" s="1" t="n">
        <v>46118</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46118</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32260-2024</t>
        </is>
      </c>
      <c r="B108" s="1" t="n">
        <v>45511.95291666667</v>
      </c>
      <c r="C108" s="1" t="n">
        <v>46118</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20496-2025</t>
        </is>
      </c>
      <c r="B109" s="1" t="n">
        <v>45775.57347222222</v>
      </c>
      <c r="C109" s="1" t="n">
        <v>46118</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46118</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46118</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46118</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46118</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34529-2025</t>
        </is>
      </c>
      <c r="B114" s="1" t="n">
        <v>45847.48991898148</v>
      </c>
      <c r="C114" s="1" t="n">
        <v>46118</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48431-2023</t>
        </is>
      </c>
      <c r="B115" s="1" t="n">
        <v>45205</v>
      </c>
      <c r="C115" s="1" t="n">
        <v>46118</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57076-2024</t>
        </is>
      </c>
      <c r="B116" s="1" t="n">
        <v>45629.35486111111</v>
      </c>
      <c r="C116" s="1" t="n">
        <v>46118</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46118</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46118</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43461-2025</t>
        </is>
      </c>
      <c r="B119" s="1" t="n">
        <v>45911.46922453704</v>
      </c>
      <c r="C119" s="1" t="n">
        <v>46118</v>
      </c>
      <c r="D119" t="inlineStr">
        <is>
          <t>JÄMTLANDS LÄN</t>
        </is>
      </c>
      <c r="E119" t="inlineStr">
        <is>
          <t>BRÄCKE</t>
        </is>
      </c>
      <c r="F119" t="inlineStr">
        <is>
          <t>SCA</t>
        </is>
      </c>
      <c r="G119" t="n">
        <v>2.3</v>
      </c>
      <c r="H119" t="n">
        <v>1</v>
      </c>
      <c r="I119" t="n">
        <v>0</v>
      </c>
      <c r="J119" t="n">
        <v>3</v>
      </c>
      <c r="K119" t="n">
        <v>1</v>
      </c>
      <c r="L119" t="n">
        <v>0</v>
      </c>
      <c r="M119" t="n">
        <v>0</v>
      </c>
      <c r="N119" t="n">
        <v>0</v>
      </c>
      <c r="O119" t="n">
        <v>4</v>
      </c>
      <c r="P119" t="n">
        <v>1</v>
      </c>
      <c r="Q119" t="n">
        <v>4</v>
      </c>
      <c r="R119" s="2" t="inlineStr">
        <is>
          <t>Doftticka
Doftskinn
Lunglav
Ullticka</t>
        </is>
      </c>
      <c r="S119">
        <f>HYPERLINK("https://klasma.github.io/Logging_2305/artfynd/A 43461-2025 artfynd.xlsx", "A 43461-2025")</f>
        <v/>
      </c>
      <c r="T119">
        <f>HYPERLINK("https://klasma.github.io/Logging_2305/kartor/A 43461-2025 karta.png", "A 43461-2025")</f>
        <v/>
      </c>
      <c r="V119">
        <f>HYPERLINK("https://klasma.github.io/Logging_2305/klagomål/A 43461-2025 FSC-klagomål.docx", "A 43461-2025")</f>
        <v/>
      </c>
      <c r="W119">
        <f>HYPERLINK("https://klasma.github.io/Logging_2305/klagomålsmail/A 43461-2025 FSC-klagomål mail.docx", "A 43461-2025")</f>
        <v/>
      </c>
      <c r="X119">
        <f>HYPERLINK("https://klasma.github.io/Logging_2305/tillsyn/A 43461-2025 tillsynsbegäran.docx", "A 43461-2025")</f>
        <v/>
      </c>
      <c r="Y119">
        <f>HYPERLINK("https://klasma.github.io/Logging_2305/tillsynsmail/A 43461-2025 tillsynsbegäran mail.docx", "A 43461-2025")</f>
        <v/>
      </c>
    </row>
    <row r="120" ht="15" customHeight="1">
      <c r="A120" t="inlineStr">
        <is>
          <t>A 47172-2023</t>
        </is>
      </c>
      <c r="B120" s="1" t="n">
        <v>45201</v>
      </c>
      <c r="C120" s="1" t="n">
        <v>46118</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43620-2023</t>
        </is>
      </c>
      <c r="B121" s="1" t="n">
        <v>45184</v>
      </c>
      <c r="C121" s="1" t="n">
        <v>46118</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46118</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Vanliga ängsnycklar</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10543-2022</t>
        </is>
      </c>
      <c r="B123" s="1" t="n">
        <v>44623</v>
      </c>
      <c r="C123" s="1" t="n">
        <v>46118</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28553-2024</t>
        </is>
      </c>
      <c r="B124" s="1" t="n">
        <v>45478</v>
      </c>
      <c r="C124" s="1" t="n">
        <v>46118</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2338-2026</t>
        </is>
      </c>
      <c r="B125" s="1" t="n">
        <v>46036.61542824074</v>
      </c>
      <c r="C125" s="1" t="n">
        <v>46118</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42105-2024</t>
        </is>
      </c>
      <c r="B126" s="1" t="n">
        <v>45562.3650462963</v>
      </c>
      <c r="C126" s="1" t="n">
        <v>46118</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46118</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46118</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62997-2025</t>
        </is>
      </c>
      <c r="B129" s="1" t="n">
        <v>46009.55484953704</v>
      </c>
      <c r="C129" s="1" t="n">
        <v>46118</v>
      </c>
      <c r="D129" t="inlineStr">
        <is>
          <t>JÄMTLANDS LÄN</t>
        </is>
      </c>
      <c r="E129" t="inlineStr">
        <is>
          <t>BRÄCKE</t>
        </is>
      </c>
      <c r="G129" t="n">
        <v>5.2</v>
      </c>
      <c r="H129" t="n">
        <v>2</v>
      </c>
      <c r="I129" t="n">
        <v>1</v>
      </c>
      <c r="J129" t="n">
        <v>2</v>
      </c>
      <c r="K129" t="n">
        <v>0</v>
      </c>
      <c r="L129" t="n">
        <v>0</v>
      </c>
      <c r="M129" t="n">
        <v>0</v>
      </c>
      <c r="N129" t="n">
        <v>0</v>
      </c>
      <c r="O129" t="n">
        <v>2</v>
      </c>
      <c r="P129" t="n">
        <v>0</v>
      </c>
      <c r="Q129" t="n">
        <v>4</v>
      </c>
      <c r="R129" s="2" t="inlineStr">
        <is>
          <t>Garnlav
Tretåig hackspett
Norrlandslav
Sparvuggla</t>
        </is>
      </c>
      <c r="S129">
        <f>HYPERLINK("https://klasma.github.io/Logging_2305/artfynd/A 62997-2025 artfynd.xlsx", "A 62997-2025")</f>
        <v/>
      </c>
      <c r="T129">
        <f>HYPERLINK("https://klasma.github.io/Logging_2305/kartor/A 62997-2025 karta.png", "A 62997-2025")</f>
        <v/>
      </c>
      <c r="V129">
        <f>HYPERLINK("https://klasma.github.io/Logging_2305/klagomål/A 62997-2025 FSC-klagomål.docx", "A 62997-2025")</f>
        <v/>
      </c>
      <c r="W129">
        <f>HYPERLINK("https://klasma.github.io/Logging_2305/klagomålsmail/A 62997-2025 FSC-klagomål mail.docx", "A 62997-2025")</f>
        <v/>
      </c>
      <c r="X129">
        <f>HYPERLINK("https://klasma.github.io/Logging_2305/tillsyn/A 62997-2025 tillsynsbegäran.docx", "A 62997-2025")</f>
        <v/>
      </c>
      <c r="Y129">
        <f>HYPERLINK("https://klasma.github.io/Logging_2305/tillsynsmail/A 62997-2025 tillsynsbegäran mail.docx", "A 62997-2025")</f>
        <v/>
      </c>
      <c r="Z129">
        <f>HYPERLINK("https://klasma.github.io/Logging_2305/fåglar/A 62997-2025 prioriterade fågelarter.docx", "A 62997-2025")</f>
        <v/>
      </c>
    </row>
    <row r="130" ht="15" customHeight="1">
      <c r="A130" t="inlineStr">
        <is>
          <t>A 48479-2023</t>
        </is>
      </c>
      <c r="B130" s="1" t="n">
        <v>45206</v>
      </c>
      <c r="C130" s="1" t="n">
        <v>46118</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30881-2025</t>
        </is>
      </c>
      <c r="B131" s="1" t="n">
        <v>45832</v>
      </c>
      <c r="C131" s="1" t="n">
        <v>46118</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32654-2024</t>
        </is>
      </c>
      <c r="B132" s="1" t="n">
        <v>45513.96465277778</v>
      </c>
      <c r="C132" s="1" t="n">
        <v>46118</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46118</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46118</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46118</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46118</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46118</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46118</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46118</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48067-2023</t>
        </is>
      </c>
      <c r="B140" s="1" t="n">
        <v>45204</v>
      </c>
      <c r="C140" s="1" t="n">
        <v>46118</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46118</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29689-2024</t>
        </is>
      </c>
      <c r="B142" s="1" t="n">
        <v>45484.94427083333</v>
      </c>
      <c r="C142" s="1" t="n">
        <v>46118</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57105-2024</t>
        </is>
      </c>
      <c r="B143" s="1" t="n">
        <v>45629.35895833333</v>
      </c>
      <c r="C143" s="1" t="n">
        <v>46118</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35907-2025</t>
        </is>
      </c>
      <c r="B144" s="1" t="n">
        <v>45862.5109837963</v>
      </c>
      <c r="C144" s="1" t="n">
        <v>46118</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103-2025</t>
        </is>
      </c>
      <c r="B145" s="1" t="n">
        <v>45659</v>
      </c>
      <c r="C145" s="1" t="n">
        <v>46118</v>
      </c>
      <c r="D145" t="inlineStr">
        <is>
          <t>JÄMTLANDS LÄN</t>
        </is>
      </c>
      <c r="E145" t="inlineStr">
        <is>
          <t>BRÄCKE</t>
        </is>
      </c>
      <c r="F145" t="inlineStr">
        <is>
          <t>SCA</t>
        </is>
      </c>
      <c r="G145" t="n">
        <v>10.2</v>
      </c>
      <c r="H145" t="n">
        <v>3</v>
      </c>
      <c r="I145" t="n">
        <v>0</v>
      </c>
      <c r="J145" t="n">
        <v>2</v>
      </c>
      <c r="K145" t="n">
        <v>0</v>
      </c>
      <c r="L145" t="n">
        <v>0</v>
      </c>
      <c r="M145" t="n">
        <v>0</v>
      </c>
      <c r="N145" t="n">
        <v>0</v>
      </c>
      <c r="O145" t="n">
        <v>2</v>
      </c>
      <c r="P145" t="n">
        <v>0</v>
      </c>
      <c r="Q145" t="n">
        <v>3</v>
      </c>
      <c r="R145" s="2" t="inlineStr">
        <is>
          <t>Talltita
Tretåig hackspett
Orre</t>
        </is>
      </c>
      <c r="S145">
        <f>HYPERLINK("https://klasma.github.io/Logging_2305/artfynd/A 103-2025 artfynd.xlsx", "A 103-2025")</f>
        <v/>
      </c>
      <c r="T145">
        <f>HYPERLINK("https://klasma.github.io/Logging_2305/kartor/A 103-2025 karta.png", "A 103-2025")</f>
        <v/>
      </c>
      <c r="V145">
        <f>HYPERLINK("https://klasma.github.io/Logging_2305/klagomål/A 103-2025 FSC-klagomål.docx", "A 103-2025")</f>
        <v/>
      </c>
      <c r="W145">
        <f>HYPERLINK("https://klasma.github.io/Logging_2305/klagomålsmail/A 103-2025 FSC-klagomål mail.docx", "A 103-2025")</f>
        <v/>
      </c>
      <c r="X145">
        <f>HYPERLINK("https://klasma.github.io/Logging_2305/tillsyn/A 103-2025 tillsynsbegäran.docx", "A 103-2025")</f>
        <v/>
      </c>
      <c r="Y145">
        <f>HYPERLINK("https://klasma.github.io/Logging_2305/tillsynsmail/A 103-2025 tillsynsbegäran mail.docx", "A 103-2025")</f>
        <v/>
      </c>
      <c r="Z145">
        <f>HYPERLINK("https://klasma.github.io/Logging_2305/fåglar/A 103-2025 prioriterade fågelarter.docx", "A 103-2025")</f>
        <v/>
      </c>
    </row>
    <row r="146" ht="15" customHeight="1">
      <c r="A146" t="inlineStr">
        <is>
          <t>A 25717-2024</t>
        </is>
      </c>
      <c r="B146" s="1" t="n">
        <v>45463.94459490741</v>
      </c>
      <c r="C146" s="1" t="n">
        <v>46118</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46118</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37707-2025</t>
        </is>
      </c>
      <c r="B148" s="1" t="n">
        <v>45880.59423611111</v>
      </c>
      <c r="C148" s="1" t="n">
        <v>46118</v>
      </c>
      <c r="D148" t="inlineStr">
        <is>
          <t>JÄMTLANDS LÄN</t>
        </is>
      </c>
      <c r="E148" t="inlineStr">
        <is>
          <t>BRÄCKE</t>
        </is>
      </c>
      <c r="G148" t="n">
        <v>6.6</v>
      </c>
      <c r="H148" t="n">
        <v>0</v>
      </c>
      <c r="I148" t="n">
        <v>0</v>
      </c>
      <c r="J148" t="n">
        <v>3</v>
      </c>
      <c r="K148" t="n">
        <v>0</v>
      </c>
      <c r="L148" t="n">
        <v>0</v>
      </c>
      <c r="M148" t="n">
        <v>0</v>
      </c>
      <c r="N148" t="n">
        <v>0</v>
      </c>
      <c r="O148" t="n">
        <v>3</v>
      </c>
      <c r="P148" t="n">
        <v>0</v>
      </c>
      <c r="Q148" t="n">
        <v>3</v>
      </c>
      <c r="R148" s="2" t="inlineStr">
        <is>
          <t>Dvärgbägarlav
Mörk kolflarnlav
Vedflamlav</t>
        </is>
      </c>
      <c r="S148">
        <f>HYPERLINK("https://klasma.github.io/Logging_2305/artfynd/A 37707-2025 artfynd.xlsx", "A 37707-2025")</f>
        <v/>
      </c>
      <c r="T148">
        <f>HYPERLINK("https://klasma.github.io/Logging_2305/kartor/A 37707-2025 karta.png", "A 37707-2025")</f>
        <v/>
      </c>
      <c r="V148">
        <f>HYPERLINK("https://klasma.github.io/Logging_2305/klagomål/A 37707-2025 FSC-klagomål.docx", "A 37707-2025")</f>
        <v/>
      </c>
      <c r="W148">
        <f>HYPERLINK("https://klasma.github.io/Logging_2305/klagomålsmail/A 37707-2025 FSC-klagomål mail.docx", "A 37707-2025")</f>
        <v/>
      </c>
      <c r="X148">
        <f>HYPERLINK("https://klasma.github.io/Logging_2305/tillsyn/A 37707-2025 tillsynsbegäran.docx", "A 37707-2025")</f>
        <v/>
      </c>
      <c r="Y148">
        <f>HYPERLINK("https://klasma.github.io/Logging_2305/tillsynsmail/A 37707-2025 tillsynsbegäran mail.docx", "A 37707-2025")</f>
        <v/>
      </c>
    </row>
    <row r="149" ht="15" customHeight="1">
      <c r="A149" t="inlineStr">
        <is>
          <t>A 11002-2022</t>
        </is>
      </c>
      <c r="B149" s="1" t="n">
        <v>44628</v>
      </c>
      <c r="C149" s="1" t="n">
        <v>46118</v>
      </c>
      <c r="D149" t="inlineStr">
        <is>
          <t>JÄMTLANDS LÄN</t>
        </is>
      </c>
      <c r="E149" t="inlineStr">
        <is>
          <t>BRÄCKE</t>
        </is>
      </c>
      <c r="G149" t="n">
        <v>8.5</v>
      </c>
      <c r="H149" t="n">
        <v>0</v>
      </c>
      <c r="I149" t="n">
        <v>1</v>
      </c>
      <c r="J149" t="n">
        <v>1</v>
      </c>
      <c r="K149" t="n">
        <v>1</v>
      </c>
      <c r="L149" t="n">
        <v>0</v>
      </c>
      <c r="M149" t="n">
        <v>0</v>
      </c>
      <c r="N149" t="n">
        <v>0</v>
      </c>
      <c r="O149" t="n">
        <v>2</v>
      </c>
      <c r="P149" t="n">
        <v>1</v>
      </c>
      <c r="Q149" t="n">
        <v>3</v>
      </c>
      <c r="R149" s="2" t="inlineStr">
        <is>
          <t>Rynkskinn
Vitgrynig nållav
Svavelriska</t>
        </is>
      </c>
      <c r="S149">
        <f>HYPERLINK("https://klasma.github.io/Logging_2305/artfynd/A 11002-2022 artfynd.xlsx", "A 11002-2022")</f>
        <v/>
      </c>
      <c r="T149">
        <f>HYPERLINK("https://klasma.github.io/Logging_2305/kartor/A 11002-2022 karta.png", "A 11002-2022")</f>
        <v/>
      </c>
      <c r="V149">
        <f>HYPERLINK("https://klasma.github.io/Logging_2305/klagomål/A 11002-2022 FSC-klagomål.docx", "A 11002-2022")</f>
        <v/>
      </c>
      <c r="W149">
        <f>HYPERLINK("https://klasma.github.io/Logging_2305/klagomålsmail/A 11002-2022 FSC-klagomål mail.docx", "A 11002-2022")</f>
        <v/>
      </c>
      <c r="X149">
        <f>HYPERLINK("https://klasma.github.io/Logging_2305/tillsyn/A 11002-2022 tillsynsbegäran.docx", "A 11002-2022")</f>
        <v/>
      </c>
      <c r="Y149">
        <f>HYPERLINK("https://klasma.github.io/Logging_2305/tillsynsmail/A 11002-2022 tillsynsbegäran mail.docx", "A 11002-2022")</f>
        <v/>
      </c>
    </row>
    <row r="150" ht="15" customHeight="1">
      <c r="A150" t="inlineStr">
        <is>
          <t>A 2298-2025</t>
        </is>
      </c>
      <c r="B150" s="1" t="n">
        <v>45673.595</v>
      </c>
      <c r="C150" s="1" t="n">
        <v>46118</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29455-2024</t>
        </is>
      </c>
      <c r="B151" s="1" t="n">
        <v>45483</v>
      </c>
      <c r="C151" s="1" t="n">
        <v>46118</v>
      </c>
      <c r="D151" t="inlineStr">
        <is>
          <t>JÄMTLANDS LÄN</t>
        </is>
      </c>
      <c r="E151" t="inlineStr">
        <is>
          <t>BRÄCKE</t>
        </is>
      </c>
      <c r="F151" t="inlineStr">
        <is>
          <t>SCA</t>
        </is>
      </c>
      <c r="G151" t="n">
        <v>6</v>
      </c>
      <c r="H151" t="n">
        <v>0</v>
      </c>
      <c r="I151" t="n">
        <v>0</v>
      </c>
      <c r="J151" t="n">
        <v>3</v>
      </c>
      <c r="K151" t="n">
        <v>0</v>
      </c>
      <c r="L151" t="n">
        <v>0</v>
      </c>
      <c r="M151" t="n">
        <v>0</v>
      </c>
      <c r="N151" t="n">
        <v>0</v>
      </c>
      <c r="O151" t="n">
        <v>3</v>
      </c>
      <c r="P151" t="n">
        <v>0</v>
      </c>
      <c r="Q151" t="n">
        <v>3</v>
      </c>
      <c r="R151" s="2" t="inlineStr">
        <is>
          <t>Garnlav
Lunglav
Ullticka</t>
        </is>
      </c>
      <c r="S151">
        <f>HYPERLINK("https://klasma.github.io/Logging_2305/artfynd/A 29455-2024 artfynd.xlsx", "A 29455-2024")</f>
        <v/>
      </c>
      <c r="T151">
        <f>HYPERLINK("https://klasma.github.io/Logging_2305/kartor/A 29455-2024 karta.png", "A 29455-2024")</f>
        <v/>
      </c>
      <c r="V151">
        <f>HYPERLINK("https://klasma.github.io/Logging_2305/klagomål/A 29455-2024 FSC-klagomål.docx", "A 29455-2024")</f>
        <v/>
      </c>
      <c r="W151">
        <f>HYPERLINK("https://klasma.github.io/Logging_2305/klagomålsmail/A 29455-2024 FSC-klagomål mail.docx", "A 29455-2024")</f>
        <v/>
      </c>
      <c r="X151">
        <f>HYPERLINK("https://klasma.github.io/Logging_2305/tillsyn/A 29455-2024 tillsynsbegäran.docx", "A 29455-2024")</f>
        <v/>
      </c>
      <c r="Y151">
        <f>HYPERLINK("https://klasma.github.io/Logging_2305/tillsynsmail/A 29455-2024 tillsynsbegäran mail.docx", "A 29455-2024")</f>
        <v/>
      </c>
    </row>
    <row r="152" ht="15" customHeight="1">
      <c r="A152" t="inlineStr">
        <is>
          <t>A 47038-2025</t>
        </is>
      </c>
      <c r="B152" s="1" t="n">
        <v>45929.59473379629</v>
      </c>
      <c r="C152" s="1" t="n">
        <v>46118</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46118</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49293-2025</t>
        </is>
      </c>
      <c r="B154" s="1" t="n">
        <v>45938.53223379629</v>
      </c>
      <c r="C154" s="1" t="n">
        <v>46118</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49624-2025</t>
        </is>
      </c>
      <c r="B155" s="1" t="n">
        <v>45939.59447916667</v>
      </c>
      <c r="C155" s="1" t="n">
        <v>46118</v>
      </c>
      <c r="D155" t="inlineStr">
        <is>
          <t>JÄMTLANDS LÄN</t>
        </is>
      </c>
      <c r="E155" t="inlineStr">
        <is>
          <t>BRÄCKE</t>
        </is>
      </c>
      <c r="F155" t="inlineStr">
        <is>
          <t>SCA</t>
        </is>
      </c>
      <c r="G155" t="n">
        <v>5.1</v>
      </c>
      <c r="H155" t="n">
        <v>0</v>
      </c>
      <c r="I155" t="n">
        <v>2</v>
      </c>
      <c r="J155" t="n">
        <v>0</v>
      </c>
      <c r="K155" t="n">
        <v>1</v>
      </c>
      <c r="L155" t="n">
        <v>0</v>
      </c>
      <c r="M155" t="n">
        <v>0</v>
      </c>
      <c r="N155" t="n">
        <v>0</v>
      </c>
      <c r="O155" t="n">
        <v>1</v>
      </c>
      <c r="P155" t="n">
        <v>1</v>
      </c>
      <c r="Q155" t="n">
        <v>3</v>
      </c>
      <c r="R155" s="2" t="inlineStr">
        <is>
          <t>Gräddporing
Skarp dropptaggsvamp
Skinnlav</t>
        </is>
      </c>
      <c r="S155">
        <f>HYPERLINK("https://klasma.github.io/Logging_2305/artfynd/A 49624-2025 artfynd.xlsx", "A 49624-2025")</f>
        <v/>
      </c>
      <c r="T155">
        <f>HYPERLINK("https://klasma.github.io/Logging_2305/kartor/A 49624-2025 karta.png", "A 49624-2025")</f>
        <v/>
      </c>
      <c r="V155">
        <f>HYPERLINK("https://klasma.github.io/Logging_2305/klagomål/A 49624-2025 FSC-klagomål.docx", "A 49624-2025")</f>
        <v/>
      </c>
      <c r="W155">
        <f>HYPERLINK("https://klasma.github.io/Logging_2305/klagomålsmail/A 49624-2025 FSC-klagomål mail.docx", "A 49624-2025")</f>
        <v/>
      </c>
      <c r="X155">
        <f>HYPERLINK("https://klasma.github.io/Logging_2305/tillsyn/A 49624-2025 tillsynsbegäran.docx", "A 49624-2025")</f>
        <v/>
      </c>
      <c r="Y155">
        <f>HYPERLINK("https://klasma.github.io/Logging_2305/tillsynsmail/A 49624-2025 tillsynsbegäran mail.docx", "A 49624-2025")</f>
        <v/>
      </c>
    </row>
    <row r="156" ht="15" customHeight="1">
      <c r="A156" t="inlineStr">
        <is>
          <t>A 60610-2024</t>
        </is>
      </c>
      <c r="B156" s="1" t="n">
        <v>45644.38570601852</v>
      </c>
      <c r="C156" s="1" t="n">
        <v>46118</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53261-2025</t>
        </is>
      </c>
      <c r="B157" s="1" t="n">
        <v>45958.67787037037</v>
      </c>
      <c r="C157" s="1" t="n">
        <v>46118</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57617-2025</t>
        </is>
      </c>
      <c r="B158" s="1" t="n">
        <v>45981.34484953704</v>
      </c>
      <c r="C158" s="1" t="n">
        <v>46118</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58422-2025</t>
        </is>
      </c>
      <c r="B159" s="1" t="n">
        <v>45985.59431712963</v>
      </c>
      <c r="C159" s="1" t="n">
        <v>46118</v>
      </c>
      <c r="D159" t="inlineStr">
        <is>
          <t>JÄMTLANDS LÄN</t>
        </is>
      </c>
      <c r="E159" t="inlineStr">
        <is>
          <t>BRÄCKE</t>
        </is>
      </c>
      <c r="F159" t="inlineStr">
        <is>
          <t>SCA</t>
        </is>
      </c>
      <c r="G159" t="n">
        <v>11</v>
      </c>
      <c r="H159" t="n">
        <v>1</v>
      </c>
      <c r="I159" t="n">
        <v>1</v>
      </c>
      <c r="J159" t="n">
        <v>1</v>
      </c>
      <c r="K159" t="n">
        <v>1</v>
      </c>
      <c r="L159" t="n">
        <v>0</v>
      </c>
      <c r="M159" t="n">
        <v>0</v>
      </c>
      <c r="N159" t="n">
        <v>0</v>
      </c>
      <c r="O159" t="n">
        <v>2</v>
      </c>
      <c r="P159" t="n">
        <v>1</v>
      </c>
      <c r="Q159" t="n">
        <v>3</v>
      </c>
      <c r="R159" s="2" t="inlineStr">
        <is>
          <t>Doftticka
Lunglav
Dropptaggsvamp</t>
        </is>
      </c>
      <c r="S159">
        <f>HYPERLINK("https://klasma.github.io/Logging_2305/artfynd/A 58422-2025 artfynd.xlsx", "A 58422-2025")</f>
        <v/>
      </c>
      <c r="T159">
        <f>HYPERLINK("https://klasma.github.io/Logging_2305/kartor/A 58422-2025 karta.png", "A 58422-2025")</f>
        <v/>
      </c>
      <c r="V159">
        <f>HYPERLINK("https://klasma.github.io/Logging_2305/klagomål/A 58422-2025 FSC-klagomål.docx", "A 58422-2025")</f>
        <v/>
      </c>
      <c r="W159">
        <f>HYPERLINK("https://klasma.github.io/Logging_2305/klagomålsmail/A 58422-2025 FSC-klagomål mail.docx", "A 58422-2025")</f>
        <v/>
      </c>
      <c r="X159">
        <f>HYPERLINK("https://klasma.github.io/Logging_2305/tillsyn/A 58422-2025 tillsynsbegäran.docx", "A 58422-2025")</f>
        <v/>
      </c>
      <c r="Y159">
        <f>HYPERLINK("https://klasma.github.io/Logging_2305/tillsynsmail/A 58422-2025 tillsynsbegäran mail.docx", "A 58422-2025")</f>
        <v/>
      </c>
    </row>
    <row r="160" ht="15" customHeight="1">
      <c r="A160" t="inlineStr">
        <is>
          <t>A 58584-2021</t>
        </is>
      </c>
      <c r="B160" s="1" t="n">
        <v>44488</v>
      </c>
      <c r="C160" s="1" t="n">
        <v>46118</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26009-2024</t>
        </is>
      </c>
      <c r="B161" s="1" t="n">
        <v>45467</v>
      </c>
      <c r="C161" s="1" t="n">
        <v>46118</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30486-2024</t>
        </is>
      </c>
      <c r="B162" s="1" t="n">
        <v>45491</v>
      </c>
      <c r="C162" s="1" t="n">
        <v>46118</v>
      </c>
      <c r="D162" t="inlineStr">
        <is>
          <t>JÄMTLANDS LÄN</t>
        </is>
      </c>
      <c r="E162" t="inlineStr">
        <is>
          <t>BRÄCKE</t>
        </is>
      </c>
      <c r="F162" t="inlineStr">
        <is>
          <t>SCA</t>
        </is>
      </c>
      <c r="G162" t="n">
        <v>3.8</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30486-2024 artfynd.xlsx", "A 30486-2024")</f>
        <v/>
      </c>
      <c r="T162">
        <f>HYPERLINK("https://klasma.github.io/Logging_2305/kartor/A 30486-2024 karta.png", "A 30486-2024")</f>
        <v/>
      </c>
      <c r="V162">
        <f>HYPERLINK("https://klasma.github.io/Logging_2305/klagomål/A 30486-2024 FSC-klagomål.docx", "A 30486-2024")</f>
        <v/>
      </c>
      <c r="W162">
        <f>HYPERLINK("https://klasma.github.io/Logging_2305/klagomålsmail/A 30486-2024 FSC-klagomål mail.docx", "A 30486-2024")</f>
        <v/>
      </c>
      <c r="X162">
        <f>HYPERLINK("https://klasma.github.io/Logging_2305/tillsyn/A 30486-2024 tillsynsbegäran.docx", "A 30486-2024")</f>
        <v/>
      </c>
      <c r="Y162">
        <f>HYPERLINK("https://klasma.github.io/Logging_2305/tillsynsmail/A 30486-2024 tillsynsbegäran mail.docx", "A 30486-2024")</f>
        <v/>
      </c>
      <c r="Z162">
        <f>HYPERLINK("https://klasma.github.io/Logging_2305/fåglar/A 30486-2024 prioriterade fågelarter.docx", "A 30486-2024")</f>
        <v/>
      </c>
    </row>
    <row r="163" ht="15" customHeight="1">
      <c r="A163" t="inlineStr">
        <is>
          <t>A 50616-2024</t>
        </is>
      </c>
      <c r="B163" s="1" t="n">
        <v>45601.63574074074</v>
      </c>
      <c r="C163" s="1" t="n">
        <v>46118</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Garnlav
Lunglav
Stuplav</t>
        </is>
      </c>
      <c r="S163">
        <f>HYPERLINK("https://klasma.github.io/Logging_2305/artfynd/A 50616-2024 artfynd.xlsx", "A 50616-2024")</f>
        <v/>
      </c>
      <c r="T163">
        <f>HYPERLINK("https://klasma.github.io/Logging_2305/kartor/A 50616-2024 karta.png", "A 50616-2024")</f>
        <v/>
      </c>
      <c r="V163">
        <f>HYPERLINK("https://klasma.github.io/Logging_2305/klagomål/A 50616-2024 FSC-klagomål.docx", "A 50616-2024")</f>
        <v/>
      </c>
      <c r="W163">
        <f>HYPERLINK("https://klasma.github.io/Logging_2305/klagomålsmail/A 50616-2024 FSC-klagomål mail.docx", "A 50616-2024")</f>
        <v/>
      </c>
      <c r="X163">
        <f>HYPERLINK("https://klasma.github.io/Logging_2305/tillsyn/A 50616-2024 tillsynsbegäran.docx", "A 50616-2024")</f>
        <v/>
      </c>
      <c r="Y163">
        <f>HYPERLINK("https://klasma.github.io/Logging_2305/tillsynsmail/A 50616-2024 tillsynsbegäran mail.docx", "A 50616-2024")</f>
        <v/>
      </c>
    </row>
    <row r="164" ht="15" customHeight="1">
      <c r="A164" t="inlineStr">
        <is>
          <t>A 30989-2024</t>
        </is>
      </c>
      <c r="B164" s="1" t="n">
        <v>45499.54851851852</v>
      </c>
      <c r="C164" s="1" t="n">
        <v>46118</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29690-2024</t>
        </is>
      </c>
      <c r="B165" s="1" t="n">
        <v>45484.94436342592</v>
      </c>
      <c r="C165" s="1" t="n">
        <v>46118</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19437-2023</t>
        </is>
      </c>
      <c r="B166" s="1" t="n">
        <v>45049</v>
      </c>
      <c r="C166" s="1" t="n">
        <v>46118</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19336-2024</t>
        </is>
      </c>
      <c r="B167" s="1" t="n">
        <v>45428.97079861111</v>
      </c>
      <c r="C167" s="1" t="n">
        <v>46118</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17912-2025</t>
        </is>
      </c>
      <c r="B168" s="1" t="n">
        <v>45758.75871527778</v>
      </c>
      <c r="C168" s="1" t="n">
        <v>46118</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47183-2023</t>
        </is>
      </c>
      <c r="B169" s="1" t="n">
        <v>45201</v>
      </c>
      <c r="C169" s="1" t="n">
        <v>46118</v>
      </c>
      <c r="D169" t="inlineStr">
        <is>
          <t>JÄMTLANDS LÄN</t>
        </is>
      </c>
      <c r="E169" t="inlineStr">
        <is>
          <t>BRÄCKE</t>
        </is>
      </c>
      <c r="F169" t="inlineStr">
        <is>
          <t>SCA</t>
        </is>
      </c>
      <c r="G169" t="n">
        <v>1.2</v>
      </c>
      <c r="H169" t="n">
        <v>2</v>
      </c>
      <c r="I169" t="n">
        <v>1</v>
      </c>
      <c r="J169" t="n">
        <v>1</v>
      </c>
      <c r="K169" t="n">
        <v>0</v>
      </c>
      <c r="L169" t="n">
        <v>0</v>
      </c>
      <c r="M169" t="n">
        <v>0</v>
      </c>
      <c r="N169" t="n">
        <v>0</v>
      </c>
      <c r="O169" t="n">
        <v>1</v>
      </c>
      <c r="P169" t="n">
        <v>0</v>
      </c>
      <c r="Q169" t="n">
        <v>3</v>
      </c>
      <c r="R169" s="2" t="inlineStr">
        <is>
          <t>Lunglav
Spindelblomster
Fläcknycklar</t>
        </is>
      </c>
      <c r="S169">
        <f>HYPERLINK("https://klasma.github.io/Logging_2305/artfynd/A 47183-2023 artfynd.xlsx", "A 47183-2023")</f>
        <v/>
      </c>
      <c r="T169">
        <f>HYPERLINK("https://klasma.github.io/Logging_2305/kartor/A 47183-2023 karta.png", "A 47183-2023")</f>
        <v/>
      </c>
      <c r="U169">
        <f>HYPERLINK("https://klasma.github.io/Logging_2305/knärot/A 47183-2023 karta knärot.png", "A 47183-2023")</f>
        <v/>
      </c>
      <c r="V169">
        <f>HYPERLINK("https://klasma.github.io/Logging_2305/klagomål/A 47183-2023 FSC-klagomål.docx", "A 47183-2023")</f>
        <v/>
      </c>
      <c r="W169">
        <f>HYPERLINK("https://klasma.github.io/Logging_2305/klagomålsmail/A 47183-2023 FSC-klagomål mail.docx", "A 47183-2023")</f>
        <v/>
      </c>
      <c r="X169">
        <f>HYPERLINK("https://klasma.github.io/Logging_2305/tillsyn/A 47183-2023 tillsynsbegäran.docx", "A 47183-2023")</f>
        <v/>
      </c>
      <c r="Y169">
        <f>HYPERLINK("https://klasma.github.io/Logging_2305/tillsynsmail/A 47183-2023 tillsynsbegäran mail.docx", "A 47183-2023")</f>
        <v/>
      </c>
    </row>
    <row r="170" ht="15" customHeight="1">
      <c r="A170" t="inlineStr">
        <is>
          <t>A 22546-2025</t>
        </is>
      </c>
      <c r="B170" s="1" t="n">
        <v>45788.46329861111</v>
      </c>
      <c r="C170" s="1" t="n">
        <v>46118</v>
      </c>
      <c r="D170" t="inlineStr">
        <is>
          <t>JÄMTLANDS LÄN</t>
        </is>
      </c>
      <c r="E170" t="inlineStr">
        <is>
          <t>BRÄCKE</t>
        </is>
      </c>
      <c r="G170" t="n">
        <v>8.1</v>
      </c>
      <c r="H170" t="n">
        <v>2</v>
      </c>
      <c r="I170" t="n">
        <v>0</v>
      </c>
      <c r="J170" t="n">
        <v>1</v>
      </c>
      <c r="K170" t="n">
        <v>1</v>
      </c>
      <c r="L170" t="n">
        <v>0</v>
      </c>
      <c r="M170" t="n">
        <v>0</v>
      </c>
      <c r="N170" t="n">
        <v>0</v>
      </c>
      <c r="O170" t="n">
        <v>2</v>
      </c>
      <c r="P170" t="n">
        <v>1</v>
      </c>
      <c r="Q170" t="n">
        <v>3</v>
      </c>
      <c r="R170" s="2" t="inlineStr">
        <is>
          <t>Myrstarr
Skogsfru
Fläcknycklar</t>
        </is>
      </c>
      <c r="S170">
        <f>HYPERLINK("https://klasma.github.io/Logging_2305/artfynd/A 22546-2025 artfynd.xlsx", "A 22546-2025")</f>
        <v/>
      </c>
      <c r="T170">
        <f>HYPERLINK("https://klasma.github.io/Logging_2305/kartor/A 22546-2025 karta.png", "A 22546-2025")</f>
        <v/>
      </c>
      <c r="V170">
        <f>HYPERLINK("https://klasma.github.io/Logging_2305/klagomål/A 22546-2025 FSC-klagomål.docx", "A 22546-2025")</f>
        <v/>
      </c>
      <c r="W170">
        <f>HYPERLINK("https://klasma.github.io/Logging_2305/klagomålsmail/A 22546-2025 FSC-klagomål mail.docx", "A 22546-2025")</f>
        <v/>
      </c>
      <c r="X170">
        <f>HYPERLINK("https://klasma.github.io/Logging_2305/tillsyn/A 22546-2025 tillsynsbegäran.docx", "A 22546-2025")</f>
        <v/>
      </c>
      <c r="Y170">
        <f>HYPERLINK("https://klasma.github.io/Logging_2305/tillsynsmail/A 22546-2025 tillsynsbegäran mail.docx", "A 22546-2025")</f>
        <v/>
      </c>
    </row>
    <row r="171" ht="15" customHeight="1">
      <c r="A171" t="inlineStr">
        <is>
          <t>A 23300-2025</t>
        </is>
      </c>
      <c r="B171" s="1" t="n">
        <v>45791.5946875</v>
      </c>
      <c r="C171" s="1" t="n">
        <v>46118</v>
      </c>
      <c r="D171" t="inlineStr">
        <is>
          <t>JÄMTLANDS LÄN</t>
        </is>
      </c>
      <c r="E171" t="inlineStr">
        <is>
          <t>BRÄCKE</t>
        </is>
      </c>
      <c r="F171" t="inlineStr">
        <is>
          <t>SCA</t>
        </is>
      </c>
      <c r="G171" t="n">
        <v>3.9</v>
      </c>
      <c r="H171" t="n">
        <v>1</v>
      </c>
      <c r="I171" t="n">
        <v>1</v>
      </c>
      <c r="J171" t="n">
        <v>2</v>
      </c>
      <c r="K171" t="n">
        <v>0</v>
      </c>
      <c r="L171" t="n">
        <v>0</v>
      </c>
      <c r="M171" t="n">
        <v>0</v>
      </c>
      <c r="N171" t="n">
        <v>0</v>
      </c>
      <c r="O171" t="n">
        <v>2</v>
      </c>
      <c r="P171" t="n">
        <v>0</v>
      </c>
      <c r="Q171" t="n">
        <v>3</v>
      </c>
      <c r="R171" s="2" t="inlineStr">
        <is>
          <t>Mörk kolflarnlav
Tretåig hackspett
Norrlandslav</t>
        </is>
      </c>
      <c r="S171">
        <f>HYPERLINK("https://klasma.github.io/Logging_2305/artfynd/A 23300-2025 artfynd.xlsx", "A 23300-2025")</f>
        <v/>
      </c>
      <c r="T171">
        <f>HYPERLINK("https://klasma.github.io/Logging_2305/kartor/A 23300-2025 karta.png", "A 23300-2025")</f>
        <v/>
      </c>
      <c r="V171">
        <f>HYPERLINK("https://klasma.github.io/Logging_2305/klagomål/A 23300-2025 FSC-klagomål.docx", "A 23300-2025")</f>
        <v/>
      </c>
      <c r="W171">
        <f>HYPERLINK("https://klasma.github.io/Logging_2305/klagomålsmail/A 23300-2025 FSC-klagomål mail.docx", "A 23300-2025")</f>
        <v/>
      </c>
      <c r="X171">
        <f>HYPERLINK("https://klasma.github.io/Logging_2305/tillsyn/A 23300-2025 tillsynsbegäran.docx", "A 23300-2025")</f>
        <v/>
      </c>
      <c r="Y171">
        <f>HYPERLINK("https://klasma.github.io/Logging_2305/tillsynsmail/A 23300-2025 tillsynsbegäran mail.docx", "A 23300-2025")</f>
        <v/>
      </c>
      <c r="Z171">
        <f>HYPERLINK("https://klasma.github.io/Logging_2305/fåglar/A 23300-2025 prioriterade fågelarter.docx", "A 23300-2025")</f>
        <v/>
      </c>
    </row>
    <row r="172" ht="15" customHeight="1">
      <c r="A172" t="inlineStr">
        <is>
          <t>A 23854-2025</t>
        </is>
      </c>
      <c r="B172" s="1" t="n">
        <v>45793.65658564815</v>
      </c>
      <c r="C172" s="1" t="n">
        <v>46118</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23687-2025</t>
        </is>
      </c>
      <c r="B173" s="1" t="n">
        <v>45793.34428240741</v>
      </c>
      <c r="C173" s="1" t="n">
        <v>46118</v>
      </c>
      <c r="D173" t="inlineStr">
        <is>
          <t>JÄMTLANDS LÄN</t>
        </is>
      </c>
      <c r="E173" t="inlineStr">
        <is>
          <t>BRÄCKE</t>
        </is>
      </c>
      <c r="F173" t="inlineStr">
        <is>
          <t>SCA</t>
        </is>
      </c>
      <c r="G173" t="n">
        <v>5.5</v>
      </c>
      <c r="H173" t="n">
        <v>0</v>
      </c>
      <c r="I173" t="n">
        <v>2</v>
      </c>
      <c r="J173" t="n">
        <v>1</v>
      </c>
      <c r="K173" t="n">
        <v>0</v>
      </c>
      <c r="L173" t="n">
        <v>0</v>
      </c>
      <c r="M173" t="n">
        <v>0</v>
      </c>
      <c r="N173" t="n">
        <v>0</v>
      </c>
      <c r="O173" t="n">
        <v>1</v>
      </c>
      <c r="P173" t="n">
        <v>0</v>
      </c>
      <c r="Q173" t="n">
        <v>3</v>
      </c>
      <c r="R173" s="2" t="inlineStr">
        <is>
          <t>Lunglav
Skinnlav
Stuplav</t>
        </is>
      </c>
      <c r="S173">
        <f>HYPERLINK("https://klasma.github.io/Logging_2305/artfynd/A 23687-2025 artfynd.xlsx", "A 23687-2025")</f>
        <v/>
      </c>
      <c r="T173">
        <f>HYPERLINK("https://klasma.github.io/Logging_2305/kartor/A 23687-2025 karta.png", "A 23687-2025")</f>
        <v/>
      </c>
      <c r="V173">
        <f>HYPERLINK("https://klasma.github.io/Logging_2305/klagomål/A 23687-2025 FSC-klagomål.docx", "A 23687-2025")</f>
        <v/>
      </c>
      <c r="W173">
        <f>HYPERLINK("https://klasma.github.io/Logging_2305/klagomålsmail/A 23687-2025 FSC-klagomål mail.docx", "A 23687-2025")</f>
        <v/>
      </c>
      <c r="X173">
        <f>HYPERLINK("https://klasma.github.io/Logging_2305/tillsyn/A 23687-2025 tillsynsbegäran.docx", "A 23687-2025")</f>
        <v/>
      </c>
      <c r="Y173">
        <f>HYPERLINK("https://klasma.github.io/Logging_2305/tillsynsmail/A 23687-2025 tillsynsbegäran mail.docx", "A 23687-2025")</f>
        <v/>
      </c>
    </row>
    <row r="174" ht="15" customHeight="1">
      <c r="A174" t="inlineStr">
        <is>
          <t>A 23592-2025</t>
        </is>
      </c>
      <c r="B174" s="1" t="n">
        <v>45792.63644675926</v>
      </c>
      <c r="C174" s="1" t="n">
        <v>46118</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24635-2025</t>
        </is>
      </c>
      <c r="B175" s="1" t="n">
        <v>45798.61513888889</v>
      </c>
      <c r="C175" s="1" t="n">
        <v>46118</v>
      </c>
      <c r="D175" t="inlineStr">
        <is>
          <t>JÄMTLANDS LÄN</t>
        </is>
      </c>
      <c r="E175" t="inlineStr">
        <is>
          <t>BRÄCKE</t>
        </is>
      </c>
      <c r="G175" t="n">
        <v>3.2</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HYPERLINK("https://klasma.github.io/Logging_2305/artfynd/A 24635-2025 artfynd.xlsx", "A 24635-2025")</f>
        <v/>
      </c>
      <c r="T175">
        <f>HYPERLINK("https://klasma.github.io/Logging_2305/kartor/A 24635-2025 karta.png", "A 24635-2025")</f>
        <v/>
      </c>
      <c r="V175">
        <f>HYPERLINK("https://klasma.github.io/Logging_2305/klagomål/A 24635-2025 FSC-klagomål.docx", "A 24635-2025")</f>
        <v/>
      </c>
      <c r="W175">
        <f>HYPERLINK("https://klasma.github.io/Logging_2305/klagomålsmail/A 24635-2025 FSC-klagomål mail.docx", "A 24635-2025")</f>
        <v/>
      </c>
      <c r="X175">
        <f>HYPERLINK("https://klasma.github.io/Logging_2305/tillsyn/A 24635-2025 tillsynsbegäran.docx", "A 24635-2025")</f>
        <v/>
      </c>
      <c r="Y175">
        <f>HYPERLINK("https://klasma.github.io/Logging_2305/tillsynsmail/A 24635-2025 tillsynsbegäran mail.docx", "A 24635-2025")</f>
        <v/>
      </c>
      <c r="Z175">
        <f>HYPERLINK("https://klasma.github.io/Logging_2305/fåglar/A 24635-2025 prioriterade fågelarter.docx", "A 24635-2025")</f>
        <v/>
      </c>
    </row>
    <row r="176" ht="15" customHeight="1">
      <c r="A176" t="inlineStr">
        <is>
          <t>A 41648-2023</t>
        </is>
      </c>
      <c r="B176" s="1" t="n">
        <v>45175</v>
      </c>
      <c r="C176" s="1" t="n">
        <v>46118</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30112-2025</t>
        </is>
      </c>
      <c r="B177" s="1" t="n">
        <v>45826.71938657408</v>
      </c>
      <c r="C177" s="1" t="n">
        <v>46118</v>
      </c>
      <c r="D177" t="inlineStr">
        <is>
          <t>JÄMTLANDS LÄN</t>
        </is>
      </c>
      <c r="E177" t="inlineStr">
        <is>
          <t>BRÄCKE</t>
        </is>
      </c>
      <c r="F177" t="inlineStr">
        <is>
          <t>SCA</t>
        </is>
      </c>
      <c r="G177" t="n">
        <v>8.9</v>
      </c>
      <c r="H177" t="n">
        <v>1</v>
      </c>
      <c r="I177" t="n">
        <v>1</v>
      </c>
      <c r="J177" t="n">
        <v>1</v>
      </c>
      <c r="K177" t="n">
        <v>1</v>
      </c>
      <c r="L177" t="n">
        <v>0</v>
      </c>
      <c r="M177" t="n">
        <v>0</v>
      </c>
      <c r="N177" t="n">
        <v>0</v>
      </c>
      <c r="O177" t="n">
        <v>2</v>
      </c>
      <c r="P177" t="n">
        <v>1</v>
      </c>
      <c r="Q177" t="n">
        <v>3</v>
      </c>
      <c r="R177" s="2" t="inlineStr">
        <is>
          <t>Knärot
Rosenticka
Kransrams</t>
        </is>
      </c>
      <c r="S177">
        <f>HYPERLINK("https://klasma.github.io/Logging_2305/artfynd/A 30112-2025 artfynd.xlsx", "A 30112-2025")</f>
        <v/>
      </c>
      <c r="T177">
        <f>HYPERLINK("https://klasma.github.io/Logging_2305/kartor/A 30112-2025 karta.png", "A 30112-2025")</f>
        <v/>
      </c>
      <c r="U177">
        <f>HYPERLINK("https://klasma.github.io/Logging_2305/knärot/A 30112-2025 karta knärot.png", "A 30112-2025")</f>
        <v/>
      </c>
      <c r="V177">
        <f>HYPERLINK("https://klasma.github.io/Logging_2305/klagomål/A 30112-2025 FSC-klagomål.docx", "A 30112-2025")</f>
        <v/>
      </c>
      <c r="W177">
        <f>HYPERLINK("https://klasma.github.io/Logging_2305/klagomålsmail/A 30112-2025 FSC-klagomål mail.docx", "A 30112-2025")</f>
        <v/>
      </c>
      <c r="X177">
        <f>HYPERLINK("https://klasma.github.io/Logging_2305/tillsyn/A 30112-2025 tillsynsbegäran.docx", "A 30112-2025")</f>
        <v/>
      </c>
      <c r="Y177">
        <f>HYPERLINK("https://klasma.github.io/Logging_2305/tillsynsmail/A 30112-2025 tillsynsbegäran mail.docx", "A 30112-2025")</f>
        <v/>
      </c>
    </row>
    <row r="178" ht="15" customHeight="1">
      <c r="A178" t="inlineStr">
        <is>
          <t>A 50516-2023</t>
        </is>
      </c>
      <c r="B178" s="1" t="n">
        <v>45216</v>
      </c>
      <c r="C178" s="1" t="n">
        <v>46118</v>
      </c>
      <c r="D178" t="inlineStr">
        <is>
          <t>JÄMTLANDS LÄN</t>
        </is>
      </c>
      <c r="E178" t="inlineStr">
        <is>
          <t>BRÄCKE</t>
        </is>
      </c>
      <c r="F178" t="inlineStr">
        <is>
          <t>SCA</t>
        </is>
      </c>
      <c r="G178" t="n">
        <v>3.1</v>
      </c>
      <c r="H178" t="n">
        <v>3</v>
      </c>
      <c r="I178" t="n">
        <v>0</v>
      </c>
      <c r="J178" t="n">
        <v>2</v>
      </c>
      <c r="K178" t="n">
        <v>0</v>
      </c>
      <c r="L178" t="n">
        <v>0</v>
      </c>
      <c r="M178" t="n">
        <v>0</v>
      </c>
      <c r="N178" t="n">
        <v>0</v>
      </c>
      <c r="O178" t="n">
        <v>2</v>
      </c>
      <c r="P178" t="n">
        <v>0</v>
      </c>
      <c r="Q178" t="n">
        <v>3</v>
      </c>
      <c r="R178" s="2" t="inlineStr">
        <is>
          <t>Spillkråka
Talltita
Grönsiska</t>
        </is>
      </c>
      <c r="S178">
        <f>HYPERLINK("https://klasma.github.io/Logging_2305/artfynd/A 50516-2023 artfynd.xlsx", "A 50516-2023")</f>
        <v/>
      </c>
      <c r="T178">
        <f>HYPERLINK("https://klasma.github.io/Logging_2305/kartor/A 50516-2023 karta.png", "A 50516-2023")</f>
        <v/>
      </c>
      <c r="V178">
        <f>HYPERLINK("https://klasma.github.io/Logging_2305/klagomål/A 50516-2023 FSC-klagomål.docx", "A 50516-2023")</f>
        <v/>
      </c>
      <c r="W178">
        <f>HYPERLINK("https://klasma.github.io/Logging_2305/klagomålsmail/A 50516-2023 FSC-klagomål mail.docx", "A 50516-2023")</f>
        <v/>
      </c>
      <c r="X178">
        <f>HYPERLINK("https://klasma.github.io/Logging_2305/tillsyn/A 50516-2023 tillsynsbegäran.docx", "A 50516-2023")</f>
        <v/>
      </c>
      <c r="Y178">
        <f>HYPERLINK("https://klasma.github.io/Logging_2305/tillsynsmail/A 50516-2023 tillsynsbegäran mail.docx", "A 50516-2023")</f>
        <v/>
      </c>
      <c r="Z178">
        <f>HYPERLINK("https://klasma.github.io/Logging_2305/fåglar/A 50516-2023 prioriterade fågelarter.docx", "A 50516-2023")</f>
        <v/>
      </c>
    </row>
    <row r="179" ht="15" customHeight="1">
      <c r="A179" t="inlineStr">
        <is>
          <t>A 33678-2025</t>
        </is>
      </c>
      <c r="B179" s="1" t="n">
        <v>45841.67853009259</v>
      </c>
      <c r="C179" s="1" t="n">
        <v>46118</v>
      </c>
      <c r="D179" t="inlineStr">
        <is>
          <t>JÄMTLANDS LÄN</t>
        </is>
      </c>
      <c r="E179" t="inlineStr">
        <is>
          <t>BRÄCKE</t>
        </is>
      </c>
      <c r="F179" t="inlineStr">
        <is>
          <t>SCA</t>
        </is>
      </c>
      <c r="G179" t="n">
        <v>6.1</v>
      </c>
      <c r="H179" t="n">
        <v>0</v>
      </c>
      <c r="I179" t="n">
        <v>2</v>
      </c>
      <c r="J179" t="n">
        <v>1</v>
      </c>
      <c r="K179" t="n">
        <v>0</v>
      </c>
      <c r="L179" t="n">
        <v>0</v>
      </c>
      <c r="M179" t="n">
        <v>0</v>
      </c>
      <c r="N179" t="n">
        <v>0</v>
      </c>
      <c r="O179" t="n">
        <v>1</v>
      </c>
      <c r="P179" t="n">
        <v>0</v>
      </c>
      <c r="Q179" t="n">
        <v>3</v>
      </c>
      <c r="R179" s="2" t="inlineStr">
        <is>
          <t>Kolflarnlav
Dropptaggsvamp
Skarp dropptaggsvamp</t>
        </is>
      </c>
      <c r="S179">
        <f>HYPERLINK("https://klasma.github.io/Logging_2305/artfynd/A 33678-2025 artfynd.xlsx", "A 33678-2025")</f>
        <v/>
      </c>
      <c r="T179">
        <f>HYPERLINK("https://klasma.github.io/Logging_2305/kartor/A 33678-2025 karta.png", "A 33678-2025")</f>
        <v/>
      </c>
      <c r="V179">
        <f>HYPERLINK("https://klasma.github.io/Logging_2305/klagomål/A 33678-2025 FSC-klagomål.docx", "A 33678-2025")</f>
        <v/>
      </c>
      <c r="W179">
        <f>HYPERLINK("https://klasma.github.io/Logging_2305/klagomålsmail/A 33678-2025 FSC-klagomål mail.docx", "A 33678-2025")</f>
        <v/>
      </c>
      <c r="X179">
        <f>HYPERLINK("https://klasma.github.io/Logging_2305/tillsyn/A 33678-2025 tillsynsbegäran.docx", "A 33678-2025")</f>
        <v/>
      </c>
      <c r="Y179">
        <f>HYPERLINK("https://klasma.github.io/Logging_2305/tillsynsmail/A 33678-2025 tillsynsbegäran mail.docx", "A 33678-2025")</f>
        <v/>
      </c>
    </row>
    <row r="180" ht="15" customHeight="1">
      <c r="A180" t="inlineStr">
        <is>
          <t>A 31455-2022</t>
        </is>
      </c>
      <c r="B180" s="1" t="n">
        <v>44774</v>
      </c>
      <c r="C180" s="1" t="n">
        <v>46118</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46118</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46118</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46118</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46118</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46118</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46118</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46118</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40818-2024</t>
        </is>
      </c>
      <c r="B188" s="1" t="n">
        <v>45558.55251157407</v>
      </c>
      <c r="C188" s="1" t="n">
        <v>46118</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 agg.</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54051-2023</t>
        </is>
      </c>
      <c r="B189" s="1" t="n">
        <v>45231</v>
      </c>
      <c r="C189" s="1" t="n">
        <v>46118</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15146-2024</t>
        </is>
      </c>
      <c r="B190" s="1" t="n">
        <v>45399.94361111111</v>
      </c>
      <c r="C190" s="1" t="n">
        <v>46118</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8248-2024</t>
        </is>
      </c>
      <c r="B191" s="1" t="n">
        <v>45351</v>
      </c>
      <c r="C191" s="1" t="n">
        <v>46118</v>
      </c>
      <c r="D191" t="inlineStr">
        <is>
          <t>JÄMTLANDS LÄN</t>
        </is>
      </c>
      <c r="E191" t="inlineStr">
        <is>
          <t>BRÄCKE</t>
        </is>
      </c>
      <c r="F191" t="inlineStr">
        <is>
          <t>SCA</t>
        </is>
      </c>
      <c r="G191" t="n">
        <v>1.8</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8248-2024 artfynd.xlsx", "A 8248-2024")</f>
        <v/>
      </c>
      <c r="T191">
        <f>HYPERLINK("https://klasma.github.io/Logging_2305/kartor/A 8248-2024 karta.png", "A 8248-2024")</f>
        <v/>
      </c>
      <c r="V191">
        <f>HYPERLINK("https://klasma.github.io/Logging_2305/klagomål/A 8248-2024 FSC-klagomål.docx", "A 8248-2024")</f>
        <v/>
      </c>
      <c r="W191">
        <f>HYPERLINK("https://klasma.github.io/Logging_2305/klagomålsmail/A 8248-2024 FSC-klagomål mail.docx", "A 8248-2024")</f>
        <v/>
      </c>
      <c r="X191">
        <f>HYPERLINK("https://klasma.github.io/Logging_2305/tillsyn/A 8248-2024 tillsynsbegäran.docx", "A 8248-2024")</f>
        <v/>
      </c>
      <c r="Y191">
        <f>HYPERLINK("https://klasma.github.io/Logging_2305/tillsynsmail/A 8248-2024 tillsynsbegäran mail.docx", "A 8248-2024")</f>
        <v/>
      </c>
    </row>
    <row r="192" ht="15" customHeight="1">
      <c r="A192" t="inlineStr">
        <is>
          <t>A 34541-2025</t>
        </is>
      </c>
      <c r="B192" s="1" t="n">
        <v>45847.53196759259</v>
      </c>
      <c r="C192" s="1" t="n">
        <v>46118</v>
      </c>
      <c r="D192" t="inlineStr">
        <is>
          <t>JÄMTLANDS LÄN</t>
        </is>
      </c>
      <c r="E192" t="inlineStr">
        <is>
          <t>BRÄCKE</t>
        </is>
      </c>
      <c r="G192" t="n">
        <v>3.8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34541-2025 artfynd.xlsx", "A 34541-2025")</f>
        <v/>
      </c>
      <c r="T192">
        <f>HYPERLINK("https://klasma.github.io/Logging_2305/kartor/A 34541-2025 karta.png", "A 34541-2025")</f>
        <v/>
      </c>
      <c r="V192">
        <f>HYPERLINK("https://klasma.github.io/Logging_2305/klagomål/A 34541-2025 FSC-klagomål.docx", "A 34541-2025")</f>
        <v/>
      </c>
      <c r="W192">
        <f>HYPERLINK("https://klasma.github.io/Logging_2305/klagomålsmail/A 34541-2025 FSC-klagomål mail.docx", "A 34541-2025")</f>
        <v/>
      </c>
      <c r="X192">
        <f>HYPERLINK("https://klasma.github.io/Logging_2305/tillsyn/A 34541-2025 tillsynsbegäran.docx", "A 34541-2025")</f>
        <v/>
      </c>
      <c r="Y192">
        <f>HYPERLINK("https://klasma.github.io/Logging_2305/tillsynsmail/A 34541-2025 tillsynsbegäran mail.docx", "A 34541-2025")</f>
        <v/>
      </c>
    </row>
    <row r="193" ht="15" customHeight="1">
      <c r="A193" t="inlineStr">
        <is>
          <t>A 35209-2025</t>
        </is>
      </c>
      <c r="B193" s="1" t="n">
        <v>45853.44827546296</v>
      </c>
      <c r="C193" s="1" t="n">
        <v>46118</v>
      </c>
      <c r="D193" t="inlineStr">
        <is>
          <t>JÄMTLANDS LÄN</t>
        </is>
      </c>
      <c r="E193" t="inlineStr">
        <is>
          <t>BRÄCKE</t>
        </is>
      </c>
      <c r="F193" t="inlineStr">
        <is>
          <t>SCA</t>
        </is>
      </c>
      <c r="G193" t="n">
        <v>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35209-2025 artfynd.xlsx", "A 35209-2025")</f>
        <v/>
      </c>
      <c r="T193">
        <f>HYPERLINK("https://klasma.github.io/Logging_2305/kartor/A 35209-2025 karta.png", "A 35209-2025")</f>
        <v/>
      </c>
      <c r="V193">
        <f>HYPERLINK("https://klasma.github.io/Logging_2305/klagomål/A 35209-2025 FSC-klagomål.docx", "A 35209-2025")</f>
        <v/>
      </c>
      <c r="W193">
        <f>HYPERLINK("https://klasma.github.io/Logging_2305/klagomålsmail/A 35209-2025 FSC-klagomål mail.docx", "A 35209-2025")</f>
        <v/>
      </c>
      <c r="X193">
        <f>HYPERLINK("https://klasma.github.io/Logging_2305/tillsyn/A 35209-2025 tillsynsbegäran.docx", "A 35209-2025")</f>
        <v/>
      </c>
      <c r="Y193">
        <f>HYPERLINK("https://klasma.github.io/Logging_2305/tillsynsmail/A 35209-2025 tillsynsbegäran mail.docx", "A 35209-2025")</f>
        <v/>
      </c>
    </row>
    <row r="194" ht="15" customHeight="1">
      <c r="A194" t="inlineStr">
        <is>
          <t>A 35117-2025</t>
        </is>
      </c>
      <c r="B194" s="1" t="n">
        <v>45852.59416666667</v>
      </c>
      <c r="C194" s="1" t="n">
        <v>46118</v>
      </c>
      <c r="D194" t="inlineStr">
        <is>
          <t>JÄMTLANDS LÄN</t>
        </is>
      </c>
      <c r="E194" t="inlineStr">
        <is>
          <t>BRÄCKE</t>
        </is>
      </c>
      <c r="F194" t="inlineStr">
        <is>
          <t>SCA</t>
        </is>
      </c>
      <c r="G194" t="n">
        <v>11.1</v>
      </c>
      <c r="H194" t="n">
        <v>0</v>
      </c>
      <c r="I194" t="n">
        <v>0</v>
      </c>
      <c r="J194" t="n">
        <v>2</v>
      </c>
      <c r="K194" t="n">
        <v>0</v>
      </c>
      <c r="L194" t="n">
        <v>0</v>
      </c>
      <c r="M194" t="n">
        <v>0</v>
      </c>
      <c r="N194" t="n">
        <v>0</v>
      </c>
      <c r="O194" t="n">
        <v>2</v>
      </c>
      <c r="P194" t="n">
        <v>0</v>
      </c>
      <c r="Q194" t="n">
        <v>2</v>
      </c>
      <c r="R194" s="2" t="inlineStr">
        <is>
          <t>Dvärgbägarlav
Nordtagging</t>
        </is>
      </c>
      <c r="S194">
        <f>HYPERLINK("https://klasma.github.io/Logging_2305/artfynd/A 35117-2025 artfynd.xlsx", "A 35117-2025")</f>
        <v/>
      </c>
      <c r="T194">
        <f>HYPERLINK("https://klasma.github.io/Logging_2305/kartor/A 35117-2025 karta.png", "A 35117-2025")</f>
        <v/>
      </c>
      <c r="V194">
        <f>HYPERLINK("https://klasma.github.io/Logging_2305/klagomål/A 35117-2025 FSC-klagomål.docx", "A 35117-2025")</f>
        <v/>
      </c>
      <c r="W194">
        <f>HYPERLINK("https://klasma.github.io/Logging_2305/klagomålsmail/A 35117-2025 FSC-klagomål mail.docx", "A 35117-2025")</f>
        <v/>
      </c>
      <c r="X194">
        <f>HYPERLINK("https://klasma.github.io/Logging_2305/tillsyn/A 35117-2025 tillsynsbegäran.docx", "A 35117-2025")</f>
        <v/>
      </c>
      <c r="Y194">
        <f>HYPERLINK("https://klasma.github.io/Logging_2305/tillsynsmail/A 35117-2025 tillsynsbegäran mail.docx", "A 35117-2025")</f>
        <v/>
      </c>
    </row>
    <row r="195" ht="15" customHeight="1">
      <c r="A195" t="inlineStr">
        <is>
          <t>A 41178-2025</t>
        </is>
      </c>
      <c r="B195" s="1" t="n">
        <v>45898.55261574074</v>
      </c>
      <c r="C195" s="1" t="n">
        <v>46118</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36456-2021</t>
        </is>
      </c>
      <c r="B196" s="1" t="n">
        <v>44390</v>
      </c>
      <c r="C196" s="1" t="n">
        <v>46118</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45012-2023</t>
        </is>
      </c>
      <c r="B197" s="1" t="n">
        <v>45190</v>
      </c>
      <c r="C197" s="1" t="n">
        <v>46118</v>
      </c>
      <c r="D197" t="inlineStr">
        <is>
          <t>JÄMTLANDS LÄN</t>
        </is>
      </c>
      <c r="E197" t="inlineStr">
        <is>
          <t>BRÄCKE</t>
        </is>
      </c>
      <c r="G197" t="n">
        <v>2.6</v>
      </c>
      <c r="H197" t="n">
        <v>0</v>
      </c>
      <c r="I197" t="n">
        <v>1</v>
      </c>
      <c r="J197" t="n">
        <v>1</v>
      </c>
      <c r="K197" t="n">
        <v>0</v>
      </c>
      <c r="L197" t="n">
        <v>0</v>
      </c>
      <c r="M197" t="n">
        <v>0</v>
      </c>
      <c r="N197" t="n">
        <v>0</v>
      </c>
      <c r="O197" t="n">
        <v>1</v>
      </c>
      <c r="P197" t="n">
        <v>0</v>
      </c>
      <c r="Q197" t="n">
        <v>2</v>
      </c>
      <c r="R197" s="2" t="inlineStr">
        <is>
          <t>Dvärgbägarlav
Skinnlav</t>
        </is>
      </c>
      <c r="S197">
        <f>HYPERLINK("https://klasma.github.io/Logging_2305/artfynd/A 45012-2023 artfynd.xlsx", "A 45012-2023")</f>
        <v/>
      </c>
      <c r="T197">
        <f>HYPERLINK("https://klasma.github.io/Logging_2305/kartor/A 45012-2023 karta.png", "A 45012-2023")</f>
        <v/>
      </c>
      <c r="V197">
        <f>HYPERLINK("https://klasma.github.io/Logging_2305/klagomål/A 45012-2023 FSC-klagomål.docx", "A 45012-2023")</f>
        <v/>
      </c>
      <c r="W197">
        <f>HYPERLINK("https://klasma.github.io/Logging_2305/klagomålsmail/A 45012-2023 FSC-klagomål mail.docx", "A 45012-2023")</f>
        <v/>
      </c>
      <c r="X197">
        <f>HYPERLINK("https://klasma.github.io/Logging_2305/tillsyn/A 45012-2023 tillsynsbegäran.docx", "A 45012-2023")</f>
        <v/>
      </c>
      <c r="Y197">
        <f>HYPERLINK("https://klasma.github.io/Logging_2305/tillsynsmail/A 45012-2023 tillsynsbegäran mail.docx", "A 45012-2023")</f>
        <v/>
      </c>
    </row>
    <row r="198" ht="15" customHeight="1">
      <c r="A198" t="inlineStr">
        <is>
          <t>A 11787-2025</t>
        </is>
      </c>
      <c r="B198" s="1" t="n">
        <v>45727.72017361111</v>
      </c>
      <c r="C198" s="1" t="n">
        <v>46118</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22706-2025</t>
        </is>
      </c>
      <c r="B199" s="1" t="n">
        <v>45789.55290509259</v>
      </c>
      <c r="C199" s="1" t="n">
        <v>46118</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46118</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43178-2025</t>
        </is>
      </c>
      <c r="B201" s="1" t="n">
        <v>45910.40681712963</v>
      </c>
      <c r="C201" s="1" t="n">
        <v>46118</v>
      </c>
      <c r="D201" t="inlineStr">
        <is>
          <t>JÄMTLANDS LÄN</t>
        </is>
      </c>
      <c r="E201" t="inlineStr">
        <is>
          <t>BRÄCKE</t>
        </is>
      </c>
      <c r="F201" t="inlineStr">
        <is>
          <t>SCA</t>
        </is>
      </c>
      <c r="G201" t="n">
        <v>4.6</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43178-2025 artfynd.xlsx", "A 43178-2025")</f>
        <v/>
      </c>
      <c r="T201">
        <f>HYPERLINK("https://klasma.github.io/Logging_2305/kartor/A 43178-2025 karta.png", "A 43178-2025")</f>
        <v/>
      </c>
      <c r="V201">
        <f>HYPERLINK("https://klasma.github.io/Logging_2305/klagomål/A 43178-2025 FSC-klagomål.docx", "A 43178-2025")</f>
        <v/>
      </c>
      <c r="W201">
        <f>HYPERLINK("https://klasma.github.io/Logging_2305/klagomålsmail/A 43178-2025 FSC-klagomål mail.docx", "A 43178-2025")</f>
        <v/>
      </c>
      <c r="X201">
        <f>HYPERLINK("https://klasma.github.io/Logging_2305/tillsyn/A 43178-2025 tillsynsbegäran.docx", "A 43178-2025")</f>
        <v/>
      </c>
      <c r="Y201">
        <f>HYPERLINK("https://klasma.github.io/Logging_2305/tillsynsmail/A 43178-2025 tillsynsbegäran mail.docx", "A 43178-2025")</f>
        <v/>
      </c>
    </row>
    <row r="202" ht="15" customHeight="1">
      <c r="A202" t="inlineStr">
        <is>
          <t>A 6903-2024</t>
        </is>
      </c>
      <c r="B202" s="1" t="n">
        <v>45342</v>
      </c>
      <c r="C202" s="1" t="n">
        <v>46118</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46118</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35216-2025</t>
        </is>
      </c>
      <c r="B204" s="1" t="n">
        <v>45853.49005787037</v>
      </c>
      <c r="C204" s="1" t="n">
        <v>46118</v>
      </c>
      <c r="D204" t="inlineStr">
        <is>
          <t>JÄMTLANDS LÄN</t>
        </is>
      </c>
      <c r="E204" t="inlineStr">
        <is>
          <t>BRÄCKE</t>
        </is>
      </c>
      <c r="F204" t="inlineStr">
        <is>
          <t>SCA</t>
        </is>
      </c>
      <c r="G204" t="n">
        <v>1.5</v>
      </c>
      <c r="H204" t="n">
        <v>2</v>
      </c>
      <c r="I204" t="n">
        <v>0</v>
      </c>
      <c r="J204" t="n">
        <v>1</v>
      </c>
      <c r="K204" t="n">
        <v>1</v>
      </c>
      <c r="L204" t="n">
        <v>0</v>
      </c>
      <c r="M204" t="n">
        <v>0</v>
      </c>
      <c r="N204" t="n">
        <v>0</v>
      </c>
      <c r="O204" t="n">
        <v>2</v>
      </c>
      <c r="P204" t="n">
        <v>1</v>
      </c>
      <c r="Q204" t="n">
        <v>2</v>
      </c>
      <c r="R204" s="2" t="inlineStr">
        <is>
          <t>Knärot
Talltita</t>
        </is>
      </c>
      <c r="S204">
        <f>HYPERLINK("https://klasma.github.io/Logging_2305/artfynd/A 35216-2025 artfynd.xlsx", "A 35216-2025")</f>
        <v/>
      </c>
      <c r="T204">
        <f>HYPERLINK("https://klasma.github.io/Logging_2305/kartor/A 35216-2025 karta.png", "A 35216-2025")</f>
        <v/>
      </c>
      <c r="U204">
        <f>HYPERLINK("https://klasma.github.io/Logging_2305/knärot/A 35216-2025 karta knärot.png", "A 35216-2025")</f>
        <v/>
      </c>
      <c r="V204">
        <f>HYPERLINK("https://klasma.github.io/Logging_2305/klagomål/A 35216-2025 FSC-klagomål.docx", "A 35216-2025")</f>
        <v/>
      </c>
      <c r="W204">
        <f>HYPERLINK("https://klasma.github.io/Logging_2305/klagomålsmail/A 35216-2025 FSC-klagomål mail.docx", "A 35216-2025")</f>
        <v/>
      </c>
      <c r="X204">
        <f>HYPERLINK("https://klasma.github.io/Logging_2305/tillsyn/A 35216-2025 tillsynsbegäran.docx", "A 35216-2025")</f>
        <v/>
      </c>
      <c r="Y204">
        <f>HYPERLINK("https://klasma.github.io/Logging_2305/tillsynsmail/A 35216-2025 tillsynsbegäran mail.docx", "A 35216-2025")</f>
        <v/>
      </c>
      <c r="Z204">
        <f>HYPERLINK("https://klasma.github.io/Logging_2305/fåglar/A 35216-2025 prioriterade fågelarter.docx", "A 35216-2025")</f>
        <v/>
      </c>
    </row>
    <row r="205" ht="15" customHeight="1">
      <c r="A205" t="inlineStr">
        <is>
          <t>A 39172-2021</t>
        </is>
      </c>
      <c r="B205" s="1" t="n">
        <v>44412</v>
      </c>
      <c r="C205" s="1" t="n">
        <v>46118</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45795-2025</t>
        </is>
      </c>
      <c r="B206" s="1" t="n">
        <v>45923.57403935185</v>
      </c>
      <c r="C206" s="1" t="n">
        <v>46118</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12588-2024</t>
        </is>
      </c>
      <c r="B207" s="1" t="n">
        <v>45379.93667824074</v>
      </c>
      <c r="C207" s="1" t="n">
        <v>46118</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19916-2025</t>
        </is>
      </c>
      <c r="B208" s="1" t="n">
        <v>45771.61515046296</v>
      </c>
      <c r="C208" s="1" t="n">
        <v>46118</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46118</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50328-2022</t>
        </is>
      </c>
      <c r="B210" s="1" t="n">
        <v>44865</v>
      </c>
      <c r="C210" s="1" t="n">
        <v>46118</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50485-2025</t>
        </is>
      </c>
      <c r="B211" s="1" t="n">
        <v>45945.38582175926</v>
      </c>
      <c r="C211" s="1" t="n">
        <v>46118</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48772-2024</t>
        </is>
      </c>
      <c r="B212" s="1" t="n">
        <v>45593.61495370371</v>
      </c>
      <c r="C212" s="1" t="n">
        <v>46118</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17992-2025</t>
        </is>
      </c>
      <c r="B213" s="1" t="n">
        <v>45761.40657407408</v>
      </c>
      <c r="C213" s="1" t="n">
        <v>46118</v>
      </c>
      <c r="D213" t="inlineStr">
        <is>
          <t>JÄMTLANDS LÄN</t>
        </is>
      </c>
      <c r="E213" t="inlineStr">
        <is>
          <t>BRÄCKE</t>
        </is>
      </c>
      <c r="F213" t="inlineStr">
        <is>
          <t>SCA</t>
        </is>
      </c>
      <c r="G213" t="n">
        <v>1.4</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17992-2025 artfynd.xlsx", "A 17992-2025")</f>
        <v/>
      </c>
      <c r="T213">
        <f>HYPERLINK("https://klasma.github.io/Logging_2305/kartor/A 17992-2025 karta.png", "A 17992-2025")</f>
        <v/>
      </c>
      <c r="V213">
        <f>HYPERLINK("https://klasma.github.io/Logging_2305/klagomål/A 17992-2025 FSC-klagomål.docx", "A 17992-2025")</f>
        <v/>
      </c>
      <c r="W213">
        <f>HYPERLINK("https://klasma.github.io/Logging_2305/klagomålsmail/A 17992-2025 FSC-klagomål mail.docx", "A 17992-2025")</f>
        <v/>
      </c>
      <c r="X213">
        <f>HYPERLINK("https://klasma.github.io/Logging_2305/tillsyn/A 17992-2025 tillsynsbegäran.docx", "A 17992-2025")</f>
        <v/>
      </c>
      <c r="Y213">
        <f>HYPERLINK("https://klasma.github.io/Logging_2305/tillsynsmail/A 17992-2025 tillsynsbegäran mail.docx", "A 17992-2025")</f>
        <v/>
      </c>
    </row>
    <row r="214" ht="15" customHeight="1">
      <c r="A214" t="inlineStr">
        <is>
          <t>A 40401-2023</t>
        </is>
      </c>
      <c r="B214" s="1" t="n">
        <v>45169</v>
      </c>
      <c r="C214" s="1" t="n">
        <v>46118</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10105-2025</t>
        </is>
      </c>
      <c r="B215" s="1" t="n">
        <v>45719.58310185185</v>
      </c>
      <c r="C215" s="1" t="n">
        <v>46118</v>
      </c>
      <c r="D215" t="inlineStr">
        <is>
          <t>JÄMTLANDS LÄN</t>
        </is>
      </c>
      <c r="E215" t="inlineStr">
        <is>
          <t>BRÄCKE</t>
        </is>
      </c>
      <c r="G215" t="n">
        <v>0.6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10105-2025 artfynd.xlsx", "A 10105-2025")</f>
        <v/>
      </c>
      <c r="T215">
        <f>HYPERLINK("https://klasma.github.io/Logging_2305/kartor/A 10105-2025 karta.png", "A 10105-2025")</f>
        <v/>
      </c>
      <c r="V215">
        <f>HYPERLINK("https://klasma.github.io/Logging_2305/klagomål/A 10105-2025 FSC-klagomål.docx", "A 10105-2025")</f>
        <v/>
      </c>
      <c r="W215">
        <f>HYPERLINK("https://klasma.github.io/Logging_2305/klagomålsmail/A 10105-2025 FSC-klagomål mail.docx", "A 10105-2025")</f>
        <v/>
      </c>
      <c r="X215">
        <f>HYPERLINK("https://klasma.github.io/Logging_2305/tillsyn/A 10105-2025 tillsynsbegäran.docx", "A 10105-2025")</f>
        <v/>
      </c>
      <c r="Y215">
        <f>HYPERLINK("https://klasma.github.io/Logging_2305/tillsynsmail/A 10105-2025 tillsynsbegäran mail.docx", "A 10105-2025")</f>
        <v/>
      </c>
    </row>
    <row r="216" ht="15" customHeight="1">
      <c r="A216" t="inlineStr">
        <is>
          <t>A 50497-2023</t>
        </is>
      </c>
      <c r="B216" s="1" t="n">
        <v>45216</v>
      </c>
      <c r="C216" s="1" t="n">
        <v>46118</v>
      </c>
      <c r="D216" t="inlineStr">
        <is>
          <t>JÄMTLANDS LÄN</t>
        </is>
      </c>
      <c r="E216" t="inlineStr">
        <is>
          <t>BRÄCKE</t>
        </is>
      </c>
      <c r="F216" t="inlineStr">
        <is>
          <t>SCA</t>
        </is>
      </c>
      <c r="G216" t="n">
        <v>2.5</v>
      </c>
      <c r="H216" t="n">
        <v>1</v>
      </c>
      <c r="I216" t="n">
        <v>1</v>
      </c>
      <c r="J216" t="n">
        <v>0</v>
      </c>
      <c r="K216" t="n">
        <v>1</v>
      </c>
      <c r="L216" t="n">
        <v>0</v>
      </c>
      <c r="M216" t="n">
        <v>0</v>
      </c>
      <c r="N216" t="n">
        <v>0</v>
      </c>
      <c r="O216" t="n">
        <v>1</v>
      </c>
      <c r="P216" t="n">
        <v>1</v>
      </c>
      <c r="Q216" t="n">
        <v>2</v>
      </c>
      <c r="R216" s="2" t="inlineStr">
        <is>
          <t>Knärot
Skuggblåslav</t>
        </is>
      </c>
      <c r="S216">
        <f>HYPERLINK("https://klasma.github.io/Logging_2305/artfynd/A 50497-2023 artfynd.xlsx", "A 50497-2023")</f>
        <v/>
      </c>
      <c r="T216">
        <f>HYPERLINK("https://klasma.github.io/Logging_2305/kartor/A 50497-2023 karta.png", "A 50497-2023")</f>
        <v/>
      </c>
      <c r="U216">
        <f>HYPERLINK("https://klasma.github.io/Logging_2305/knärot/A 50497-2023 karta knärot.png", "A 50497-2023")</f>
        <v/>
      </c>
      <c r="V216">
        <f>HYPERLINK("https://klasma.github.io/Logging_2305/klagomål/A 50497-2023 FSC-klagomål.docx", "A 50497-2023")</f>
        <v/>
      </c>
      <c r="W216">
        <f>HYPERLINK("https://klasma.github.io/Logging_2305/klagomålsmail/A 50497-2023 FSC-klagomål mail.docx", "A 50497-2023")</f>
        <v/>
      </c>
      <c r="X216">
        <f>HYPERLINK("https://klasma.github.io/Logging_2305/tillsyn/A 50497-2023 tillsynsbegäran.docx", "A 50497-2023")</f>
        <v/>
      </c>
      <c r="Y216">
        <f>HYPERLINK("https://klasma.github.io/Logging_2305/tillsynsmail/A 50497-2023 tillsynsbegäran mail.docx", "A 50497-2023")</f>
        <v/>
      </c>
    </row>
    <row r="217" ht="15" customHeight="1">
      <c r="A217" t="inlineStr">
        <is>
          <t>A 59324-2021</t>
        </is>
      </c>
      <c r="B217" s="1" t="n">
        <v>44490</v>
      </c>
      <c r="C217" s="1" t="n">
        <v>46118</v>
      </c>
      <c r="D217" t="inlineStr">
        <is>
          <t>JÄMTLANDS LÄN</t>
        </is>
      </c>
      <c r="E217" t="inlineStr">
        <is>
          <t>BRÄCKE</t>
        </is>
      </c>
      <c r="F217" t="inlineStr">
        <is>
          <t>SCA</t>
        </is>
      </c>
      <c r="G217" t="n">
        <v>8.6</v>
      </c>
      <c r="H217" t="n">
        <v>0</v>
      </c>
      <c r="I217" t="n">
        <v>0</v>
      </c>
      <c r="J217" t="n">
        <v>2</v>
      </c>
      <c r="K217" t="n">
        <v>0</v>
      </c>
      <c r="L217" t="n">
        <v>0</v>
      </c>
      <c r="M217" t="n">
        <v>0</v>
      </c>
      <c r="N217" t="n">
        <v>0</v>
      </c>
      <c r="O217" t="n">
        <v>2</v>
      </c>
      <c r="P217" t="n">
        <v>0</v>
      </c>
      <c r="Q217" t="n">
        <v>2</v>
      </c>
      <c r="R217" s="2" t="inlineStr">
        <is>
          <t>Ullticka
Veckticka</t>
        </is>
      </c>
      <c r="S217">
        <f>HYPERLINK("https://klasma.github.io/Logging_2305/artfynd/A 59324-2021 artfynd.xlsx", "A 59324-2021")</f>
        <v/>
      </c>
      <c r="T217">
        <f>HYPERLINK("https://klasma.github.io/Logging_2305/kartor/A 59324-2021 karta.png", "A 59324-2021")</f>
        <v/>
      </c>
      <c r="V217">
        <f>HYPERLINK("https://klasma.github.io/Logging_2305/klagomål/A 59324-2021 FSC-klagomål.docx", "A 59324-2021")</f>
        <v/>
      </c>
      <c r="W217">
        <f>HYPERLINK("https://klasma.github.io/Logging_2305/klagomålsmail/A 59324-2021 FSC-klagomål mail.docx", "A 59324-2021")</f>
        <v/>
      </c>
      <c r="X217">
        <f>HYPERLINK("https://klasma.github.io/Logging_2305/tillsyn/A 59324-2021 tillsynsbegäran.docx", "A 59324-2021")</f>
        <v/>
      </c>
      <c r="Y217">
        <f>HYPERLINK("https://klasma.github.io/Logging_2305/tillsynsmail/A 59324-2021 tillsynsbegäran mail.docx", "A 59324-2021")</f>
        <v/>
      </c>
    </row>
    <row r="218" ht="15" customHeight="1">
      <c r="A218" t="inlineStr">
        <is>
          <t>A 60320-2025</t>
        </is>
      </c>
      <c r="B218" s="1" t="n">
        <v>45994.71947916667</v>
      </c>
      <c r="C218" s="1" t="n">
        <v>46118</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47295-2023</t>
        </is>
      </c>
      <c r="B219" s="1" t="n">
        <v>45196</v>
      </c>
      <c r="C219" s="1" t="n">
        <v>46118</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30990-2024</t>
        </is>
      </c>
      <c r="B220" s="1" t="n">
        <v>45499.54975694444</v>
      </c>
      <c r="C220" s="1" t="n">
        <v>46118</v>
      </c>
      <c r="D220" t="inlineStr">
        <is>
          <t>JÄMTLANDS LÄN</t>
        </is>
      </c>
      <c r="E220" t="inlineStr">
        <is>
          <t>BRÄCKE</t>
        </is>
      </c>
      <c r="F220" t="inlineStr">
        <is>
          <t>Sveaskog</t>
        </is>
      </c>
      <c r="G220" t="n">
        <v>4.9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30990-2024 artfynd.xlsx", "A 30990-2024")</f>
        <v/>
      </c>
      <c r="T220">
        <f>HYPERLINK("https://klasma.github.io/Logging_2305/kartor/A 30990-2024 karta.png", "A 30990-2024")</f>
        <v/>
      </c>
      <c r="U220">
        <f>HYPERLINK("https://klasma.github.io/Logging_2305/knärot/A 30990-2024 karta knärot.png", "A 30990-2024")</f>
        <v/>
      </c>
      <c r="V220">
        <f>HYPERLINK("https://klasma.github.io/Logging_2305/klagomål/A 30990-2024 FSC-klagomål.docx", "A 30990-2024")</f>
        <v/>
      </c>
      <c r="W220">
        <f>HYPERLINK("https://klasma.github.io/Logging_2305/klagomålsmail/A 30990-2024 FSC-klagomål mail.docx", "A 30990-2024")</f>
        <v/>
      </c>
      <c r="X220">
        <f>HYPERLINK("https://klasma.github.io/Logging_2305/tillsyn/A 30990-2024 tillsynsbegäran.docx", "A 30990-2024")</f>
        <v/>
      </c>
      <c r="Y220">
        <f>HYPERLINK("https://klasma.github.io/Logging_2305/tillsynsmail/A 30990-2024 tillsynsbegäran mail.docx", "A 30990-2024")</f>
        <v/>
      </c>
    </row>
    <row r="221" ht="15" customHeight="1">
      <c r="A221" t="inlineStr">
        <is>
          <t>A 61165-2025</t>
        </is>
      </c>
      <c r="B221" s="1" t="n">
        <v>46000.56600694444</v>
      </c>
      <c r="C221" s="1" t="n">
        <v>46118</v>
      </c>
      <c r="D221" t="inlineStr">
        <is>
          <t>JÄMTLANDS LÄN</t>
        </is>
      </c>
      <c r="E221" t="inlineStr">
        <is>
          <t>BRÄCKE</t>
        </is>
      </c>
      <c r="G221" t="n">
        <v>5.3</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61165-2025 artfynd.xlsx", "A 61165-2025")</f>
        <v/>
      </c>
      <c r="T221">
        <f>HYPERLINK("https://klasma.github.io/Logging_2305/kartor/A 61165-2025 karta.png", "A 61165-2025")</f>
        <v/>
      </c>
      <c r="U221">
        <f>HYPERLINK("https://klasma.github.io/Logging_2305/knärot/A 61165-2025 karta knärot.png", "A 61165-2025")</f>
        <v/>
      </c>
      <c r="V221">
        <f>HYPERLINK("https://klasma.github.io/Logging_2305/klagomål/A 61165-2025 FSC-klagomål.docx", "A 61165-2025")</f>
        <v/>
      </c>
      <c r="W221">
        <f>HYPERLINK("https://klasma.github.io/Logging_2305/klagomålsmail/A 61165-2025 FSC-klagomål mail.docx", "A 61165-2025")</f>
        <v/>
      </c>
      <c r="X221">
        <f>HYPERLINK("https://klasma.github.io/Logging_2305/tillsyn/A 61165-2025 tillsynsbegäran.docx", "A 61165-2025")</f>
        <v/>
      </c>
      <c r="Y221">
        <f>HYPERLINK("https://klasma.github.io/Logging_2305/tillsynsmail/A 61165-2025 tillsynsbegäran mail.docx", "A 61165-2025")</f>
        <v/>
      </c>
    </row>
    <row r="222" ht="15" customHeight="1">
      <c r="A222" t="inlineStr">
        <is>
          <t>A 51822-2023</t>
        </is>
      </c>
      <c r="B222" s="1" t="n">
        <v>45222</v>
      </c>
      <c r="C222" s="1" t="n">
        <v>46118</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29672-2024</t>
        </is>
      </c>
      <c r="B223" s="1" t="n">
        <v>45484.94189814815</v>
      </c>
      <c r="C223" s="1" t="n">
        <v>46118</v>
      </c>
      <c r="D223" t="inlineStr">
        <is>
          <t>JÄMTLANDS LÄN</t>
        </is>
      </c>
      <c r="E223" t="inlineStr">
        <is>
          <t>BRÄCKE</t>
        </is>
      </c>
      <c r="F223" t="inlineStr">
        <is>
          <t>SCA</t>
        </is>
      </c>
      <c r="G223" t="n">
        <v>1.2</v>
      </c>
      <c r="H223" t="n">
        <v>0</v>
      </c>
      <c r="I223" t="n">
        <v>0</v>
      </c>
      <c r="J223" t="n">
        <v>2</v>
      </c>
      <c r="K223" t="n">
        <v>0</v>
      </c>
      <c r="L223" t="n">
        <v>0</v>
      </c>
      <c r="M223" t="n">
        <v>0</v>
      </c>
      <c r="N223" t="n">
        <v>0</v>
      </c>
      <c r="O223" t="n">
        <v>2</v>
      </c>
      <c r="P223" t="n">
        <v>0</v>
      </c>
      <c r="Q223" t="n">
        <v>2</v>
      </c>
      <c r="R223" s="2" t="inlineStr">
        <is>
          <t>Vedflikmossa
Vedtrappmossa</t>
        </is>
      </c>
      <c r="S223">
        <f>HYPERLINK("https://klasma.github.io/Logging_2305/artfynd/A 29672-2024 artfynd.xlsx", "A 29672-2024")</f>
        <v/>
      </c>
      <c r="T223">
        <f>HYPERLINK("https://klasma.github.io/Logging_2305/kartor/A 29672-2024 karta.png", "A 29672-2024")</f>
        <v/>
      </c>
      <c r="V223">
        <f>HYPERLINK("https://klasma.github.io/Logging_2305/klagomål/A 29672-2024 FSC-klagomål.docx", "A 29672-2024")</f>
        <v/>
      </c>
      <c r="W223">
        <f>HYPERLINK("https://klasma.github.io/Logging_2305/klagomålsmail/A 29672-2024 FSC-klagomål mail.docx", "A 29672-2024")</f>
        <v/>
      </c>
      <c r="X223">
        <f>HYPERLINK("https://klasma.github.io/Logging_2305/tillsyn/A 29672-2024 tillsynsbegäran.docx", "A 29672-2024")</f>
        <v/>
      </c>
      <c r="Y223">
        <f>HYPERLINK("https://klasma.github.io/Logging_2305/tillsynsmail/A 29672-2024 tillsynsbegäran mail.docx", "A 29672-2024")</f>
        <v/>
      </c>
    </row>
    <row r="224" ht="15" customHeight="1">
      <c r="A224" t="inlineStr">
        <is>
          <t>A 57329-2025</t>
        </is>
      </c>
      <c r="B224" s="1" t="n">
        <v>45980.34434027778</v>
      </c>
      <c r="C224" s="1" t="n">
        <v>46118</v>
      </c>
      <c r="D224" t="inlineStr">
        <is>
          <t>JÄMTLANDS LÄN</t>
        </is>
      </c>
      <c r="E224" t="inlineStr">
        <is>
          <t>BRÄCKE</t>
        </is>
      </c>
      <c r="F224" t="inlineStr">
        <is>
          <t>SCA</t>
        </is>
      </c>
      <c r="G224" t="n">
        <v>1.2</v>
      </c>
      <c r="H224" t="n">
        <v>2</v>
      </c>
      <c r="I224" t="n">
        <v>0</v>
      </c>
      <c r="J224" t="n">
        <v>2</v>
      </c>
      <c r="K224" t="n">
        <v>0</v>
      </c>
      <c r="L224" t="n">
        <v>0</v>
      </c>
      <c r="M224" t="n">
        <v>0</v>
      </c>
      <c r="N224" t="n">
        <v>0</v>
      </c>
      <c r="O224" t="n">
        <v>2</v>
      </c>
      <c r="P224" t="n">
        <v>0</v>
      </c>
      <c r="Q224" t="n">
        <v>2</v>
      </c>
      <c r="R224" s="2" t="inlineStr">
        <is>
          <t>Talltita
Tretåig hackspett</t>
        </is>
      </c>
      <c r="S224">
        <f>HYPERLINK("https://klasma.github.io/Logging_2305/artfynd/A 57329-2025 artfynd.xlsx", "A 57329-2025")</f>
        <v/>
      </c>
      <c r="T224">
        <f>HYPERLINK("https://klasma.github.io/Logging_2305/kartor/A 57329-2025 karta.png", "A 57329-2025")</f>
        <v/>
      </c>
      <c r="V224">
        <f>HYPERLINK("https://klasma.github.io/Logging_2305/klagomål/A 57329-2025 FSC-klagomål.docx", "A 57329-2025")</f>
        <v/>
      </c>
      <c r="W224">
        <f>HYPERLINK("https://klasma.github.io/Logging_2305/klagomålsmail/A 57329-2025 FSC-klagomål mail.docx", "A 57329-2025")</f>
        <v/>
      </c>
      <c r="X224">
        <f>HYPERLINK("https://klasma.github.io/Logging_2305/tillsyn/A 57329-2025 tillsynsbegäran.docx", "A 57329-2025")</f>
        <v/>
      </c>
      <c r="Y224">
        <f>HYPERLINK("https://klasma.github.io/Logging_2305/tillsynsmail/A 57329-2025 tillsynsbegäran mail.docx", "A 57329-2025")</f>
        <v/>
      </c>
      <c r="Z224">
        <f>HYPERLINK("https://klasma.github.io/Logging_2305/fåglar/A 57329-2025 prioriterade fågelarter.docx", "A 57329-2025")</f>
        <v/>
      </c>
    </row>
    <row r="225" ht="15" customHeight="1">
      <c r="A225" t="inlineStr">
        <is>
          <t>A 11174-2026</t>
        </is>
      </c>
      <c r="B225" s="1" t="n">
        <v>46080.38597222222</v>
      </c>
      <c r="C225" s="1" t="n">
        <v>46118</v>
      </c>
      <c r="D225" t="inlineStr">
        <is>
          <t>JÄMTLANDS LÄN</t>
        </is>
      </c>
      <c r="E225" t="inlineStr">
        <is>
          <t>BRÄCKE</t>
        </is>
      </c>
      <c r="F225" t="inlineStr">
        <is>
          <t>SCA</t>
        </is>
      </c>
      <c r="G225" t="n">
        <v>3.1</v>
      </c>
      <c r="H225" t="n">
        <v>0</v>
      </c>
      <c r="I225" t="n">
        <v>0</v>
      </c>
      <c r="J225" t="n">
        <v>1</v>
      </c>
      <c r="K225" t="n">
        <v>1</v>
      </c>
      <c r="L225" t="n">
        <v>0</v>
      </c>
      <c r="M225" t="n">
        <v>0</v>
      </c>
      <c r="N225" t="n">
        <v>0</v>
      </c>
      <c r="O225" t="n">
        <v>2</v>
      </c>
      <c r="P225" t="n">
        <v>1</v>
      </c>
      <c r="Q225" t="n">
        <v>2</v>
      </c>
      <c r="R225" s="2" t="inlineStr">
        <is>
          <t>Gräddporing
Vedflamlav</t>
        </is>
      </c>
      <c r="S225">
        <f>HYPERLINK("https://klasma.github.io/Logging_2305/artfynd/A 11174-2026 artfynd.xlsx", "A 11174-2026")</f>
        <v/>
      </c>
      <c r="T225">
        <f>HYPERLINK("https://klasma.github.io/Logging_2305/kartor/A 11174-2026 karta.png", "A 11174-2026")</f>
        <v/>
      </c>
      <c r="V225">
        <f>HYPERLINK("https://klasma.github.io/Logging_2305/klagomål/A 11174-2026 FSC-klagomål.docx", "A 11174-2026")</f>
        <v/>
      </c>
      <c r="W225">
        <f>HYPERLINK("https://klasma.github.io/Logging_2305/klagomålsmail/A 11174-2026 FSC-klagomål mail.docx", "A 11174-2026")</f>
        <v/>
      </c>
      <c r="X225">
        <f>HYPERLINK("https://klasma.github.io/Logging_2305/tillsyn/A 11174-2026 tillsynsbegäran.docx", "A 11174-2026")</f>
        <v/>
      </c>
      <c r="Y225">
        <f>HYPERLINK("https://klasma.github.io/Logging_2305/tillsynsmail/A 11174-2026 tillsynsbegäran mail.docx", "A 11174-2026")</f>
        <v/>
      </c>
    </row>
    <row r="226" ht="15" customHeight="1">
      <c r="A226" t="inlineStr">
        <is>
          <t>A 2838-2026</t>
        </is>
      </c>
      <c r="B226" s="1" t="n">
        <v>46038.46408564815</v>
      </c>
      <c r="C226" s="1" t="n">
        <v>46118</v>
      </c>
      <c r="D226" t="inlineStr">
        <is>
          <t>JÄMTLANDS LÄN</t>
        </is>
      </c>
      <c r="E226" t="inlineStr">
        <is>
          <t>BRÄCKE</t>
        </is>
      </c>
      <c r="G226" t="n">
        <v>0.6</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2838-2026 artfynd.xlsx", "A 2838-2026")</f>
        <v/>
      </c>
      <c r="T226">
        <f>HYPERLINK("https://klasma.github.io/Logging_2305/kartor/A 2838-2026 karta.png", "A 2838-2026")</f>
        <v/>
      </c>
      <c r="U226">
        <f>HYPERLINK("https://klasma.github.io/Logging_2305/knärot/A 2838-2026 karta knärot.png", "A 2838-2026")</f>
        <v/>
      </c>
      <c r="V226">
        <f>HYPERLINK("https://klasma.github.io/Logging_2305/klagomål/A 2838-2026 FSC-klagomål.docx", "A 2838-2026")</f>
        <v/>
      </c>
      <c r="W226">
        <f>HYPERLINK("https://klasma.github.io/Logging_2305/klagomålsmail/A 2838-2026 FSC-klagomål mail.docx", "A 2838-2026")</f>
        <v/>
      </c>
      <c r="X226">
        <f>HYPERLINK("https://klasma.github.io/Logging_2305/tillsyn/A 2838-2026 tillsynsbegäran.docx", "A 2838-2026")</f>
        <v/>
      </c>
      <c r="Y226">
        <f>HYPERLINK("https://klasma.github.io/Logging_2305/tillsynsmail/A 2838-2026 tillsynsbegäran mail.docx", "A 2838-2026")</f>
        <v/>
      </c>
    </row>
    <row r="227" ht="15" customHeight="1">
      <c r="A227" t="inlineStr">
        <is>
          <t>A 3029-2023</t>
        </is>
      </c>
      <c r="B227" s="1" t="n">
        <v>44945</v>
      </c>
      <c r="C227" s="1" t="n">
        <v>46118</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47498-2023</t>
        </is>
      </c>
      <c r="B228" s="1" t="n">
        <v>45202</v>
      </c>
      <c r="C228" s="1" t="n">
        <v>46118</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46118</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954-2026</t>
        </is>
      </c>
      <c r="B230" s="1" t="n">
        <v>46030.54424768518</v>
      </c>
      <c r="C230" s="1" t="n">
        <v>46118</v>
      </c>
      <c r="D230" t="inlineStr">
        <is>
          <t>JÄMTLANDS LÄN</t>
        </is>
      </c>
      <c r="E230" t="inlineStr">
        <is>
          <t>BRÄCKE</t>
        </is>
      </c>
      <c r="G230" t="n">
        <v>11.1</v>
      </c>
      <c r="H230" t="n">
        <v>0</v>
      </c>
      <c r="I230" t="n">
        <v>1</v>
      </c>
      <c r="J230" t="n">
        <v>1</v>
      </c>
      <c r="K230" t="n">
        <v>0</v>
      </c>
      <c r="L230" t="n">
        <v>0</v>
      </c>
      <c r="M230" t="n">
        <v>0</v>
      </c>
      <c r="N230" t="n">
        <v>0</v>
      </c>
      <c r="O230" t="n">
        <v>1</v>
      </c>
      <c r="P230" t="n">
        <v>0</v>
      </c>
      <c r="Q230" t="n">
        <v>2</v>
      </c>
      <c r="R230" s="2" t="inlineStr">
        <is>
          <t>Kolflarnlav
Rödgul trumpetsvamp</t>
        </is>
      </c>
      <c r="S230">
        <f>HYPERLINK("https://klasma.github.io/Logging_2305/artfynd/A 954-2026 artfynd.xlsx", "A 954-2026")</f>
        <v/>
      </c>
      <c r="T230">
        <f>HYPERLINK("https://klasma.github.io/Logging_2305/kartor/A 954-2026 karta.png", "A 954-2026")</f>
        <v/>
      </c>
      <c r="V230">
        <f>HYPERLINK("https://klasma.github.io/Logging_2305/klagomål/A 954-2026 FSC-klagomål.docx", "A 954-2026")</f>
        <v/>
      </c>
      <c r="W230">
        <f>HYPERLINK("https://klasma.github.io/Logging_2305/klagomålsmail/A 954-2026 FSC-klagomål mail.docx", "A 954-2026")</f>
        <v/>
      </c>
      <c r="X230">
        <f>HYPERLINK("https://klasma.github.io/Logging_2305/tillsyn/A 954-2026 tillsynsbegäran.docx", "A 954-2026")</f>
        <v/>
      </c>
      <c r="Y230">
        <f>HYPERLINK("https://klasma.github.io/Logging_2305/tillsynsmail/A 954-2026 tillsynsbegäran mail.docx", "A 954-2026")</f>
        <v/>
      </c>
    </row>
    <row r="231" ht="15" customHeight="1">
      <c r="A231" t="inlineStr">
        <is>
          <t>A 22382-2024</t>
        </is>
      </c>
      <c r="B231" s="1" t="n">
        <v>45446</v>
      </c>
      <c r="C231" s="1" t="n">
        <v>46118</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43141-2022</t>
        </is>
      </c>
      <c r="B232" s="1" t="n">
        <v>44833</v>
      </c>
      <c r="C232" s="1" t="n">
        <v>46118</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46118</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46118</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46118</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46118</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46118</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46118</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24747-2025</t>
        </is>
      </c>
      <c r="B239" s="1" t="n">
        <v>45799.34675925926</v>
      </c>
      <c r="C239" s="1" t="n">
        <v>46118</v>
      </c>
      <c r="D239" t="inlineStr">
        <is>
          <t>JÄMTLANDS LÄN</t>
        </is>
      </c>
      <c r="E239" t="inlineStr">
        <is>
          <t>BRÄCKE</t>
        </is>
      </c>
      <c r="F239" t="inlineStr">
        <is>
          <t>SCA</t>
        </is>
      </c>
      <c r="G239" t="n">
        <v>6.9</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24747-2025 artfynd.xlsx", "A 24747-2025")</f>
        <v/>
      </c>
      <c r="T239">
        <f>HYPERLINK("https://klasma.github.io/Logging_2305/kartor/A 24747-2025 karta.png", "A 24747-2025")</f>
        <v/>
      </c>
      <c r="V239">
        <f>HYPERLINK("https://klasma.github.io/Logging_2305/klagomål/A 24747-2025 FSC-klagomål.docx", "A 24747-2025")</f>
        <v/>
      </c>
      <c r="W239">
        <f>HYPERLINK("https://klasma.github.io/Logging_2305/klagomålsmail/A 24747-2025 FSC-klagomål mail.docx", "A 24747-2025")</f>
        <v/>
      </c>
      <c r="X239">
        <f>HYPERLINK("https://klasma.github.io/Logging_2305/tillsyn/A 24747-2025 tillsynsbegäran.docx", "A 24747-2025")</f>
        <v/>
      </c>
      <c r="Y239">
        <f>HYPERLINK("https://klasma.github.io/Logging_2305/tillsynsmail/A 24747-2025 tillsynsbegäran mail.docx", "A 24747-2025")</f>
        <v/>
      </c>
    </row>
    <row r="240" ht="15" customHeight="1">
      <c r="A240" t="inlineStr">
        <is>
          <t>A 26178-2025</t>
        </is>
      </c>
      <c r="B240" s="1" t="n">
        <v>45805.46917824074</v>
      </c>
      <c r="C240" s="1" t="n">
        <v>46118</v>
      </c>
      <c r="D240" t="inlineStr">
        <is>
          <t>JÄMTLANDS LÄN</t>
        </is>
      </c>
      <c r="E240" t="inlineStr">
        <is>
          <t>BRÄCKE</t>
        </is>
      </c>
      <c r="G240" t="n">
        <v>6.9</v>
      </c>
      <c r="H240" t="n">
        <v>1</v>
      </c>
      <c r="I240" t="n">
        <v>1</v>
      </c>
      <c r="J240" t="n">
        <v>0</v>
      </c>
      <c r="K240" t="n">
        <v>0</v>
      </c>
      <c r="L240" t="n">
        <v>0</v>
      </c>
      <c r="M240" t="n">
        <v>0</v>
      </c>
      <c r="N240" t="n">
        <v>0</v>
      </c>
      <c r="O240" t="n">
        <v>0</v>
      </c>
      <c r="P240" t="n">
        <v>0</v>
      </c>
      <c r="Q240" t="n">
        <v>2</v>
      </c>
      <c r="R240" s="2" t="inlineStr">
        <is>
          <t>Vårärt
Blåsippa</t>
        </is>
      </c>
      <c r="S240">
        <f>HYPERLINK("https://klasma.github.io/Logging_2305/artfynd/A 26178-2025 artfynd.xlsx", "A 26178-2025")</f>
        <v/>
      </c>
      <c r="T240">
        <f>HYPERLINK("https://klasma.github.io/Logging_2305/kartor/A 26178-2025 karta.png", "A 26178-2025")</f>
        <v/>
      </c>
      <c r="V240">
        <f>HYPERLINK("https://klasma.github.io/Logging_2305/klagomål/A 26178-2025 FSC-klagomål.docx", "A 26178-2025")</f>
        <v/>
      </c>
      <c r="W240">
        <f>HYPERLINK("https://klasma.github.io/Logging_2305/klagomålsmail/A 26178-2025 FSC-klagomål mail.docx", "A 26178-2025")</f>
        <v/>
      </c>
      <c r="X240">
        <f>HYPERLINK("https://klasma.github.io/Logging_2305/tillsyn/A 26178-2025 tillsynsbegäran.docx", "A 26178-2025")</f>
        <v/>
      </c>
      <c r="Y240">
        <f>HYPERLINK("https://klasma.github.io/Logging_2305/tillsynsmail/A 26178-2025 tillsynsbegäran mail.docx", "A 26178-2025")</f>
        <v/>
      </c>
    </row>
    <row r="241" ht="15" customHeight="1">
      <c r="A241" t="inlineStr">
        <is>
          <t>A 27062-2025</t>
        </is>
      </c>
      <c r="B241" s="1" t="n">
        <v>45811.63614583333</v>
      </c>
      <c r="C241" s="1" t="n">
        <v>46118</v>
      </c>
      <c r="D241" t="inlineStr">
        <is>
          <t>JÄMTLANDS LÄN</t>
        </is>
      </c>
      <c r="E241" t="inlineStr">
        <is>
          <t>BRÄCKE</t>
        </is>
      </c>
      <c r="F241" t="inlineStr">
        <is>
          <t>SCA</t>
        </is>
      </c>
      <c r="G241" t="n">
        <v>19.8</v>
      </c>
      <c r="H241" t="n">
        <v>0</v>
      </c>
      <c r="I241" t="n">
        <v>2</v>
      </c>
      <c r="J241" t="n">
        <v>0</v>
      </c>
      <c r="K241" t="n">
        <v>0</v>
      </c>
      <c r="L241" t="n">
        <v>0</v>
      </c>
      <c r="M241" t="n">
        <v>0</v>
      </c>
      <c r="N241" t="n">
        <v>0</v>
      </c>
      <c r="O241" t="n">
        <v>0</v>
      </c>
      <c r="P241" t="n">
        <v>0</v>
      </c>
      <c r="Q241" t="n">
        <v>2</v>
      </c>
      <c r="R241" s="2" t="inlineStr">
        <is>
          <t>Dropptaggsvamp
Skinnlav</t>
        </is>
      </c>
      <c r="S241">
        <f>HYPERLINK("https://klasma.github.io/Logging_2305/artfynd/A 27062-2025 artfynd.xlsx", "A 27062-2025")</f>
        <v/>
      </c>
      <c r="T241">
        <f>HYPERLINK("https://klasma.github.io/Logging_2305/kartor/A 27062-2025 karta.png", "A 27062-2025")</f>
        <v/>
      </c>
      <c r="V241">
        <f>HYPERLINK("https://klasma.github.io/Logging_2305/klagomål/A 27062-2025 FSC-klagomål.docx", "A 27062-2025")</f>
        <v/>
      </c>
      <c r="W241">
        <f>HYPERLINK("https://klasma.github.io/Logging_2305/klagomålsmail/A 27062-2025 FSC-klagomål mail.docx", "A 27062-2025")</f>
        <v/>
      </c>
      <c r="X241">
        <f>HYPERLINK("https://klasma.github.io/Logging_2305/tillsyn/A 27062-2025 tillsynsbegäran.docx", "A 27062-2025")</f>
        <v/>
      </c>
      <c r="Y241">
        <f>HYPERLINK("https://klasma.github.io/Logging_2305/tillsynsmail/A 27062-2025 tillsynsbegäran mail.docx", "A 27062-2025")</f>
        <v/>
      </c>
    </row>
    <row r="242" ht="15" customHeight="1">
      <c r="A242" t="inlineStr">
        <is>
          <t>A 27279-2025</t>
        </is>
      </c>
      <c r="B242" s="1" t="n">
        <v>45812.53172453704</v>
      </c>
      <c r="C242" s="1" t="n">
        <v>46118</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27279-2025 artfynd.xlsx", "A 27279-2025")</f>
        <v/>
      </c>
      <c r="T242">
        <f>HYPERLINK("https://klasma.github.io/Logging_2305/kartor/A 27279-2025 karta.png", "A 27279-2025")</f>
        <v/>
      </c>
      <c r="V242">
        <f>HYPERLINK("https://klasma.github.io/Logging_2305/klagomål/A 27279-2025 FSC-klagomål.docx", "A 27279-2025")</f>
        <v/>
      </c>
      <c r="W242">
        <f>HYPERLINK("https://klasma.github.io/Logging_2305/klagomålsmail/A 27279-2025 FSC-klagomål mail.docx", "A 27279-2025")</f>
        <v/>
      </c>
      <c r="X242">
        <f>HYPERLINK("https://klasma.github.io/Logging_2305/tillsyn/A 27279-2025 tillsynsbegäran.docx", "A 27279-2025")</f>
        <v/>
      </c>
      <c r="Y242">
        <f>HYPERLINK("https://klasma.github.io/Logging_2305/tillsynsmail/A 27279-2025 tillsynsbegäran mail.docx", "A 27279-2025")</f>
        <v/>
      </c>
    </row>
    <row r="243" ht="15" customHeight="1">
      <c r="A243" t="inlineStr">
        <is>
          <t>A 29119-2025</t>
        </is>
      </c>
      <c r="B243" s="1" t="n">
        <v>45821.59407407408</v>
      </c>
      <c r="C243" s="1" t="n">
        <v>46118</v>
      </c>
      <c r="D243" t="inlineStr">
        <is>
          <t>JÄMTLANDS LÄN</t>
        </is>
      </c>
      <c r="E243" t="inlineStr">
        <is>
          <t>BRÄCKE</t>
        </is>
      </c>
      <c r="F243" t="inlineStr">
        <is>
          <t>SCA</t>
        </is>
      </c>
      <c r="G243" t="n">
        <v>2.4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29119-2025 artfynd.xlsx", "A 29119-2025")</f>
        <v/>
      </c>
      <c r="T243">
        <f>HYPERLINK("https://klasma.github.io/Logging_2305/kartor/A 29119-2025 karta.png", "A 29119-2025")</f>
        <v/>
      </c>
      <c r="V243">
        <f>HYPERLINK("https://klasma.github.io/Logging_2305/klagomål/A 29119-2025 FSC-klagomål.docx", "A 29119-2025")</f>
        <v/>
      </c>
      <c r="W243">
        <f>HYPERLINK("https://klasma.github.io/Logging_2305/klagomålsmail/A 29119-2025 FSC-klagomål mail.docx", "A 29119-2025")</f>
        <v/>
      </c>
      <c r="X243">
        <f>HYPERLINK("https://klasma.github.io/Logging_2305/tillsyn/A 29119-2025 tillsynsbegäran.docx", "A 29119-2025")</f>
        <v/>
      </c>
      <c r="Y243">
        <f>HYPERLINK("https://klasma.github.io/Logging_2305/tillsynsmail/A 29119-2025 tillsynsbegäran mail.docx", "A 29119-2025")</f>
        <v/>
      </c>
    </row>
    <row r="244" ht="15" customHeight="1">
      <c r="A244" t="inlineStr">
        <is>
          <t>A 32566-2025</t>
        </is>
      </c>
      <c r="B244" s="1" t="n">
        <v>45838.57354166666</v>
      </c>
      <c r="C244" s="1" t="n">
        <v>46118</v>
      </c>
      <c r="D244" t="inlineStr">
        <is>
          <t>JÄMTLANDS LÄN</t>
        </is>
      </c>
      <c r="E244" t="inlineStr">
        <is>
          <t>BRÄCKE</t>
        </is>
      </c>
      <c r="F244" t="inlineStr">
        <is>
          <t>SCA</t>
        </is>
      </c>
      <c r="G244" t="n">
        <v>1.6</v>
      </c>
      <c r="H244" t="n">
        <v>0</v>
      </c>
      <c r="I244" t="n">
        <v>2</v>
      </c>
      <c r="J244" t="n">
        <v>0</v>
      </c>
      <c r="K244" t="n">
        <v>0</v>
      </c>
      <c r="L244" t="n">
        <v>0</v>
      </c>
      <c r="M244" t="n">
        <v>0</v>
      </c>
      <c r="N244" t="n">
        <v>0</v>
      </c>
      <c r="O244" t="n">
        <v>0</v>
      </c>
      <c r="P244" t="n">
        <v>0</v>
      </c>
      <c r="Q244" t="n">
        <v>2</v>
      </c>
      <c r="R244" s="2" t="inlineStr">
        <is>
          <t>Skinnlav
Vedticka</t>
        </is>
      </c>
      <c r="S244">
        <f>HYPERLINK("https://klasma.github.io/Logging_2305/artfynd/A 32566-2025 artfynd.xlsx", "A 32566-2025")</f>
        <v/>
      </c>
      <c r="T244">
        <f>HYPERLINK("https://klasma.github.io/Logging_2305/kartor/A 32566-2025 karta.png", "A 32566-2025")</f>
        <v/>
      </c>
      <c r="V244">
        <f>HYPERLINK("https://klasma.github.io/Logging_2305/klagomål/A 32566-2025 FSC-klagomål.docx", "A 32566-2025")</f>
        <v/>
      </c>
      <c r="W244">
        <f>HYPERLINK("https://klasma.github.io/Logging_2305/klagomålsmail/A 32566-2025 FSC-klagomål mail.docx", "A 32566-2025")</f>
        <v/>
      </c>
      <c r="X244">
        <f>HYPERLINK("https://klasma.github.io/Logging_2305/tillsyn/A 32566-2025 tillsynsbegäran.docx", "A 32566-2025")</f>
        <v/>
      </c>
      <c r="Y244">
        <f>HYPERLINK("https://klasma.github.io/Logging_2305/tillsynsmail/A 32566-2025 tillsynsbegäran mail.docx", "A 32566-2025")</f>
        <v/>
      </c>
    </row>
    <row r="245" ht="15" customHeight="1">
      <c r="A245" t="inlineStr">
        <is>
          <t>A 34615-2025</t>
        </is>
      </c>
      <c r="B245" s="1" t="n">
        <v>45847.6778125</v>
      </c>
      <c r="C245" s="1" t="n">
        <v>46118</v>
      </c>
      <c r="D245" t="inlineStr">
        <is>
          <t>JÄMTLANDS LÄN</t>
        </is>
      </c>
      <c r="E245" t="inlineStr">
        <is>
          <t>BRÄCKE</t>
        </is>
      </c>
      <c r="F245" t="inlineStr">
        <is>
          <t>SCA</t>
        </is>
      </c>
      <c r="G245" t="n">
        <v>2.7</v>
      </c>
      <c r="H245" t="n">
        <v>0</v>
      </c>
      <c r="I245" t="n">
        <v>1</v>
      </c>
      <c r="J245" t="n">
        <v>0</v>
      </c>
      <c r="K245" t="n">
        <v>1</v>
      </c>
      <c r="L245" t="n">
        <v>0</v>
      </c>
      <c r="M245" t="n">
        <v>0</v>
      </c>
      <c r="N245" t="n">
        <v>0</v>
      </c>
      <c r="O245" t="n">
        <v>1</v>
      </c>
      <c r="P245" t="n">
        <v>1</v>
      </c>
      <c r="Q245" t="n">
        <v>2</v>
      </c>
      <c r="R245" s="2" t="inlineStr">
        <is>
          <t>Jättemusseron
Tallfingersvamp</t>
        </is>
      </c>
      <c r="S245">
        <f>HYPERLINK("https://klasma.github.io/Logging_2305/artfynd/A 34615-2025 artfynd.xlsx", "A 34615-2025")</f>
        <v/>
      </c>
      <c r="T245">
        <f>HYPERLINK("https://klasma.github.io/Logging_2305/kartor/A 34615-2025 karta.png", "A 34615-2025")</f>
        <v/>
      </c>
      <c r="U245">
        <f>HYPERLINK("https://klasma.github.io/Logging_2305/knärot/A 34615-2025 karta knärot.png", "A 34615-2025")</f>
        <v/>
      </c>
      <c r="V245">
        <f>HYPERLINK("https://klasma.github.io/Logging_2305/klagomål/A 34615-2025 FSC-klagomål.docx", "A 34615-2025")</f>
        <v/>
      </c>
      <c r="W245">
        <f>HYPERLINK("https://klasma.github.io/Logging_2305/klagomålsmail/A 34615-2025 FSC-klagomål mail.docx", "A 34615-2025")</f>
        <v/>
      </c>
      <c r="X245">
        <f>HYPERLINK("https://klasma.github.io/Logging_2305/tillsyn/A 34615-2025 tillsynsbegäran.docx", "A 34615-2025")</f>
        <v/>
      </c>
      <c r="Y245">
        <f>HYPERLINK("https://klasma.github.io/Logging_2305/tillsynsmail/A 34615-2025 tillsynsbegäran mail.docx", "A 34615-2025")</f>
        <v/>
      </c>
    </row>
    <row r="246" ht="15" customHeight="1">
      <c r="A246" t="inlineStr">
        <is>
          <t>A 69154-2021</t>
        </is>
      </c>
      <c r="B246" s="1" t="n">
        <v>44530</v>
      </c>
      <c r="C246" s="1" t="n">
        <v>46118</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46118</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46118</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46118</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17588-2024</t>
        </is>
      </c>
      <c r="B250" s="1" t="n">
        <v>45415.94054398148</v>
      </c>
      <c r="C250" s="1" t="n">
        <v>46118</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31479-2024</t>
        </is>
      </c>
      <c r="B251" s="1" t="n">
        <v>45505.95263888889</v>
      </c>
      <c r="C251" s="1" t="n">
        <v>46118</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58777-2023</t>
        </is>
      </c>
      <c r="B252" s="1" t="n">
        <v>45251.96747685185</v>
      </c>
      <c r="C252" s="1" t="n">
        <v>46118</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62079-2022</t>
        </is>
      </c>
      <c r="B253" s="1" t="n">
        <v>44918</v>
      </c>
      <c r="C253" s="1" t="n">
        <v>46118</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29546-2024</t>
        </is>
      </c>
      <c r="B254" s="1" t="n">
        <v>45484.50435185185</v>
      </c>
      <c r="C254" s="1" t="n">
        <v>46118</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2063-2024</t>
        </is>
      </c>
      <c r="B255" s="1" t="n">
        <v>45308</v>
      </c>
      <c r="C255" s="1" t="n">
        <v>46118</v>
      </c>
      <c r="D255" t="inlineStr">
        <is>
          <t>JÄMTLANDS LÄN</t>
        </is>
      </c>
      <c r="E255" t="inlineStr">
        <is>
          <t>BRÄCKE</t>
        </is>
      </c>
      <c r="F255" t="inlineStr">
        <is>
          <t>SCA</t>
        </is>
      </c>
      <c r="G255" t="n">
        <v>5.7</v>
      </c>
      <c r="H255" t="n">
        <v>0</v>
      </c>
      <c r="I255" t="n">
        <v>0</v>
      </c>
      <c r="J255" t="n">
        <v>0</v>
      </c>
      <c r="K255" t="n">
        <v>1</v>
      </c>
      <c r="L255" t="n">
        <v>0</v>
      </c>
      <c r="M255" t="n">
        <v>0</v>
      </c>
      <c r="N255" t="n">
        <v>0</v>
      </c>
      <c r="O255" t="n">
        <v>1</v>
      </c>
      <c r="P255" t="n">
        <v>1</v>
      </c>
      <c r="Q255" t="n">
        <v>1</v>
      </c>
      <c r="R255" s="2" t="inlineStr">
        <is>
          <t>Gräddporing</t>
        </is>
      </c>
      <c r="S255">
        <f>HYPERLINK("https://klasma.github.io/Logging_2305/artfynd/A 2063-2024 artfynd.xlsx", "A 2063-2024")</f>
        <v/>
      </c>
      <c r="T255">
        <f>HYPERLINK("https://klasma.github.io/Logging_2305/kartor/A 2063-2024 karta.png", "A 2063-2024")</f>
        <v/>
      </c>
      <c r="V255">
        <f>HYPERLINK("https://klasma.github.io/Logging_2305/klagomål/A 2063-2024 FSC-klagomål.docx", "A 2063-2024")</f>
        <v/>
      </c>
      <c r="W255">
        <f>HYPERLINK("https://klasma.github.io/Logging_2305/klagomålsmail/A 2063-2024 FSC-klagomål mail.docx", "A 2063-2024")</f>
        <v/>
      </c>
      <c r="X255">
        <f>HYPERLINK("https://klasma.github.io/Logging_2305/tillsyn/A 2063-2024 tillsynsbegäran.docx", "A 2063-2024")</f>
        <v/>
      </c>
      <c r="Y255">
        <f>HYPERLINK("https://klasma.github.io/Logging_2305/tillsynsmail/A 2063-2024 tillsynsbegäran mail.docx", "A 2063-2024")</f>
        <v/>
      </c>
    </row>
    <row r="256" ht="15" customHeight="1">
      <c r="A256" t="inlineStr">
        <is>
          <t>A 36312-2024</t>
        </is>
      </c>
      <c r="B256" s="1" t="n">
        <v>45534.63096064814</v>
      </c>
      <c r="C256" s="1" t="n">
        <v>46118</v>
      </c>
      <c r="D256" t="inlineStr">
        <is>
          <t>JÄMTLANDS LÄN</t>
        </is>
      </c>
      <c r="E256" t="inlineStr">
        <is>
          <t>BRÄCKE</t>
        </is>
      </c>
      <c r="F256" t="inlineStr">
        <is>
          <t>SCA</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HYPERLINK("https://klasma.github.io/Logging_2305/artfynd/A 36312-2024 artfynd.xlsx", "A 36312-2024")</f>
        <v/>
      </c>
      <c r="T256">
        <f>HYPERLINK("https://klasma.github.io/Logging_2305/kartor/A 36312-2024 karta.png", "A 36312-2024")</f>
        <v/>
      </c>
      <c r="V256">
        <f>HYPERLINK("https://klasma.github.io/Logging_2305/klagomål/A 36312-2024 FSC-klagomål.docx", "A 36312-2024")</f>
        <v/>
      </c>
      <c r="W256">
        <f>HYPERLINK("https://klasma.github.io/Logging_2305/klagomålsmail/A 36312-2024 FSC-klagomål mail.docx", "A 36312-2024")</f>
        <v/>
      </c>
      <c r="X256">
        <f>HYPERLINK("https://klasma.github.io/Logging_2305/tillsyn/A 36312-2024 tillsynsbegäran.docx", "A 36312-2024")</f>
        <v/>
      </c>
      <c r="Y256">
        <f>HYPERLINK("https://klasma.github.io/Logging_2305/tillsynsmail/A 36312-2024 tillsynsbegäran mail.docx", "A 36312-2024")</f>
        <v/>
      </c>
    </row>
    <row r="257" ht="15" customHeight="1">
      <c r="A257" t="inlineStr">
        <is>
          <t>A 55931-2023</t>
        </is>
      </c>
      <c r="B257" s="1" t="n">
        <v>45239</v>
      </c>
      <c r="C257" s="1" t="n">
        <v>46118</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15076-2022</t>
        </is>
      </c>
      <c r="B258" s="1" t="n">
        <v>44657</v>
      </c>
      <c r="C258" s="1" t="n">
        <v>46118</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19431-2021</t>
        </is>
      </c>
      <c r="B259" s="1" t="n">
        <v>44309</v>
      </c>
      <c r="C259" s="1" t="n">
        <v>46118</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12525-2025</t>
        </is>
      </c>
      <c r="B260" s="1" t="n">
        <v>45730.67770833334</v>
      </c>
      <c r="C260" s="1" t="n">
        <v>46118</v>
      </c>
      <c r="D260" t="inlineStr">
        <is>
          <t>JÄMTLANDS LÄN</t>
        </is>
      </c>
      <c r="E260" t="inlineStr">
        <is>
          <t>BRÄCKE</t>
        </is>
      </c>
      <c r="F260" t="inlineStr">
        <is>
          <t>SCA</t>
        </is>
      </c>
      <c r="G260" t="n">
        <v>3.5</v>
      </c>
      <c r="H260" t="n">
        <v>1</v>
      </c>
      <c r="I260" t="n">
        <v>0</v>
      </c>
      <c r="J260" t="n">
        <v>0</v>
      </c>
      <c r="K260" t="n">
        <v>0</v>
      </c>
      <c r="L260" t="n">
        <v>0</v>
      </c>
      <c r="M260" t="n">
        <v>0</v>
      </c>
      <c r="N260" t="n">
        <v>0</v>
      </c>
      <c r="O260" t="n">
        <v>0</v>
      </c>
      <c r="P260" t="n">
        <v>0</v>
      </c>
      <c r="Q260" t="n">
        <v>1</v>
      </c>
      <c r="R260" s="2" t="inlineStr">
        <is>
          <t>Fläcknycklar</t>
        </is>
      </c>
      <c r="S260">
        <f>HYPERLINK("https://klasma.github.io/Logging_2305/artfynd/A 12525-2025 artfynd.xlsx", "A 12525-2025")</f>
        <v/>
      </c>
      <c r="T260">
        <f>HYPERLINK("https://klasma.github.io/Logging_2305/kartor/A 12525-2025 karta.png", "A 12525-2025")</f>
        <v/>
      </c>
      <c r="V260">
        <f>HYPERLINK("https://klasma.github.io/Logging_2305/klagomål/A 12525-2025 FSC-klagomål.docx", "A 12525-2025")</f>
        <v/>
      </c>
      <c r="W260">
        <f>HYPERLINK("https://klasma.github.io/Logging_2305/klagomålsmail/A 12525-2025 FSC-klagomål mail.docx", "A 12525-2025")</f>
        <v/>
      </c>
      <c r="X260">
        <f>HYPERLINK("https://klasma.github.io/Logging_2305/tillsyn/A 12525-2025 tillsynsbegäran.docx", "A 12525-2025")</f>
        <v/>
      </c>
      <c r="Y260">
        <f>HYPERLINK("https://klasma.github.io/Logging_2305/tillsynsmail/A 12525-2025 tillsynsbegäran mail.docx", "A 12525-2025")</f>
        <v/>
      </c>
    </row>
    <row r="261" ht="15" customHeight="1">
      <c r="A261" t="inlineStr">
        <is>
          <t>A 34911-2025</t>
        </is>
      </c>
      <c r="B261" s="1" t="n">
        <v>45849.53545138889</v>
      </c>
      <c r="C261" s="1" t="n">
        <v>46118</v>
      </c>
      <c r="D261" t="inlineStr">
        <is>
          <t>JÄMTLANDS LÄN</t>
        </is>
      </c>
      <c r="E261" t="inlineStr">
        <is>
          <t>BRÄCKE</t>
        </is>
      </c>
      <c r="F261" t="inlineStr">
        <is>
          <t>Sveaskog</t>
        </is>
      </c>
      <c r="G261" t="n">
        <v>7.2</v>
      </c>
      <c r="H261" t="n">
        <v>1</v>
      </c>
      <c r="I261" t="n">
        <v>1</v>
      </c>
      <c r="J261" t="n">
        <v>0</v>
      </c>
      <c r="K261" t="n">
        <v>0</v>
      </c>
      <c r="L261" t="n">
        <v>0</v>
      </c>
      <c r="M261" t="n">
        <v>0</v>
      </c>
      <c r="N261" t="n">
        <v>0</v>
      </c>
      <c r="O261" t="n">
        <v>0</v>
      </c>
      <c r="P261" t="n">
        <v>0</v>
      </c>
      <c r="Q261" t="n">
        <v>1</v>
      </c>
      <c r="R261" s="2" t="inlineStr">
        <is>
          <t>Guckusko</t>
        </is>
      </c>
      <c r="S261">
        <f>HYPERLINK("https://klasma.github.io/Logging_2305/artfynd/A 34911-2025 artfynd.xlsx", "A 34911-2025")</f>
        <v/>
      </c>
      <c r="T261">
        <f>HYPERLINK("https://klasma.github.io/Logging_2305/kartor/A 34911-2025 karta.png", "A 34911-2025")</f>
        <v/>
      </c>
      <c r="V261">
        <f>HYPERLINK("https://klasma.github.io/Logging_2305/klagomål/A 34911-2025 FSC-klagomål.docx", "A 34911-2025")</f>
        <v/>
      </c>
      <c r="W261">
        <f>HYPERLINK("https://klasma.github.io/Logging_2305/klagomålsmail/A 34911-2025 FSC-klagomål mail.docx", "A 34911-2025")</f>
        <v/>
      </c>
      <c r="X261">
        <f>HYPERLINK("https://klasma.github.io/Logging_2305/tillsyn/A 34911-2025 tillsynsbegäran.docx", "A 34911-2025")</f>
        <v/>
      </c>
      <c r="Y261">
        <f>HYPERLINK("https://klasma.github.io/Logging_2305/tillsynsmail/A 34911-2025 tillsynsbegäran mail.docx", "A 34911-2025")</f>
        <v/>
      </c>
    </row>
    <row r="262" ht="15" customHeight="1">
      <c r="A262" t="inlineStr">
        <is>
          <t>A 35210-2025</t>
        </is>
      </c>
      <c r="B262" s="1" t="n">
        <v>45853.44842592593</v>
      </c>
      <c r="C262" s="1" t="n">
        <v>46118</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46118</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35579-2025</t>
        </is>
      </c>
      <c r="B264" s="1" t="n">
        <v>45856.67818287037</v>
      </c>
      <c r="C264" s="1" t="n">
        <v>46118</v>
      </c>
      <c r="D264" t="inlineStr">
        <is>
          <t>JÄMTLANDS LÄN</t>
        </is>
      </c>
      <c r="E264" t="inlineStr">
        <is>
          <t>BRÄCKE</t>
        </is>
      </c>
      <c r="F264" t="inlineStr">
        <is>
          <t>SCA</t>
        </is>
      </c>
      <c r="G264" t="n">
        <v>5.2</v>
      </c>
      <c r="H264" t="n">
        <v>0</v>
      </c>
      <c r="I264" t="n">
        <v>0</v>
      </c>
      <c r="J264" t="n">
        <v>1</v>
      </c>
      <c r="K264" t="n">
        <v>0</v>
      </c>
      <c r="L264" t="n">
        <v>0</v>
      </c>
      <c r="M264" t="n">
        <v>0</v>
      </c>
      <c r="N264" t="n">
        <v>0</v>
      </c>
      <c r="O264" t="n">
        <v>1</v>
      </c>
      <c r="P264" t="n">
        <v>0</v>
      </c>
      <c r="Q264" t="n">
        <v>1</v>
      </c>
      <c r="R264" s="2" t="inlineStr">
        <is>
          <t>Tallticka</t>
        </is>
      </c>
      <c r="S264">
        <f>HYPERLINK("https://klasma.github.io/Logging_2305/artfynd/A 35579-2025 artfynd.xlsx", "A 35579-2025")</f>
        <v/>
      </c>
      <c r="T264">
        <f>HYPERLINK("https://klasma.github.io/Logging_2305/kartor/A 35579-2025 karta.png", "A 35579-2025")</f>
        <v/>
      </c>
      <c r="V264">
        <f>HYPERLINK("https://klasma.github.io/Logging_2305/klagomål/A 35579-2025 FSC-klagomål.docx", "A 35579-2025")</f>
        <v/>
      </c>
      <c r="W264">
        <f>HYPERLINK("https://klasma.github.io/Logging_2305/klagomålsmail/A 35579-2025 FSC-klagomål mail.docx", "A 35579-2025")</f>
        <v/>
      </c>
      <c r="X264">
        <f>HYPERLINK("https://klasma.github.io/Logging_2305/tillsyn/A 35579-2025 tillsynsbegäran.docx", "A 35579-2025")</f>
        <v/>
      </c>
      <c r="Y264">
        <f>HYPERLINK("https://klasma.github.io/Logging_2305/tillsynsmail/A 35579-2025 tillsynsbegäran mail.docx", "A 35579-2025")</f>
        <v/>
      </c>
    </row>
    <row r="265" ht="15" customHeight="1">
      <c r="A265" t="inlineStr">
        <is>
          <t>A 29215-2024</t>
        </is>
      </c>
      <c r="B265" s="1" t="n">
        <v>45482.67827546296</v>
      </c>
      <c r="C265" s="1" t="n">
        <v>46118</v>
      </c>
      <c r="D265" t="inlineStr">
        <is>
          <t>JÄMTLANDS LÄN</t>
        </is>
      </c>
      <c r="E265" t="inlineStr">
        <is>
          <t>BRÄCKE</t>
        </is>
      </c>
      <c r="F265" t="inlineStr">
        <is>
          <t>Övriga Aktiebolag</t>
        </is>
      </c>
      <c r="G265" t="n">
        <v>7.3</v>
      </c>
      <c r="H265" t="n">
        <v>1</v>
      </c>
      <c r="I265" t="n">
        <v>0</v>
      </c>
      <c r="J265" t="n">
        <v>0</v>
      </c>
      <c r="K265" t="n">
        <v>0</v>
      </c>
      <c r="L265" t="n">
        <v>0</v>
      </c>
      <c r="M265" t="n">
        <v>0</v>
      </c>
      <c r="N265" t="n">
        <v>0</v>
      </c>
      <c r="O265" t="n">
        <v>0</v>
      </c>
      <c r="P265" t="n">
        <v>0</v>
      </c>
      <c r="Q265" t="n">
        <v>1</v>
      </c>
      <c r="R265" s="2" t="inlineStr">
        <is>
          <t>Sparvuggla</t>
        </is>
      </c>
      <c r="S265">
        <f>HYPERLINK("https://klasma.github.io/Logging_2305/artfynd/A 29215-2024 artfynd.xlsx", "A 29215-2024")</f>
        <v/>
      </c>
      <c r="T265">
        <f>HYPERLINK("https://klasma.github.io/Logging_2305/kartor/A 29215-2024 karta.png", "A 29215-2024")</f>
        <v/>
      </c>
      <c r="V265">
        <f>HYPERLINK("https://klasma.github.io/Logging_2305/klagomål/A 29215-2024 FSC-klagomål.docx", "A 29215-2024")</f>
        <v/>
      </c>
      <c r="W265">
        <f>HYPERLINK("https://klasma.github.io/Logging_2305/klagomålsmail/A 29215-2024 FSC-klagomål mail.docx", "A 29215-2024")</f>
        <v/>
      </c>
      <c r="X265">
        <f>HYPERLINK("https://klasma.github.io/Logging_2305/tillsyn/A 29215-2024 tillsynsbegäran.docx", "A 29215-2024")</f>
        <v/>
      </c>
      <c r="Y265">
        <f>HYPERLINK("https://klasma.github.io/Logging_2305/tillsynsmail/A 29215-2024 tillsynsbegäran mail.docx", "A 29215-2024")</f>
        <v/>
      </c>
      <c r="Z265">
        <f>HYPERLINK("https://klasma.github.io/Logging_2305/fåglar/A 29215-2024 prioriterade fågelarter.docx", "A 29215-2024")</f>
        <v/>
      </c>
    </row>
    <row r="266" ht="15" customHeight="1">
      <c r="A266" t="inlineStr">
        <is>
          <t>A 10736-2025</t>
        </is>
      </c>
      <c r="B266" s="1" t="n">
        <v>45722.40664351852</v>
      </c>
      <c r="C266" s="1" t="n">
        <v>46118</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789-2025</t>
        </is>
      </c>
      <c r="B267" s="1" t="n">
        <v>45665.51072916666</v>
      </c>
      <c r="C267" s="1" t="n">
        <v>46118</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9204-2025</t>
        </is>
      </c>
      <c r="B268" s="1" t="n">
        <v>45714.48988425926</v>
      </c>
      <c r="C268" s="1" t="n">
        <v>46118</v>
      </c>
      <c r="D268" t="inlineStr">
        <is>
          <t>JÄMTLANDS LÄN</t>
        </is>
      </c>
      <c r="E268" t="inlineStr">
        <is>
          <t>BRÄCKE</t>
        </is>
      </c>
      <c r="F268" t="inlineStr">
        <is>
          <t>SCA</t>
        </is>
      </c>
      <c r="G268" t="n">
        <v>3.6</v>
      </c>
      <c r="H268" t="n">
        <v>1</v>
      </c>
      <c r="I268" t="n">
        <v>0</v>
      </c>
      <c r="J268" t="n">
        <v>1</v>
      </c>
      <c r="K268" t="n">
        <v>0</v>
      </c>
      <c r="L268" t="n">
        <v>0</v>
      </c>
      <c r="M268" t="n">
        <v>0</v>
      </c>
      <c r="N268" t="n">
        <v>0</v>
      </c>
      <c r="O268" t="n">
        <v>1</v>
      </c>
      <c r="P268" t="n">
        <v>0</v>
      </c>
      <c r="Q268" t="n">
        <v>1</v>
      </c>
      <c r="R268" s="2" t="inlineStr">
        <is>
          <t>Talltita</t>
        </is>
      </c>
      <c r="S268">
        <f>HYPERLINK("https://klasma.github.io/Logging_2305/artfynd/A 9204-2025 artfynd.xlsx", "A 9204-2025")</f>
        <v/>
      </c>
      <c r="T268">
        <f>HYPERLINK("https://klasma.github.io/Logging_2305/kartor/A 9204-2025 karta.png", "A 9204-2025")</f>
        <v/>
      </c>
      <c r="V268">
        <f>HYPERLINK("https://klasma.github.io/Logging_2305/klagomål/A 9204-2025 FSC-klagomål.docx", "A 9204-2025")</f>
        <v/>
      </c>
      <c r="W268">
        <f>HYPERLINK("https://klasma.github.io/Logging_2305/klagomålsmail/A 9204-2025 FSC-klagomål mail.docx", "A 9204-2025")</f>
        <v/>
      </c>
      <c r="X268">
        <f>HYPERLINK("https://klasma.github.io/Logging_2305/tillsyn/A 9204-2025 tillsynsbegäran.docx", "A 9204-2025")</f>
        <v/>
      </c>
      <c r="Y268">
        <f>HYPERLINK("https://klasma.github.io/Logging_2305/tillsynsmail/A 9204-2025 tillsynsbegäran mail.docx", "A 9204-2025")</f>
        <v/>
      </c>
      <c r="Z268">
        <f>HYPERLINK("https://klasma.github.io/Logging_2305/fåglar/A 9204-2025 prioriterade fågelarter.docx", "A 9204-2025")</f>
        <v/>
      </c>
    </row>
    <row r="269" ht="15" customHeight="1">
      <c r="A269" t="inlineStr">
        <is>
          <t>A 22101-2024</t>
        </is>
      </c>
      <c r="B269" s="1" t="n">
        <v>45443.95077546296</v>
      </c>
      <c r="C269" s="1" t="n">
        <v>46118</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37248-2025</t>
        </is>
      </c>
      <c r="B270" s="1" t="n">
        <v>45876.40665509259</v>
      </c>
      <c r="C270" s="1" t="n">
        <v>46118</v>
      </c>
      <c r="D270" t="inlineStr">
        <is>
          <t>JÄMTLANDS LÄN</t>
        </is>
      </c>
      <c r="E270" t="inlineStr">
        <is>
          <t>BRÄCKE</t>
        </is>
      </c>
      <c r="F270" t="inlineStr">
        <is>
          <t>SCA</t>
        </is>
      </c>
      <c r="G270" t="n">
        <v>5</v>
      </c>
      <c r="H270" t="n">
        <v>0</v>
      </c>
      <c r="I270" t="n">
        <v>1</v>
      </c>
      <c r="J270" t="n">
        <v>0</v>
      </c>
      <c r="K270" t="n">
        <v>0</v>
      </c>
      <c r="L270" t="n">
        <v>0</v>
      </c>
      <c r="M270" t="n">
        <v>0</v>
      </c>
      <c r="N270" t="n">
        <v>0</v>
      </c>
      <c r="O270" t="n">
        <v>0</v>
      </c>
      <c r="P270" t="n">
        <v>0</v>
      </c>
      <c r="Q270" t="n">
        <v>1</v>
      </c>
      <c r="R270" s="2" t="inlineStr">
        <is>
          <t>Vedticka</t>
        </is>
      </c>
      <c r="S270">
        <f>HYPERLINK("https://klasma.github.io/Logging_2305/artfynd/A 37248-2025 artfynd.xlsx", "A 37248-2025")</f>
        <v/>
      </c>
      <c r="T270">
        <f>HYPERLINK("https://klasma.github.io/Logging_2305/kartor/A 37248-2025 karta.png", "A 37248-2025")</f>
        <v/>
      </c>
      <c r="V270">
        <f>HYPERLINK("https://klasma.github.io/Logging_2305/klagomål/A 37248-2025 FSC-klagomål.docx", "A 37248-2025")</f>
        <v/>
      </c>
      <c r="W270">
        <f>HYPERLINK("https://klasma.github.io/Logging_2305/klagomålsmail/A 37248-2025 FSC-klagomål mail.docx", "A 37248-2025")</f>
        <v/>
      </c>
      <c r="X270">
        <f>HYPERLINK("https://klasma.github.io/Logging_2305/tillsyn/A 37248-2025 tillsynsbegäran.docx", "A 37248-2025")</f>
        <v/>
      </c>
      <c r="Y270">
        <f>HYPERLINK("https://klasma.github.io/Logging_2305/tillsynsmail/A 37248-2025 tillsynsbegäran mail.docx", "A 37248-2025")</f>
        <v/>
      </c>
    </row>
    <row r="271" ht="15" customHeight="1">
      <c r="A271" t="inlineStr">
        <is>
          <t>A 40835-2025</t>
        </is>
      </c>
      <c r="B271" s="1" t="n">
        <v>45897.5114699074</v>
      </c>
      <c r="C271" s="1" t="n">
        <v>46118</v>
      </c>
      <c r="D271" t="inlineStr">
        <is>
          <t>JÄMTLANDS LÄN</t>
        </is>
      </c>
      <c r="E271" t="inlineStr">
        <is>
          <t>BRÄCKE</t>
        </is>
      </c>
      <c r="F271" t="inlineStr">
        <is>
          <t>SCA</t>
        </is>
      </c>
      <c r="G271" t="n">
        <v>1.3</v>
      </c>
      <c r="H271" t="n">
        <v>0</v>
      </c>
      <c r="I271" t="n">
        <v>0</v>
      </c>
      <c r="J271" t="n">
        <v>1</v>
      </c>
      <c r="K271" t="n">
        <v>0</v>
      </c>
      <c r="L271" t="n">
        <v>0</v>
      </c>
      <c r="M271" t="n">
        <v>0</v>
      </c>
      <c r="N271" t="n">
        <v>0</v>
      </c>
      <c r="O271" t="n">
        <v>1</v>
      </c>
      <c r="P271" t="n">
        <v>0</v>
      </c>
      <c r="Q271" t="n">
        <v>1</v>
      </c>
      <c r="R271" s="2" t="inlineStr">
        <is>
          <t>Kolflarnlav</t>
        </is>
      </c>
      <c r="S271">
        <f>HYPERLINK("https://klasma.github.io/Logging_2305/artfynd/A 40835-2025 artfynd.xlsx", "A 40835-2025")</f>
        <v/>
      </c>
      <c r="T271">
        <f>HYPERLINK("https://klasma.github.io/Logging_2305/kartor/A 40835-2025 karta.png", "A 40835-2025")</f>
        <v/>
      </c>
      <c r="V271">
        <f>HYPERLINK("https://klasma.github.io/Logging_2305/klagomål/A 40835-2025 FSC-klagomål.docx", "A 40835-2025")</f>
        <v/>
      </c>
      <c r="W271">
        <f>HYPERLINK("https://klasma.github.io/Logging_2305/klagomålsmail/A 40835-2025 FSC-klagomål mail.docx", "A 40835-2025")</f>
        <v/>
      </c>
      <c r="X271">
        <f>HYPERLINK("https://klasma.github.io/Logging_2305/tillsyn/A 40835-2025 tillsynsbegäran.docx", "A 40835-2025")</f>
        <v/>
      </c>
      <c r="Y271">
        <f>HYPERLINK("https://klasma.github.io/Logging_2305/tillsynsmail/A 40835-2025 tillsynsbegäran mail.docx", "A 40835-2025")</f>
        <v/>
      </c>
    </row>
    <row r="272" ht="15" customHeight="1">
      <c r="A272" t="inlineStr">
        <is>
          <t>A 40842-2025</t>
        </is>
      </c>
      <c r="B272" s="1" t="n">
        <v>45897.53200231482</v>
      </c>
      <c r="C272" s="1" t="n">
        <v>46118</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40792-2025</t>
        </is>
      </c>
      <c r="B273" s="1" t="n">
        <v>45897.44855324074</v>
      </c>
      <c r="C273" s="1" t="n">
        <v>46118</v>
      </c>
      <c r="D273" t="inlineStr">
        <is>
          <t>JÄMTLANDS LÄN</t>
        </is>
      </c>
      <c r="E273" t="inlineStr">
        <is>
          <t>BRÄCKE</t>
        </is>
      </c>
      <c r="F273" t="inlineStr">
        <is>
          <t>SCA</t>
        </is>
      </c>
      <c r="G273" t="n">
        <v>1.7</v>
      </c>
      <c r="H273" t="n">
        <v>0</v>
      </c>
      <c r="I273" t="n">
        <v>0</v>
      </c>
      <c r="J273" t="n">
        <v>1</v>
      </c>
      <c r="K273" t="n">
        <v>0</v>
      </c>
      <c r="L273" t="n">
        <v>0</v>
      </c>
      <c r="M273" t="n">
        <v>0</v>
      </c>
      <c r="N273" t="n">
        <v>0</v>
      </c>
      <c r="O273" t="n">
        <v>1</v>
      </c>
      <c r="P273" t="n">
        <v>0</v>
      </c>
      <c r="Q273" t="n">
        <v>1</v>
      </c>
      <c r="R273" s="2" t="inlineStr">
        <is>
          <t>Lunglav</t>
        </is>
      </c>
      <c r="S273">
        <f>HYPERLINK("https://klasma.github.io/Logging_2305/artfynd/A 40792-2025 artfynd.xlsx", "A 40792-2025")</f>
        <v/>
      </c>
      <c r="T273">
        <f>HYPERLINK("https://klasma.github.io/Logging_2305/kartor/A 40792-2025 karta.png", "A 40792-2025")</f>
        <v/>
      </c>
      <c r="V273">
        <f>HYPERLINK("https://klasma.github.io/Logging_2305/klagomål/A 40792-2025 FSC-klagomål.docx", "A 40792-2025")</f>
        <v/>
      </c>
      <c r="W273">
        <f>HYPERLINK("https://klasma.github.io/Logging_2305/klagomålsmail/A 40792-2025 FSC-klagomål mail.docx", "A 40792-2025")</f>
        <v/>
      </c>
      <c r="X273">
        <f>HYPERLINK("https://klasma.github.io/Logging_2305/tillsyn/A 40792-2025 tillsynsbegäran.docx", "A 40792-2025")</f>
        <v/>
      </c>
      <c r="Y273">
        <f>HYPERLINK("https://klasma.github.io/Logging_2305/tillsynsmail/A 40792-2025 tillsynsbegäran mail.docx", "A 40792-2025")</f>
        <v/>
      </c>
    </row>
    <row r="274" ht="15" customHeight="1">
      <c r="A274" t="inlineStr">
        <is>
          <t>A 40914-2025</t>
        </is>
      </c>
      <c r="B274" s="1" t="n">
        <v>45897.61741898148</v>
      </c>
      <c r="C274" s="1" t="n">
        <v>46118</v>
      </c>
      <c r="D274" t="inlineStr">
        <is>
          <t>JÄMTLANDS LÄN</t>
        </is>
      </c>
      <c r="E274" t="inlineStr">
        <is>
          <t>BRÄCKE</t>
        </is>
      </c>
      <c r="F274" t="inlineStr">
        <is>
          <t>SCA</t>
        </is>
      </c>
      <c r="G274" t="n">
        <v>2.1</v>
      </c>
      <c r="H274" t="n">
        <v>0</v>
      </c>
      <c r="I274" t="n">
        <v>0</v>
      </c>
      <c r="J274" t="n">
        <v>1</v>
      </c>
      <c r="K274" t="n">
        <v>0</v>
      </c>
      <c r="L274" t="n">
        <v>0</v>
      </c>
      <c r="M274" t="n">
        <v>0</v>
      </c>
      <c r="N274" t="n">
        <v>0</v>
      </c>
      <c r="O274" t="n">
        <v>1</v>
      </c>
      <c r="P274" t="n">
        <v>0</v>
      </c>
      <c r="Q274" t="n">
        <v>1</v>
      </c>
      <c r="R274" s="2" t="inlineStr">
        <is>
          <t>Lunglav</t>
        </is>
      </c>
      <c r="S274">
        <f>HYPERLINK("https://klasma.github.io/Logging_2305/artfynd/A 40914-2025 artfynd.xlsx", "A 40914-2025")</f>
        <v/>
      </c>
      <c r="T274">
        <f>HYPERLINK("https://klasma.github.io/Logging_2305/kartor/A 40914-2025 karta.png", "A 40914-2025")</f>
        <v/>
      </c>
      <c r="V274">
        <f>HYPERLINK("https://klasma.github.io/Logging_2305/klagomål/A 40914-2025 FSC-klagomål.docx", "A 40914-2025")</f>
        <v/>
      </c>
      <c r="W274">
        <f>HYPERLINK("https://klasma.github.io/Logging_2305/klagomålsmail/A 40914-2025 FSC-klagomål mail.docx", "A 40914-2025")</f>
        <v/>
      </c>
      <c r="X274">
        <f>HYPERLINK("https://klasma.github.io/Logging_2305/tillsyn/A 40914-2025 tillsynsbegäran.docx", "A 40914-2025")</f>
        <v/>
      </c>
      <c r="Y274">
        <f>HYPERLINK("https://klasma.github.io/Logging_2305/tillsynsmail/A 40914-2025 tillsynsbegäran mail.docx", "A 40914-2025")</f>
        <v/>
      </c>
    </row>
    <row r="275" ht="15" customHeight="1">
      <c r="A275" t="inlineStr">
        <is>
          <t>A 37922-2025</t>
        </is>
      </c>
      <c r="B275" s="1" t="n">
        <v>45881.5750462963</v>
      </c>
      <c r="C275" s="1" t="n">
        <v>46118</v>
      </c>
      <c r="D275" t="inlineStr">
        <is>
          <t>JÄMTLANDS LÄN</t>
        </is>
      </c>
      <c r="E275" t="inlineStr">
        <is>
          <t>BRÄCKE</t>
        </is>
      </c>
      <c r="F275" t="inlineStr">
        <is>
          <t>SCA</t>
        </is>
      </c>
      <c r="G275" t="n">
        <v>2.1</v>
      </c>
      <c r="H275" t="n">
        <v>1</v>
      </c>
      <c r="I275" t="n">
        <v>1</v>
      </c>
      <c r="J275" t="n">
        <v>0</v>
      </c>
      <c r="K275" t="n">
        <v>0</v>
      </c>
      <c r="L275" t="n">
        <v>0</v>
      </c>
      <c r="M275" t="n">
        <v>0</v>
      </c>
      <c r="N275" t="n">
        <v>0</v>
      </c>
      <c r="O275" t="n">
        <v>0</v>
      </c>
      <c r="P275" t="n">
        <v>0</v>
      </c>
      <c r="Q275" t="n">
        <v>1</v>
      </c>
      <c r="R275" s="2" t="inlineStr">
        <is>
          <t>Plattlummer</t>
        </is>
      </c>
      <c r="S275">
        <f>HYPERLINK("https://klasma.github.io/Logging_2305/artfynd/A 37922-2025 artfynd.xlsx", "A 37922-2025")</f>
        <v/>
      </c>
      <c r="T275">
        <f>HYPERLINK("https://klasma.github.io/Logging_2305/kartor/A 37922-2025 karta.png", "A 37922-2025")</f>
        <v/>
      </c>
      <c r="V275">
        <f>HYPERLINK("https://klasma.github.io/Logging_2305/klagomål/A 37922-2025 FSC-klagomål.docx", "A 37922-2025")</f>
        <v/>
      </c>
      <c r="W275">
        <f>HYPERLINK("https://klasma.github.io/Logging_2305/klagomålsmail/A 37922-2025 FSC-klagomål mail.docx", "A 37922-2025")</f>
        <v/>
      </c>
      <c r="X275">
        <f>HYPERLINK("https://klasma.github.io/Logging_2305/tillsyn/A 37922-2025 tillsynsbegäran.docx", "A 37922-2025")</f>
        <v/>
      </c>
      <c r="Y275">
        <f>HYPERLINK("https://klasma.github.io/Logging_2305/tillsynsmail/A 37922-2025 tillsynsbegäran mail.docx", "A 37922-2025")</f>
        <v/>
      </c>
    </row>
    <row r="276" ht="15" customHeight="1">
      <c r="A276" t="inlineStr">
        <is>
          <t>A 37976-2025</t>
        </is>
      </c>
      <c r="B276" s="1" t="n">
        <v>45881.67775462963</v>
      </c>
      <c r="C276" s="1" t="n">
        <v>46118</v>
      </c>
      <c r="D276" t="inlineStr">
        <is>
          <t>JÄMTLANDS LÄN</t>
        </is>
      </c>
      <c r="E276" t="inlineStr">
        <is>
          <t>BRÄCKE</t>
        </is>
      </c>
      <c r="F276" t="inlineStr">
        <is>
          <t>SCA</t>
        </is>
      </c>
      <c r="G276" t="n">
        <v>11.3</v>
      </c>
      <c r="H276" t="n">
        <v>0</v>
      </c>
      <c r="I276" t="n">
        <v>0</v>
      </c>
      <c r="J276" t="n">
        <v>1</v>
      </c>
      <c r="K276" t="n">
        <v>0</v>
      </c>
      <c r="L276" t="n">
        <v>0</v>
      </c>
      <c r="M276" t="n">
        <v>0</v>
      </c>
      <c r="N276" t="n">
        <v>0</v>
      </c>
      <c r="O276" t="n">
        <v>1</v>
      </c>
      <c r="P276" t="n">
        <v>0</v>
      </c>
      <c r="Q276" t="n">
        <v>1</v>
      </c>
      <c r="R276" s="2" t="inlineStr">
        <is>
          <t>Lunglav</t>
        </is>
      </c>
      <c r="S276">
        <f>HYPERLINK("https://klasma.github.io/Logging_2305/artfynd/A 37976-2025 artfynd.xlsx", "A 37976-2025")</f>
        <v/>
      </c>
      <c r="T276">
        <f>HYPERLINK("https://klasma.github.io/Logging_2305/kartor/A 37976-2025 karta.png", "A 37976-2025")</f>
        <v/>
      </c>
      <c r="V276">
        <f>HYPERLINK("https://klasma.github.io/Logging_2305/klagomål/A 37976-2025 FSC-klagomål.docx", "A 37976-2025")</f>
        <v/>
      </c>
      <c r="W276">
        <f>HYPERLINK("https://klasma.github.io/Logging_2305/klagomålsmail/A 37976-2025 FSC-klagomål mail.docx", "A 37976-2025")</f>
        <v/>
      </c>
      <c r="X276">
        <f>HYPERLINK("https://klasma.github.io/Logging_2305/tillsyn/A 37976-2025 tillsynsbegäran.docx", "A 37976-2025")</f>
        <v/>
      </c>
      <c r="Y276">
        <f>HYPERLINK("https://klasma.github.io/Logging_2305/tillsynsmail/A 37976-2025 tillsynsbegäran mail.docx", "A 37976-2025")</f>
        <v/>
      </c>
    </row>
    <row r="277" ht="15" customHeight="1">
      <c r="A277" t="inlineStr">
        <is>
          <t>A 38158-2025</t>
        </is>
      </c>
      <c r="B277" s="1" t="n">
        <v>45882.61518518518</v>
      </c>
      <c r="C277" s="1" t="n">
        <v>46118</v>
      </c>
      <c r="D277" t="inlineStr">
        <is>
          <t>JÄMTLANDS LÄN</t>
        </is>
      </c>
      <c r="E277" t="inlineStr">
        <is>
          <t>BRÄCKE</t>
        </is>
      </c>
      <c r="F277" t="inlineStr">
        <is>
          <t>SCA</t>
        </is>
      </c>
      <c r="G277" t="n">
        <v>19.9</v>
      </c>
      <c r="H277" t="n">
        <v>0</v>
      </c>
      <c r="I277" t="n">
        <v>0</v>
      </c>
      <c r="J277" t="n">
        <v>1</v>
      </c>
      <c r="K277" t="n">
        <v>0</v>
      </c>
      <c r="L277" t="n">
        <v>0</v>
      </c>
      <c r="M277" t="n">
        <v>0</v>
      </c>
      <c r="N277" t="n">
        <v>0</v>
      </c>
      <c r="O277" t="n">
        <v>1</v>
      </c>
      <c r="P277" t="n">
        <v>0</v>
      </c>
      <c r="Q277" t="n">
        <v>1</v>
      </c>
      <c r="R277" s="2" t="inlineStr">
        <is>
          <t>Rödbrun klubbdyna</t>
        </is>
      </c>
      <c r="S277">
        <f>HYPERLINK("https://klasma.github.io/Logging_2305/artfynd/A 38158-2025 artfynd.xlsx", "A 38158-2025")</f>
        <v/>
      </c>
      <c r="T277">
        <f>HYPERLINK("https://klasma.github.io/Logging_2305/kartor/A 38158-2025 karta.png", "A 38158-2025")</f>
        <v/>
      </c>
      <c r="V277">
        <f>HYPERLINK("https://klasma.github.io/Logging_2305/klagomål/A 38158-2025 FSC-klagomål.docx", "A 38158-2025")</f>
        <v/>
      </c>
      <c r="W277">
        <f>HYPERLINK("https://klasma.github.io/Logging_2305/klagomålsmail/A 38158-2025 FSC-klagomål mail.docx", "A 38158-2025")</f>
        <v/>
      </c>
      <c r="X277">
        <f>HYPERLINK("https://klasma.github.io/Logging_2305/tillsyn/A 38158-2025 tillsynsbegäran.docx", "A 38158-2025")</f>
        <v/>
      </c>
      <c r="Y277">
        <f>HYPERLINK("https://klasma.github.io/Logging_2305/tillsynsmail/A 38158-2025 tillsynsbegäran mail.docx", "A 38158-2025")</f>
        <v/>
      </c>
    </row>
    <row r="278" ht="15" customHeight="1">
      <c r="A278" t="inlineStr">
        <is>
          <t>A 41059-2025</t>
        </is>
      </c>
      <c r="B278" s="1" t="n">
        <v>45898.40703703704</v>
      </c>
      <c r="C278" s="1" t="n">
        <v>46118</v>
      </c>
      <c r="D278" t="inlineStr">
        <is>
          <t>JÄMTLANDS LÄN</t>
        </is>
      </c>
      <c r="E278" t="inlineStr">
        <is>
          <t>BRÄCKE</t>
        </is>
      </c>
      <c r="F278" t="inlineStr">
        <is>
          <t>SCA</t>
        </is>
      </c>
      <c r="G278" t="n">
        <v>8.9</v>
      </c>
      <c r="H278" t="n">
        <v>0</v>
      </c>
      <c r="I278" t="n">
        <v>0</v>
      </c>
      <c r="J278" t="n">
        <v>1</v>
      </c>
      <c r="K278" t="n">
        <v>0</v>
      </c>
      <c r="L278" t="n">
        <v>0</v>
      </c>
      <c r="M278" t="n">
        <v>0</v>
      </c>
      <c r="N278" t="n">
        <v>0</v>
      </c>
      <c r="O278" t="n">
        <v>1</v>
      </c>
      <c r="P278" t="n">
        <v>0</v>
      </c>
      <c r="Q278" t="n">
        <v>1</v>
      </c>
      <c r="R278" s="2" t="inlineStr">
        <is>
          <t>Lunglav</t>
        </is>
      </c>
      <c r="S278">
        <f>HYPERLINK("https://klasma.github.io/Logging_2305/artfynd/A 41059-2025 artfynd.xlsx", "A 41059-2025")</f>
        <v/>
      </c>
      <c r="T278">
        <f>HYPERLINK("https://klasma.github.io/Logging_2305/kartor/A 41059-2025 karta.png", "A 41059-2025")</f>
        <v/>
      </c>
      <c r="V278">
        <f>HYPERLINK("https://klasma.github.io/Logging_2305/klagomål/A 41059-2025 FSC-klagomål.docx", "A 41059-2025")</f>
        <v/>
      </c>
      <c r="W278">
        <f>HYPERLINK("https://klasma.github.io/Logging_2305/klagomålsmail/A 41059-2025 FSC-klagomål mail.docx", "A 41059-2025")</f>
        <v/>
      </c>
      <c r="X278">
        <f>HYPERLINK("https://klasma.github.io/Logging_2305/tillsyn/A 41059-2025 tillsynsbegäran.docx", "A 41059-2025")</f>
        <v/>
      </c>
      <c r="Y278">
        <f>HYPERLINK("https://klasma.github.io/Logging_2305/tillsynsmail/A 41059-2025 tillsynsbegäran mail.docx", "A 41059-2025")</f>
        <v/>
      </c>
    </row>
    <row r="279" ht="15" customHeight="1">
      <c r="A279" t="inlineStr">
        <is>
          <t>A 50837-2023</t>
        </is>
      </c>
      <c r="B279" s="1" t="n">
        <v>45217</v>
      </c>
      <c r="C279" s="1" t="n">
        <v>46118</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427-2025</t>
        </is>
      </c>
      <c r="B280" s="1" t="n">
        <v>45664.35195601852</v>
      </c>
      <c r="C280" s="1" t="n">
        <v>46118</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427-2025 artfynd.xlsx", "A 427-2025")</f>
        <v/>
      </c>
      <c r="T280">
        <f>HYPERLINK("https://klasma.github.io/Logging_2305/kartor/A 427-2025 karta.png", "A 427-2025")</f>
        <v/>
      </c>
      <c r="V280">
        <f>HYPERLINK("https://klasma.github.io/Logging_2305/klagomål/A 427-2025 FSC-klagomål.docx", "A 427-2025")</f>
        <v/>
      </c>
      <c r="W280">
        <f>HYPERLINK("https://klasma.github.io/Logging_2305/klagomålsmail/A 427-2025 FSC-klagomål mail.docx", "A 427-2025")</f>
        <v/>
      </c>
      <c r="X280">
        <f>HYPERLINK("https://klasma.github.io/Logging_2305/tillsyn/A 427-2025 tillsynsbegäran.docx", "A 427-2025")</f>
        <v/>
      </c>
      <c r="Y280">
        <f>HYPERLINK("https://klasma.github.io/Logging_2305/tillsynsmail/A 427-2025 tillsynsbegäran mail.docx", "A 427-2025")</f>
        <v/>
      </c>
    </row>
    <row r="281" ht="15" customHeight="1">
      <c r="A281" t="inlineStr">
        <is>
          <t>A 2463-2025</t>
        </is>
      </c>
      <c r="B281" s="1" t="n">
        <v>45674.46915509259</v>
      </c>
      <c r="C281" s="1" t="n">
        <v>46118</v>
      </c>
      <c r="D281" t="inlineStr">
        <is>
          <t>JÄMTLANDS LÄN</t>
        </is>
      </c>
      <c r="E281" t="inlineStr">
        <is>
          <t>BRÄCKE</t>
        </is>
      </c>
      <c r="F281" t="inlineStr">
        <is>
          <t>SCA</t>
        </is>
      </c>
      <c r="G281" t="n">
        <v>3.9</v>
      </c>
      <c r="H281" t="n">
        <v>0</v>
      </c>
      <c r="I281" t="n">
        <v>1</v>
      </c>
      <c r="J281" t="n">
        <v>0</v>
      </c>
      <c r="K281" t="n">
        <v>0</v>
      </c>
      <c r="L281" t="n">
        <v>0</v>
      </c>
      <c r="M281" t="n">
        <v>0</v>
      </c>
      <c r="N281" t="n">
        <v>0</v>
      </c>
      <c r="O281" t="n">
        <v>0</v>
      </c>
      <c r="P281" t="n">
        <v>0</v>
      </c>
      <c r="Q281" t="n">
        <v>1</v>
      </c>
      <c r="R281" s="2" t="inlineStr">
        <is>
          <t>Vedticka</t>
        </is>
      </c>
      <c r="S281">
        <f>HYPERLINK("https://klasma.github.io/Logging_2305/artfynd/A 2463-2025 artfynd.xlsx", "A 2463-2025")</f>
        <v/>
      </c>
      <c r="T281">
        <f>HYPERLINK("https://klasma.github.io/Logging_2305/kartor/A 2463-2025 karta.png", "A 2463-2025")</f>
        <v/>
      </c>
      <c r="V281">
        <f>HYPERLINK("https://klasma.github.io/Logging_2305/klagomål/A 2463-2025 FSC-klagomål.docx", "A 2463-2025")</f>
        <v/>
      </c>
      <c r="W281">
        <f>HYPERLINK("https://klasma.github.io/Logging_2305/klagomålsmail/A 2463-2025 FSC-klagomål mail.docx", "A 2463-2025")</f>
        <v/>
      </c>
      <c r="X281">
        <f>HYPERLINK("https://klasma.github.io/Logging_2305/tillsyn/A 2463-2025 tillsynsbegäran.docx", "A 2463-2025")</f>
        <v/>
      </c>
      <c r="Y281">
        <f>HYPERLINK("https://klasma.github.io/Logging_2305/tillsynsmail/A 2463-2025 tillsynsbegäran mail.docx", "A 2463-2025")</f>
        <v/>
      </c>
    </row>
    <row r="282" ht="15" customHeight="1">
      <c r="A282" t="inlineStr">
        <is>
          <t>A 44214-2025</t>
        </is>
      </c>
      <c r="B282" s="1" t="n">
        <v>45915.63579861111</v>
      </c>
      <c r="C282" s="1" t="n">
        <v>46118</v>
      </c>
      <c r="D282" t="inlineStr">
        <is>
          <t>JÄMTLANDS LÄN</t>
        </is>
      </c>
      <c r="E282" t="inlineStr">
        <is>
          <t>BRÄCKE</t>
        </is>
      </c>
      <c r="F282" t="inlineStr">
        <is>
          <t>SCA</t>
        </is>
      </c>
      <c r="G282" t="n">
        <v>4.9</v>
      </c>
      <c r="H282" t="n">
        <v>0</v>
      </c>
      <c r="I282" t="n">
        <v>0</v>
      </c>
      <c r="J282" t="n">
        <v>0</v>
      </c>
      <c r="K282" t="n">
        <v>0</v>
      </c>
      <c r="L282" t="n">
        <v>0</v>
      </c>
      <c r="M282" t="n">
        <v>0</v>
      </c>
      <c r="N282" t="n">
        <v>0</v>
      </c>
      <c r="O282" t="n">
        <v>1</v>
      </c>
      <c r="P282" t="n">
        <v>0</v>
      </c>
      <c r="Q282" t="n">
        <v>1</v>
      </c>
      <c r="R282" s="2" t="inlineStr">
        <is>
          <t>Gelatinfingersvamp</t>
        </is>
      </c>
      <c r="S282">
        <f>HYPERLINK("https://klasma.github.io/Logging_2305/artfynd/A 44214-2025 artfynd.xlsx", "A 44214-2025")</f>
        <v/>
      </c>
      <c r="T282">
        <f>HYPERLINK("https://klasma.github.io/Logging_2305/kartor/A 44214-2025 karta.png", "A 44214-2025")</f>
        <v/>
      </c>
      <c r="V282">
        <f>HYPERLINK("https://klasma.github.io/Logging_2305/klagomål/A 44214-2025 FSC-klagomål.docx", "A 44214-2025")</f>
        <v/>
      </c>
      <c r="W282">
        <f>HYPERLINK("https://klasma.github.io/Logging_2305/klagomålsmail/A 44214-2025 FSC-klagomål mail.docx", "A 44214-2025")</f>
        <v/>
      </c>
      <c r="X282">
        <f>HYPERLINK("https://klasma.github.io/Logging_2305/tillsyn/A 44214-2025 tillsynsbegäran.docx", "A 44214-2025")</f>
        <v/>
      </c>
      <c r="Y282">
        <f>HYPERLINK("https://klasma.github.io/Logging_2305/tillsynsmail/A 44214-2025 tillsynsbegäran mail.docx", "A 44214-2025")</f>
        <v/>
      </c>
    </row>
    <row r="283" ht="15" customHeight="1">
      <c r="A283" t="inlineStr">
        <is>
          <t>A 44934-2025</t>
        </is>
      </c>
      <c r="B283" s="1" t="n">
        <v>45918.5737962963</v>
      </c>
      <c r="C283" s="1" t="n">
        <v>46118</v>
      </c>
      <c r="D283" t="inlineStr">
        <is>
          <t>JÄMTLANDS LÄN</t>
        </is>
      </c>
      <c r="E283" t="inlineStr">
        <is>
          <t>BRÄCKE</t>
        </is>
      </c>
      <c r="G283" t="n">
        <v>0.5</v>
      </c>
      <c r="H283" t="n">
        <v>0</v>
      </c>
      <c r="I283" t="n">
        <v>0</v>
      </c>
      <c r="J283" t="n">
        <v>1</v>
      </c>
      <c r="K283" t="n">
        <v>0</v>
      </c>
      <c r="L283" t="n">
        <v>0</v>
      </c>
      <c r="M283" t="n">
        <v>0</v>
      </c>
      <c r="N283" t="n">
        <v>0</v>
      </c>
      <c r="O283" t="n">
        <v>1</v>
      </c>
      <c r="P283" t="n">
        <v>0</v>
      </c>
      <c r="Q283" t="n">
        <v>1</v>
      </c>
      <c r="R283" s="2" t="inlineStr">
        <is>
          <t>Lunglav</t>
        </is>
      </c>
      <c r="S283">
        <f>HYPERLINK("https://klasma.github.io/Logging_2305/artfynd/A 44934-2025 artfynd.xlsx", "A 44934-2025")</f>
        <v/>
      </c>
      <c r="T283">
        <f>HYPERLINK("https://klasma.github.io/Logging_2305/kartor/A 44934-2025 karta.png", "A 44934-2025")</f>
        <v/>
      </c>
      <c r="V283">
        <f>HYPERLINK("https://klasma.github.io/Logging_2305/klagomål/A 44934-2025 FSC-klagomål.docx", "A 44934-2025")</f>
        <v/>
      </c>
      <c r="W283">
        <f>HYPERLINK("https://klasma.github.io/Logging_2305/klagomålsmail/A 44934-2025 FSC-klagomål mail.docx", "A 44934-2025")</f>
        <v/>
      </c>
      <c r="X283">
        <f>HYPERLINK("https://klasma.github.io/Logging_2305/tillsyn/A 44934-2025 tillsynsbegäran.docx", "A 44934-2025")</f>
        <v/>
      </c>
      <c r="Y283">
        <f>HYPERLINK("https://klasma.github.io/Logging_2305/tillsynsmail/A 44934-2025 tillsynsbegäran mail.docx", "A 44934-2025")</f>
        <v/>
      </c>
    </row>
    <row r="284" ht="15" customHeight="1">
      <c r="A284" t="inlineStr">
        <is>
          <t>A 44872-2025</t>
        </is>
      </c>
      <c r="B284" s="1" t="n">
        <v>45918.46957175926</v>
      </c>
      <c r="C284" s="1" t="n">
        <v>46118</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49863-2022</t>
        </is>
      </c>
      <c r="B285" s="1" t="n">
        <v>44862</v>
      </c>
      <c r="C285" s="1" t="n">
        <v>46118</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57553-2024</t>
        </is>
      </c>
      <c r="B286" s="1" t="n">
        <v>45630.44898148148</v>
      </c>
      <c r="C286" s="1" t="n">
        <v>46118</v>
      </c>
      <c r="D286" t="inlineStr">
        <is>
          <t>JÄMTLANDS LÄN</t>
        </is>
      </c>
      <c r="E286" t="inlineStr">
        <is>
          <t>BRÄCKE</t>
        </is>
      </c>
      <c r="F286" t="inlineStr">
        <is>
          <t>SCA</t>
        </is>
      </c>
      <c r="G286" t="n">
        <v>8</v>
      </c>
      <c r="H286" t="n">
        <v>0</v>
      </c>
      <c r="I286" t="n">
        <v>0</v>
      </c>
      <c r="J286" t="n">
        <v>1</v>
      </c>
      <c r="K286" t="n">
        <v>0</v>
      </c>
      <c r="L286" t="n">
        <v>0</v>
      </c>
      <c r="M286" t="n">
        <v>0</v>
      </c>
      <c r="N286" t="n">
        <v>0</v>
      </c>
      <c r="O286" t="n">
        <v>1</v>
      </c>
      <c r="P286" t="n">
        <v>0</v>
      </c>
      <c r="Q286" t="n">
        <v>1</v>
      </c>
      <c r="R286" s="2" t="inlineStr">
        <is>
          <t>Lunglav</t>
        </is>
      </c>
      <c r="S286">
        <f>HYPERLINK("https://klasma.github.io/Logging_2305/artfynd/A 57553-2024 artfynd.xlsx", "A 57553-2024")</f>
        <v/>
      </c>
      <c r="T286">
        <f>HYPERLINK("https://klasma.github.io/Logging_2305/kartor/A 57553-2024 karta.png", "A 57553-2024")</f>
        <v/>
      </c>
      <c r="V286">
        <f>HYPERLINK("https://klasma.github.io/Logging_2305/klagomål/A 57553-2024 FSC-klagomål.docx", "A 57553-2024")</f>
        <v/>
      </c>
      <c r="W286">
        <f>HYPERLINK("https://klasma.github.io/Logging_2305/klagomålsmail/A 57553-2024 FSC-klagomål mail.docx", "A 57553-2024")</f>
        <v/>
      </c>
      <c r="X286">
        <f>HYPERLINK("https://klasma.github.io/Logging_2305/tillsyn/A 57553-2024 tillsynsbegäran.docx", "A 57553-2024")</f>
        <v/>
      </c>
      <c r="Y286">
        <f>HYPERLINK("https://klasma.github.io/Logging_2305/tillsynsmail/A 57553-2024 tillsynsbegäran mail.docx", "A 57553-2024")</f>
        <v/>
      </c>
    </row>
    <row r="287" ht="15" customHeight="1">
      <c r="A287" t="inlineStr">
        <is>
          <t>A 51910-2024</t>
        </is>
      </c>
      <c r="B287" s="1" t="n">
        <v>45607.59954861111</v>
      </c>
      <c r="C287" s="1" t="n">
        <v>46118</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Slåtterfibbla</t>
        </is>
      </c>
      <c r="S287">
        <f>HYPERLINK("https://klasma.github.io/Logging_2305/artfynd/A 51910-2024 artfynd.xlsx", "A 51910-2024")</f>
        <v/>
      </c>
      <c r="T287">
        <f>HYPERLINK("https://klasma.github.io/Logging_2305/kartor/A 51910-2024 karta.png", "A 51910-2024")</f>
        <v/>
      </c>
      <c r="V287">
        <f>HYPERLINK("https://klasma.github.io/Logging_2305/klagomål/A 51910-2024 FSC-klagomål.docx", "A 51910-2024")</f>
        <v/>
      </c>
      <c r="W287">
        <f>HYPERLINK("https://klasma.github.io/Logging_2305/klagomålsmail/A 51910-2024 FSC-klagomål mail.docx", "A 51910-2024")</f>
        <v/>
      </c>
      <c r="X287">
        <f>HYPERLINK("https://klasma.github.io/Logging_2305/tillsyn/A 51910-2024 tillsynsbegäran.docx", "A 51910-2024")</f>
        <v/>
      </c>
      <c r="Y287">
        <f>HYPERLINK("https://klasma.github.io/Logging_2305/tillsynsmail/A 51910-2024 tillsynsbegäran mail.docx", "A 51910-2024")</f>
        <v/>
      </c>
    </row>
    <row r="288" ht="15" customHeight="1">
      <c r="A288" t="inlineStr">
        <is>
          <t>A 46435-2025</t>
        </is>
      </c>
      <c r="B288" s="1" t="n">
        <v>45925.63583333333</v>
      </c>
      <c r="C288" s="1" t="n">
        <v>46118</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12296-2025</t>
        </is>
      </c>
      <c r="B289" s="1" t="n">
        <v>45729.69829861111</v>
      </c>
      <c r="C289" s="1" t="n">
        <v>46118</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46626-2025</t>
        </is>
      </c>
      <c r="B290" s="1" t="n">
        <v>45926.4487037037</v>
      </c>
      <c r="C290" s="1" t="n">
        <v>46118</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46626-2025 artfynd.xlsx", "A 46626-2025")</f>
        <v/>
      </c>
      <c r="T290">
        <f>HYPERLINK("https://klasma.github.io/Logging_2305/kartor/A 46626-2025 karta.png", "A 46626-2025")</f>
        <v/>
      </c>
      <c r="V290">
        <f>HYPERLINK("https://klasma.github.io/Logging_2305/klagomål/A 46626-2025 FSC-klagomål.docx", "A 46626-2025")</f>
        <v/>
      </c>
      <c r="W290">
        <f>HYPERLINK("https://klasma.github.io/Logging_2305/klagomålsmail/A 46626-2025 FSC-klagomål mail.docx", "A 46626-2025")</f>
        <v/>
      </c>
      <c r="X290">
        <f>HYPERLINK("https://klasma.github.io/Logging_2305/tillsyn/A 46626-2025 tillsynsbegäran.docx", "A 46626-2025")</f>
        <v/>
      </c>
      <c r="Y290">
        <f>HYPERLINK("https://klasma.github.io/Logging_2305/tillsynsmail/A 46626-2025 tillsynsbegäran mail.docx", "A 46626-2025")</f>
        <v/>
      </c>
    </row>
    <row r="291" ht="15" customHeight="1">
      <c r="A291" t="inlineStr">
        <is>
          <t>A 15366-2022</t>
        </is>
      </c>
      <c r="B291" s="1" t="n">
        <v>44659</v>
      </c>
      <c r="C291" s="1" t="n">
        <v>46118</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9816-2024</t>
        </is>
      </c>
      <c r="B292" s="1" t="n">
        <v>45363.04525462963</v>
      </c>
      <c r="C292" s="1" t="n">
        <v>46118</v>
      </c>
      <c r="D292" t="inlineStr">
        <is>
          <t>JÄMTLANDS LÄN</t>
        </is>
      </c>
      <c r="E292" t="inlineStr">
        <is>
          <t>BRÄCKE</t>
        </is>
      </c>
      <c r="F292" t="inlineStr">
        <is>
          <t>SCA</t>
        </is>
      </c>
      <c r="G292" t="n">
        <v>2.1</v>
      </c>
      <c r="H292" t="n">
        <v>1</v>
      </c>
      <c r="I292" t="n">
        <v>0</v>
      </c>
      <c r="J292" t="n">
        <v>0</v>
      </c>
      <c r="K292" t="n">
        <v>1</v>
      </c>
      <c r="L292" t="n">
        <v>0</v>
      </c>
      <c r="M292" t="n">
        <v>0</v>
      </c>
      <c r="N292" t="n">
        <v>0</v>
      </c>
      <c r="O292" t="n">
        <v>1</v>
      </c>
      <c r="P292" t="n">
        <v>1</v>
      </c>
      <c r="Q292" t="n">
        <v>1</v>
      </c>
      <c r="R292" s="2" t="inlineStr">
        <is>
          <t>Knärot</t>
        </is>
      </c>
      <c r="S292">
        <f>HYPERLINK("https://klasma.github.io/Logging_2305/artfynd/A 9816-2024 artfynd.xlsx", "A 9816-2024")</f>
        <v/>
      </c>
      <c r="T292">
        <f>HYPERLINK("https://klasma.github.io/Logging_2305/kartor/A 9816-2024 karta.png", "A 9816-2024")</f>
        <v/>
      </c>
      <c r="U292">
        <f>HYPERLINK("https://klasma.github.io/Logging_2305/knärot/A 9816-2024 karta knärot.png", "A 9816-2024")</f>
        <v/>
      </c>
      <c r="V292">
        <f>HYPERLINK("https://klasma.github.io/Logging_2305/klagomål/A 9816-2024 FSC-klagomål.docx", "A 9816-2024")</f>
        <v/>
      </c>
      <c r="W292">
        <f>HYPERLINK("https://klasma.github.io/Logging_2305/klagomålsmail/A 9816-2024 FSC-klagomål mail.docx", "A 9816-2024")</f>
        <v/>
      </c>
      <c r="X292">
        <f>HYPERLINK("https://klasma.github.io/Logging_2305/tillsyn/A 9816-2024 tillsynsbegäran.docx", "A 9816-2024")</f>
        <v/>
      </c>
      <c r="Y292">
        <f>HYPERLINK("https://klasma.github.io/Logging_2305/tillsynsmail/A 9816-2024 tillsynsbegäran mail.docx", "A 9816-2024")</f>
        <v/>
      </c>
    </row>
    <row r="293" ht="15" customHeight="1">
      <c r="A293" t="inlineStr">
        <is>
          <t>A 48289-2025</t>
        </is>
      </c>
      <c r="B293" s="1" t="n">
        <v>45933.59482638889</v>
      </c>
      <c r="C293" s="1" t="n">
        <v>46118</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7686-2025</t>
        </is>
      </c>
      <c r="B294" s="1" t="n">
        <v>45706.38579861111</v>
      </c>
      <c r="C294" s="1" t="n">
        <v>46118</v>
      </c>
      <c r="D294" t="inlineStr">
        <is>
          <t>JÄMTLANDS LÄN</t>
        </is>
      </c>
      <c r="E294" t="inlineStr">
        <is>
          <t>BRÄCKE</t>
        </is>
      </c>
      <c r="F294" t="inlineStr">
        <is>
          <t>SCA</t>
        </is>
      </c>
      <c r="G294" t="n">
        <v>1</v>
      </c>
      <c r="H294" t="n">
        <v>1</v>
      </c>
      <c r="I294" t="n">
        <v>0</v>
      </c>
      <c r="J294" t="n">
        <v>0</v>
      </c>
      <c r="K294" t="n">
        <v>1</v>
      </c>
      <c r="L294" t="n">
        <v>0</v>
      </c>
      <c r="M294" t="n">
        <v>0</v>
      </c>
      <c r="N294" t="n">
        <v>0</v>
      </c>
      <c r="O294" t="n">
        <v>1</v>
      </c>
      <c r="P294" t="n">
        <v>1</v>
      </c>
      <c r="Q294" t="n">
        <v>1</v>
      </c>
      <c r="R294" s="2" t="inlineStr">
        <is>
          <t>Knärot</t>
        </is>
      </c>
      <c r="S294">
        <f>HYPERLINK("https://klasma.github.io/Logging_2305/artfynd/A 7686-2025 artfynd.xlsx", "A 7686-2025")</f>
        <v/>
      </c>
      <c r="T294">
        <f>HYPERLINK("https://klasma.github.io/Logging_2305/kartor/A 7686-2025 karta.png", "A 7686-2025")</f>
        <v/>
      </c>
      <c r="U294">
        <f>HYPERLINK("https://klasma.github.io/Logging_2305/knärot/A 7686-2025 karta knärot.png", "A 7686-2025")</f>
        <v/>
      </c>
      <c r="V294">
        <f>HYPERLINK("https://klasma.github.io/Logging_2305/klagomål/A 7686-2025 FSC-klagomål.docx", "A 7686-2025")</f>
        <v/>
      </c>
      <c r="W294">
        <f>HYPERLINK("https://klasma.github.io/Logging_2305/klagomålsmail/A 7686-2025 FSC-klagomål mail.docx", "A 7686-2025")</f>
        <v/>
      </c>
      <c r="X294">
        <f>HYPERLINK("https://klasma.github.io/Logging_2305/tillsyn/A 7686-2025 tillsynsbegäran.docx", "A 7686-2025")</f>
        <v/>
      </c>
      <c r="Y294">
        <f>HYPERLINK("https://klasma.github.io/Logging_2305/tillsynsmail/A 7686-2025 tillsynsbegäran mail.docx", "A 7686-2025")</f>
        <v/>
      </c>
    </row>
    <row r="295" ht="15" customHeight="1">
      <c r="A295" t="inlineStr">
        <is>
          <t>A 51177-2025</t>
        </is>
      </c>
      <c r="B295" s="1" t="n">
        <v>45947.61255787037</v>
      </c>
      <c r="C295" s="1" t="n">
        <v>46118</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40869-2024</t>
        </is>
      </c>
      <c r="B296" s="1" t="n">
        <v>45558.59409722222</v>
      </c>
      <c r="C296" s="1" t="n">
        <v>46118</v>
      </c>
      <c r="D296" t="inlineStr">
        <is>
          <t>JÄMTLANDS LÄN</t>
        </is>
      </c>
      <c r="E296" t="inlineStr">
        <is>
          <t>BRÄCKE</t>
        </is>
      </c>
      <c r="F296" t="inlineStr">
        <is>
          <t>Naturvårdsverket</t>
        </is>
      </c>
      <c r="G296" t="n">
        <v>1.8</v>
      </c>
      <c r="H296" t="n">
        <v>0</v>
      </c>
      <c r="I296" t="n">
        <v>0</v>
      </c>
      <c r="J296" t="n">
        <v>1</v>
      </c>
      <c r="K296" t="n">
        <v>0</v>
      </c>
      <c r="L296" t="n">
        <v>0</v>
      </c>
      <c r="M296" t="n">
        <v>0</v>
      </c>
      <c r="N296" t="n">
        <v>0</v>
      </c>
      <c r="O296" t="n">
        <v>1</v>
      </c>
      <c r="P296" t="n">
        <v>0</v>
      </c>
      <c r="Q296" t="n">
        <v>1</v>
      </c>
      <c r="R296" s="2" t="inlineStr">
        <is>
          <t>Lunglav</t>
        </is>
      </c>
      <c r="S296">
        <f>HYPERLINK("https://klasma.github.io/Logging_2305/artfynd/A 40869-2024 artfynd.xlsx", "A 40869-2024")</f>
        <v/>
      </c>
      <c r="T296">
        <f>HYPERLINK("https://klasma.github.io/Logging_2305/kartor/A 40869-2024 karta.png", "A 40869-2024")</f>
        <v/>
      </c>
      <c r="V296">
        <f>HYPERLINK("https://klasma.github.io/Logging_2305/klagomål/A 40869-2024 FSC-klagomål.docx", "A 40869-2024")</f>
        <v/>
      </c>
      <c r="W296">
        <f>HYPERLINK("https://klasma.github.io/Logging_2305/klagomålsmail/A 40869-2024 FSC-klagomål mail.docx", "A 40869-2024")</f>
        <v/>
      </c>
      <c r="X296">
        <f>HYPERLINK("https://klasma.github.io/Logging_2305/tillsyn/A 40869-2024 tillsynsbegäran.docx", "A 40869-2024")</f>
        <v/>
      </c>
      <c r="Y296">
        <f>HYPERLINK("https://klasma.github.io/Logging_2305/tillsynsmail/A 40869-2024 tillsynsbegäran mail.docx", "A 40869-2024")</f>
        <v/>
      </c>
    </row>
    <row r="297" ht="15" customHeight="1">
      <c r="A297" t="inlineStr">
        <is>
          <t>A 52226-2025</t>
        </is>
      </c>
      <c r="B297" s="1" t="n">
        <v>45953.44850694444</v>
      </c>
      <c r="C297" s="1" t="n">
        <v>46118</v>
      </c>
      <c r="D297" t="inlineStr">
        <is>
          <t>JÄMTLANDS LÄN</t>
        </is>
      </c>
      <c r="E297" t="inlineStr">
        <is>
          <t>BRÄCKE</t>
        </is>
      </c>
      <c r="F297" t="inlineStr">
        <is>
          <t>SCA</t>
        </is>
      </c>
      <c r="G297" t="n">
        <v>15.7</v>
      </c>
      <c r="H297" t="n">
        <v>0</v>
      </c>
      <c r="I297" t="n">
        <v>0</v>
      </c>
      <c r="J297" t="n">
        <v>1</v>
      </c>
      <c r="K297" t="n">
        <v>0</v>
      </c>
      <c r="L297" t="n">
        <v>0</v>
      </c>
      <c r="M297" t="n">
        <v>0</v>
      </c>
      <c r="N297" t="n">
        <v>0</v>
      </c>
      <c r="O297" t="n">
        <v>1</v>
      </c>
      <c r="P297" t="n">
        <v>0</v>
      </c>
      <c r="Q297" t="n">
        <v>1</v>
      </c>
      <c r="R297" s="2" t="inlineStr">
        <is>
          <t>Brunpudrad nållav</t>
        </is>
      </c>
      <c r="S297">
        <f>HYPERLINK("https://klasma.github.io/Logging_2305/artfynd/A 52226-2025 artfynd.xlsx", "A 52226-2025")</f>
        <v/>
      </c>
      <c r="T297">
        <f>HYPERLINK("https://klasma.github.io/Logging_2305/kartor/A 52226-2025 karta.png", "A 52226-2025")</f>
        <v/>
      </c>
      <c r="V297">
        <f>HYPERLINK("https://klasma.github.io/Logging_2305/klagomål/A 52226-2025 FSC-klagomål.docx", "A 52226-2025")</f>
        <v/>
      </c>
      <c r="W297">
        <f>HYPERLINK("https://klasma.github.io/Logging_2305/klagomålsmail/A 52226-2025 FSC-klagomål mail.docx", "A 52226-2025")</f>
        <v/>
      </c>
      <c r="X297">
        <f>HYPERLINK("https://klasma.github.io/Logging_2305/tillsyn/A 52226-2025 tillsynsbegäran.docx", "A 52226-2025")</f>
        <v/>
      </c>
      <c r="Y297">
        <f>HYPERLINK("https://klasma.github.io/Logging_2305/tillsynsmail/A 52226-2025 tillsynsbegäran mail.docx", "A 52226-2025")</f>
        <v/>
      </c>
    </row>
    <row r="298" ht="15" customHeight="1">
      <c r="A298" t="inlineStr">
        <is>
          <t>A 52347-2025</t>
        </is>
      </c>
      <c r="B298" s="1" t="n">
        <v>45953.72041666666</v>
      </c>
      <c r="C298" s="1" t="n">
        <v>46118</v>
      </c>
      <c r="D298" t="inlineStr">
        <is>
          <t>JÄMTLANDS LÄN</t>
        </is>
      </c>
      <c r="E298" t="inlineStr">
        <is>
          <t>BRÄCKE</t>
        </is>
      </c>
      <c r="F298" t="inlineStr">
        <is>
          <t>SCA</t>
        </is>
      </c>
      <c r="G298" t="n">
        <v>3.9</v>
      </c>
      <c r="H298" t="n">
        <v>1</v>
      </c>
      <c r="I298" t="n">
        <v>0</v>
      </c>
      <c r="J298" t="n">
        <v>0</v>
      </c>
      <c r="K298" t="n">
        <v>0</v>
      </c>
      <c r="L298" t="n">
        <v>0</v>
      </c>
      <c r="M298" t="n">
        <v>0</v>
      </c>
      <c r="N298" t="n">
        <v>0</v>
      </c>
      <c r="O298" t="n">
        <v>0</v>
      </c>
      <c r="P298" t="n">
        <v>0</v>
      </c>
      <c r="Q298" t="n">
        <v>1</v>
      </c>
      <c r="R298" s="2" t="inlineStr">
        <is>
          <t>Tjäder</t>
        </is>
      </c>
      <c r="S298">
        <f>HYPERLINK("https://klasma.github.io/Logging_2305/artfynd/A 52347-2025 artfynd.xlsx", "A 52347-2025")</f>
        <v/>
      </c>
      <c r="T298">
        <f>HYPERLINK("https://klasma.github.io/Logging_2305/kartor/A 52347-2025 karta.png", "A 52347-2025")</f>
        <v/>
      </c>
      <c r="V298">
        <f>HYPERLINK("https://klasma.github.io/Logging_2305/klagomål/A 52347-2025 FSC-klagomål.docx", "A 52347-2025")</f>
        <v/>
      </c>
      <c r="W298">
        <f>HYPERLINK("https://klasma.github.io/Logging_2305/klagomålsmail/A 52347-2025 FSC-klagomål mail.docx", "A 52347-2025")</f>
        <v/>
      </c>
      <c r="X298">
        <f>HYPERLINK("https://klasma.github.io/Logging_2305/tillsyn/A 52347-2025 tillsynsbegäran.docx", "A 52347-2025")</f>
        <v/>
      </c>
      <c r="Y298">
        <f>HYPERLINK("https://klasma.github.io/Logging_2305/tillsynsmail/A 52347-2025 tillsynsbegäran mail.docx", "A 52347-2025")</f>
        <v/>
      </c>
      <c r="Z298">
        <f>HYPERLINK("https://klasma.github.io/Logging_2305/fåglar/A 52347-2025 prioriterade fågelarter.docx", "A 52347-2025")</f>
        <v/>
      </c>
    </row>
    <row r="299" ht="15" customHeight="1">
      <c r="A299" t="inlineStr">
        <is>
          <t>A 57797-2023</t>
        </is>
      </c>
      <c r="B299" s="1" t="n">
        <v>45246</v>
      </c>
      <c r="C299" s="1" t="n">
        <v>46118</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57417-2023</t>
        </is>
      </c>
      <c r="B300" s="1" t="n">
        <v>45245.96966435185</v>
      </c>
      <c r="C300" s="1" t="n">
        <v>46118</v>
      </c>
      <c r="D300" t="inlineStr">
        <is>
          <t>JÄMTLANDS LÄN</t>
        </is>
      </c>
      <c r="E300" t="inlineStr">
        <is>
          <t>BRÄCKE</t>
        </is>
      </c>
      <c r="F300" t="inlineStr">
        <is>
          <t>SCA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57417-2023 artfynd.xlsx", "A 57417-2023")</f>
        <v/>
      </c>
      <c r="T300">
        <f>HYPERLINK("https://klasma.github.io/Logging_2305/kartor/A 57417-2023 karta.png", "A 57417-2023")</f>
        <v/>
      </c>
      <c r="V300">
        <f>HYPERLINK("https://klasma.github.io/Logging_2305/klagomål/A 57417-2023 FSC-klagomål.docx", "A 57417-2023")</f>
        <v/>
      </c>
      <c r="W300">
        <f>HYPERLINK("https://klasma.github.io/Logging_2305/klagomålsmail/A 57417-2023 FSC-klagomål mail.docx", "A 57417-2023")</f>
        <v/>
      </c>
      <c r="X300">
        <f>HYPERLINK("https://klasma.github.io/Logging_2305/tillsyn/A 57417-2023 tillsynsbegäran.docx", "A 57417-2023")</f>
        <v/>
      </c>
      <c r="Y300">
        <f>HYPERLINK("https://klasma.github.io/Logging_2305/tillsynsmail/A 57417-2023 tillsynsbegäran mail.docx", "A 57417-2023")</f>
        <v/>
      </c>
      <c r="Z300">
        <f>HYPERLINK("https://klasma.github.io/Logging_2305/fåglar/A 57417-2023 prioriterade fågelarter.docx", "A 57417-2023")</f>
        <v/>
      </c>
    </row>
    <row r="301" ht="15" customHeight="1">
      <c r="A301" t="inlineStr">
        <is>
          <t>A 40097-2023</t>
        </is>
      </c>
      <c r="B301" s="1" t="n">
        <v>45168</v>
      </c>
      <c r="C301" s="1" t="n">
        <v>46118</v>
      </c>
      <c r="D301" t="inlineStr">
        <is>
          <t>JÄMTLANDS LÄN</t>
        </is>
      </c>
      <c r="E301" t="inlineStr">
        <is>
          <t>BRÄCKE</t>
        </is>
      </c>
      <c r="F301" t="inlineStr">
        <is>
          <t>SCA</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HYPERLINK("https://klasma.github.io/Logging_2305/artfynd/A 40097-2023 artfynd.xlsx", "A 40097-2023")</f>
        <v/>
      </c>
      <c r="T301">
        <f>HYPERLINK("https://klasma.github.io/Logging_2305/kartor/A 40097-2023 karta.png", "A 40097-2023")</f>
        <v/>
      </c>
      <c r="U301">
        <f>HYPERLINK("https://klasma.github.io/Logging_2305/knärot/A 40097-2023 karta knärot.png", "A 40097-2023")</f>
        <v/>
      </c>
      <c r="V301">
        <f>HYPERLINK("https://klasma.github.io/Logging_2305/klagomål/A 40097-2023 FSC-klagomål.docx", "A 40097-2023")</f>
        <v/>
      </c>
      <c r="W301">
        <f>HYPERLINK("https://klasma.github.io/Logging_2305/klagomålsmail/A 40097-2023 FSC-klagomål mail.docx", "A 40097-2023")</f>
        <v/>
      </c>
      <c r="X301">
        <f>HYPERLINK("https://klasma.github.io/Logging_2305/tillsyn/A 40097-2023 tillsynsbegäran.docx", "A 40097-2023")</f>
        <v/>
      </c>
      <c r="Y301">
        <f>HYPERLINK("https://klasma.github.io/Logging_2305/tillsynsmail/A 40097-2023 tillsynsbegäran mail.docx", "A 40097-2023")</f>
        <v/>
      </c>
    </row>
    <row r="302" ht="15" customHeight="1">
      <c r="A302" t="inlineStr">
        <is>
          <t>A 41486-2024</t>
        </is>
      </c>
      <c r="B302" s="1" t="n">
        <v>45560.44907407407</v>
      </c>
      <c r="C302" s="1" t="n">
        <v>46118</v>
      </c>
      <c r="D302" t="inlineStr">
        <is>
          <t>JÄMTLANDS LÄN</t>
        </is>
      </c>
      <c r="E302" t="inlineStr">
        <is>
          <t>BRÄCKE</t>
        </is>
      </c>
      <c r="F302" t="inlineStr">
        <is>
          <t>SCA</t>
        </is>
      </c>
      <c r="G302" t="n">
        <v>5.3</v>
      </c>
      <c r="H302" t="n">
        <v>0</v>
      </c>
      <c r="I302" t="n">
        <v>0</v>
      </c>
      <c r="J302" t="n">
        <v>1</v>
      </c>
      <c r="K302" t="n">
        <v>0</v>
      </c>
      <c r="L302" t="n">
        <v>0</v>
      </c>
      <c r="M302" t="n">
        <v>0</v>
      </c>
      <c r="N302" t="n">
        <v>0</v>
      </c>
      <c r="O302" t="n">
        <v>1</v>
      </c>
      <c r="P302" t="n">
        <v>0</v>
      </c>
      <c r="Q302" t="n">
        <v>1</v>
      </c>
      <c r="R302" s="2" t="inlineStr">
        <is>
          <t>Lunglav</t>
        </is>
      </c>
      <c r="S302">
        <f>HYPERLINK("https://klasma.github.io/Logging_2305/artfynd/A 41486-2024 artfynd.xlsx", "A 41486-2024")</f>
        <v/>
      </c>
      <c r="T302">
        <f>HYPERLINK("https://klasma.github.io/Logging_2305/kartor/A 41486-2024 karta.png", "A 41486-2024")</f>
        <v/>
      </c>
      <c r="V302">
        <f>HYPERLINK("https://klasma.github.io/Logging_2305/klagomål/A 41486-2024 FSC-klagomål.docx", "A 41486-2024")</f>
        <v/>
      </c>
      <c r="W302">
        <f>HYPERLINK("https://klasma.github.io/Logging_2305/klagomålsmail/A 41486-2024 FSC-klagomål mail.docx", "A 41486-2024")</f>
        <v/>
      </c>
      <c r="X302">
        <f>HYPERLINK("https://klasma.github.io/Logging_2305/tillsyn/A 41486-2024 tillsynsbegäran.docx", "A 41486-2024")</f>
        <v/>
      </c>
      <c r="Y302">
        <f>HYPERLINK("https://klasma.github.io/Logging_2305/tillsynsmail/A 41486-2024 tillsynsbegäran mail.docx", "A 41486-2024")</f>
        <v/>
      </c>
    </row>
    <row r="303" ht="15" customHeight="1">
      <c r="A303" t="inlineStr">
        <is>
          <t>A 56156-2024</t>
        </is>
      </c>
      <c r="B303" s="1" t="n">
        <v>45624.53180555555</v>
      </c>
      <c r="C303" s="1" t="n">
        <v>46118</v>
      </c>
      <c r="D303" t="inlineStr">
        <is>
          <t>JÄMTLANDS LÄN</t>
        </is>
      </c>
      <c r="E303" t="inlineStr">
        <is>
          <t>BRÄCKE</t>
        </is>
      </c>
      <c r="F303" t="inlineStr">
        <is>
          <t>SCA</t>
        </is>
      </c>
      <c r="G303" t="n">
        <v>4.4</v>
      </c>
      <c r="H303" t="n">
        <v>0</v>
      </c>
      <c r="I303" t="n">
        <v>0</v>
      </c>
      <c r="J303" t="n">
        <v>1</v>
      </c>
      <c r="K303" t="n">
        <v>0</v>
      </c>
      <c r="L303" t="n">
        <v>0</v>
      </c>
      <c r="M303" t="n">
        <v>0</v>
      </c>
      <c r="N303" t="n">
        <v>0</v>
      </c>
      <c r="O303" t="n">
        <v>1</v>
      </c>
      <c r="P303" t="n">
        <v>0</v>
      </c>
      <c r="Q303" t="n">
        <v>1</v>
      </c>
      <c r="R303" s="2" t="inlineStr">
        <is>
          <t>Flattoppad klubbsvamp</t>
        </is>
      </c>
      <c r="S303">
        <f>HYPERLINK("https://klasma.github.io/Logging_2305/artfynd/A 56156-2024 artfynd.xlsx", "A 56156-2024")</f>
        <v/>
      </c>
      <c r="T303">
        <f>HYPERLINK("https://klasma.github.io/Logging_2305/kartor/A 56156-2024 karta.png", "A 56156-2024")</f>
        <v/>
      </c>
      <c r="V303">
        <f>HYPERLINK("https://klasma.github.io/Logging_2305/klagomål/A 56156-2024 FSC-klagomål.docx", "A 56156-2024")</f>
        <v/>
      </c>
      <c r="W303">
        <f>HYPERLINK("https://klasma.github.io/Logging_2305/klagomålsmail/A 56156-2024 FSC-klagomål mail.docx", "A 56156-2024")</f>
        <v/>
      </c>
      <c r="X303">
        <f>HYPERLINK("https://klasma.github.io/Logging_2305/tillsyn/A 56156-2024 tillsynsbegäran.docx", "A 56156-2024")</f>
        <v/>
      </c>
      <c r="Y303">
        <f>HYPERLINK("https://klasma.github.io/Logging_2305/tillsynsmail/A 56156-2024 tillsynsbegäran mail.docx", "A 56156-2024")</f>
        <v/>
      </c>
    </row>
    <row r="304" ht="15" customHeight="1">
      <c r="A304" t="inlineStr">
        <is>
          <t>A 59000-2025</t>
        </is>
      </c>
      <c r="B304" s="1" t="n">
        <v>45987.67792824074</v>
      </c>
      <c r="C304" s="1" t="n">
        <v>46118</v>
      </c>
      <c r="D304" t="inlineStr">
        <is>
          <t>JÄMTLANDS LÄN</t>
        </is>
      </c>
      <c r="E304" t="inlineStr">
        <is>
          <t>BRÄCKE</t>
        </is>
      </c>
      <c r="F304" t="inlineStr">
        <is>
          <t>SCA</t>
        </is>
      </c>
      <c r="G304" t="n">
        <v>11.4</v>
      </c>
      <c r="H304" t="n">
        <v>0</v>
      </c>
      <c r="I304" t="n">
        <v>0</v>
      </c>
      <c r="J304" t="n">
        <v>1</v>
      </c>
      <c r="K304" t="n">
        <v>0</v>
      </c>
      <c r="L304" t="n">
        <v>0</v>
      </c>
      <c r="M304" t="n">
        <v>0</v>
      </c>
      <c r="N304" t="n">
        <v>0</v>
      </c>
      <c r="O304" t="n">
        <v>1</v>
      </c>
      <c r="P304" t="n">
        <v>0</v>
      </c>
      <c r="Q304" t="n">
        <v>1</v>
      </c>
      <c r="R304" s="2" t="inlineStr">
        <is>
          <t>Kolflarnlav</t>
        </is>
      </c>
      <c r="S304">
        <f>HYPERLINK("https://klasma.github.io/Logging_2305/artfynd/A 59000-2025 artfynd.xlsx", "A 59000-2025")</f>
        <v/>
      </c>
      <c r="T304">
        <f>HYPERLINK("https://klasma.github.io/Logging_2305/kartor/A 59000-2025 karta.png", "A 59000-2025")</f>
        <v/>
      </c>
      <c r="V304">
        <f>HYPERLINK("https://klasma.github.io/Logging_2305/klagomål/A 59000-2025 FSC-klagomål.docx", "A 59000-2025")</f>
        <v/>
      </c>
      <c r="W304">
        <f>HYPERLINK("https://klasma.github.io/Logging_2305/klagomålsmail/A 59000-2025 FSC-klagomål mail.docx", "A 59000-2025")</f>
        <v/>
      </c>
      <c r="X304">
        <f>HYPERLINK("https://klasma.github.io/Logging_2305/tillsyn/A 59000-2025 tillsynsbegäran.docx", "A 59000-2025")</f>
        <v/>
      </c>
      <c r="Y304">
        <f>HYPERLINK("https://klasma.github.io/Logging_2305/tillsynsmail/A 59000-2025 tillsynsbegäran mail.docx", "A 59000-2025")</f>
        <v/>
      </c>
    </row>
    <row r="305" ht="15" customHeight="1">
      <c r="A305" t="inlineStr">
        <is>
          <t>A 59546-2025</t>
        </is>
      </c>
      <c r="B305" s="1" t="n">
        <v>45990.34497685185</v>
      </c>
      <c r="C305" s="1" t="n">
        <v>46118</v>
      </c>
      <c r="D305" t="inlineStr">
        <is>
          <t>JÄMTLANDS LÄN</t>
        </is>
      </c>
      <c r="E305" t="inlineStr">
        <is>
          <t>BRÄCKE</t>
        </is>
      </c>
      <c r="F305" t="inlineStr">
        <is>
          <t>SCA</t>
        </is>
      </c>
      <c r="G305" t="n">
        <v>1</v>
      </c>
      <c r="H305" t="n">
        <v>0</v>
      </c>
      <c r="I305" t="n">
        <v>0</v>
      </c>
      <c r="J305" t="n">
        <v>1</v>
      </c>
      <c r="K305" t="n">
        <v>0</v>
      </c>
      <c r="L305" t="n">
        <v>0</v>
      </c>
      <c r="M305" t="n">
        <v>0</v>
      </c>
      <c r="N305" t="n">
        <v>0</v>
      </c>
      <c r="O305" t="n">
        <v>1</v>
      </c>
      <c r="P305" t="n">
        <v>0</v>
      </c>
      <c r="Q305" t="n">
        <v>1</v>
      </c>
      <c r="R305" s="2" t="inlineStr">
        <is>
          <t>Vedskivlav</t>
        </is>
      </c>
      <c r="S305">
        <f>HYPERLINK("https://klasma.github.io/Logging_2305/artfynd/A 59546-2025 artfynd.xlsx", "A 59546-2025")</f>
        <v/>
      </c>
      <c r="T305">
        <f>HYPERLINK("https://klasma.github.io/Logging_2305/kartor/A 59546-2025 karta.png", "A 59546-2025")</f>
        <v/>
      </c>
      <c r="V305">
        <f>HYPERLINK("https://klasma.github.io/Logging_2305/klagomål/A 59546-2025 FSC-klagomål.docx", "A 59546-2025")</f>
        <v/>
      </c>
      <c r="W305">
        <f>HYPERLINK("https://klasma.github.io/Logging_2305/klagomålsmail/A 59546-2025 FSC-klagomål mail.docx", "A 59546-2025")</f>
        <v/>
      </c>
      <c r="X305">
        <f>HYPERLINK("https://klasma.github.io/Logging_2305/tillsyn/A 59546-2025 tillsynsbegäran.docx", "A 59546-2025")</f>
        <v/>
      </c>
      <c r="Y305">
        <f>HYPERLINK("https://klasma.github.io/Logging_2305/tillsynsmail/A 59546-2025 tillsynsbegäran mail.docx", "A 59546-2025")</f>
        <v/>
      </c>
    </row>
    <row r="306" ht="15" customHeight="1">
      <c r="A306" t="inlineStr">
        <is>
          <t>A 35023-2022</t>
        </is>
      </c>
      <c r="B306" s="1" t="n">
        <v>44796</v>
      </c>
      <c r="C306" s="1" t="n">
        <v>46118</v>
      </c>
      <c r="D306" t="inlineStr">
        <is>
          <t>JÄMTLANDS LÄN</t>
        </is>
      </c>
      <c r="E306" t="inlineStr">
        <is>
          <t>BRÄCKE</t>
        </is>
      </c>
      <c r="F306" t="inlineStr">
        <is>
          <t>SCA</t>
        </is>
      </c>
      <c r="G306" t="n">
        <v>4.8</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35023-2022 artfynd.xlsx", "A 35023-2022")</f>
        <v/>
      </c>
      <c r="T306">
        <f>HYPERLINK("https://klasma.github.io/Logging_2305/kartor/A 35023-2022 karta.png", "A 35023-2022")</f>
        <v/>
      </c>
      <c r="V306">
        <f>HYPERLINK("https://klasma.github.io/Logging_2305/klagomål/A 35023-2022 FSC-klagomål.docx", "A 35023-2022")</f>
        <v/>
      </c>
      <c r="W306">
        <f>HYPERLINK("https://klasma.github.io/Logging_2305/klagomålsmail/A 35023-2022 FSC-klagomål mail.docx", "A 35023-2022")</f>
        <v/>
      </c>
      <c r="X306">
        <f>HYPERLINK("https://klasma.github.io/Logging_2305/tillsyn/A 35023-2022 tillsynsbegäran.docx", "A 35023-2022")</f>
        <v/>
      </c>
      <c r="Y306">
        <f>HYPERLINK("https://klasma.github.io/Logging_2305/tillsynsmail/A 35023-2022 tillsynsbegäran mail.docx", "A 35023-2022")</f>
        <v/>
      </c>
    </row>
    <row r="307" ht="15" customHeight="1">
      <c r="A307" t="inlineStr">
        <is>
          <t>A 61415-2025</t>
        </is>
      </c>
      <c r="B307" s="1" t="n">
        <v>46001.53170138889</v>
      </c>
      <c r="C307" s="1" t="n">
        <v>46118</v>
      </c>
      <c r="D307" t="inlineStr">
        <is>
          <t>JÄMTLANDS LÄN</t>
        </is>
      </c>
      <c r="E307" t="inlineStr">
        <is>
          <t>BRÄCKE</t>
        </is>
      </c>
      <c r="G307" t="n">
        <v>5.3</v>
      </c>
      <c r="H307" t="n">
        <v>0</v>
      </c>
      <c r="I307" t="n">
        <v>0</v>
      </c>
      <c r="J307" t="n">
        <v>1</v>
      </c>
      <c r="K307" t="n">
        <v>0</v>
      </c>
      <c r="L307" t="n">
        <v>0</v>
      </c>
      <c r="M307" t="n">
        <v>0</v>
      </c>
      <c r="N307" t="n">
        <v>0</v>
      </c>
      <c r="O307" t="n">
        <v>1</v>
      </c>
      <c r="P307" t="n">
        <v>0</v>
      </c>
      <c r="Q307" t="n">
        <v>1</v>
      </c>
      <c r="R307" s="2" t="inlineStr">
        <is>
          <t>Garnlav</t>
        </is>
      </c>
      <c r="S307">
        <f>HYPERLINK("https://klasma.github.io/Logging_2305/artfynd/A 61415-2025 artfynd.xlsx", "A 61415-2025")</f>
        <v/>
      </c>
      <c r="T307">
        <f>HYPERLINK("https://klasma.github.io/Logging_2305/kartor/A 61415-2025 karta.png", "A 61415-2025")</f>
        <v/>
      </c>
      <c r="V307">
        <f>HYPERLINK("https://klasma.github.io/Logging_2305/klagomål/A 61415-2025 FSC-klagomål.docx", "A 61415-2025")</f>
        <v/>
      </c>
      <c r="W307">
        <f>HYPERLINK("https://klasma.github.io/Logging_2305/klagomålsmail/A 61415-2025 FSC-klagomål mail.docx", "A 61415-2025")</f>
        <v/>
      </c>
      <c r="X307">
        <f>HYPERLINK("https://klasma.github.io/Logging_2305/tillsyn/A 61415-2025 tillsynsbegäran.docx", "A 61415-2025")</f>
        <v/>
      </c>
      <c r="Y307">
        <f>HYPERLINK("https://klasma.github.io/Logging_2305/tillsynsmail/A 61415-2025 tillsynsbegäran mail.docx", "A 61415-2025")</f>
        <v/>
      </c>
    </row>
    <row r="308" ht="15" customHeight="1">
      <c r="A308" t="inlineStr">
        <is>
          <t>A 61187-2025</t>
        </is>
      </c>
      <c r="B308" s="1" t="n">
        <v>46000.5865625</v>
      </c>
      <c r="C308" s="1" t="n">
        <v>46118</v>
      </c>
      <c r="D308" t="inlineStr">
        <is>
          <t>JÄMTLANDS LÄN</t>
        </is>
      </c>
      <c r="E308" t="inlineStr">
        <is>
          <t>BRÄCKE</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HYPERLINK("https://klasma.github.io/Logging_2305/artfynd/A 61187-2025 artfynd.xlsx", "A 61187-2025")</f>
        <v/>
      </c>
      <c r="T308">
        <f>HYPERLINK("https://klasma.github.io/Logging_2305/kartor/A 61187-2025 karta.png", "A 61187-2025")</f>
        <v/>
      </c>
      <c r="U308">
        <f>HYPERLINK("https://klasma.github.io/Logging_2305/knärot/A 61187-2025 karta knärot.png", "A 61187-2025")</f>
        <v/>
      </c>
      <c r="V308">
        <f>HYPERLINK("https://klasma.github.io/Logging_2305/klagomål/A 61187-2025 FSC-klagomål.docx", "A 61187-2025")</f>
        <v/>
      </c>
      <c r="W308">
        <f>HYPERLINK("https://klasma.github.io/Logging_2305/klagomålsmail/A 61187-2025 FSC-klagomål mail.docx", "A 61187-2025")</f>
        <v/>
      </c>
      <c r="X308">
        <f>HYPERLINK("https://klasma.github.io/Logging_2305/tillsyn/A 61187-2025 tillsynsbegäran.docx", "A 61187-2025")</f>
        <v/>
      </c>
      <c r="Y308">
        <f>HYPERLINK("https://klasma.github.io/Logging_2305/tillsynsmail/A 61187-2025 tillsynsbegäran mail.docx", "A 61187-2025")</f>
        <v/>
      </c>
      <c r="Z308">
        <f>HYPERLINK("https://klasma.github.io/Logging_2305/fåglar/A 61187-2025 prioriterade fågelarter.docx", "A 61187-2025")</f>
        <v/>
      </c>
    </row>
    <row r="309" ht="15" customHeight="1">
      <c r="A309" t="inlineStr">
        <is>
          <t>A 30336-2024</t>
        </is>
      </c>
      <c r="B309" s="1" t="n">
        <v>45490</v>
      </c>
      <c r="C309" s="1" t="n">
        <v>46118</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62541-2025</t>
        </is>
      </c>
      <c r="B310" s="1" t="n">
        <v>46007.64665509259</v>
      </c>
      <c r="C310" s="1" t="n">
        <v>46118</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18983-2025</t>
        </is>
      </c>
      <c r="B311" s="1" t="n">
        <v>45764.55618055556</v>
      </c>
      <c r="C311" s="1" t="n">
        <v>46118</v>
      </c>
      <c r="D311" t="inlineStr">
        <is>
          <t>JÄMTLANDS LÄN</t>
        </is>
      </c>
      <c r="E311" t="inlineStr">
        <is>
          <t>BRÄCKE</t>
        </is>
      </c>
      <c r="G311" t="n">
        <v>23.8</v>
      </c>
      <c r="H311" t="n">
        <v>1</v>
      </c>
      <c r="I311" t="n">
        <v>0</v>
      </c>
      <c r="J311" t="n">
        <v>0</v>
      </c>
      <c r="K311" t="n">
        <v>0</v>
      </c>
      <c r="L311" t="n">
        <v>0</v>
      </c>
      <c r="M311" t="n">
        <v>0</v>
      </c>
      <c r="N311" t="n">
        <v>0</v>
      </c>
      <c r="O311" t="n">
        <v>0</v>
      </c>
      <c r="P311" t="n">
        <v>0</v>
      </c>
      <c r="Q311" t="n">
        <v>1</v>
      </c>
      <c r="R311" s="2" t="inlineStr">
        <is>
          <t>Kungsfågel</t>
        </is>
      </c>
      <c r="S311">
        <f>HYPERLINK("https://klasma.github.io/Logging_2305/artfynd/A 18983-2025 artfynd.xlsx", "A 18983-2025")</f>
        <v/>
      </c>
      <c r="T311">
        <f>HYPERLINK("https://klasma.github.io/Logging_2305/kartor/A 18983-2025 karta.png", "A 18983-2025")</f>
        <v/>
      </c>
      <c r="V311">
        <f>HYPERLINK("https://klasma.github.io/Logging_2305/klagomål/A 18983-2025 FSC-klagomål.docx", "A 18983-2025")</f>
        <v/>
      </c>
      <c r="W311">
        <f>HYPERLINK("https://klasma.github.io/Logging_2305/klagomålsmail/A 18983-2025 FSC-klagomål mail.docx", "A 18983-2025")</f>
        <v/>
      </c>
      <c r="X311">
        <f>HYPERLINK("https://klasma.github.io/Logging_2305/tillsyn/A 18983-2025 tillsynsbegäran.docx", "A 18983-2025")</f>
        <v/>
      </c>
      <c r="Y311">
        <f>HYPERLINK("https://klasma.github.io/Logging_2305/tillsynsmail/A 18983-2025 tillsynsbegäran mail.docx", "A 18983-2025")</f>
        <v/>
      </c>
      <c r="Z311">
        <f>HYPERLINK("https://klasma.github.io/Logging_2305/fåglar/A 18983-2025 prioriterade fågelarter.docx", "A 18983-2025")</f>
        <v/>
      </c>
    </row>
    <row r="312" ht="15" customHeight="1">
      <c r="A312" t="inlineStr">
        <is>
          <t>A 12062-2023</t>
        </is>
      </c>
      <c r="B312" s="1" t="n">
        <v>44996</v>
      </c>
      <c r="C312" s="1" t="n">
        <v>46118</v>
      </c>
      <c r="D312" t="inlineStr">
        <is>
          <t>JÄMTLANDS LÄN</t>
        </is>
      </c>
      <c r="E312" t="inlineStr">
        <is>
          <t>BRÄCKE</t>
        </is>
      </c>
      <c r="G312" t="n">
        <v>5.4</v>
      </c>
      <c r="H312" t="n">
        <v>0</v>
      </c>
      <c r="I312" t="n">
        <v>0</v>
      </c>
      <c r="J312" t="n">
        <v>1</v>
      </c>
      <c r="K312" t="n">
        <v>0</v>
      </c>
      <c r="L312" t="n">
        <v>0</v>
      </c>
      <c r="M312" t="n">
        <v>0</v>
      </c>
      <c r="N312" t="n">
        <v>0</v>
      </c>
      <c r="O312" t="n">
        <v>1</v>
      </c>
      <c r="P312" t="n">
        <v>0</v>
      </c>
      <c r="Q312" t="n">
        <v>1</v>
      </c>
      <c r="R312" s="2" t="inlineStr">
        <is>
          <t>Lunglav</t>
        </is>
      </c>
      <c r="S312">
        <f>HYPERLINK("https://klasma.github.io/Logging_2305/artfynd/A 12062-2023 artfynd.xlsx", "A 12062-2023")</f>
        <v/>
      </c>
      <c r="T312">
        <f>HYPERLINK("https://klasma.github.io/Logging_2305/kartor/A 12062-2023 karta.png", "A 12062-2023")</f>
        <v/>
      </c>
      <c r="V312">
        <f>HYPERLINK("https://klasma.github.io/Logging_2305/klagomål/A 12062-2023 FSC-klagomål.docx", "A 12062-2023")</f>
        <v/>
      </c>
      <c r="W312">
        <f>HYPERLINK("https://klasma.github.io/Logging_2305/klagomålsmail/A 12062-2023 FSC-klagomål mail.docx", "A 12062-2023")</f>
        <v/>
      </c>
      <c r="X312">
        <f>HYPERLINK("https://klasma.github.io/Logging_2305/tillsyn/A 12062-2023 tillsynsbegäran.docx", "A 12062-2023")</f>
        <v/>
      </c>
      <c r="Y312">
        <f>HYPERLINK("https://klasma.github.io/Logging_2305/tillsynsmail/A 12062-2023 tillsynsbegäran mail.docx", "A 12062-2023")</f>
        <v/>
      </c>
    </row>
    <row r="313" ht="15" customHeight="1">
      <c r="A313" t="inlineStr">
        <is>
          <t>A 39085-2025</t>
        </is>
      </c>
      <c r="B313" s="1" t="n">
        <v>45888</v>
      </c>
      <c r="C313" s="1" t="n">
        <v>46118</v>
      </c>
      <c r="D313" t="inlineStr">
        <is>
          <t>JÄMTLANDS LÄN</t>
        </is>
      </c>
      <c r="E313" t="inlineStr">
        <is>
          <t>BRÄCKE</t>
        </is>
      </c>
      <c r="F313" t="inlineStr">
        <is>
          <t>SCA</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HYPERLINK("https://klasma.github.io/Logging_2305/artfynd/A 39085-2025 artfynd.xlsx", "A 39085-2025")</f>
        <v/>
      </c>
      <c r="T313">
        <f>HYPERLINK("https://klasma.github.io/Logging_2305/kartor/A 39085-2025 karta.png", "A 39085-2025")</f>
        <v/>
      </c>
      <c r="V313">
        <f>HYPERLINK("https://klasma.github.io/Logging_2305/klagomål/A 39085-2025 FSC-klagomål.docx", "A 39085-2025")</f>
        <v/>
      </c>
      <c r="W313">
        <f>HYPERLINK("https://klasma.github.io/Logging_2305/klagomålsmail/A 39085-2025 FSC-klagomål mail.docx", "A 39085-2025")</f>
        <v/>
      </c>
      <c r="X313">
        <f>HYPERLINK("https://klasma.github.io/Logging_2305/tillsyn/A 39085-2025 tillsynsbegäran.docx", "A 39085-2025")</f>
        <v/>
      </c>
      <c r="Y313">
        <f>HYPERLINK("https://klasma.github.io/Logging_2305/tillsynsmail/A 39085-2025 tillsynsbegäran mail.docx", "A 39085-2025")</f>
        <v/>
      </c>
    </row>
    <row r="314" ht="15" customHeight="1">
      <c r="A314" t="inlineStr">
        <is>
          <t>A 11614-2024</t>
        </is>
      </c>
      <c r="B314" s="1" t="n">
        <v>45373.42134259259</v>
      </c>
      <c r="C314" s="1" t="n">
        <v>46118</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20768-2024</t>
        </is>
      </c>
      <c r="B315" s="1" t="n">
        <v>45436.94594907408</v>
      </c>
      <c r="C315" s="1" t="n">
        <v>46118</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50513-2023</t>
        </is>
      </c>
      <c r="B316" s="1" t="n">
        <v>45216</v>
      </c>
      <c r="C316" s="1" t="n">
        <v>46118</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49325-2023</t>
        </is>
      </c>
      <c r="B317" s="1" t="n">
        <v>45210</v>
      </c>
      <c r="C317" s="1" t="n">
        <v>46118</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11553-2024</t>
        </is>
      </c>
      <c r="B318" s="1" t="n">
        <v>45372.95811342593</v>
      </c>
      <c r="C318" s="1" t="n">
        <v>46118</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2466-2025</t>
        </is>
      </c>
      <c r="B319" s="1" t="n">
        <v>45674.46958333333</v>
      </c>
      <c r="C319" s="1" t="n">
        <v>46118</v>
      </c>
      <c r="D319" t="inlineStr">
        <is>
          <t>JÄMTLANDS LÄN</t>
        </is>
      </c>
      <c r="E319" t="inlineStr">
        <is>
          <t>BRÄCKE</t>
        </is>
      </c>
      <c r="F319" t="inlineStr">
        <is>
          <t>SCA</t>
        </is>
      </c>
      <c r="G319" t="n">
        <v>2.4</v>
      </c>
      <c r="H319" t="n">
        <v>0</v>
      </c>
      <c r="I319" t="n">
        <v>0</v>
      </c>
      <c r="J319" t="n">
        <v>1</v>
      </c>
      <c r="K319" t="n">
        <v>0</v>
      </c>
      <c r="L319" t="n">
        <v>0</v>
      </c>
      <c r="M319" t="n">
        <v>0</v>
      </c>
      <c r="N319" t="n">
        <v>0</v>
      </c>
      <c r="O319" t="n">
        <v>1</v>
      </c>
      <c r="P319" t="n">
        <v>0</v>
      </c>
      <c r="Q319" t="n">
        <v>1</v>
      </c>
      <c r="R319" s="2" t="inlineStr">
        <is>
          <t>Lunglav</t>
        </is>
      </c>
      <c r="S319">
        <f>HYPERLINK("https://klasma.github.io/Logging_2305/artfynd/A 2466-2025 artfynd.xlsx", "A 2466-2025")</f>
        <v/>
      </c>
      <c r="T319">
        <f>HYPERLINK("https://klasma.github.io/Logging_2305/kartor/A 2466-2025 karta.png", "A 2466-2025")</f>
        <v/>
      </c>
      <c r="V319">
        <f>HYPERLINK("https://klasma.github.io/Logging_2305/klagomål/A 2466-2025 FSC-klagomål.docx", "A 2466-2025")</f>
        <v/>
      </c>
      <c r="W319">
        <f>HYPERLINK("https://klasma.github.io/Logging_2305/klagomålsmail/A 2466-2025 FSC-klagomål mail.docx", "A 2466-2025")</f>
        <v/>
      </c>
      <c r="X319">
        <f>HYPERLINK("https://klasma.github.io/Logging_2305/tillsyn/A 2466-2025 tillsynsbegäran.docx", "A 2466-2025")</f>
        <v/>
      </c>
      <c r="Y319">
        <f>HYPERLINK("https://klasma.github.io/Logging_2305/tillsynsmail/A 2466-2025 tillsynsbegäran mail.docx", "A 2466-2025")</f>
        <v/>
      </c>
    </row>
    <row r="320" ht="15" customHeight="1">
      <c r="A320" t="inlineStr">
        <is>
          <t>A 2882-2025</t>
        </is>
      </c>
      <c r="B320" s="1" t="n">
        <v>45677.69878472222</v>
      </c>
      <c r="C320" s="1" t="n">
        <v>46118</v>
      </c>
      <c r="D320" t="inlineStr">
        <is>
          <t>JÄMTLANDS LÄN</t>
        </is>
      </c>
      <c r="E320" t="inlineStr">
        <is>
          <t>BRÄCKE</t>
        </is>
      </c>
      <c r="F320" t="inlineStr">
        <is>
          <t>SCA</t>
        </is>
      </c>
      <c r="G320" t="n">
        <v>2.7</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2882-2025 artfynd.xlsx", "A 2882-2025")</f>
        <v/>
      </c>
      <c r="T320">
        <f>HYPERLINK("https://klasma.github.io/Logging_2305/kartor/A 2882-2025 karta.png", "A 2882-2025")</f>
        <v/>
      </c>
      <c r="V320">
        <f>HYPERLINK("https://klasma.github.io/Logging_2305/klagomål/A 2882-2025 FSC-klagomål.docx", "A 2882-2025")</f>
        <v/>
      </c>
      <c r="W320">
        <f>HYPERLINK("https://klasma.github.io/Logging_2305/klagomålsmail/A 2882-2025 FSC-klagomål mail.docx", "A 2882-2025")</f>
        <v/>
      </c>
      <c r="X320">
        <f>HYPERLINK("https://klasma.github.io/Logging_2305/tillsyn/A 2882-2025 tillsynsbegäran.docx", "A 2882-2025")</f>
        <v/>
      </c>
      <c r="Y320">
        <f>HYPERLINK("https://klasma.github.io/Logging_2305/tillsynsmail/A 2882-2025 tillsynsbegäran mail.docx", "A 2882-2025")</f>
        <v/>
      </c>
    </row>
    <row r="321" ht="15" customHeight="1">
      <c r="A321" t="inlineStr">
        <is>
          <t>A 235-2022</t>
        </is>
      </c>
      <c r="B321" s="1" t="n">
        <v>44564</v>
      </c>
      <c r="C321" s="1" t="n">
        <v>46118</v>
      </c>
      <c r="D321" t="inlineStr">
        <is>
          <t>JÄMTLANDS LÄN</t>
        </is>
      </c>
      <c r="E321" t="inlineStr">
        <is>
          <t>BRÄCKE</t>
        </is>
      </c>
      <c r="F321" t="inlineStr">
        <is>
          <t>SCA</t>
        </is>
      </c>
      <c r="G321" t="n">
        <v>5.8</v>
      </c>
      <c r="H321" t="n">
        <v>0</v>
      </c>
      <c r="I321" t="n">
        <v>0</v>
      </c>
      <c r="J321" t="n">
        <v>1</v>
      </c>
      <c r="K321" t="n">
        <v>0</v>
      </c>
      <c r="L321" t="n">
        <v>0</v>
      </c>
      <c r="M321" t="n">
        <v>0</v>
      </c>
      <c r="N321" t="n">
        <v>0</v>
      </c>
      <c r="O321" t="n">
        <v>1</v>
      </c>
      <c r="P321" t="n">
        <v>0</v>
      </c>
      <c r="Q321" t="n">
        <v>1</v>
      </c>
      <c r="R321" s="2" t="inlineStr">
        <is>
          <t>Harticka</t>
        </is>
      </c>
      <c r="S321">
        <f>HYPERLINK("https://klasma.github.io/Logging_2305/artfynd/A 235-2022 artfynd.xlsx", "A 235-2022")</f>
        <v/>
      </c>
      <c r="T321">
        <f>HYPERLINK("https://klasma.github.io/Logging_2305/kartor/A 235-2022 karta.png", "A 235-2022")</f>
        <v/>
      </c>
      <c r="V321">
        <f>HYPERLINK("https://klasma.github.io/Logging_2305/klagomål/A 235-2022 FSC-klagomål.docx", "A 235-2022")</f>
        <v/>
      </c>
      <c r="W321">
        <f>HYPERLINK("https://klasma.github.io/Logging_2305/klagomålsmail/A 235-2022 FSC-klagomål mail.docx", "A 235-2022")</f>
        <v/>
      </c>
      <c r="X321">
        <f>HYPERLINK("https://klasma.github.io/Logging_2305/tillsyn/A 235-2022 tillsynsbegäran.docx", "A 235-2022")</f>
        <v/>
      </c>
      <c r="Y321">
        <f>HYPERLINK("https://klasma.github.io/Logging_2305/tillsynsmail/A 235-2022 tillsynsbegäran mail.docx", "A 235-2022")</f>
        <v/>
      </c>
    </row>
    <row r="322" ht="15" customHeight="1">
      <c r="A322" t="inlineStr">
        <is>
          <t>A 27860-2025</t>
        </is>
      </c>
      <c r="B322" s="1" t="n">
        <v>45817.41630787037</v>
      </c>
      <c r="C322" s="1" t="n">
        <v>46118</v>
      </c>
      <c r="D322" t="inlineStr">
        <is>
          <t>JÄMTLANDS LÄN</t>
        </is>
      </c>
      <c r="E322" t="inlineStr">
        <is>
          <t>BRÄCKE</t>
        </is>
      </c>
      <c r="G322" t="n">
        <v>7.9</v>
      </c>
      <c r="H322" t="n">
        <v>0</v>
      </c>
      <c r="I322" t="n">
        <v>0</v>
      </c>
      <c r="J322" t="n">
        <v>1</v>
      </c>
      <c r="K322" t="n">
        <v>0</v>
      </c>
      <c r="L322" t="n">
        <v>0</v>
      </c>
      <c r="M322" t="n">
        <v>0</v>
      </c>
      <c r="N322" t="n">
        <v>0</v>
      </c>
      <c r="O322" t="n">
        <v>1</v>
      </c>
      <c r="P322" t="n">
        <v>0</v>
      </c>
      <c r="Q322" t="n">
        <v>1</v>
      </c>
      <c r="R322" s="2" t="inlineStr">
        <is>
          <t>Blanksvart spiklav</t>
        </is>
      </c>
      <c r="S322">
        <f>HYPERLINK("https://klasma.github.io/Logging_2305/artfynd/A 27860-2025 artfynd.xlsx", "A 27860-2025")</f>
        <v/>
      </c>
      <c r="T322">
        <f>HYPERLINK("https://klasma.github.io/Logging_2305/kartor/A 27860-2025 karta.png", "A 27860-2025")</f>
        <v/>
      </c>
      <c r="V322">
        <f>HYPERLINK("https://klasma.github.io/Logging_2305/klagomål/A 27860-2025 FSC-klagomål.docx", "A 27860-2025")</f>
        <v/>
      </c>
      <c r="W322">
        <f>HYPERLINK("https://klasma.github.io/Logging_2305/klagomålsmail/A 27860-2025 FSC-klagomål mail.docx", "A 27860-2025")</f>
        <v/>
      </c>
      <c r="X322">
        <f>HYPERLINK("https://klasma.github.io/Logging_2305/tillsyn/A 27860-2025 tillsynsbegäran.docx", "A 27860-2025")</f>
        <v/>
      </c>
      <c r="Y322">
        <f>HYPERLINK("https://klasma.github.io/Logging_2305/tillsynsmail/A 27860-2025 tillsynsbegäran mail.docx", "A 27860-2025")</f>
        <v/>
      </c>
    </row>
    <row r="323" ht="15" customHeight="1">
      <c r="A323" t="inlineStr">
        <is>
          <t>A 698-2025</t>
        </is>
      </c>
      <c r="B323" s="1" t="n">
        <v>45665.34416666667</v>
      </c>
      <c r="C323" s="1" t="n">
        <v>46118</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14374-2024</t>
        </is>
      </c>
      <c r="B324" s="1" t="n">
        <v>45393</v>
      </c>
      <c r="C324" s="1" t="n">
        <v>46118</v>
      </c>
      <c r="D324" t="inlineStr">
        <is>
          <t>JÄMTLANDS LÄN</t>
        </is>
      </c>
      <c r="E324" t="inlineStr">
        <is>
          <t>BRÄCKE</t>
        </is>
      </c>
      <c r="F324" t="inlineStr">
        <is>
          <t>SCA</t>
        </is>
      </c>
      <c r="G324" t="n">
        <v>0.8</v>
      </c>
      <c r="H324" t="n">
        <v>1</v>
      </c>
      <c r="I324" t="n">
        <v>0</v>
      </c>
      <c r="J324" t="n">
        <v>1</v>
      </c>
      <c r="K324" t="n">
        <v>0</v>
      </c>
      <c r="L324" t="n">
        <v>0</v>
      </c>
      <c r="M324" t="n">
        <v>0</v>
      </c>
      <c r="N324" t="n">
        <v>0</v>
      </c>
      <c r="O324" t="n">
        <v>1</v>
      </c>
      <c r="P324" t="n">
        <v>0</v>
      </c>
      <c r="Q324" t="n">
        <v>1</v>
      </c>
      <c r="R324" s="2" t="inlineStr">
        <is>
          <t>Kungsörn</t>
        </is>
      </c>
      <c r="S324">
        <f>HYPERLINK("https://klasma.github.io/Logging_2305/artfynd/A 14374-2024 artfynd.xlsx", "A 14374-2024")</f>
        <v/>
      </c>
      <c r="T324">
        <f>HYPERLINK("https://klasma.github.io/Logging_2305/kartor/A 14374-2024 karta.png", "A 14374-2024")</f>
        <v/>
      </c>
      <c r="V324">
        <f>HYPERLINK("https://klasma.github.io/Logging_2305/klagomål/A 14374-2024 FSC-klagomål.docx", "A 14374-2024")</f>
        <v/>
      </c>
      <c r="W324">
        <f>HYPERLINK("https://klasma.github.io/Logging_2305/klagomålsmail/A 14374-2024 FSC-klagomål mail.docx", "A 14374-2024")</f>
        <v/>
      </c>
      <c r="X324">
        <f>HYPERLINK("https://klasma.github.io/Logging_2305/tillsyn/A 14374-2024 tillsynsbegäran.docx", "A 14374-2024")</f>
        <v/>
      </c>
      <c r="Y324">
        <f>HYPERLINK("https://klasma.github.io/Logging_2305/tillsynsmail/A 14374-2024 tillsynsbegäran mail.docx", "A 14374-2024")</f>
        <v/>
      </c>
      <c r="Z324">
        <f>HYPERLINK("https://klasma.github.io/Logging_2305/fåglar/A 14374-2024 prioriterade fågelarter.docx", "A 14374-2024")</f>
        <v/>
      </c>
    </row>
    <row r="325" ht="15" customHeight="1">
      <c r="A325" t="inlineStr">
        <is>
          <t>A 48064-2023</t>
        </is>
      </c>
      <c r="B325" s="1" t="n">
        <v>45204</v>
      </c>
      <c r="C325" s="1" t="n">
        <v>46118</v>
      </c>
      <c r="D325" t="inlineStr">
        <is>
          <t>JÄMTLANDS LÄN</t>
        </is>
      </c>
      <c r="E325" t="inlineStr">
        <is>
          <t>BRÄCKE</t>
        </is>
      </c>
      <c r="G325" t="n">
        <v>2.3</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48064-2023 artfynd.xlsx", "A 48064-2023")</f>
        <v/>
      </c>
      <c r="T325">
        <f>HYPERLINK("https://klasma.github.io/Logging_2305/kartor/A 48064-2023 karta.png", "A 48064-2023")</f>
        <v/>
      </c>
      <c r="V325">
        <f>HYPERLINK("https://klasma.github.io/Logging_2305/klagomål/A 48064-2023 FSC-klagomål.docx", "A 48064-2023")</f>
        <v/>
      </c>
      <c r="W325">
        <f>HYPERLINK("https://klasma.github.io/Logging_2305/klagomålsmail/A 48064-2023 FSC-klagomål mail.docx", "A 48064-2023")</f>
        <v/>
      </c>
      <c r="X325">
        <f>HYPERLINK("https://klasma.github.io/Logging_2305/tillsyn/A 48064-2023 tillsynsbegäran.docx", "A 48064-2023")</f>
        <v/>
      </c>
      <c r="Y325">
        <f>HYPERLINK("https://klasma.github.io/Logging_2305/tillsynsmail/A 48064-2023 tillsynsbegäran mail.docx", "A 48064-2023")</f>
        <v/>
      </c>
      <c r="Z325">
        <f>HYPERLINK("https://klasma.github.io/Logging_2305/fåglar/A 48064-2023 prioriterade fågelarter.docx", "A 48064-2023")</f>
        <v/>
      </c>
    </row>
    <row r="326" ht="15" customHeight="1">
      <c r="A326" t="inlineStr">
        <is>
          <t>A 4851-2025</t>
        </is>
      </c>
      <c r="B326" s="1" t="n">
        <v>45688.67340277778</v>
      </c>
      <c r="C326" s="1" t="n">
        <v>46118</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4851-2025 artfynd.xlsx", "A 4851-2025")</f>
        <v/>
      </c>
      <c r="T326">
        <f>HYPERLINK("https://klasma.github.io/Logging_2305/kartor/A 4851-2025 karta.png", "A 4851-2025")</f>
        <v/>
      </c>
      <c r="V326">
        <f>HYPERLINK("https://klasma.github.io/Logging_2305/klagomål/A 4851-2025 FSC-klagomål.docx", "A 4851-2025")</f>
        <v/>
      </c>
      <c r="W326">
        <f>HYPERLINK("https://klasma.github.io/Logging_2305/klagomålsmail/A 4851-2025 FSC-klagomål mail.docx", "A 4851-2025")</f>
        <v/>
      </c>
      <c r="X326">
        <f>HYPERLINK("https://klasma.github.io/Logging_2305/tillsyn/A 4851-2025 tillsynsbegäran.docx", "A 4851-2025")</f>
        <v/>
      </c>
      <c r="Y326">
        <f>HYPERLINK("https://klasma.github.io/Logging_2305/tillsynsmail/A 4851-2025 tillsynsbegäran mail.docx", "A 4851-2025")</f>
        <v/>
      </c>
    </row>
    <row r="327" ht="15" customHeight="1">
      <c r="A327" t="inlineStr">
        <is>
          <t>A 16366-2023</t>
        </is>
      </c>
      <c r="B327" s="1" t="n">
        <v>45028</v>
      </c>
      <c r="C327" s="1" t="n">
        <v>46118</v>
      </c>
      <c r="D327" t="inlineStr">
        <is>
          <t>JÄMTLANDS LÄN</t>
        </is>
      </c>
      <c r="E327" t="inlineStr">
        <is>
          <t>BRÄCKE</t>
        </is>
      </c>
      <c r="G327" t="n">
        <v>9.1</v>
      </c>
      <c r="H327" t="n">
        <v>0</v>
      </c>
      <c r="I327" t="n">
        <v>0</v>
      </c>
      <c r="J327" t="n">
        <v>1</v>
      </c>
      <c r="K327" t="n">
        <v>0</v>
      </c>
      <c r="L327" t="n">
        <v>0</v>
      </c>
      <c r="M327" t="n">
        <v>0</v>
      </c>
      <c r="N327" t="n">
        <v>0</v>
      </c>
      <c r="O327" t="n">
        <v>1</v>
      </c>
      <c r="P327" t="n">
        <v>0</v>
      </c>
      <c r="Q327" t="n">
        <v>1</v>
      </c>
      <c r="R327" s="2" t="inlineStr">
        <is>
          <t>Lunglav</t>
        </is>
      </c>
      <c r="S327">
        <f>HYPERLINK("https://klasma.github.io/Logging_2305/artfynd/A 16366-2023 artfynd.xlsx", "A 16366-2023")</f>
        <v/>
      </c>
      <c r="T327">
        <f>HYPERLINK("https://klasma.github.io/Logging_2305/kartor/A 16366-2023 karta.png", "A 16366-2023")</f>
        <v/>
      </c>
      <c r="V327">
        <f>HYPERLINK("https://klasma.github.io/Logging_2305/klagomål/A 16366-2023 FSC-klagomål.docx", "A 16366-2023")</f>
        <v/>
      </c>
      <c r="W327">
        <f>HYPERLINK("https://klasma.github.io/Logging_2305/klagomålsmail/A 16366-2023 FSC-klagomål mail.docx", "A 16366-2023")</f>
        <v/>
      </c>
      <c r="X327">
        <f>HYPERLINK("https://klasma.github.io/Logging_2305/tillsyn/A 16366-2023 tillsynsbegäran.docx", "A 16366-2023")</f>
        <v/>
      </c>
      <c r="Y327">
        <f>HYPERLINK("https://klasma.github.io/Logging_2305/tillsynsmail/A 16366-2023 tillsynsbegäran mail.docx", "A 16366-2023")</f>
        <v/>
      </c>
    </row>
    <row r="328" ht="15" customHeight="1">
      <c r="A328" t="inlineStr">
        <is>
          <t>A 24552-2022</t>
        </is>
      </c>
      <c r="B328" s="1" t="n">
        <v>44726</v>
      </c>
      <c r="C328" s="1" t="n">
        <v>46118</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33479-2024</t>
        </is>
      </c>
      <c r="B329" s="1" t="n">
        <v>45519.60824074074</v>
      </c>
      <c r="C329" s="1" t="n">
        <v>46118</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15462-2025</t>
        </is>
      </c>
      <c r="B330" s="1" t="n">
        <v>45747.51086805556</v>
      </c>
      <c r="C330" s="1" t="n">
        <v>46118</v>
      </c>
      <c r="D330" t="inlineStr">
        <is>
          <t>JÄMTLANDS LÄN</t>
        </is>
      </c>
      <c r="E330" t="inlineStr">
        <is>
          <t>BRÄCKE</t>
        </is>
      </c>
      <c r="F330" t="inlineStr">
        <is>
          <t>SCA</t>
        </is>
      </c>
      <c r="G330" t="n">
        <v>1.6</v>
      </c>
      <c r="H330" t="n">
        <v>0</v>
      </c>
      <c r="I330" t="n">
        <v>0</v>
      </c>
      <c r="J330" t="n">
        <v>0</v>
      </c>
      <c r="K330" t="n">
        <v>1</v>
      </c>
      <c r="L330" t="n">
        <v>0</v>
      </c>
      <c r="M330" t="n">
        <v>0</v>
      </c>
      <c r="N330" t="n">
        <v>0</v>
      </c>
      <c r="O330" t="n">
        <v>1</v>
      </c>
      <c r="P330" t="n">
        <v>1</v>
      </c>
      <c r="Q330" t="n">
        <v>1</v>
      </c>
      <c r="R330" s="2" t="inlineStr">
        <is>
          <t>Smalskaftslav</t>
        </is>
      </c>
      <c r="S330">
        <f>HYPERLINK("https://klasma.github.io/Logging_2305/artfynd/A 15462-2025 artfynd.xlsx", "A 15462-2025")</f>
        <v/>
      </c>
      <c r="T330">
        <f>HYPERLINK("https://klasma.github.io/Logging_2305/kartor/A 15462-2025 karta.png", "A 15462-2025")</f>
        <v/>
      </c>
      <c r="V330">
        <f>HYPERLINK("https://klasma.github.io/Logging_2305/klagomål/A 15462-2025 FSC-klagomål.docx", "A 15462-2025")</f>
        <v/>
      </c>
      <c r="W330">
        <f>HYPERLINK("https://klasma.github.io/Logging_2305/klagomålsmail/A 15462-2025 FSC-klagomål mail.docx", "A 15462-2025")</f>
        <v/>
      </c>
      <c r="X330">
        <f>HYPERLINK("https://klasma.github.io/Logging_2305/tillsyn/A 15462-2025 tillsynsbegäran.docx", "A 15462-2025")</f>
        <v/>
      </c>
      <c r="Y330">
        <f>HYPERLINK("https://klasma.github.io/Logging_2305/tillsynsmail/A 15462-2025 tillsynsbegäran mail.docx", "A 15462-2025")</f>
        <v/>
      </c>
    </row>
    <row r="331" ht="15" customHeight="1">
      <c r="A331" t="inlineStr">
        <is>
          <t>A 14628-2022</t>
        </is>
      </c>
      <c r="B331" s="1" t="n">
        <v>44655</v>
      </c>
      <c r="C331" s="1" t="n">
        <v>46118</v>
      </c>
      <c r="D331" t="inlineStr">
        <is>
          <t>JÄMTLANDS LÄN</t>
        </is>
      </c>
      <c r="E331" t="inlineStr">
        <is>
          <t>BRÄCKE</t>
        </is>
      </c>
      <c r="G331" t="n">
        <v>4.7</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14628-2022 artfynd.xlsx", "A 14628-2022")</f>
        <v/>
      </c>
      <c r="T331">
        <f>HYPERLINK("https://klasma.github.io/Logging_2305/kartor/A 14628-2022 karta.png", "A 14628-2022")</f>
        <v/>
      </c>
      <c r="V331">
        <f>HYPERLINK("https://klasma.github.io/Logging_2305/klagomål/A 14628-2022 FSC-klagomål.docx", "A 14628-2022")</f>
        <v/>
      </c>
      <c r="W331">
        <f>HYPERLINK("https://klasma.github.io/Logging_2305/klagomålsmail/A 14628-2022 FSC-klagomål mail.docx", "A 14628-2022")</f>
        <v/>
      </c>
      <c r="X331">
        <f>HYPERLINK("https://klasma.github.io/Logging_2305/tillsyn/A 14628-2022 tillsynsbegäran.docx", "A 14628-2022")</f>
        <v/>
      </c>
      <c r="Y331">
        <f>HYPERLINK("https://klasma.github.io/Logging_2305/tillsynsmail/A 14628-2022 tillsynsbegäran mail.docx", "A 14628-2022")</f>
        <v/>
      </c>
    </row>
    <row r="332" ht="15" customHeight="1">
      <c r="A332" t="inlineStr">
        <is>
          <t>A 3234-2025</t>
        </is>
      </c>
      <c r="B332" s="1" t="n">
        <v>45679.49020833334</v>
      </c>
      <c r="C332" s="1" t="n">
        <v>46118</v>
      </c>
      <c r="D332" t="inlineStr">
        <is>
          <t>JÄMTLANDS LÄN</t>
        </is>
      </c>
      <c r="E332" t="inlineStr">
        <is>
          <t>BRÄCKE</t>
        </is>
      </c>
      <c r="F332" t="inlineStr">
        <is>
          <t>SCA</t>
        </is>
      </c>
      <c r="G332" t="n">
        <v>1.7</v>
      </c>
      <c r="H332" t="n">
        <v>1</v>
      </c>
      <c r="I332" t="n">
        <v>0</v>
      </c>
      <c r="J332" t="n">
        <v>1</v>
      </c>
      <c r="K332" t="n">
        <v>0</v>
      </c>
      <c r="L332" t="n">
        <v>0</v>
      </c>
      <c r="M332" t="n">
        <v>0</v>
      </c>
      <c r="N332" t="n">
        <v>0</v>
      </c>
      <c r="O332" t="n">
        <v>1</v>
      </c>
      <c r="P332" t="n">
        <v>0</v>
      </c>
      <c r="Q332" t="n">
        <v>1</v>
      </c>
      <c r="R332" s="2" t="inlineStr">
        <is>
          <t>Utter</t>
        </is>
      </c>
      <c r="S332">
        <f>HYPERLINK("https://klasma.github.io/Logging_2305/artfynd/A 3234-2025 artfynd.xlsx", "A 3234-2025")</f>
        <v/>
      </c>
      <c r="T332">
        <f>HYPERLINK("https://klasma.github.io/Logging_2305/kartor/A 3234-2025 karta.png", "A 3234-2025")</f>
        <v/>
      </c>
      <c r="V332">
        <f>HYPERLINK("https://klasma.github.io/Logging_2305/klagomål/A 3234-2025 FSC-klagomål.docx", "A 3234-2025")</f>
        <v/>
      </c>
      <c r="W332">
        <f>HYPERLINK("https://klasma.github.io/Logging_2305/klagomålsmail/A 3234-2025 FSC-klagomål mail.docx", "A 3234-2025")</f>
        <v/>
      </c>
      <c r="X332">
        <f>HYPERLINK("https://klasma.github.io/Logging_2305/tillsyn/A 3234-2025 tillsynsbegäran.docx", "A 3234-2025")</f>
        <v/>
      </c>
      <c r="Y332">
        <f>HYPERLINK("https://klasma.github.io/Logging_2305/tillsynsmail/A 3234-2025 tillsynsbegäran mail.docx", "A 3234-2025")</f>
        <v/>
      </c>
    </row>
    <row r="333" ht="15" customHeight="1">
      <c r="A333" t="inlineStr">
        <is>
          <t>A 9946-2026</t>
        </is>
      </c>
      <c r="B333" s="1" t="n">
        <v>46073.4703125</v>
      </c>
      <c r="C333" s="1" t="n">
        <v>46118</v>
      </c>
      <c r="D333" t="inlineStr">
        <is>
          <t>JÄMTLANDS LÄN</t>
        </is>
      </c>
      <c r="E333" t="inlineStr">
        <is>
          <t>BRÄCKE</t>
        </is>
      </c>
      <c r="F333" t="inlineStr">
        <is>
          <t>SCA</t>
        </is>
      </c>
      <c r="G333" t="n">
        <v>1.3</v>
      </c>
      <c r="H333" t="n">
        <v>0</v>
      </c>
      <c r="I333" t="n">
        <v>0</v>
      </c>
      <c r="J333" t="n">
        <v>1</v>
      </c>
      <c r="K333" t="n">
        <v>0</v>
      </c>
      <c r="L333" t="n">
        <v>0</v>
      </c>
      <c r="M333" t="n">
        <v>0</v>
      </c>
      <c r="N333" t="n">
        <v>0</v>
      </c>
      <c r="O333" t="n">
        <v>1</v>
      </c>
      <c r="P333" t="n">
        <v>0</v>
      </c>
      <c r="Q333" t="n">
        <v>1</v>
      </c>
      <c r="R333" s="2" t="inlineStr">
        <is>
          <t>Slåtterfibbla</t>
        </is>
      </c>
      <c r="S333">
        <f>HYPERLINK("https://klasma.github.io/Logging_2305/artfynd/A 9946-2026 artfynd.xlsx", "A 9946-2026")</f>
        <v/>
      </c>
      <c r="T333">
        <f>HYPERLINK("https://klasma.github.io/Logging_2305/kartor/A 9946-2026 karta.png", "A 9946-2026")</f>
        <v/>
      </c>
      <c r="V333">
        <f>HYPERLINK("https://klasma.github.io/Logging_2305/klagomål/A 9946-2026 FSC-klagomål.docx", "A 9946-2026")</f>
        <v/>
      </c>
      <c r="W333">
        <f>HYPERLINK("https://klasma.github.io/Logging_2305/klagomålsmail/A 9946-2026 FSC-klagomål mail.docx", "A 9946-2026")</f>
        <v/>
      </c>
      <c r="X333">
        <f>HYPERLINK("https://klasma.github.io/Logging_2305/tillsyn/A 9946-2026 tillsynsbegäran.docx", "A 9946-2026")</f>
        <v/>
      </c>
      <c r="Y333">
        <f>HYPERLINK("https://klasma.github.io/Logging_2305/tillsynsmail/A 9946-2026 tillsynsbegäran mail.docx", "A 9946-2026")</f>
        <v/>
      </c>
    </row>
    <row r="334" ht="15" customHeight="1">
      <c r="A334" t="inlineStr">
        <is>
          <t>A 49040-2023</t>
        </is>
      </c>
      <c r="B334" s="1" t="n">
        <v>45209</v>
      </c>
      <c r="C334" s="1" t="n">
        <v>46118</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17996-2025</t>
        </is>
      </c>
      <c r="B335" s="1" t="n">
        <v>45761.40716435185</v>
      </c>
      <c r="C335" s="1" t="n">
        <v>46118</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11549-2025</t>
        </is>
      </c>
      <c r="B336" s="1" t="n">
        <v>45727.34460648148</v>
      </c>
      <c r="C336" s="1" t="n">
        <v>46118</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44323-2023</t>
        </is>
      </c>
      <c r="B337" s="1" t="n">
        <v>45188</v>
      </c>
      <c r="C337" s="1" t="n">
        <v>46118</v>
      </c>
      <c r="D337" t="inlineStr">
        <is>
          <t>JÄMTLANDS LÄN</t>
        </is>
      </c>
      <c r="E337" t="inlineStr">
        <is>
          <t>BRÄCKE</t>
        </is>
      </c>
      <c r="F337" t="inlineStr">
        <is>
          <t>Sveaskog</t>
        </is>
      </c>
      <c r="G337" t="n">
        <v>3.7</v>
      </c>
      <c r="H337" t="n">
        <v>0</v>
      </c>
      <c r="I337" t="n">
        <v>0</v>
      </c>
      <c r="J337" t="n">
        <v>1</v>
      </c>
      <c r="K337" t="n">
        <v>0</v>
      </c>
      <c r="L337" t="n">
        <v>0</v>
      </c>
      <c r="M337" t="n">
        <v>0</v>
      </c>
      <c r="N337" t="n">
        <v>0</v>
      </c>
      <c r="O337" t="n">
        <v>1</v>
      </c>
      <c r="P337" t="n">
        <v>0</v>
      </c>
      <c r="Q337" t="n">
        <v>1</v>
      </c>
      <c r="R337" s="2" t="inlineStr">
        <is>
          <t>Lunglav</t>
        </is>
      </c>
      <c r="S337">
        <f>HYPERLINK("https://klasma.github.io/Logging_2305/artfynd/A 44323-2023 artfynd.xlsx", "A 44323-2023")</f>
        <v/>
      </c>
      <c r="T337">
        <f>HYPERLINK("https://klasma.github.io/Logging_2305/kartor/A 44323-2023 karta.png", "A 44323-2023")</f>
        <v/>
      </c>
      <c r="V337">
        <f>HYPERLINK("https://klasma.github.io/Logging_2305/klagomål/A 44323-2023 FSC-klagomål.docx", "A 44323-2023")</f>
        <v/>
      </c>
      <c r="W337">
        <f>HYPERLINK("https://klasma.github.io/Logging_2305/klagomålsmail/A 44323-2023 FSC-klagomål mail.docx", "A 44323-2023")</f>
        <v/>
      </c>
      <c r="X337">
        <f>HYPERLINK("https://klasma.github.io/Logging_2305/tillsyn/A 44323-2023 tillsynsbegäran.docx", "A 44323-2023")</f>
        <v/>
      </c>
      <c r="Y337">
        <f>HYPERLINK("https://klasma.github.io/Logging_2305/tillsynsmail/A 44323-2023 tillsynsbegäran mail.docx", "A 44323-2023")</f>
        <v/>
      </c>
    </row>
    <row r="338" ht="15" customHeight="1">
      <c r="A338" t="inlineStr">
        <is>
          <t>A 725-2023</t>
        </is>
      </c>
      <c r="B338" s="1" t="n">
        <v>44930</v>
      </c>
      <c r="C338" s="1" t="n">
        <v>46118</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40100-2023</t>
        </is>
      </c>
      <c r="B339" s="1" t="n">
        <v>45168</v>
      </c>
      <c r="C339" s="1" t="n">
        <v>46118</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724-2023</t>
        </is>
      </c>
      <c r="B340" s="1" t="n">
        <v>44930.94215277778</v>
      </c>
      <c r="C340" s="1" t="n">
        <v>46118</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20866-2025</t>
        </is>
      </c>
      <c r="B341" s="1" t="n">
        <v>45777.34456018519</v>
      </c>
      <c r="C341" s="1" t="n">
        <v>46118</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46118</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46118</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46118</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15189-2025</t>
        </is>
      </c>
      <c r="B345" s="1" t="n">
        <v>45744.55259259259</v>
      </c>
      <c r="C345" s="1" t="n">
        <v>46118</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15189-2025 artfynd.xlsx", "A 15189-2025")</f>
        <v/>
      </c>
      <c r="T345">
        <f>HYPERLINK("https://klasma.github.io/Logging_2305/kartor/A 15189-2025 karta.png", "A 15189-2025")</f>
        <v/>
      </c>
      <c r="V345">
        <f>HYPERLINK("https://klasma.github.io/Logging_2305/klagomål/A 15189-2025 FSC-klagomål.docx", "A 15189-2025")</f>
        <v/>
      </c>
      <c r="W345">
        <f>HYPERLINK("https://klasma.github.io/Logging_2305/klagomålsmail/A 15189-2025 FSC-klagomål mail.docx", "A 15189-2025")</f>
        <v/>
      </c>
      <c r="X345">
        <f>HYPERLINK("https://klasma.github.io/Logging_2305/tillsyn/A 15189-2025 tillsynsbegäran.docx", "A 15189-2025")</f>
        <v/>
      </c>
      <c r="Y345">
        <f>HYPERLINK("https://klasma.github.io/Logging_2305/tillsynsmail/A 15189-2025 tillsynsbegäran mail.docx", "A 15189-2025")</f>
        <v/>
      </c>
      <c r="Z345">
        <f>HYPERLINK("https://klasma.github.io/Logging_2305/fåglar/A 15189-2025 prioriterade fågelarter.docx", "A 15189-2025")</f>
        <v/>
      </c>
    </row>
    <row r="346" ht="15" customHeight="1">
      <c r="A346" t="inlineStr">
        <is>
          <t>A 24094-2025</t>
        </is>
      </c>
      <c r="B346" s="1" t="n">
        <v>45796.57335648148</v>
      </c>
      <c r="C346" s="1" t="n">
        <v>46118</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Vedskivlav</t>
        </is>
      </c>
      <c r="S346">
        <f>HYPERLINK("https://klasma.github.io/Logging_2305/artfynd/A 24094-2025 artfynd.xlsx", "A 24094-2025")</f>
        <v/>
      </c>
      <c r="T346">
        <f>HYPERLINK("https://klasma.github.io/Logging_2305/kartor/A 24094-2025 karta.png", "A 24094-2025")</f>
        <v/>
      </c>
      <c r="V346">
        <f>HYPERLINK("https://klasma.github.io/Logging_2305/klagomål/A 24094-2025 FSC-klagomål.docx", "A 24094-2025")</f>
        <v/>
      </c>
      <c r="W346">
        <f>HYPERLINK("https://klasma.github.io/Logging_2305/klagomålsmail/A 24094-2025 FSC-klagomål mail.docx", "A 24094-2025")</f>
        <v/>
      </c>
      <c r="X346">
        <f>HYPERLINK("https://klasma.github.io/Logging_2305/tillsyn/A 24094-2025 tillsynsbegäran.docx", "A 24094-2025")</f>
        <v/>
      </c>
      <c r="Y346">
        <f>HYPERLINK("https://klasma.github.io/Logging_2305/tillsynsmail/A 24094-2025 tillsynsbegäran mail.docx", "A 24094-2025")</f>
        <v/>
      </c>
    </row>
    <row r="347" ht="15" customHeight="1">
      <c r="A347" t="inlineStr">
        <is>
          <t>A 24851-2025</t>
        </is>
      </c>
      <c r="B347" s="1" t="n">
        <v>45799.46967592592</v>
      </c>
      <c r="C347" s="1" t="n">
        <v>46118</v>
      </c>
      <c r="D347" t="inlineStr">
        <is>
          <t>JÄMTLANDS LÄN</t>
        </is>
      </c>
      <c r="E347" t="inlineStr">
        <is>
          <t>BRÄCKE</t>
        </is>
      </c>
      <c r="F347" t="inlineStr">
        <is>
          <t>SCA</t>
        </is>
      </c>
      <c r="G347" t="n">
        <v>4.1</v>
      </c>
      <c r="H347" t="n">
        <v>1</v>
      </c>
      <c r="I347" t="n">
        <v>0</v>
      </c>
      <c r="J347" t="n">
        <v>0</v>
      </c>
      <c r="K347" t="n">
        <v>0</v>
      </c>
      <c r="L347" t="n">
        <v>1</v>
      </c>
      <c r="M347" t="n">
        <v>0</v>
      </c>
      <c r="N347" t="n">
        <v>0</v>
      </c>
      <c r="O347" t="n">
        <v>1</v>
      </c>
      <c r="P347" t="n">
        <v>1</v>
      </c>
      <c r="Q347" t="n">
        <v>1</v>
      </c>
      <c r="R347" s="2" t="inlineStr">
        <is>
          <t>Violett guldvinge</t>
        </is>
      </c>
      <c r="S347">
        <f>HYPERLINK("https://klasma.github.io/Logging_2305/artfynd/A 24851-2025 artfynd.xlsx", "A 24851-2025")</f>
        <v/>
      </c>
      <c r="T347">
        <f>HYPERLINK("https://klasma.github.io/Logging_2305/kartor/A 24851-2025 karta.png", "A 24851-2025")</f>
        <v/>
      </c>
      <c r="V347">
        <f>HYPERLINK("https://klasma.github.io/Logging_2305/klagomål/A 24851-2025 FSC-klagomål.docx", "A 24851-2025")</f>
        <v/>
      </c>
      <c r="W347">
        <f>HYPERLINK("https://klasma.github.io/Logging_2305/klagomålsmail/A 24851-2025 FSC-klagomål mail.docx", "A 24851-2025")</f>
        <v/>
      </c>
      <c r="X347">
        <f>HYPERLINK("https://klasma.github.io/Logging_2305/tillsyn/A 24851-2025 tillsynsbegäran.docx", "A 24851-2025")</f>
        <v/>
      </c>
      <c r="Y347">
        <f>HYPERLINK("https://klasma.github.io/Logging_2305/tillsynsmail/A 24851-2025 tillsynsbegäran mail.docx", "A 24851-2025")</f>
        <v/>
      </c>
    </row>
    <row r="348" ht="15" customHeight="1">
      <c r="A348" t="inlineStr">
        <is>
          <t>A 25718-2025</t>
        </is>
      </c>
      <c r="B348" s="1" t="n">
        <v>45803.69876157407</v>
      </c>
      <c r="C348" s="1" t="n">
        <v>46118</v>
      </c>
      <c r="D348" t="inlineStr">
        <is>
          <t>JÄMTLANDS LÄN</t>
        </is>
      </c>
      <c r="E348" t="inlineStr">
        <is>
          <t>BRÄCKE</t>
        </is>
      </c>
      <c r="F348" t="inlineStr">
        <is>
          <t>SCA</t>
        </is>
      </c>
      <c r="G348" t="n">
        <v>4.4</v>
      </c>
      <c r="H348" t="n">
        <v>1</v>
      </c>
      <c r="I348" t="n">
        <v>0</v>
      </c>
      <c r="J348" t="n">
        <v>0</v>
      </c>
      <c r="K348" t="n">
        <v>1</v>
      </c>
      <c r="L348" t="n">
        <v>0</v>
      </c>
      <c r="M348" t="n">
        <v>0</v>
      </c>
      <c r="N348" t="n">
        <v>0</v>
      </c>
      <c r="O348" t="n">
        <v>1</v>
      </c>
      <c r="P348" t="n">
        <v>1</v>
      </c>
      <c r="Q348" t="n">
        <v>1</v>
      </c>
      <c r="R348" s="2" t="inlineStr">
        <is>
          <t>Knärot</t>
        </is>
      </c>
      <c r="S348">
        <f>HYPERLINK("https://klasma.github.io/Logging_2305/artfynd/A 25718-2025 artfynd.xlsx", "A 25718-2025")</f>
        <v/>
      </c>
      <c r="T348">
        <f>HYPERLINK("https://klasma.github.io/Logging_2305/kartor/A 25718-2025 karta.png", "A 25718-2025")</f>
        <v/>
      </c>
      <c r="U348">
        <f>HYPERLINK("https://klasma.github.io/Logging_2305/knärot/A 25718-2025 karta knärot.png", "A 25718-2025")</f>
        <v/>
      </c>
      <c r="V348">
        <f>HYPERLINK("https://klasma.github.io/Logging_2305/klagomål/A 25718-2025 FSC-klagomål.docx", "A 25718-2025")</f>
        <v/>
      </c>
      <c r="W348">
        <f>HYPERLINK("https://klasma.github.io/Logging_2305/klagomålsmail/A 25718-2025 FSC-klagomål mail.docx", "A 25718-2025")</f>
        <v/>
      </c>
      <c r="X348">
        <f>HYPERLINK("https://klasma.github.io/Logging_2305/tillsyn/A 25718-2025 tillsynsbegäran.docx", "A 25718-2025")</f>
        <v/>
      </c>
      <c r="Y348">
        <f>HYPERLINK("https://klasma.github.io/Logging_2305/tillsynsmail/A 25718-2025 tillsynsbegäran mail.docx", "A 25718-2025")</f>
        <v/>
      </c>
    </row>
    <row r="349" ht="15" customHeight="1">
      <c r="A349" t="inlineStr">
        <is>
          <t>A 27061-2025</t>
        </is>
      </c>
      <c r="B349" s="1" t="n">
        <v>45811.6360300926</v>
      </c>
      <c r="C349" s="1" t="n">
        <v>46118</v>
      </c>
      <c r="D349" t="inlineStr">
        <is>
          <t>JÄMTLANDS LÄN</t>
        </is>
      </c>
      <c r="E349" t="inlineStr">
        <is>
          <t>BRÄCKE</t>
        </is>
      </c>
      <c r="F349" t="inlineStr">
        <is>
          <t>SCA</t>
        </is>
      </c>
      <c r="G349" t="n">
        <v>18.9</v>
      </c>
      <c r="H349" t="n">
        <v>0</v>
      </c>
      <c r="I349" t="n">
        <v>0</v>
      </c>
      <c r="J349" t="n">
        <v>1</v>
      </c>
      <c r="K349" t="n">
        <v>0</v>
      </c>
      <c r="L349" t="n">
        <v>0</v>
      </c>
      <c r="M349" t="n">
        <v>0</v>
      </c>
      <c r="N349" t="n">
        <v>0</v>
      </c>
      <c r="O349" t="n">
        <v>1</v>
      </c>
      <c r="P349" t="n">
        <v>0</v>
      </c>
      <c r="Q349" t="n">
        <v>1</v>
      </c>
      <c r="R349" s="2" t="inlineStr">
        <is>
          <t>Lunglav</t>
        </is>
      </c>
      <c r="S349">
        <f>HYPERLINK("https://klasma.github.io/Logging_2305/artfynd/A 27061-2025 artfynd.xlsx", "A 27061-2025")</f>
        <v/>
      </c>
      <c r="T349">
        <f>HYPERLINK("https://klasma.github.io/Logging_2305/kartor/A 27061-2025 karta.png", "A 27061-2025")</f>
        <v/>
      </c>
      <c r="V349">
        <f>HYPERLINK("https://klasma.github.io/Logging_2305/klagomål/A 27061-2025 FSC-klagomål.docx", "A 27061-2025")</f>
        <v/>
      </c>
      <c r="W349">
        <f>HYPERLINK("https://klasma.github.io/Logging_2305/klagomålsmail/A 27061-2025 FSC-klagomål mail.docx", "A 27061-2025")</f>
        <v/>
      </c>
      <c r="X349">
        <f>HYPERLINK("https://klasma.github.io/Logging_2305/tillsyn/A 27061-2025 tillsynsbegäran.docx", "A 27061-2025")</f>
        <v/>
      </c>
      <c r="Y349">
        <f>HYPERLINK("https://klasma.github.io/Logging_2305/tillsynsmail/A 27061-2025 tillsynsbegäran mail.docx", "A 27061-2025")</f>
        <v/>
      </c>
    </row>
    <row r="350" ht="15" customHeight="1">
      <c r="A350" t="inlineStr">
        <is>
          <t>A 53832-2024</t>
        </is>
      </c>
      <c r="B350" s="1" t="n">
        <v>45615</v>
      </c>
      <c r="C350" s="1" t="n">
        <v>46118</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28676-2025</t>
        </is>
      </c>
      <c r="B351" s="1" t="n">
        <v>45819.67771990741</v>
      </c>
      <c r="C351" s="1" t="n">
        <v>46118</v>
      </c>
      <c r="D351" t="inlineStr">
        <is>
          <t>JÄMTLANDS LÄN</t>
        </is>
      </c>
      <c r="E351" t="inlineStr">
        <is>
          <t>BRÄCKE</t>
        </is>
      </c>
      <c r="G351" t="n">
        <v>1.2</v>
      </c>
      <c r="H351" t="n">
        <v>0</v>
      </c>
      <c r="I351" t="n">
        <v>1</v>
      </c>
      <c r="J351" t="n">
        <v>0</v>
      </c>
      <c r="K351" t="n">
        <v>0</v>
      </c>
      <c r="L351" t="n">
        <v>0</v>
      </c>
      <c r="M351" t="n">
        <v>0</v>
      </c>
      <c r="N351" t="n">
        <v>0</v>
      </c>
      <c r="O351" t="n">
        <v>0</v>
      </c>
      <c r="P351" t="n">
        <v>0</v>
      </c>
      <c r="Q351" t="n">
        <v>1</v>
      </c>
      <c r="R351" s="2" t="inlineStr">
        <is>
          <t>Rödgul trumpetsvamp</t>
        </is>
      </c>
      <c r="S351">
        <f>HYPERLINK("https://klasma.github.io/Logging_2305/artfynd/A 28676-2025 artfynd.xlsx", "A 28676-2025")</f>
        <v/>
      </c>
      <c r="T351">
        <f>HYPERLINK("https://klasma.github.io/Logging_2305/kartor/A 28676-2025 karta.png", "A 28676-2025")</f>
        <v/>
      </c>
      <c r="V351">
        <f>HYPERLINK("https://klasma.github.io/Logging_2305/klagomål/A 28676-2025 FSC-klagomål.docx", "A 28676-2025")</f>
        <v/>
      </c>
      <c r="W351">
        <f>HYPERLINK("https://klasma.github.io/Logging_2305/klagomålsmail/A 28676-2025 FSC-klagomål mail.docx", "A 28676-2025")</f>
        <v/>
      </c>
      <c r="X351">
        <f>HYPERLINK("https://klasma.github.io/Logging_2305/tillsyn/A 28676-2025 tillsynsbegäran.docx", "A 28676-2025")</f>
        <v/>
      </c>
      <c r="Y351">
        <f>HYPERLINK("https://klasma.github.io/Logging_2305/tillsynsmail/A 28676-2025 tillsynsbegäran mail.docx", "A 28676-2025")</f>
        <v/>
      </c>
    </row>
    <row r="352" ht="15" customHeight="1">
      <c r="A352" t="inlineStr">
        <is>
          <t>A 31450-2025</t>
        </is>
      </c>
      <c r="B352" s="1" t="n">
        <v>45833.53162037037</v>
      </c>
      <c r="C352" s="1" t="n">
        <v>46118</v>
      </c>
      <c r="D352" t="inlineStr">
        <is>
          <t>JÄMTLANDS LÄN</t>
        </is>
      </c>
      <c r="E352" t="inlineStr">
        <is>
          <t>BRÄCKE</t>
        </is>
      </c>
      <c r="F352" t="inlineStr">
        <is>
          <t>SCA</t>
        </is>
      </c>
      <c r="G352" t="n">
        <v>1.6</v>
      </c>
      <c r="H352" t="n">
        <v>1</v>
      </c>
      <c r="I352" t="n">
        <v>1</v>
      </c>
      <c r="J352" t="n">
        <v>0</v>
      </c>
      <c r="K352" t="n">
        <v>0</v>
      </c>
      <c r="L352" t="n">
        <v>0</v>
      </c>
      <c r="M352" t="n">
        <v>0</v>
      </c>
      <c r="N352" t="n">
        <v>0</v>
      </c>
      <c r="O352" t="n">
        <v>0</v>
      </c>
      <c r="P352" t="n">
        <v>0</v>
      </c>
      <c r="Q352" t="n">
        <v>1</v>
      </c>
      <c r="R352" s="2" t="inlineStr">
        <is>
          <t>Plattlummer</t>
        </is>
      </c>
      <c r="S352">
        <f>HYPERLINK("https://klasma.github.io/Logging_2305/artfynd/A 31450-2025 artfynd.xlsx", "A 31450-2025")</f>
        <v/>
      </c>
      <c r="T352">
        <f>HYPERLINK("https://klasma.github.io/Logging_2305/kartor/A 31450-2025 karta.png", "A 31450-2025")</f>
        <v/>
      </c>
      <c r="V352">
        <f>HYPERLINK("https://klasma.github.io/Logging_2305/klagomål/A 31450-2025 FSC-klagomål.docx", "A 31450-2025")</f>
        <v/>
      </c>
      <c r="W352">
        <f>HYPERLINK("https://klasma.github.io/Logging_2305/klagomålsmail/A 31450-2025 FSC-klagomål mail.docx", "A 31450-2025")</f>
        <v/>
      </c>
      <c r="X352">
        <f>HYPERLINK("https://klasma.github.io/Logging_2305/tillsyn/A 31450-2025 tillsynsbegäran.docx", "A 31450-2025")</f>
        <v/>
      </c>
      <c r="Y352">
        <f>HYPERLINK("https://klasma.github.io/Logging_2305/tillsynsmail/A 31450-2025 tillsynsbegäran mail.docx", "A 31450-2025")</f>
        <v/>
      </c>
    </row>
    <row r="353" ht="15" customHeight="1">
      <c r="A353" t="inlineStr">
        <is>
          <t>A 34226-2025</t>
        </is>
      </c>
      <c r="B353" s="1" t="n">
        <v>45845.656875</v>
      </c>
      <c r="C353" s="1" t="n">
        <v>46118</v>
      </c>
      <c r="D353" t="inlineStr">
        <is>
          <t>JÄMTLANDS LÄN</t>
        </is>
      </c>
      <c r="E353" t="inlineStr">
        <is>
          <t>BRÄCKE</t>
        </is>
      </c>
      <c r="F353" t="inlineStr">
        <is>
          <t>SCA</t>
        </is>
      </c>
      <c r="G353" t="n">
        <v>9</v>
      </c>
      <c r="H353" t="n">
        <v>1</v>
      </c>
      <c r="I353" t="n">
        <v>0</v>
      </c>
      <c r="J353" t="n">
        <v>1</v>
      </c>
      <c r="K353" t="n">
        <v>0</v>
      </c>
      <c r="L353" t="n">
        <v>0</v>
      </c>
      <c r="M353" t="n">
        <v>0</v>
      </c>
      <c r="N353" t="n">
        <v>0</v>
      </c>
      <c r="O353" t="n">
        <v>1</v>
      </c>
      <c r="P353" t="n">
        <v>0</v>
      </c>
      <c r="Q353" t="n">
        <v>1</v>
      </c>
      <c r="R353" s="2" t="inlineStr">
        <is>
          <t>Talltita</t>
        </is>
      </c>
      <c r="S353">
        <f>HYPERLINK("https://klasma.github.io/Logging_2305/artfynd/A 34226-2025 artfynd.xlsx", "A 34226-2025")</f>
        <v/>
      </c>
      <c r="T353">
        <f>HYPERLINK("https://klasma.github.io/Logging_2305/kartor/A 34226-2025 karta.png", "A 34226-2025")</f>
        <v/>
      </c>
      <c r="V353">
        <f>HYPERLINK("https://klasma.github.io/Logging_2305/klagomål/A 34226-2025 FSC-klagomål.docx", "A 34226-2025")</f>
        <v/>
      </c>
      <c r="W353">
        <f>HYPERLINK("https://klasma.github.io/Logging_2305/klagomålsmail/A 34226-2025 FSC-klagomål mail.docx", "A 34226-2025")</f>
        <v/>
      </c>
      <c r="X353">
        <f>HYPERLINK("https://klasma.github.io/Logging_2305/tillsyn/A 34226-2025 tillsynsbegäran.docx", "A 34226-2025")</f>
        <v/>
      </c>
      <c r="Y353">
        <f>HYPERLINK("https://klasma.github.io/Logging_2305/tillsynsmail/A 34226-2025 tillsynsbegäran mail.docx", "A 34226-2025")</f>
        <v/>
      </c>
      <c r="Z353">
        <f>HYPERLINK("https://klasma.github.io/Logging_2305/fåglar/A 34226-2025 prioriterade fågelarter.docx", "A 34226-2025")</f>
        <v/>
      </c>
    </row>
    <row r="354" ht="15" customHeight="1">
      <c r="A354" t="inlineStr">
        <is>
          <t>A 39701-2022</t>
        </is>
      </c>
      <c r="B354" s="1" t="n">
        <v>44818</v>
      </c>
      <c r="C354" s="1" t="n">
        <v>46118</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46118</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46118</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46118</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46118</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46118</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46118</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46118</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46118</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46118</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46118</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46118</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46118</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46118</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46118</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46118</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46118</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46118</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46118</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46118</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46118</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46118</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46118</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46118</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69155-2021</t>
        </is>
      </c>
      <c r="B378" s="1" t="n">
        <v>44530.94708333333</v>
      </c>
      <c r="C378" s="1" t="n">
        <v>46118</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46118</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46118</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46118</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46118</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46118</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46118</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46118</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46118</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46118</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46118</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46118</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46118</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46118</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46118</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46118</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46118</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46118</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46118</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46118</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46118</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46118</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46118</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46118</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46118</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46118</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46118</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46118</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46118</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46118</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46118</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46118</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46118</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46118</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46118</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46118</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46118</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46118</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46118</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46118</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46118</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46118</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46118</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46118</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46118</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46118</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46118</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46118</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46118</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46118</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46118</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46118</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46118</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46118</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46118</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46118</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46118</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46118</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46118</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46118</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46118</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46118</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46118</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46118</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46118</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46118</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46118</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46118</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55523-2022</t>
        </is>
      </c>
      <c r="B446" s="1" t="n">
        <v>44887.94924768519</v>
      </c>
      <c r="C446" s="1" t="n">
        <v>46118</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46118</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46118</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46118</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46118</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46118</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46118</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46118</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46118</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46118</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46118</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46118</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46118</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46118</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46118</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46118</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46118</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46118</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46118</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46118</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46118</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46118</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46118</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46118</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46118</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46118</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22121-2024</t>
        </is>
      </c>
      <c r="B472" s="1" t="n">
        <v>45443.95271990741</v>
      </c>
      <c r="C472" s="1" t="n">
        <v>46118</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9553-2024</t>
        </is>
      </c>
      <c r="B473" s="1" t="n">
        <v>45360.03491898148</v>
      </c>
      <c r="C473" s="1" t="n">
        <v>46118</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46118</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58758-2023</t>
        </is>
      </c>
      <c r="B475" s="1" t="n">
        <v>45251.93006944445</v>
      </c>
      <c r="C475" s="1" t="n">
        <v>46118</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46118</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46118</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46118</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13244-2023</t>
        </is>
      </c>
      <c r="B479" s="1" t="n">
        <v>45002</v>
      </c>
      <c r="C479" s="1" t="n">
        <v>46118</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56491-2024</t>
        </is>
      </c>
      <c r="B480" s="1" t="n">
        <v>45625.48987268518</v>
      </c>
      <c r="C480" s="1" t="n">
        <v>46118</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19667-2025</t>
        </is>
      </c>
      <c r="B481" s="1" t="n">
        <v>45770.69820601852</v>
      </c>
      <c r="C481" s="1" t="n">
        <v>46118</v>
      </c>
      <c r="D481" t="inlineStr">
        <is>
          <t>JÄMTLANDS LÄN</t>
        </is>
      </c>
      <c r="E481" t="inlineStr">
        <is>
          <t>BRÄCKE</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46118</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46118</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46118</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46118</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46118</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46118</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49032-2024</t>
        </is>
      </c>
      <c r="B488" s="1" t="n">
        <v>45594.53152777778</v>
      </c>
      <c r="C488" s="1" t="n">
        <v>46118</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40693-2024</t>
        </is>
      </c>
      <c r="B489" s="1" t="n">
        <v>45558.40670138889</v>
      </c>
      <c r="C489" s="1" t="n">
        <v>46118</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58086-2024</t>
        </is>
      </c>
      <c r="B490" s="1" t="n">
        <v>45632.34436342592</v>
      </c>
      <c r="C490" s="1" t="n">
        <v>46118</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49043-2023</t>
        </is>
      </c>
      <c r="B491" s="1" t="n">
        <v>45209.95743055556</v>
      </c>
      <c r="C491" s="1" t="n">
        <v>46118</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46118</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46118</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9707-2025</t>
        </is>
      </c>
      <c r="B494" s="1" t="n">
        <v>45716.38592592593</v>
      </c>
      <c r="C494" s="1" t="n">
        <v>46118</v>
      </c>
      <c r="D494" t="inlineStr">
        <is>
          <t>JÄMTLANDS LÄN</t>
        </is>
      </c>
      <c r="E494" t="inlineStr">
        <is>
          <t>BRÄCKE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49727-2023</t>
        </is>
      </c>
      <c r="B495" s="1" t="n">
        <v>45208</v>
      </c>
      <c r="C495" s="1" t="n">
        <v>46118</v>
      </c>
      <c r="D495" t="inlineStr">
        <is>
          <t>JÄMTLANDS LÄN</t>
        </is>
      </c>
      <c r="E495" t="inlineStr">
        <is>
          <t>BRÄCKE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46118</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20093-2023</t>
        </is>
      </c>
      <c r="B497" s="1" t="n">
        <v>45054.94181712963</v>
      </c>
      <c r="C497" s="1" t="n">
        <v>46118</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57586-2024</t>
        </is>
      </c>
      <c r="B498" s="1" t="n">
        <v>45630.49229166667</v>
      </c>
      <c r="C498" s="1" t="n">
        <v>46118</v>
      </c>
      <c r="D498" t="inlineStr">
        <is>
          <t>JÄMTLANDS LÄN</t>
        </is>
      </c>
      <c r="E498" t="inlineStr">
        <is>
          <t>BRÄCKE</t>
        </is>
      </c>
      <c r="G498" t="n">
        <v>0.1</v>
      </c>
      <c r="H498" t="n">
        <v>0</v>
      </c>
      <c r="I498" t="n">
        <v>0</v>
      </c>
      <c r="J498" t="n">
        <v>0</v>
      </c>
      <c r="K498" t="n">
        <v>0</v>
      </c>
      <c r="L498" t="n">
        <v>0</v>
      </c>
      <c r="M498" t="n">
        <v>0</v>
      </c>
      <c r="N498" t="n">
        <v>0</v>
      </c>
      <c r="O498" t="n">
        <v>0</v>
      </c>
      <c r="P498" t="n">
        <v>0</v>
      </c>
      <c r="Q498" t="n">
        <v>0</v>
      </c>
      <c r="R498" s="2" t="inlineStr"/>
    </row>
    <row r="499" ht="15" customHeight="1">
      <c r="A499" t="inlineStr">
        <is>
          <t>A 23771-2023</t>
        </is>
      </c>
      <c r="B499" s="1" t="n">
        <v>45077</v>
      </c>
      <c r="C499" s="1" t="n">
        <v>46118</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44082-2024</t>
        </is>
      </c>
      <c r="B500" s="1" t="n">
        <v>45572.61549768518</v>
      </c>
      <c r="C500" s="1" t="n">
        <v>46118</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57942-2023</t>
        </is>
      </c>
      <c r="B501" s="1" t="n">
        <v>45244</v>
      </c>
      <c r="C501" s="1" t="n">
        <v>46118</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48425-2023</t>
        </is>
      </c>
      <c r="B502" s="1" t="n">
        <v>45205</v>
      </c>
      <c r="C502" s="1" t="n">
        <v>46118</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8853-2025</t>
        </is>
      </c>
      <c r="B503" s="1" t="n">
        <v>45713.34482638889</v>
      </c>
      <c r="C503" s="1" t="n">
        <v>46118</v>
      </c>
      <c r="D503" t="inlineStr">
        <is>
          <t>JÄMTLANDS LÄN</t>
        </is>
      </c>
      <c r="E503" t="inlineStr">
        <is>
          <t>BRÄCKE</t>
        </is>
      </c>
      <c r="F503" t="inlineStr">
        <is>
          <t>SCA</t>
        </is>
      </c>
      <c r="G503" t="n">
        <v>15.7</v>
      </c>
      <c r="H503" t="n">
        <v>0</v>
      </c>
      <c r="I503" t="n">
        <v>0</v>
      </c>
      <c r="J503" t="n">
        <v>0</v>
      </c>
      <c r="K503" t="n">
        <v>0</v>
      </c>
      <c r="L503" t="n">
        <v>0</v>
      </c>
      <c r="M503" t="n">
        <v>0</v>
      </c>
      <c r="N503" t="n">
        <v>0</v>
      </c>
      <c r="O503" t="n">
        <v>0</v>
      </c>
      <c r="P503" t="n">
        <v>0</v>
      </c>
      <c r="Q503" t="n">
        <v>0</v>
      </c>
      <c r="R503" s="2" t="inlineStr"/>
    </row>
    <row r="504" ht="15" customHeight="1">
      <c r="A504" t="inlineStr">
        <is>
          <t>A 12900-2023</t>
        </is>
      </c>
      <c r="B504" s="1" t="n">
        <v>45001</v>
      </c>
      <c r="C504" s="1" t="n">
        <v>46118</v>
      </c>
      <c r="D504" t="inlineStr">
        <is>
          <t>JÄMTLANDS LÄN</t>
        </is>
      </c>
      <c r="E504" t="inlineStr">
        <is>
          <t>BRÄCKE</t>
        </is>
      </c>
      <c r="G504" t="n">
        <v>1.3</v>
      </c>
      <c r="H504" t="n">
        <v>0</v>
      </c>
      <c r="I504" t="n">
        <v>0</v>
      </c>
      <c r="J504" t="n">
        <v>0</v>
      </c>
      <c r="K504" t="n">
        <v>0</v>
      </c>
      <c r="L504" t="n">
        <v>0</v>
      </c>
      <c r="M504" t="n">
        <v>0</v>
      </c>
      <c r="N504" t="n">
        <v>0</v>
      </c>
      <c r="O504" t="n">
        <v>0</v>
      </c>
      <c r="P504" t="n">
        <v>0</v>
      </c>
      <c r="Q504" t="n">
        <v>0</v>
      </c>
      <c r="R504" s="2" t="inlineStr"/>
    </row>
    <row r="505" ht="15" customHeight="1">
      <c r="A505" t="inlineStr">
        <is>
          <t>A 41831-2024</t>
        </is>
      </c>
      <c r="B505" s="1" t="n">
        <v>45561.40703703704</v>
      </c>
      <c r="C505" s="1" t="n">
        <v>46118</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33033-2023</t>
        </is>
      </c>
      <c r="B506" s="1" t="n">
        <v>45125.95037037037</v>
      </c>
      <c r="C506" s="1" t="n">
        <v>46118</v>
      </c>
      <c r="D506" t="inlineStr">
        <is>
          <t>JÄMTLANDS LÄN</t>
        </is>
      </c>
      <c r="E506" t="inlineStr">
        <is>
          <t>BRÄCKE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55221-2024</t>
        </is>
      </c>
      <c r="B507" s="1" t="n">
        <v>45621.57369212963</v>
      </c>
      <c r="C507" s="1" t="n">
        <v>46118</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1347-2025</t>
        </is>
      </c>
      <c r="B508" s="1" t="n">
        <v>45667.61490740741</v>
      </c>
      <c r="C508" s="1" t="n">
        <v>46118</v>
      </c>
      <c r="D508" t="inlineStr">
        <is>
          <t>JÄMTLANDS LÄN</t>
        </is>
      </c>
      <c r="E508" t="inlineStr">
        <is>
          <t>BRÄCKE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10486-2025</t>
        </is>
      </c>
      <c r="B509" s="1" t="n">
        <v>45721.34410879629</v>
      </c>
      <c r="C509" s="1" t="n">
        <v>46118</v>
      </c>
      <c r="D509" t="inlineStr">
        <is>
          <t>JÄMTLANDS LÄN</t>
        </is>
      </c>
      <c r="E509" t="inlineStr">
        <is>
          <t>BRÄCKE</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4904-2025</t>
        </is>
      </c>
      <c r="B510" s="1" t="n">
        <v>45688.68020833333</v>
      </c>
      <c r="C510" s="1" t="n">
        <v>46118</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58740-2023</t>
        </is>
      </c>
      <c r="B511" s="1" t="n">
        <v>45251.92890046296</v>
      </c>
      <c r="C511" s="1" t="n">
        <v>46118</v>
      </c>
      <c r="D511" t="inlineStr">
        <is>
          <t>JÄMTLANDS LÄN</t>
        </is>
      </c>
      <c r="E511" t="inlineStr">
        <is>
          <t>BRÄCKE</t>
        </is>
      </c>
      <c r="G511" t="n">
        <v>1.4</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46118</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46118</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46118</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46118</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6291-2025</t>
        </is>
      </c>
      <c r="B516" s="1" t="n">
        <v>45698.65653935185</v>
      </c>
      <c r="C516" s="1" t="n">
        <v>46118</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40313-2021</t>
        </is>
      </c>
      <c r="B517" s="1" t="n">
        <v>44419.50186342592</v>
      </c>
      <c r="C517" s="1" t="n">
        <v>46118</v>
      </c>
      <c r="D517" t="inlineStr">
        <is>
          <t>JÄMTLANDS LÄN</t>
        </is>
      </c>
      <c r="E517" t="inlineStr">
        <is>
          <t>BRÄCKE</t>
        </is>
      </c>
      <c r="G517" t="n">
        <v>5.7</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46118</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14492-2024</t>
        </is>
      </c>
      <c r="B519" s="1" t="n">
        <v>45394.58215277778</v>
      </c>
      <c r="C519" s="1" t="n">
        <v>46118</v>
      </c>
      <c r="D519" t="inlineStr">
        <is>
          <t>JÄMTLANDS LÄN</t>
        </is>
      </c>
      <c r="E519" t="inlineStr">
        <is>
          <t>BRÄCKE</t>
        </is>
      </c>
      <c r="G519" t="n">
        <v>16.6</v>
      </c>
      <c r="H519" t="n">
        <v>0</v>
      </c>
      <c r="I519" t="n">
        <v>0</v>
      </c>
      <c r="J519" t="n">
        <v>0</v>
      </c>
      <c r="K519" t="n">
        <v>0</v>
      </c>
      <c r="L519" t="n">
        <v>0</v>
      </c>
      <c r="M519" t="n">
        <v>0</v>
      </c>
      <c r="N519" t="n">
        <v>0</v>
      </c>
      <c r="O519" t="n">
        <v>0</v>
      </c>
      <c r="P519" t="n">
        <v>0</v>
      </c>
      <c r="Q519" t="n">
        <v>0</v>
      </c>
      <c r="R519" s="2" t="inlineStr"/>
    </row>
    <row r="520" ht="15" customHeight="1">
      <c r="A520" t="inlineStr">
        <is>
          <t>A 14373-2024</t>
        </is>
      </c>
      <c r="B520" s="1" t="n">
        <v>45393</v>
      </c>
      <c r="C520" s="1" t="n">
        <v>46118</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46118</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3787-2025</t>
        </is>
      </c>
      <c r="B522" s="1" t="n">
        <v>45681.6362037037</v>
      </c>
      <c r="C522" s="1" t="n">
        <v>46118</v>
      </c>
      <c r="D522" t="inlineStr">
        <is>
          <t>JÄMTLANDS LÄN</t>
        </is>
      </c>
      <c r="E522" t="inlineStr">
        <is>
          <t>BRÄCKE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17973-2025</t>
        </is>
      </c>
      <c r="B523" s="1" t="n">
        <v>45761.36490740741</v>
      </c>
      <c r="C523" s="1" t="n">
        <v>46118</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17977-2025</t>
        </is>
      </c>
      <c r="B524" s="1" t="n">
        <v>45761.36550925926</v>
      </c>
      <c r="C524" s="1" t="n">
        <v>46118</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53578-2024</t>
        </is>
      </c>
      <c r="B525" s="1" t="n">
        <v>45614</v>
      </c>
      <c r="C525" s="1" t="n">
        <v>46118</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37959-2024</t>
        </is>
      </c>
      <c r="B526" s="1" t="n">
        <v>45544.53870370371</v>
      </c>
      <c r="C526" s="1" t="n">
        <v>46118</v>
      </c>
      <c r="D526" t="inlineStr">
        <is>
          <t>JÄMTLANDS LÄN</t>
        </is>
      </c>
      <c r="E526" t="inlineStr">
        <is>
          <t>BRÄCKE</t>
        </is>
      </c>
      <c r="G526" t="n">
        <v>6.5</v>
      </c>
      <c r="H526" t="n">
        <v>0</v>
      </c>
      <c r="I526" t="n">
        <v>0</v>
      </c>
      <c r="J526" t="n">
        <v>0</v>
      </c>
      <c r="K526" t="n">
        <v>0</v>
      </c>
      <c r="L526" t="n">
        <v>0</v>
      </c>
      <c r="M526" t="n">
        <v>0</v>
      </c>
      <c r="N526" t="n">
        <v>0</v>
      </c>
      <c r="O526" t="n">
        <v>0</v>
      </c>
      <c r="P526" t="n">
        <v>0</v>
      </c>
      <c r="Q526" t="n">
        <v>0</v>
      </c>
      <c r="R526" s="2" t="inlineStr"/>
    </row>
    <row r="527" ht="15" customHeight="1">
      <c r="A527" t="inlineStr">
        <is>
          <t>A 23767-2023</t>
        </is>
      </c>
      <c r="B527" s="1" t="n">
        <v>45077</v>
      </c>
      <c r="C527" s="1" t="n">
        <v>46118</v>
      </c>
      <c r="D527" t="inlineStr">
        <is>
          <t>JÄMTLANDS LÄN</t>
        </is>
      </c>
      <c r="E527" t="inlineStr">
        <is>
          <t>BRÄCKE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23773-2023</t>
        </is>
      </c>
      <c r="B528" s="1" t="n">
        <v>45077.94631944445</v>
      </c>
      <c r="C528" s="1" t="n">
        <v>46118</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61079-2024</t>
        </is>
      </c>
      <c r="B529" s="1" t="n">
        <v>45645.51072916666</v>
      </c>
      <c r="C529" s="1" t="n">
        <v>46118</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55662-2023</t>
        </is>
      </c>
      <c r="B530" s="1" t="n">
        <v>45238.96730324074</v>
      </c>
      <c r="C530" s="1" t="n">
        <v>46118</v>
      </c>
      <c r="D530" t="inlineStr">
        <is>
          <t>JÄMTLANDS LÄN</t>
        </is>
      </c>
      <c r="E530" t="inlineStr">
        <is>
          <t>BRÄCKE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8891-2025</t>
        </is>
      </c>
      <c r="B531" s="1" t="n">
        <v>45713.39917824074</v>
      </c>
      <c r="C531" s="1" t="n">
        <v>46118</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9387-2025</t>
        </is>
      </c>
      <c r="B532" s="1" t="n">
        <v>45715.34461805555</v>
      </c>
      <c r="C532" s="1" t="n">
        <v>46118</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33870-2023</t>
        </is>
      </c>
      <c r="B533" s="1" t="n">
        <v>45133.95326388889</v>
      </c>
      <c r="C533" s="1" t="n">
        <v>46118</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12762-2025</t>
        </is>
      </c>
      <c r="B534" s="1" t="n">
        <v>45733.57340277778</v>
      </c>
      <c r="C534" s="1" t="n">
        <v>46118</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54600-2023</t>
        </is>
      </c>
      <c r="B535" s="1" t="n">
        <v>45233.95663194444</v>
      </c>
      <c r="C535" s="1" t="n">
        <v>46118</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18600-2024</t>
        </is>
      </c>
      <c r="B536" s="1" t="n">
        <v>45425.92462962963</v>
      </c>
      <c r="C536" s="1" t="n">
        <v>46118</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18066-2025</t>
        </is>
      </c>
      <c r="B537" s="1" t="n">
        <v>45761.49002314815</v>
      </c>
      <c r="C537" s="1" t="n">
        <v>46118</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45304-2022</t>
        </is>
      </c>
      <c r="B538" s="1" t="n">
        <v>44841</v>
      </c>
      <c r="C538" s="1" t="n">
        <v>46118</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30719-2022</t>
        </is>
      </c>
      <c r="B539" s="1" t="n">
        <v>44763.94347222222</v>
      </c>
      <c r="C539" s="1" t="n">
        <v>46118</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39996-2024</t>
        </is>
      </c>
      <c r="B540" s="1" t="n">
        <v>45553.63585648148</v>
      </c>
      <c r="C540" s="1" t="n">
        <v>46118</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37173-2024</t>
        </is>
      </c>
      <c r="B541" s="1" t="n">
        <v>45539.63597222222</v>
      </c>
      <c r="C541" s="1" t="n">
        <v>46118</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52227-2024</t>
        </is>
      </c>
      <c r="B542" s="1" t="n">
        <v>45608.60768518518</v>
      </c>
      <c r="C542" s="1" t="n">
        <v>46118</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2065-2024</t>
        </is>
      </c>
      <c r="B543" s="1" t="n">
        <v>45308.97871527778</v>
      </c>
      <c r="C543" s="1" t="n">
        <v>46118</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59774-2024</t>
        </is>
      </c>
      <c r="B544" s="1" t="n">
        <v>45639.56954861111</v>
      </c>
      <c r="C544" s="1" t="n">
        <v>46118</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62102-2024</t>
        </is>
      </c>
      <c r="B545" s="1" t="n">
        <v>45656.51145833333</v>
      </c>
      <c r="C545" s="1" t="n">
        <v>46118</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4123-2025</t>
        </is>
      </c>
      <c r="B546" s="1" t="n">
        <v>45685.27107638889</v>
      </c>
      <c r="C546" s="1" t="n">
        <v>46118</v>
      </c>
      <c r="D546" t="inlineStr">
        <is>
          <t>JÄMTLANDS LÄN</t>
        </is>
      </c>
      <c r="E546" t="inlineStr">
        <is>
          <t>BRÄCKE</t>
        </is>
      </c>
      <c r="G546" t="n">
        <v>0.3</v>
      </c>
      <c r="H546" t="n">
        <v>0</v>
      </c>
      <c r="I546" t="n">
        <v>0</v>
      </c>
      <c r="J546" t="n">
        <v>0</v>
      </c>
      <c r="K546" t="n">
        <v>0</v>
      </c>
      <c r="L546" t="n">
        <v>0</v>
      </c>
      <c r="M546" t="n">
        <v>0</v>
      </c>
      <c r="N546" t="n">
        <v>0</v>
      </c>
      <c r="O546" t="n">
        <v>0</v>
      </c>
      <c r="P546" t="n">
        <v>0</v>
      </c>
      <c r="Q546" t="n">
        <v>0</v>
      </c>
      <c r="R546" s="2" t="inlineStr"/>
    </row>
    <row r="547" ht="15" customHeight="1">
      <c r="A547" t="inlineStr">
        <is>
          <t>A 28766-2024</t>
        </is>
      </c>
      <c r="B547" s="1" t="n">
        <v>45478</v>
      </c>
      <c r="C547" s="1" t="n">
        <v>46118</v>
      </c>
      <c r="D547" t="inlineStr">
        <is>
          <t>JÄMTLANDS LÄN</t>
        </is>
      </c>
      <c r="E547" t="inlineStr">
        <is>
          <t>BRÄCKE</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13668-2024</t>
        </is>
      </c>
      <c r="B548" s="1" t="n">
        <v>45387</v>
      </c>
      <c r="C548" s="1" t="n">
        <v>46118</v>
      </c>
      <c r="D548" t="inlineStr">
        <is>
          <t>JÄMTLANDS LÄN</t>
        </is>
      </c>
      <c r="E548" t="inlineStr">
        <is>
          <t>BRÄCKE</t>
        </is>
      </c>
      <c r="G548" t="n">
        <v>8.1</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46118</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22459-2024</t>
        </is>
      </c>
      <c r="B550" s="1" t="n">
        <v>45446.94972222222</v>
      </c>
      <c r="C550" s="1" t="n">
        <v>46118</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12864-2024</t>
        </is>
      </c>
      <c r="B551" s="1" t="n">
        <v>45384.9415625</v>
      </c>
      <c r="C551" s="1" t="n">
        <v>46118</v>
      </c>
      <c r="D551" t="inlineStr">
        <is>
          <t>JÄMTLANDS LÄN</t>
        </is>
      </c>
      <c r="E551" t="inlineStr">
        <is>
          <t>BRÄCKE</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46118</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14630-2025</t>
        </is>
      </c>
      <c r="B553" s="1" t="n">
        <v>45742.42767361111</v>
      </c>
      <c r="C553" s="1" t="n">
        <v>46118</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46118</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5169-2025</t>
        </is>
      </c>
      <c r="B555" s="1" t="n">
        <v>45691.61571759259</v>
      </c>
      <c r="C555" s="1" t="n">
        <v>46118</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46118</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783-2025</t>
        </is>
      </c>
      <c r="B557" s="1" t="n">
        <v>45665.49290509259</v>
      </c>
      <c r="C557" s="1" t="n">
        <v>46118</v>
      </c>
      <c r="D557" t="inlineStr">
        <is>
          <t>JÄMTLANDS LÄN</t>
        </is>
      </c>
      <c r="E557" t="inlineStr">
        <is>
          <t>BRÄCKE</t>
        </is>
      </c>
      <c r="G557" t="n">
        <v>4</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46118</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58039-2021</t>
        </is>
      </c>
      <c r="B559" s="1" t="n">
        <v>44487</v>
      </c>
      <c r="C559" s="1" t="n">
        <v>46118</v>
      </c>
      <c r="D559" t="inlineStr">
        <is>
          <t>JÄMTLANDS LÄN</t>
        </is>
      </c>
      <c r="E559" t="inlineStr">
        <is>
          <t>BRÄCKE</t>
        </is>
      </c>
      <c r="G559" t="n">
        <v>7.4</v>
      </c>
      <c r="H559" t="n">
        <v>0</v>
      </c>
      <c r="I559" t="n">
        <v>0</v>
      </c>
      <c r="J559" t="n">
        <v>0</v>
      </c>
      <c r="K559" t="n">
        <v>0</v>
      </c>
      <c r="L559" t="n">
        <v>0</v>
      </c>
      <c r="M559" t="n">
        <v>0</v>
      </c>
      <c r="N559" t="n">
        <v>0</v>
      </c>
      <c r="O559" t="n">
        <v>0</v>
      </c>
      <c r="P559" t="n">
        <v>0</v>
      </c>
      <c r="Q559" t="n">
        <v>0</v>
      </c>
      <c r="R559" s="2" t="inlineStr"/>
    </row>
    <row r="560" ht="15" customHeight="1">
      <c r="A560" t="inlineStr">
        <is>
          <t>A 59417-2023</t>
        </is>
      </c>
      <c r="B560" s="1" t="n">
        <v>45253</v>
      </c>
      <c r="C560" s="1" t="n">
        <v>46118</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46118</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11438-2025</t>
        </is>
      </c>
      <c r="B562" s="1" t="n">
        <v>45726.61552083334</v>
      </c>
      <c r="C562" s="1" t="n">
        <v>46118</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9467-2025</t>
        </is>
      </c>
      <c r="B563" s="1" t="n">
        <v>45715.46903935185</v>
      </c>
      <c r="C563" s="1" t="n">
        <v>46118</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39509-2023</t>
        </is>
      </c>
      <c r="B564" s="1" t="n">
        <v>45166.95824074074</v>
      </c>
      <c r="C564" s="1" t="n">
        <v>46118</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27256-2021</t>
        </is>
      </c>
      <c r="B565" s="1" t="n">
        <v>44350</v>
      </c>
      <c r="C565" s="1" t="n">
        <v>46118</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5004-2023</t>
        </is>
      </c>
      <c r="B566" s="1" t="n">
        <v>44956</v>
      </c>
      <c r="C566" s="1" t="n">
        <v>46118</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54243-2022</t>
        </is>
      </c>
      <c r="B567" s="1" t="n">
        <v>44881</v>
      </c>
      <c r="C567" s="1" t="n">
        <v>46118</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172-2025</t>
        </is>
      </c>
      <c r="B568" s="1" t="n">
        <v>45659.6565625</v>
      </c>
      <c r="C568" s="1" t="n">
        <v>46118</v>
      </c>
      <c r="D568" t="inlineStr">
        <is>
          <t>JÄMTLANDS LÄN</t>
        </is>
      </c>
      <c r="E568" t="inlineStr">
        <is>
          <t>BRÄCKE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44324-2023</t>
        </is>
      </c>
      <c r="B569" s="1" t="n">
        <v>45188</v>
      </c>
      <c r="C569" s="1" t="n">
        <v>46118</v>
      </c>
      <c r="D569" t="inlineStr">
        <is>
          <t>JÄMTLANDS LÄN</t>
        </is>
      </c>
      <c r="E569" t="inlineStr">
        <is>
          <t>BRÄCKE</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47486-2023</t>
        </is>
      </c>
      <c r="B570" s="1" t="n">
        <v>45202.94155092593</v>
      </c>
      <c r="C570" s="1" t="n">
        <v>46118</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47487-2023</t>
        </is>
      </c>
      <c r="B571" s="1" t="n">
        <v>45202.94162037037</v>
      </c>
      <c r="C571" s="1" t="n">
        <v>46118</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18057-2025</t>
        </is>
      </c>
      <c r="B572" s="1" t="n">
        <v>45761.47681712963</v>
      </c>
      <c r="C572" s="1" t="n">
        <v>46118</v>
      </c>
      <c r="D572" t="inlineStr">
        <is>
          <t>JÄMTLANDS LÄN</t>
        </is>
      </c>
      <c r="E572" t="inlineStr">
        <is>
          <t>BRÄCKE</t>
        </is>
      </c>
      <c r="G572" t="n">
        <v>4.3</v>
      </c>
      <c r="H572" t="n">
        <v>0</v>
      </c>
      <c r="I572" t="n">
        <v>0</v>
      </c>
      <c r="J572" t="n">
        <v>0</v>
      </c>
      <c r="K572" t="n">
        <v>0</v>
      </c>
      <c r="L572" t="n">
        <v>0</v>
      </c>
      <c r="M572" t="n">
        <v>0</v>
      </c>
      <c r="N572" t="n">
        <v>0</v>
      </c>
      <c r="O572" t="n">
        <v>0</v>
      </c>
      <c r="P572" t="n">
        <v>0</v>
      </c>
      <c r="Q572" t="n">
        <v>0</v>
      </c>
      <c r="R572" s="2" t="inlineStr"/>
    </row>
    <row r="573" ht="15" customHeight="1">
      <c r="A573" t="inlineStr">
        <is>
          <t>A 18065-2025</t>
        </is>
      </c>
      <c r="B573" s="1" t="n">
        <v>45761.48989583334</v>
      </c>
      <c r="C573" s="1" t="n">
        <v>46118</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4882-2025</t>
        </is>
      </c>
      <c r="B574" s="1" t="n">
        <v>45688.67729166667</v>
      </c>
      <c r="C574" s="1" t="n">
        <v>46118</v>
      </c>
      <c r="D574" t="inlineStr">
        <is>
          <t>JÄMTLANDS LÄN</t>
        </is>
      </c>
      <c r="E574" t="inlineStr">
        <is>
          <t>BRÄCKE</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1504-2025</t>
        </is>
      </c>
      <c r="B575" s="1" t="n">
        <v>45670.42738425926</v>
      </c>
      <c r="C575" s="1" t="n">
        <v>46118</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4915-2025</t>
        </is>
      </c>
      <c r="B576" s="1" t="n">
        <v>45688.68184027778</v>
      </c>
      <c r="C576" s="1" t="n">
        <v>46118</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17182-2024</t>
        </is>
      </c>
      <c r="B577" s="1" t="n">
        <v>45412.97984953703</v>
      </c>
      <c r="C577" s="1" t="n">
        <v>46118</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46939-2023</t>
        </is>
      </c>
      <c r="B578" s="1" t="n">
        <v>45195</v>
      </c>
      <c r="C578" s="1" t="n">
        <v>46118</v>
      </c>
      <c r="D578" t="inlineStr">
        <is>
          <t>JÄMTLANDS LÄN</t>
        </is>
      </c>
      <c r="E578" t="inlineStr">
        <is>
          <t>BRÄCKE</t>
        </is>
      </c>
      <c r="G578" t="n">
        <v>13.4</v>
      </c>
      <c r="H578" t="n">
        <v>0</v>
      </c>
      <c r="I578" t="n">
        <v>0</v>
      </c>
      <c r="J578" t="n">
        <v>0</v>
      </c>
      <c r="K578" t="n">
        <v>0</v>
      </c>
      <c r="L578" t="n">
        <v>0</v>
      </c>
      <c r="M578" t="n">
        <v>0</v>
      </c>
      <c r="N578" t="n">
        <v>0</v>
      </c>
      <c r="O578" t="n">
        <v>0</v>
      </c>
      <c r="P578" t="n">
        <v>0</v>
      </c>
      <c r="Q578" t="n">
        <v>0</v>
      </c>
      <c r="R578" s="2" t="inlineStr"/>
    </row>
    <row r="579" ht="15" customHeight="1">
      <c r="A579" t="inlineStr">
        <is>
          <t>A 11331-2024</t>
        </is>
      </c>
      <c r="B579" s="1" t="n">
        <v>45372.04696759259</v>
      </c>
      <c r="C579" s="1" t="n">
        <v>46118</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56896-2021</t>
        </is>
      </c>
      <c r="B580" s="1" t="n">
        <v>44481.92091435185</v>
      </c>
      <c r="C580" s="1" t="n">
        <v>46118</v>
      </c>
      <c r="D580" t="inlineStr">
        <is>
          <t>JÄMTLANDS LÄN</t>
        </is>
      </c>
      <c r="E580" t="inlineStr">
        <is>
          <t>BRÄCKE</t>
        </is>
      </c>
      <c r="G580" t="n">
        <v>1.3</v>
      </c>
      <c r="H580" t="n">
        <v>0</v>
      </c>
      <c r="I580" t="n">
        <v>0</v>
      </c>
      <c r="J580" t="n">
        <v>0</v>
      </c>
      <c r="K580" t="n">
        <v>0</v>
      </c>
      <c r="L580" t="n">
        <v>0</v>
      </c>
      <c r="M580" t="n">
        <v>0</v>
      </c>
      <c r="N580" t="n">
        <v>0</v>
      </c>
      <c r="O580" t="n">
        <v>0</v>
      </c>
      <c r="P580" t="n">
        <v>0</v>
      </c>
      <c r="Q580" t="n">
        <v>0</v>
      </c>
      <c r="R580" s="2" t="inlineStr"/>
    </row>
    <row r="581" ht="15" customHeight="1">
      <c r="A581" t="inlineStr">
        <is>
          <t>A 40769-2021</t>
        </is>
      </c>
      <c r="B581" s="1" t="n">
        <v>44420</v>
      </c>
      <c r="C581" s="1" t="n">
        <v>46118</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53407-2022</t>
        </is>
      </c>
      <c r="B582" s="1" t="n">
        <v>44874</v>
      </c>
      <c r="C582" s="1" t="n">
        <v>46118</v>
      </c>
      <c r="D582" t="inlineStr">
        <is>
          <t>JÄMTLANDS LÄN</t>
        </is>
      </c>
      <c r="E582" t="inlineStr">
        <is>
          <t>BRÄCKE</t>
        </is>
      </c>
      <c r="G582" t="n">
        <v>1.8</v>
      </c>
      <c r="H582" t="n">
        <v>0</v>
      </c>
      <c r="I582" t="n">
        <v>0</v>
      </c>
      <c r="J582" t="n">
        <v>0</v>
      </c>
      <c r="K582" t="n">
        <v>0</v>
      </c>
      <c r="L582" t="n">
        <v>0</v>
      </c>
      <c r="M582" t="n">
        <v>0</v>
      </c>
      <c r="N582" t="n">
        <v>0</v>
      </c>
      <c r="O582" t="n">
        <v>0</v>
      </c>
      <c r="P582" t="n">
        <v>0</v>
      </c>
      <c r="Q582" t="n">
        <v>0</v>
      </c>
      <c r="R582" s="2" t="inlineStr"/>
    </row>
    <row r="583" ht="15" customHeight="1">
      <c r="A583" t="inlineStr">
        <is>
          <t>A 52269-2023</t>
        </is>
      </c>
      <c r="B583" s="1" t="n">
        <v>45217</v>
      </c>
      <c r="C583" s="1" t="n">
        <v>46118</v>
      </c>
      <c r="D583" t="inlineStr">
        <is>
          <t>JÄMTLANDS LÄN</t>
        </is>
      </c>
      <c r="E583" t="inlineStr">
        <is>
          <t>BRÄCKE</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51167-2023</t>
        </is>
      </c>
      <c r="B584" s="1" t="n">
        <v>45219.38388888889</v>
      </c>
      <c r="C584" s="1" t="n">
        <v>46118</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26278-2024</t>
        </is>
      </c>
      <c r="B585" s="1" t="n">
        <v>45468.68905092592</v>
      </c>
      <c r="C585" s="1" t="n">
        <v>46118</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38302-2024</t>
        </is>
      </c>
      <c r="B586" s="1" t="n">
        <v>45545.63614583333</v>
      </c>
      <c r="C586" s="1" t="n">
        <v>46118</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51161-2023</t>
        </is>
      </c>
      <c r="B587" s="1" t="n">
        <v>45219.38019675926</v>
      </c>
      <c r="C587" s="1" t="n">
        <v>46118</v>
      </c>
      <c r="D587" t="inlineStr">
        <is>
          <t>JÄMTLANDS LÄN</t>
        </is>
      </c>
      <c r="E587" t="inlineStr">
        <is>
          <t>BRÄCKE</t>
        </is>
      </c>
      <c r="G587" t="n">
        <v>2.5</v>
      </c>
      <c r="H587" t="n">
        <v>0</v>
      </c>
      <c r="I587" t="n">
        <v>0</v>
      </c>
      <c r="J587" t="n">
        <v>0</v>
      </c>
      <c r="K587" t="n">
        <v>0</v>
      </c>
      <c r="L587" t="n">
        <v>0</v>
      </c>
      <c r="M587" t="n">
        <v>0</v>
      </c>
      <c r="N587" t="n">
        <v>0</v>
      </c>
      <c r="O587" t="n">
        <v>0</v>
      </c>
      <c r="P587" t="n">
        <v>0</v>
      </c>
      <c r="Q587" t="n">
        <v>0</v>
      </c>
      <c r="R587" s="2" t="inlineStr"/>
    </row>
    <row r="588" ht="15" customHeight="1">
      <c r="A588" t="inlineStr">
        <is>
          <t>A 15243-2025</t>
        </is>
      </c>
      <c r="B588" s="1" t="n">
        <v>45744.61537037037</v>
      </c>
      <c r="C588" s="1" t="n">
        <v>46118</v>
      </c>
      <c r="D588" t="inlineStr">
        <is>
          <t>JÄMTLANDS LÄN</t>
        </is>
      </c>
      <c r="E588" t="inlineStr">
        <is>
          <t>BRÄCKE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44841-2024</t>
        </is>
      </c>
      <c r="B589" s="1" t="n">
        <v>45574.71900462963</v>
      </c>
      <c r="C589" s="1" t="n">
        <v>46118</v>
      </c>
      <c r="D589" t="inlineStr">
        <is>
          <t>JÄMTLANDS LÄN</t>
        </is>
      </c>
      <c r="E589" t="inlineStr">
        <is>
          <t>BRÄCKE</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25883-2022</t>
        </is>
      </c>
      <c r="B590" s="1" t="n">
        <v>44733</v>
      </c>
      <c r="C590" s="1" t="n">
        <v>46118</v>
      </c>
      <c r="D590" t="inlineStr">
        <is>
          <t>JÄMTLANDS LÄN</t>
        </is>
      </c>
      <c r="E590" t="inlineStr">
        <is>
          <t>BRÄCKE</t>
        </is>
      </c>
      <c r="F590" t="inlineStr">
        <is>
          <t>Övriga Aktiebolag</t>
        </is>
      </c>
      <c r="G590" t="n">
        <v>23.4</v>
      </c>
      <c r="H590" t="n">
        <v>0</v>
      </c>
      <c r="I590" t="n">
        <v>0</v>
      </c>
      <c r="J590" t="n">
        <v>0</v>
      </c>
      <c r="K590" t="n">
        <v>0</v>
      </c>
      <c r="L590" t="n">
        <v>0</v>
      </c>
      <c r="M590" t="n">
        <v>0</v>
      </c>
      <c r="N590" t="n">
        <v>0</v>
      </c>
      <c r="O590" t="n">
        <v>0</v>
      </c>
      <c r="P590" t="n">
        <v>0</v>
      </c>
      <c r="Q590" t="n">
        <v>0</v>
      </c>
      <c r="R590" s="2" t="inlineStr"/>
    </row>
    <row r="591" ht="15" customHeight="1">
      <c r="A591" t="inlineStr">
        <is>
          <t>A 40094-2023</t>
        </is>
      </c>
      <c r="B591" s="1" t="n">
        <v>45168</v>
      </c>
      <c r="C591" s="1" t="n">
        <v>46118</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23752-2023</t>
        </is>
      </c>
      <c r="B592" s="1" t="n">
        <v>45077.92935185185</v>
      </c>
      <c r="C592" s="1" t="n">
        <v>46118</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5527-2025</t>
        </is>
      </c>
      <c r="B593" s="1" t="n">
        <v>45693.42859953704</v>
      </c>
      <c r="C593" s="1" t="n">
        <v>46118</v>
      </c>
      <c r="D593" t="inlineStr">
        <is>
          <t>JÄMTLANDS LÄN</t>
        </is>
      </c>
      <c r="E593" t="inlineStr">
        <is>
          <t>BRÄCKE</t>
        </is>
      </c>
      <c r="G593" t="n">
        <v>4.8</v>
      </c>
      <c r="H593" t="n">
        <v>0</v>
      </c>
      <c r="I593" t="n">
        <v>0</v>
      </c>
      <c r="J593" t="n">
        <v>0</v>
      </c>
      <c r="K593" t="n">
        <v>0</v>
      </c>
      <c r="L593" t="n">
        <v>0</v>
      </c>
      <c r="M593" t="n">
        <v>0</v>
      </c>
      <c r="N593" t="n">
        <v>0</v>
      </c>
      <c r="O593" t="n">
        <v>0</v>
      </c>
      <c r="P593" t="n">
        <v>0</v>
      </c>
      <c r="Q593" t="n">
        <v>0</v>
      </c>
      <c r="R593" s="2" t="inlineStr"/>
    </row>
    <row r="594" ht="15" customHeight="1">
      <c r="A594" t="inlineStr">
        <is>
          <t>A 57414-2023</t>
        </is>
      </c>
      <c r="B594" s="1" t="n">
        <v>45245.96939814815</v>
      </c>
      <c r="C594" s="1" t="n">
        <v>46118</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38105-2024</t>
        </is>
      </c>
      <c r="B595" s="1" t="n">
        <v>45545.36538194444</v>
      </c>
      <c r="C595" s="1" t="n">
        <v>46118</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55436-2024</t>
        </is>
      </c>
      <c r="B596" s="1" t="n">
        <v>45622.4022337963</v>
      </c>
      <c r="C596" s="1" t="n">
        <v>46118</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35398-2024</t>
        </is>
      </c>
      <c r="B597" s="1" t="n">
        <v>45531.40420138889</v>
      </c>
      <c r="C597" s="1" t="n">
        <v>46118</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13525-2022</t>
        </is>
      </c>
      <c r="B598" s="1" t="n">
        <v>44648</v>
      </c>
      <c r="C598" s="1" t="n">
        <v>46118</v>
      </c>
      <c r="D598" t="inlineStr">
        <is>
          <t>JÄMTLANDS LÄN</t>
        </is>
      </c>
      <c r="E598" t="inlineStr">
        <is>
          <t>BRÄCKE</t>
        </is>
      </c>
      <c r="G598" t="n">
        <v>0.5</v>
      </c>
      <c r="H598" t="n">
        <v>0</v>
      </c>
      <c r="I598" t="n">
        <v>0</v>
      </c>
      <c r="J598" t="n">
        <v>0</v>
      </c>
      <c r="K598" t="n">
        <v>0</v>
      </c>
      <c r="L598" t="n">
        <v>0</v>
      </c>
      <c r="M598" t="n">
        <v>0</v>
      </c>
      <c r="N598" t="n">
        <v>0</v>
      </c>
      <c r="O598" t="n">
        <v>0</v>
      </c>
      <c r="P598" t="n">
        <v>0</v>
      </c>
      <c r="Q598" t="n">
        <v>0</v>
      </c>
      <c r="R598" s="2" t="inlineStr"/>
    </row>
    <row r="599" ht="15" customHeight="1">
      <c r="A599" t="inlineStr">
        <is>
          <t>A 2498-2025</t>
        </is>
      </c>
      <c r="B599" s="1" t="n">
        <v>45674.5315625</v>
      </c>
      <c r="C599" s="1" t="n">
        <v>46118</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2511-2025</t>
        </is>
      </c>
      <c r="B600" s="1" t="n">
        <v>45674.57393518519</v>
      </c>
      <c r="C600" s="1" t="n">
        <v>46118</v>
      </c>
      <c r="D600" t="inlineStr">
        <is>
          <t>JÄMTLANDS LÄN</t>
        </is>
      </c>
      <c r="E600" t="inlineStr">
        <is>
          <t>BRÄCKE</t>
        </is>
      </c>
      <c r="F600" t="inlineStr">
        <is>
          <t>SCA</t>
        </is>
      </c>
      <c r="G600" t="n">
        <v>10.5</v>
      </c>
      <c r="H600" t="n">
        <v>0</v>
      </c>
      <c r="I600" t="n">
        <v>0</v>
      </c>
      <c r="J600" t="n">
        <v>0</v>
      </c>
      <c r="K600" t="n">
        <v>0</v>
      </c>
      <c r="L600" t="n">
        <v>0</v>
      </c>
      <c r="M600" t="n">
        <v>0</v>
      </c>
      <c r="N600" t="n">
        <v>0</v>
      </c>
      <c r="O600" t="n">
        <v>0</v>
      </c>
      <c r="P600" t="n">
        <v>0</v>
      </c>
      <c r="Q600" t="n">
        <v>0</v>
      </c>
      <c r="R600" s="2" t="inlineStr"/>
    </row>
    <row r="601" ht="15" customHeight="1">
      <c r="A601" t="inlineStr">
        <is>
          <t>A 50522-2024</t>
        </is>
      </c>
      <c r="B601" s="1" t="n">
        <v>45601.55399305555</v>
      </c>
      <c r="C601" s="1" t="n">
        <v>46118</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45974-2024</t>
        </is>
      </c>
      <c r="B602" s="1" t="n">
        <v>45580.59408564815</v>
      </c>
      <c r="C602" s="1" t="n">
        <v>46118</v>
      </c>
      <c r="D602" t="inlineStr">
        <is>
          <t>JÄMTLANDS LÄN</t>
        </is>
      </c>
      <c r="E602" t="inlineStr">
        <is>
          <t>BRÄCKE</t>
        </is>
      </c>
      <c r="F602" t="inlineStr">
        <is>
          <t>Naturvårdsverket</t>
        </is>
      </c>
      <c r="G602" t="n">
        <v>0.3</v>
      </c>
      <c r="H602" t="n">
        <v>0</v>
      </c>
      <c r="I602" t="n">
        <v>0</v>
      </c>
      <c r="J602" t="n">
        <v>0</v>
      </c>
      <c r="K602" t="n">
        <v>0</v>
      </c>
      <c r="L602" t="n">
        <v>0</v>
      </c>
      <c r="M602" t="n">
        <v>0</v>
      </c>
      <c r="N602" t="n">
        <v>0</v>
      </c>
      <c r="O602" t="n">
        <v>0</v>
      </c>
      <c r="P602" t="n">
        <v>0</v>
      </c>
      <c r="Q602" t="n">
        <v>0</v>
      </c>
      <c r="R602" s="2" t="inlineStr"/>
    </row>
    <row r="603" ht="15" customHeight="1">
      <c r="A603" t="inlineStr">
        <is>
          <t>A 36551-2024</t>
        </is>
      </c>
      <c r="B603" s="1" t="n">
        <v>45537.468125</v>
      </c>
      <c r="C603" s="1" t="n">
        <v>46118</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48440-2024</t>
        </is>
      </c>
      <c r="B604" s="1" t="n">
        <v>45590.67774305555</v>
      </c>
      <c r="C604" s="1" t="n">
        <v>46118</v>
      </c>
      <c r="D604" t="inlineStr">
        <is>
          <t>JÄMTLANDS LÄN</t>
        </is>
      </c>
      <c r="E604" t="inlineStr">
        <is>
          <t>BRÄCKE</t>
        </is>
      </c>
      <c r="G604" t="n">
        <v>3.5</v>
      </c>
      <c r="H604" t="n">
        <v>0</v>
      </c>
      <c r="I604" t="n">
        <v>0</v>
      </c>
      <c r="J604" t="n">
        <v>0</v>
      </c>
      <c r="K604" t="n">
        <v>0</v>
      </c>
      <c r="L604" t="n">
        <v>0</v>
      </c>
      <c r="M604" t="n">
        <v>0</v>
      </c>
      <c r="N604" t="n">
        <v>0</v>
      </c>
      <c r="O604" t="n">
        <v>0</v>
      </c>
      <c r="P604" t="n">
        <v>0</v>
      </c>
      <c r="Q604" t="n">
        <v>0</v>
      </c>
      <c r="R604" s="2" t="inlineStr"/>
    </row>
    <row r="605" ht="15" customHeight="1">
      <c r="A605" t="inlineStr">
        <is>
          <t>A 14798-2023</t>
        </is>
      </c>
      <c r="B605" s="1" t="n">
        <v>45014.61738425926</v>
      </c>
      <c r="C605" s="1" t="n">
        <v>46118</v>
      </c>
      <c r="D605" t="inlineStr">
        <is>
          <t>JÄMTLANDS LÄN</t>
        </is>
      </c>
      <c r="E605" t="inlineStr">
        <is>
          <t>BRÄCKE</t>
        </is>
      </c>
      <c r="G605" t="n">
        <v>3.5</v>
      </c>
      <c r="H605" t="n">
        <v>0</v>
      </c>
      <c r="I605" t="n">
        <v>0</v>
      </c>
      <c r="J605" t="n">
        <v>0</v>
      </c>
      <c r="K605" t="n">
        <v>0</v>
      </c>
      <c r="L605" t="n">
        <v>0</v>
      </c>
      <c r="M605" t="n">
        <v>0</v>
      </c>
      <c r="N605" t="n">
        <v>0</v>
      </c>
      <c r="O605" t="n">
        <v>0</v>
      </c>
      <c r="P605" t="n">
        <v>0</v>
      </c>
      <c r="Q605" t="n">
        <v>0</v>
      </c>
      <c r="R605" s="2" t="inlineStr"/>
    </row>
    <row r="606" ht="15" customHeight="1">
      <c r="A606" t="inlineStr">
        <is>
          <t>A 49399-2024</t>
        </is>
      </c>
      <c r="B606" s="1" t="n">
        <v>45595.67138888889</v>
      </c>
      <c r="C606" s="1" t="n">
        <v>46118</v>
      </c>
      <c r="D606" t="inlineStr">
        <is>
          <t>JÄMTLANDS LÄN</t>
        </is>
      </c>
      <c r="E606" t="inlineStr">
        <is>
          <t>BRÄCKE</t>
        </is>
      </c>
      <c r="F606" t="inlineStr">
        <is>
          <t>SCA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49400-2024</t>
        </is>
      </c>
      <c r="B607" s="1" t="n">
        <v>45595.67152777778</v>
      </c>
      <c r="C607" s="1" t="n">
        <v>46118</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25883-2024</t>
        </is>
      </c>
      <c r="B608" s="1" t="n">
        <v>45467.49233796296</v>
      </c>
      <c r="C608" s="1" t="n">
        <v>46118</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24062-2024</t>
        </is>
      </c>
      <c r="B609" s="1" t="n">
        <v>45456.54141203704</v>
      </c>
      <c r="C609" s="1" t="n">
        <v>46118</v>
      </c>
      <c r="D609" t="inlineStr">
        <is>
          <t>JÄMTLANDS LÄN</t>
        </is>
      </c>
      <c r="E609" t="inlineStr">
        <is>
          <t>BRÄCKE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56429-2024</t>
        </is>
      </c>
      <c r="B610" s="1" t="n">
        <v>45625.40149305556</v>
      </c>
      <c r="C610" s="1" t="n">
        <v>46118</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56432-2024</t>
        </is>
      </c>
      <c r="B611" s="1" t="n">
        <v>45625.40679398148</v>
      </c>
      <c r="C611" s="1" t="n">
        <v>46118</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35896-2023</t>
        </is>
      </c>
      <c r="B612" s="1" t="n">
        <v>45148</v>
      </c>
      <c r="C612" s="1" t="n">
        <v>46118</v>
      </c>
      <c r="D612" t="inlineStr">
        <is>
          <t>JÄMTLANDS LÄN</t>
        </is>
      </c>
      <c r="E612" t="inlineStr">
        <is>
          <t>BRÄCKE</t>
        </is>
      </c>
      <c r="G612" t="n">
        <v>3.6</v>
      </c>
      <c r="H612" t="n">
        <v>0</v>
      </c>
      <c r="I612" t="n">
        <v>0</v>
      </c>
      <c r="J612" t="n">
        <v>0</v>
      </c>
      <c r="K612" t="n">
        <v>0</v>
      </c>
      <c r="L612" t="n">
        <v>0</v>
      </c>
      <c r="M612" t="n">
        <v>0</v>
      </c>
      <c r="N612" t="n">
        <v>0</v>
      </c>
      <c r="O612" t="n">
        <v>0</v>
      </c>
      <c r="P612" t="n">
        <v>0</v>
      </c>
      <c r="Q612" t="n">
        <v>0</v>
      </c>
      <c r="R612" s="2" t="inlineStr"/>
    </row>
    <row r="613" ht="15" customHeight="1">
      <c r="A613" t="inlineStr">
        <is>
          <t>A 27799-2024</t>
        </is>
      </c>
      <c r="B613" s="1" t="n">
        <v>45475.56605324074</v>
      </c>
      <c r="C613" s="1" t="n">
        <v>46118</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26025-2024</t>
        </is>
      </c>
      <c r="B614" s="1" t="n">
        <v>45467.96188657408</v>
      </c>
      <c r="C614" s="1" t="n">
        <v>46118</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26029-2024</t>
        </is>
      </c>
      <c r="B615" s="1" t="n">
        <v>45467.96262731482</v>
      </c>
      <c r="C615" s="1" t="n">
        <v>46118</v>
      </c>
      <c r="D615" t="inlineStr">
        <is>
          <t>JÄMTLANDS LÄN</t>
        </is>
      </c>
      <c r="E615" t="inlineStr">
        <is>
          <t>BRÄCKE</t>
        </is>
      </c>
      <c r="F615" t="inlineStr">
        <is>
          <t>SCA</t>
        </is>
      </c>
      <c r="G615" t="n">
        <v>40.9</v>
      </c>
      <c r="H615" t="n">
        <v>0</v>
      </c>
      <c r="I615" t="n">
        <v>0</v>
      </c>
      <c r="J615" t="n">
        <v>0</v>
      </c>
      <c r="K615" t="n">
        <v>0</v>
      </c>
      <c r="L615" t="n">
        <v>0</v>
      </c>
      <c r="M615" t="n">
        <v>0</v>
      </c>
      <c r="N615" t="n">
        <v>0</v>
      </c>
      <c r="O615" t="n">
        <v>0</v>
      </c>
      <c r="P615" t="n">
        <v>0</v>
      </c>
      <c r="Q615" t="n">
        <v>0</v>
      </c>
      <c r="R615" s="2" t="inlineStr"/>
      <c r="U615">
        <f>HYPERLINK("https://klasma.github.io/Logging_2305/knärot/A 26029-2024 karta knärot.png", "A 26029-2024")</f>
        <v/>
      </c>
      <c r="V615">
        <f>HYPERLINK("https://klasma.github.io/Logging_2305/klagomål/A 26029-2024 FSC-klagomål.docx", "A 26029-2024")</f>
        <v/>
      </c>
      <c r="W615">
        <f>HYPERLINK("https://klasma.github.io/Logging_2305/klagomålsmail/A 26029-2024 FSC-klagomål mail.docx", "A 26029-2024")</f>
        <v/>
      </c>
      <c r="X615">
        <f>HYPERLINK("https://klasma.github.io/Logging_2305/tillsyn/A 26029-2024 tillsynsbegäran.docx", "A 26029-2024")</f>
        <v/>
      </c>
      <c r="Y615">
        <f>HYPERLINK("https://klasma.github.io/Logging_2305/tillsynsmail/A 26029-2024 tillsynsbegäran mail.docx", "A 26029-2024")</f>
        <v/>
      </c>
    </row>
    <row r="616" ht="15" customHeight="1">
      <c r="A616" t="inlineStr">
        <is>
          <t>A 18206-2023</t>
        </is>
      </c>
      <c r="B616" s="1" t="n">
        <v>45041</v>
      </c>
      <c r="C616" s="1" t="n">
        <v>46118</v>
      </c>
      <c r="D616" t="inlineStr">
        <is>
          <t>JÄMTLANDS LÄN</t>
        </is>
      </c>
      <c r="E616" t="inlineStr">
        <is>
          <t>BRÄCKE</t>
        </is>
      </c>
      <c r="G616" t="n">
        <v>5.2</v>
      </c>
      <c r="H616" t="n">
        <v>0</v>
      </c>
      <c r="I616" t="n">
        <v>0</v>
      </c>
      <c r="J616" t="n">
        <v>0</v>
      </c>
      <c r="K616" t="n">
        <v>0</v>
      </c>
      <c r="L616" t="n">
        <v>0</v>
      </c>
      <c r="M616" t="n">
        <v>0</v>
      </c>
      <c r="N616" t="n">
        <v>0</v>
      </c>
      <c r="O616" t="n">
        <v>0</v>
      </c>
      <c r="P616" t="n">
        <v>0</v>
      </c>
      <c r="Q616" t="n">
        <v>0</v>
      </c>
      <c r="R616" s="2" t="inlineStr"/>
    </row>
    <row r="617" ht="15" customHeight="1">
      <c r="A617" t="inlineStr">
        <is>
          <t>A 30480-2024</t>
        </is>
      </c>
      <c r="B617" s="1" t="n">
        <v>45491.9494675926</v>
      </c>
      <c r="C617" s="1" t="n">
        <v>46118</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12524-2025</t>
        </is>
      </c>
      <c r="B618" s="1" t="n">
        <v>45730.6775462963</v>
      </c>
      <c r="C618" s="1" t="n">
        <v>46118</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12553-2025</t>
        </is>
      </c>
      <c r="B619" s="1" t="n">
        <v>45731.34431712963</v>
      </c>
      <c r="C619" s="1" t="n">
        <v>46118</v>
      </c>
      <c r="D619" t="inlineStr">
        <is>
          <t>JÄMTLANDS LÄN</t>
        </is>
      </c>
      <c r="E619" t="inlineStr">
        <is>
          <t>BRÄCKE</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41738-2023</t>
        </is>
      </c>
      <c r="B620" s="1" t="n">
        <v>45176.418125</v>
      </c>
      <c r="C620" s="1" t="n">
        <v>46118</v>
      </c>
      <c r="D620" t="inlineStr">
        <is>
          <t>JÄMTLANDS LÄN</t>
        </is>
      </c>
      <c r="E620" t="inlineStr">
        <is>
          <t>BRÄCKE</t>
        </is>
      </c>
      <c r="G620" t="n">
        <v>12.7</v>
      </c>
      <c r="H620" t="n">
        <v>0</v>
      </c>
      <c r="I620" t="n">
        <v>0</v>
      </c>
      <c r="J620" t="n">
        <v>0</v>
      </c>
      <c r="K620" t="n">
        <v>0</v>
      </c>
      <c r="L620" t="n">
        <v>0</v>
      </c>
      <c r="M620" t="n">
        <v>0</v>
      </c>
      <c r="N620" t="n">
        <v>0</v>
      </c>
      <c r="O620" t="n">
        <v>0</v>
      </c>
      <c r="P620" t="n">
        <v>0</v>
      </c>
      <c r="Q620" t="n">
        <v>0</v>
      </c>
      <c r="R620" s="2" t="inlineStr"/>
    </row>
    <row r="621" ht="15" customHeight="1">
      <c r="A621" t="inlineStr">
        <is>
          <t>A 26353-2023</t>
        </is>
      </c>
      <c r="B621" s="1" t="n">
        <v>45091.94232638889</v>
      </c>
      <c r="C621" s="1" t="n">
        <v>46118</v>
      </c>
      <c r="D621" t="inlineStr">
        <is>
          <t>JÄMTLANDS LÄN</t>
        </is>
      </c>
      <c r="E621" t="inlineStr">
        <is>
          <t>BRÄCKE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55478-2024</t>
        </is>
      </c>
      <c r="B622" s="1" t="n">
        <v>45622.43795138889</v>
      </c>
      <c r="C622" s="1" t="n">
        <v>46118</v>
      </c>
      <c r="D622" t="inlineStr">
        <is>
          <t>JÄMTLANDS LÄN</t>
        </is>
      </c>
      <c r="E622" t="inlineStr">
        <is>
          <t>BRÄCKE</t>
        </is>
      </c>
      <c r="G622" t="n">
        <v>5.5</v>
      </c>
      <c r="H622" t="n">
        <v>0</v>
      </c>
      <c r="I622" t="n">
        <v>0</v>
      </c>
      <c r="J622" t="n">
        <v>0</v>
      </c>
      <c r="K622" t="n">
        <v>0</v>
      </c>
      <c r="L622" t="n">
        <v>0</v>
      </c>
      <c r="M622" t="n">
        <v>0</v>
      </c>
      <c r="N622" t="n">
        <v>0</v>
      </c>
      <c r="O622" t="n">
        <v>0</v>
      </c>
      <c r="P622" t="n">
        <v>0</v>
      </c>
      <c r="Q622" t="n">
        <v>0</v>
      </c>
      <c r="R622" s="2" t="inlineStr"/>
    </row>
    <row r="623" ht="15" customHeight="1">
      <c r="A623" t="inlineStr">
        <is>
          <t>A 3840-2024</t>
        </is>
      </c>
      <c r="B623" s="1" t="n">
        <v>45321.94605324074</v>
      </c>
      <c r="C623" s="1" t="n">
        <v>46118</v>
      </c>
      <c r="D623" t="inlineStr">
        <is>
          <t>JÄMTLANDS LÄN</t>
        </is>
      </c>
      <c r="E623" t="inlineStr">
        <is>
          <t>BRÄCKE</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54789-2023</t>
        </is>
      </c>
      <c r="B624" s="1" t="n">
        <v>45236.48659722223</v>
      </c>
      <c r="C624" s="1" t="n">
        <v>46118</v>
      </c>
      <c r="D624" t="inlineStr">
        <is>
          <t>JÄMTLANDS LÄN</t>
        </is>
      </c>
      <c r="E624" t="inlineStr">
        <is>
          <t>BRÄCKE</t>
        </is>
      </c>
      <c r="G624" t="n">
        <v>7.1</v>
      </c>
      <c r="H624" t="n">
        <v>0</v>
      </c>
      <c r="I624" t="n">
        <v>0</v>
      </c>
      <c r="J624" t="n">
        <v>0</v>
      </c>
      <c r="K624" t="n">
        <v>0</v>
      </c>
      <c r="L624" t="n">
        <v>0</v>
      </c>
      <c r="M624" t="n">
        <v>0</v>
      </c>
      <c r="N624" t="n">
        <v>0</v>
      </c>
      <c r="O624" t="n">
        <v>0</v>
      </c>
      <c r="P624" t="n">
        <v>0</v>
      </c>
      <c r="Q624" t="n">
        <v>0</v>
      </c>
      <c r="R624" s="2" t="inlineStr"/>
    </row>
    <row r="625" ht="15" customHeight="1">
      <c r="A625" t="inlineStr">
        <is>
          <t>A 45028-2023</t>
        </is>
      </c>
      <c r="B625" s="1" t="n">
        <v>45190</v>
      </c>
      <c r="C625" s="1" t="n">
        <v>46118</v>
      </c>
      <c r="D625" t="inlineStr">
        <is>
          <t>JÄMTLANDS LÄN</t>
        </is>
      </c>
      <c r="E625" t="inlineStr">
        <is>
          <t>BRÄCKE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29262-2024</t>
        </is>
      </c>
      <c r="B626" s="1" t="n">
        <v>45482.9487962963</v>
      </c>
      <c r="C626" s="1" t="n">
        <v>46118</v>
      </c>
      <c r="D626" t="inlineStr">
        <is>
          <t>JÄMTLANDS LÄN</t>
        </is>
      </c>
      <c r="E626" t="inlineStr">
        <is>
          <t>BRÄCKE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3862-2025</t>
        </is>
      </c>
      <c r="B627" s="1" t="n">
        <v>45684.31023148148</v>
      </c>
      <c r="C627" s="1" t="n">
        <v>46118</v>
      </c>
      <c r="D627" t="inlineStr">
        <is>
          <t>JÄMTLANDS LÄN</t>
        </is>
      </c>
      <c r="E627" t="inlineStr">
        <is>
          <t>BRÄCKE</t>
        </is>
      </c>
      <c r="G627" t="n">
        <v>7</v>
      </c>
      <c r="H627" t="n">
        <v>0</v>
      </c>
      <c r="I627" t="n">
        <v>0</v>
      </c>
      <c r="J627" t="n">
        <v>0</v>
      </c>
      <c r="K627" t="n">
        <v>0</v>
      </c>
      <c r="L627" t="n">
        <v>0</v>
      </c>
      <c r="M627" t="n">
        <v>0</v>
      </c>
      <c r="N627" t="n">
        <v>0</v>
      </c>
      <c r="O627" t="n">
        <v>0</v>
      </c>
      <c r="P627" t="n">
        <v>0</v>
      </c>
      <c r="Q627" t="n">
        <v>0</v>
      </c>
      <c r="R627" s="2" t="inlineStr"/>
    </row>
    <row r="628" ht="15" customHeight="1">
      <c r="A628" t="inlineStr">
        <is>
          <t>A 44403-2023</t>
        </is>
      </c>
      <c r="B628" s="1" t="n">
        <v>45188.94601851852</v>
      </c>
      <c r="C628" s="1" t="n">
        <v>46118</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25895-2023</t>
        </is>
      </c>
      <c r="B629" s="1" t="n">
        <v>45085</v>
      </c>
      <c r="C629" s="1" t="n">
        <v>46118</v>
      </c>
      <c r="D629" t="inlineStr">
        <is>
          <t>JÄMTLANDS LÄN</t>
        </is>
      </c>
      <c r="E629" t="inlineStr">
        <is>
          <t>BRÄCKE</t>
        </is>
      </c>
      <c r="G629" t="n">
        <v>4.7</v>
      </c>
      <c r="H629" t="n">
        <v>0</v>
      </c>
      <c r="I629" t="n">
        <v>0</v>
      </c>
      <c r="J629" t="n">
        <v>0</v>
      </c>
      <c r="K629" t="n">
        <v>0</v>
      </c>
      <c r="L629" t="n">
        <v>0</v>
      </c>
      <c r="M629" t="n">
        <v>0</v>
      </c>
      <c r="N629" t="n">
        <v>0</v>
      </c>
      <c r="O629" t="n">
        <v>0</v>
      </c>
      <c r="P629" t="n">
        <v>0</v>
      </c>
      <c r="Q629" t="n">
        <v>0</v>
      </c>
      <c r="R629" s="2" t="inlineStr"/>
    </row>
    <row r="630" ht="15" customHeight="1">
      <c r="A630" t="inlineStr">
        <is>
          <t>A 4857-2025</t>
        </is>
      </c>
      <c r="B630" s="1" t="n">
        <v>45688.67418981482</v>
      </c>
      <c r="C630" s="1" t="n">
        <v>46118</v>
      </c>
      <c r="D630" t="inlineStr">
        <is>
          <t>JÄMTLANDS LÄN</t>
        </is>
      </c>
      <c r="E630" t="inlineStr">
        <is>
          <t>BRÄCKE</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54035-2021</t>
        </is>
      </c>
      <c r="B631" s="1" t="n">
        <v>44470</v>
      </c>
      <c r="C631" s="1" t="n">
        <v>46118</v>
      </c>
      <c r="D631" t="inlineStr">
        <is>
          <t>JÄMTLANDS LÄN</t>
        </is>
      </c>
      <c r="E631" t="inlineStr">
        <is>
          <t>BRÄCKE</t>
        </is>
      </c>
      <c r="G631" t="n">
        <v>1.3</v>
      </c>
      <c r="H631" t="n">
        <v>0</v>
      </c>
      <c r="I631" t="n">
        <v>0</v>
      </c>
      <c r="J631" t="n">
        <v>0</v>
      </c>
      <c r="K631" t="n">
        <v>0</v>
      </c>
      <c r="L631" t="n">
        <v>0</v>
      </c>
      <c r="M631" t="n">
        <v>0</v>
      </c>
      <c r="N631" t="n">
        <v>0</v>
      </c>
      <c r="O631" t="n">
        <v>0</v>
      </c>
      <c r="P631" t="n">
        <v>0</v>
      </c>
      <c r="Q631" t="n">
        <v>0</v>
      </c>
      <c r="R631" s="2" t="inlineStr"/>
    </row>
    <row r="632" ht="15" customHeight="1">
      <c r="A632" t="inlineStr">
        <is>
          <t>A 2035-2022</t>
        </is>
      </c>
      <c r="B632" s="1" t="n">
        <v>44575.6277662037</v>
      </c>
      <c r="C632" s="1" t="n">
        <v>46118</v>
      </c>
      <c r="D632" t="inlineStr">
        <is>
          <t>JÄMTLANDS LÄN</t>
        </is>
      </c>
      <c r="E632" t="inlineStr">
        <is>
          <t>BRÄCKE</t>
        </is>
      </c>
      <c r="G632" t="n">
        <v>2</v>
      </c>
      <c r="H632" t="n">
        <v>0</v>
      </c>
      <c r="I632" t="n">
        <v>0</v>
      </c>
      <c r="J632" t="n">
        <v>0</v>
      </c>
      <c r="K632" t="n">
        <v>0</v>
      </c>
      <c r="L632" t="n">
        <v>0</v>
      </c>
      <c r="M632" t="n">
        <v>0</v>
      </c>
      <c r="N632" t="n">
        <v>0</v>
      </c>
      <c r="O632" t="n">
        <v>0</v>
      </c>
      <c r="P632" t="n">
        <v>0</v>
      </c>
      <c r="Q632" t="n">
        <v>0</v>
      </c>
      <c r="R632" s="2" t="inlineStr"/>
    </row>
    <row r="633" ht="15" customHeight="1">
      <c r="A633" t="inlineStr">
        <is>
          <t>A 51416-2024</t>
        </is>
      </c>
      <c r="B633" s="1" t="n">
        <v>45604.44829861111</v>
      </c>
      <c r="C633" s="1" t="n">
        <v>46118</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44321-2023</t>
        </is>
      </c>
      <c r="B634" s="1" t="n">
        <v>45188.65484953704</v>
      </c>
      <c r="C634" s="1" t="n">
        <v>46118</v>
      </c>
      <c r="D634" t="inlineStr">
        <is>
          <t>JÄMTLANDS LÄN</t>
        </is>
      </c>
      <c r="E634" t="inlineStr">
        <is>
          <t>BRÄCKE</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44328-2023</t>
        </is>
      </c>
      <c r="B635" s="1" t="n">
        <v>45188.659375</v>
      </c>
      <c r="C635" s="1" t="n">
        <v>46118</v>
      </c>
      <c r="D635" t="inlineStr">
        <is>
          <t>JÄMTLANDS LÄN</t>
        </is>
      </c>
      <c r="E635" t="inlineStr">
        <is>
          <t>BRÄCKE</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3737-2025</t>
        </is>
      </c>
      <c r="B636" s="1" t="n">
        <v>45681.57335648148</v>
      </c>
      <c r="C636" s="1" t="n">
        <v>46118</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51441-2023</t>
        </is>
      </c>
      <c r="B637" s="1" t="n">
        <v>45219</v>
      </c>
      <c r="C637" s="1" t="n">
        <v>46118</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36392-2022</t>
        </is>
      </c>
      <c r="B638" s="1" t="n">
        <v>44803.94673611111</v>
      </c>
      <c r="C638" s="1" t="n">
        <v>46118</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37238-2021</t>
        </is>
      </c>
      <c r="B639" s="1" t="n">
        <v>44396.93490740741</v>
      </c>
      <c r="C639" s="1" t="n">
        <v>46118</v>
      </c>
      <c r="D639" t="inlineStr">
        <is>
          <t>JÄMTLANDS LÄN</t>
        </is>
      </c>
      <c r="E639" t="inlineStr">
        <is>
          <t>BRÄCKE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52137-2023</t>
        </is>
      </c>
      <c r="B640" s="1" t="n">
        <v>45223</v>
      </c>
      <c r="C640" s="1" t="n">
        <v>46118</v>
      </c>
      <c r="D640" t="inlineStr">
        <is>
          <t>JÄMTLANDS LÄN</t>
        </is>
      </c>
      <c r="E640" t="inlineStr">
        <is>
          <t>BRÄCKE</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24010-2024</t>
        </is>
      </c>
      <c r="B641" s="1" t="n">
        <v>45456.40370370371</v>
      </c>
      <c r="C641" s="1" t="n">
        <v>46118</v>
      </c>
      <c r="D641" t="inlineStr">
        <is>
          <t>JÄMTLANDS LÄN</t>
        </is>
      </c>
      <c r="E641" t="inlineStr">
        <is>
          <t>BRÄCKE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34518-2025</t>
        </is>
      </c>
      <c r="B642" s="1" t="n">
        <v>45847.46910879629</v>
      </c>
      <c r="C642" s="1" t="n">
        <v>46118</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18645-2024</t>
        </is>
      </c>
      <c r="B643" s="1" t="n">
        <v>45425.96738425926</v>
      </c>
      <c r="C643" s="1" t="n">
        <v>46118</v>
      </c>
      <c r="D643" t="inlineStr">
        <is>
          <t>JÄMTLANDS LÄN</t>
        </is>
      </c>
      <c r="E643" t="inlineStr">
        <is>
          <t>BRÄCKE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52021-2022</t>
        </is>
      </c>
      <c r="B644" s="1" t="n">
        <v>44872.95638888889</v>
      </c>
      <c r="C644" s="1" t="n">
        <v>46118</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29751-2023</t>
        </is>
      </c>
      <c r="B645" s="1" t="n">
        <v>45107</v>
      </c>
      <c r="C645" s="1" t="n">
        <v>46118</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45950-2023</t>
        </is>
      </c>
      <c r="B646" s="1" t="n">
        <v>45195</v>
      </c>
      <c r="C646" s="1" t="n">
        <v>46118</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56686-2023</t>
        </is>
      </c>
      <c r="B647" s="1" t="n">
        <v>45243.96622685185</v>
      </c>
      <c r="C647" s="1" t="n">
        <v>46118</v>
      </c>
      <c r="D647" t="inlineStr">
        <is>
          <t>JÄMTLANDS LÄN</t>
        </is>
      </c>
      <c r="E647" t="inlineStr">
        <is>
          <t>BRÄCKE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34983-2025</t>
        </is>
      </c>
      <c r="B648" s="1" t="n">
        <v>45849.71234953704</v>
      </c>
      <c r="C648" s="1" t="n">
        <v>46118</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34680-2025</t>
        </is>
      </c>
      <c r="B649" s="1" t="n">
        <v>45848.42799768518</v>
      </c>
      <c r="C649" s="1" t="n">
        <v>46118</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20267-2024</t>
        </is>
      </c>
      <c r="B650" s="1" t="n">
        <v>45434.9487962963</v>
      </c>
      <c r="C650" s="1" t="n">
        <v>46118</v>
      </c>
      <c r="D650" t="inlineStr">
        <is>
          <t>JÄMTLANDS LÄN</t>
        </is>
      </c>
      <c r="E650" t="inlineStr">
        <is>
          <t>BRÄCKE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34828-2025</t>
        </is>
      </c>
      <c r="B651" s="1" t="n">
        <v>45849.38579861111</v>
      </c>
      <c r="C651" s="1" t="n">
        <v>46118</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30874-2024</t>
        </is>
      </c>
      <c r="B652" s="1" t="n">
        <v>45498.3091087963</v>
      </c>
      <c r="C652" s="1" t="n">
        <v>46118</v>
      </c>
      <c r="D652" t="inlineStr">
        <is>
          <t>JÄMTLANDS LÄN</t>
        </is>
      </c>
      <c r="E652" t="inlineStr">
        <is>
          <t>BRÄCKE</t>
        </is>
      </c>
      <c r="G652" t="n">
        <v>0.7</v>
      </c>
      <c r="H652" t="n">
        <v>0</v>
      </c>
      <c r="I652" t="n">
        <v>0</v>
      </c>
      <c r="J652" t="n">
        <v>0</v>
      </c>
      <c r="K652" t="n">
        <v>0</v>
      </c>
      <c r="L652" t="n">
        <v>0</v>
      </c>
      <c r="M652" t="n">
        <v>0</v>
      </c>
      <c r="N652" t="n">
        <v>0</v>
      </c>
      <c r="O652" t="n">
        <v>0</v>
      </c>
      <c r="P652" t="n">
        <v>0</v>
      </c>
      <c r="Q652" t="n">
        <v>0</v>
      </c>
      <c r="R652" s="2" t="inlineStr"/>
    </row>
    <row r="653" ht="15" customHeight="1">
      <c r="A653" t="inlineStr">
        <is>
          <t>A 34746-2025</t>
        </is>
      </c>
      <c r="B653" s="1" t="n">
        <v>45848.61505787037</v>
      </c>
      <c r="C653" s="1" t="n">
        <v>46118</v>
      </c>
      <c r="D653" t="inlineStr">
        <is>
          <t>JÄMTLANDS LÄN</t>
        </is>
      </c>
      <c r="E653" t="inlineStr">
        <is>
          <t>BRÄCKE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34648-2025</t>
        </is>
      </c>
      <c r="B654" s="1" t="n">
        <v>45848.34487268519</v>
      </c>
      <c r="C654" s="1" t="n">
        <v>46118</v>
      </c>
      <c r="D654" t="inlineStr">
        <is>
          <t>JÄMTLANDS LÄN</t>
        </is>
      </c>
      <c r="E654" t="inlineStr">
        <is>
          <t>BRÄCKE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34783-2025</t>
        </is>
      </c>
      <c r="B655" s="1" t="n">
        <v>45848.67740740741</v>
      </c>
      <c r="C655" s="1" t="n">
        <v>46118</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34773-2025</t>
        </is>
      </c>
      <c r="B656" s="1" t="n">
        <v>45848.65672453704</v>
      </c>
      <c r="C656" s="1" t="n">
        <v>46118</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34912-2025</t>
        </is>
      </c>
      <c r="B657" s="1" t="n">
        <v>45849.5378587963</v>
      </c>
      <c r="C657" s="1" t="n">
        <v>46118</v>
      </c>
      <c r="D657" t="inlineStr">
        <is>
          <t>JÄMTLANDS LÄN</t>
        </is>
      </c>
      <c r="E657" t="inlineStr">
        <is>
          <t>BRÄCKE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34786-2025</t>
        </is>
      </c>
      <c r="B658" s="1" t="n">
        <v>45848.67784722222</v>
      </c>
      <c r="C658" s="1" t="n">
        <v>46118</v>
      </c>
      <c r="D658" t="inlineStr">
        <is>
          <t>JÄMTLANDS LÄN</t>
        </is>
      </c>
      <c r="E658" t="inlineStr">
        <is>
          <t>BRÄCKE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16707-2024</t>
        </is>
      </c>
      <c r="B659" s="1" t="n">
        <v>45409.07706018518</v>
      </c>
      <c r="C659" s="1" t="n">
        <v>46118</v>
      </c>
      <c r="D659" t="inlineStr">
        <is>
          <t>JÄMTLANDS LÄN</t>
        </is>
      </c>
      <c r="E659" t="inlineStr">
        <is>
          <t>BRÄCKE</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38842-2025</t>
        </is>
      </c>
      <c r="B660" s="1" t="n">
        <v>45887.54003472222</v>
      </c>
      <c r="C660" s="1" t="n">
        <v>46118</v>
      </c>
      <c r="D660" t="inlineStr">
        <is>
          <t>JÄMTLANDS LÄN</t>
        </is>
      </c>
      <c r="E660" t="inlineStr">
        <is>
          <t>BRÄCKE</t>
        </is>
      </c>
      <c r="G660" t="n">
        <v>6.3</v>
      </c>
      <c r="H660" t="n">
        <v>0</v>
      </c>
      <c r="I660" t="n">
        <v>0</v>
      </c>
      <c r="J660" t="n">
        <v>0</v>
      </c>
      <c r="K660" t="n">
        <v>0</v>
      </c>
      <c r="L660" t="n">
        <v>0</v>
      </c>
      <c r="M660" t="n">
        <v>0</v>
      </c>
      <c r="N660" t="n">
        <v>0</v>
      </c>
      <c r="O660" t="n">
        <v>0</v>
      </c>
      <c r="P660" t="n">
        <v>0</v>
      </c>
      <c r="Q660" t="n">
        <v>0</v>
      </c>
      <c r="R660" s="2" t="inlineStr"/>
    </row>
    <row r="661" ht="15" customHeight="1">
      <c r="A661" t="inlineStr">
        <is>
          <t>A 12063-2023</t>
        </is>
      </c>
      <c r="B661" s="1" t="n">
        <v>44996</v>
      </c>
      <c r="C661" s="1" t="n">
        <v>46118</v>
      </c>
      <c r="D661" t="inlineStr">
        <is>
          <t>JÄMTLANDS LÄN</t>
        </is>
      </c>
      <c r="E661" t="inlineStr">
        <is>
          <t>BRÄCKE</t>
        </is>
      </c>
      <c r="G661" t="n">
        <v>7.1</v>
      </c>
      <c r="H661" t="n">
        <v>0</v>
      </c>
      <c r="I661" t="n">
        <v>0</v>
      </c>
      <c r="J661" t="n">
        <v>0</v>
      </c>
      <c r="K661" t="n">
        <v>0</v>
      </c>
      <c r="L661" t="n">
        <v>0</v>
      </c>
      <c r="M661" t="n">
        <v>0</v>
      </c>
      <c r="N661" t="n">
        <v>0</v>
      </c>
      <c r="O661" t="n">
        <v>0</v>
      </c>
      <c r="P661" t="n">
        <v>0</v>
      </c>
      <c r="Q661" t="n">
        <v>0</v>
      </c>
      <c r="R661" s="2" t="inlineStr"/>
    </row>
    <row r="662" ht="15" customHeight="1">
      <c r="A662" t="inlineStr">
        <is>
          <t>A 35060-2025</t>
        </is>
      </c>
      <c r="B662" s="1" t="n">
        <v>45852.42747685185</v>
      </c>
      <c r="C662" s="1" t="n">
        <v>46118</v>
      </c>
      <c r="D662" t="inlineStr">
        <is>
          <t>JÄMTLANDS LÄN</t>
        </is>
      </c>
      <c r="E662" t="inlineStr">
        <is>
          <t>BRÄCKE</t>
        </is>
      </c>
      <c r="F662" t="inlineStr">
        <is>
          <t>SCA</t>
        </is>
      </c>
      <c r="G662" t="n">
        <v>9.5</v>
      </c>
      <c r="H662" t="n">
        <v>0</v>
      </c>
      <c r="I662" t="n">
        <v>0</v>
      </c>
      <c r="J662" t="n">
        <v>0</v>
      </c>
      <c r="K662" t="n">
        <v>0</v>
      </c>
      <c r="L662" t="n">
        <v>0</v>
      </c>
      <c r="M662" t="n">
        <v>0</v>
      </c>
      <c r="N662" t="n">
        <v>0</v>
      </c>
      <c r="O662" t="n">
        <v>0</v>
      </c>
      <c r="P662" t="n">
        <v>0</v>
      </c>
      <c r="Q662" t="n">
        <v>0</v>
      </c>
      <c r="R662" s="2" t="inlineStr"/>
    </row>
    <row r="663" ht="15" customHeight="1">
      <c r="A663" t="inlineStr">
        <is>
          <t>A 38811-2025</t>
        </is>
      </c>
      <c r="B663" s="1" t="n">
        <v>45887.48994212963</v>
      </c>
      <c r="C663" s="1" t="n">
        <v>46118</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38812-2025</t>
        </is>
      </c>
      <c r="B664" s="1" t="n">
        <v>45887.49016203704</v>
      </c>
      <c r="C664" s="1" t="n">
        <v>46118</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38835-2025</t>
        </is>
      </c>
      <c r="B665" s="1" t="n">
        <v>45887.53195601852</v>
      </c>
      <c r="C665" s="1" t="n">
        <v>46118</v>
      </c>
      <c r="D665" t="inlineStr">
        <is>
          <t>JÄMTLANDS LÄN</t>
        </is>
      </c>
      <c r="E665" t="inlineStr">
        <is>
          <t>BRÄCKE</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17577-2022</t>
        </is>
      </c>
      <c r="B666" s="1" t="n">
        <v>44679</v>
      </c>
      <c r="C666" s="1" t="n">
        <v>46118</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29107-2025</t>
        </is>
      </c>
      <c r="B667" s="1" t="n">
        <v>45821.58030092593</v>
      </c>
      <c r="C667" s="1" t="n">
        <v>46118</v>
      </c>
      <c r="D667" t="inlineStr">
        <is>
          <t>JÄMTLANDS LÄN</t>
        </is>
      </c>
      <c r="E667" t="inlineStr">
        <is>
          <t>BRÄCKE</t>
        </is>
      </c>
      <c r="G667" t="n">
        <v>1.3</v>
      </c>
      <c r="H667" t="n">
        <v>0</v>
      </c>
      <c r="I667" t="n">
        <v>0</v>
      </c>
      <c r="J667" t="n">
        <v>0</v>
      </c>
      <c r="K667" t="n">
        <v>0</v>
      </c>
      <c r="L667" t="n">
        <v>0</v>
      </c>
      <c r="M667" t="n">
        <v>0</v>
      </c>
      <c r="N667" t="n">
        <v>0</v>
      </c>
      <c r="O667" t="n">
        <v>0</v>
      </c>
      <c r="P667" t="n">
        <v>0</v>
      </c>
      <c r="Q667" t="n">
        <v>0</v>
      </c>
      <c r="R667" s="2" t="inlineStr"/>
    </row>
    <row r="668" ht="15" customHeight="1">
      <c r="A668" t="inlineStr">
        <is>
          <t>A 35229-2025</t>
        </is>
      </c>
      <c r="B668" s="1" t="n">
        <v>45853.59420138889</v>
      </c>
      <c r="C668" s="1" t="n">
        <v>46118</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35325-2025</t>
        </is>
      </c>
      <c r="B669" s="1" t="n">
        <v>45854.52606481482</v>
      </c>
      <c r="C669" s="1" t="n">
        <v>46118</v>
      </c>
      <c r="D669" t="inlineStr">
        <is>
          <t>JÄMTLANDS LÄN</t>
        </is>
      </c>
      <c r="E669" t="inlineStr">
        <is>
          <t>BRÄCKE</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35324-2025</t>
        </is>
      </c>
      <c r="B670" s="1" t="n">
        <v>45854.51079861111</v>
      </c>
      <c r="C670" s="1" t="n">
        <v>46118</v>
      </c>
      <c r="D670" t="inlineStr">
        <is>
          <t>JÄMTLANDS LÄN</t>
        </is>
      </c>
      <c r="E670" t="inlineStr">
        <is>
          <t>BRÄCKE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35326-2025</t>
        </is>
      </c>
      <c r="B671" s="1" t="n">
        <v>45854.52724537037</v>
      </c>
      <c r="C671" s="1" t="n">
        <v>46118</v>
      </c>
      <c r="D671" t="inlineStr">
        <is>
          <t>JÄMTLANDS LÄN</t>
        </is>
      </c>
      <c r="E671" t="inlineStr">
        <is>
          <t>BRÄCKE</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3239-2022</t>
        </is>
      </c>
      <c r="B672" s="1" t="n">
        <v>44582.93296296296</v>
      </c>
      <c r="C672" s="1" t="n">
        <v>46118</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35445-2025</t>
        </is>
      </c>
      <c r="B673" s="1" t="n">
        <v>45855.53196759259</v>
      </c>
      <c r="C673" s="1" t="n">
        <v>46118</v>
      </c>
      <c r="D673" t="inlineStr">
        <is>
          <t>JÄMTLANDS LÄN</t>
        </is>
      </c>
      <c r="E673" t="inlineStr">
        <is>
          <t>BRÄCKE</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35327-2025</t>
        </is>
      </c>
      <c r="B674" s="1" t="n">
        <v>45854.5283449074</v>
      </c>
      <c r="C674" s="1" t="n">
        <v>46118</v>
      </c>
      <c r="D674" t="inlineStr">
        <is>
          <t>JÄMTLANDS LÄN</t>
        </is>
      </c>
      <c r="E674" t="inlineStr">
        <is>
          <t>BRÄCKE</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35331-2025</t>
        </is>
      </c>
      <c r="B675" s="1" t="n">
        <v>45854.57344907407</v>
      </c>
      <c r="C675" s="1" t="n">
        <v>46118</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15944-2025</t>
        </is>
      </c>
      <c r="B676" s="1" t="n">
        <v>45749.48545138889</v>
      </c>
      <c r="C676" s="1" t="n">
        <v>46118</v>
      </c>
      <c r="D676" t="inlineStr">
        <is>
          <t>JÄMTLANDS LÄN</t>
        </is>
      </c>
      <c r="E676" t="inlineStr">
        <is>
          <t>BRÄCKE</t>
        </is>
      </c>
      <c r="G676" t="n">
        <v>4.5</v>
      </c>
      <c r="H676" t="n">
        <v>0</v>
      </c>
      <c r="I676" t="n">
        <v>0</v>
      </c>
      <c r="J676" t="n">
        <v>0</v>
      </c>
      <c r="K676" t="n">
        <v>0</v>
      </c>
      <c r="L676" t="n">
        <v>0</v>
      </c>
      <c r="M676" t="n">
        <v>0</v>
      </c>
      <c r="N676" t="n">
        <v>0</v>
      </c>
      <c r="O676" t="n">
        <v>0</v>
      </c>
      <c r="P676" t="n">
        <v>0</v>
      </c>
      <c r="Q676" t="n">
        <v>0</v>
      </c>
      <c r="R676" s="2" t="inlineStr"/>
    </row>
    <row r="677" ht="15" customHeight="1">
      <c r="A677" t="inlineStr">
        <is>
          <t>A 35642-2025</t>
        </is>
      </c>
      <c r="B677" s="1" t="n">
        <v>45859.48991898148</v>
      </c>
      <c r="C677" s="1" t="n">
        <v>46118</v>
      </c>
      <c r="D677" t="inlineStr">
        <is>
          <t>JÄMTLANDS LÄN</t>
        </is>
      </c>
      <c r="E677" t="inlineStr">
        <is>
          <t>BRÄCKE</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35668-2025</t>
        </is>
      </c>
      <c r="B678" s="1" t="n">
        <v>45859.61552083334</v>
      </c>
      <c r="C678" s="1" t="n">
        <v>46118</v>
      </c>
      <c r="D678" t="inlineStr">
        <is>
          <t>JÄMTLANDS LÄN</t>
        </is>
      </c>
      <c r="E678" t="inlineStr">
        <is>
          <t>BRÄCKE</t>
        </is>
      </c>
      <c r="G678" t="n">
        <v>7.2</v>
      </c>
      <c r="H678" t="n">
        <v>0</v>
      </c>
      <c r="I678" t="n">
        <v>0</v>
      </c>
      <c r="J678" t="n">
        <v>0</v>
      </c>
      <c r="K678" t="n">
        <v>0</v>
      </c>
      <c r="L678" t="n">
        <v>0</v>
      </c>
      <c r="M678" t="n">
        <v>0</v>
      </c>
      <c r="N678" t="n">
        <v>0</v>
      </c>
      <c r="O678" t="n">
        <v>0</v>
      </c>
      <c r="P678" t="n">
        <v>0</v>
      </c>
      <c r="Q678" t="n">
        <v>0</v>
      </c>
      <c r="R678" s="2" t="inlineStr"/>
    </row>
    <row r="679" ht="15" customHeight="1">
      <c r="A679" t="inlineStr">
        <is>
          <t>A 61149-2023</t>
        </is>
      </c>
      <c r="B679" s="1" t="n">
        <v>45261.96777777778</v>
      </c>
      <c r="C679" s="1" t="n">
        <v>46118</v>
      </c>
      <c r="D679" t="inlineStr">
        <is>
          <t>JÄMTLANDS LÄN</t>
        </is>
      </c>
      <c r="E679" t="inlineStr">
        <is>
          <t>BRÄCKE</t>
        </is>
      </c>
      <c r="G679" t="n">
        <v>1.1</v>
      </c>
      <c r="H679" t="n">
        <v>0</v>
      </c>
      <c r="I679" t="n">
        <v>0</v>
      </c>
      <c r="J679" t="n">
        <v>0</v>
      </c>
      <c r="K679" t="n">
        <v>0</v>
      </c>
      <c r="L679" t="n">
        <v>0</v>
      </c>
      <c r="M679" t="n">
        <v>0</v>
      </c>
      <c r="N679" t="n">
        <v>0</v>
      </c>
      <c r="O679" t="n">
        <v>0</v>
      </c>
      <c r="P679" t="n">
        <v>0</v>
      </c>
      <c r="Q679" t="n">
        <v>0</v>
      </c>
      <c r="R679" s="2" t="inlineStr"/>
    </row>
    <row r="680" ht="15" customHeight="1">
      <c r="A680" t="inlineStr">
        <is>
          <t>A 8052-2022</t>
        </is>
      </c>
      <c r="B680" s="1" t="n">
        <v>44609</v>
      </c>
      <c r="C680" s="1" t="n">
        <v>46118</v>
      </c>
      <c r="D680" t="inlineStr">
        <is>
          <t>JÄMTLANDS LÄN</t>
        </is>
      </c>
      <c r="E680" t="inlineStr">
        <is>
          <t>BRÄCKE</t>
        </is>
      </c>
      <c r="G680" t="n">
        <v>0.6</v>
      </c>
      <c r="H680" t="n">
        <v>0</v>
      </c>
      <c r="I680" t="n">
        <v>0</v>
      </c>
      <c r="J680" t="n">
        <v>0</v>
      </c>
      <c r="K680" t="n">
        <v>0</v>
      </c>
      <c r="L680" t="n">
        <v>0</v>
      </c>
      <c r="M680" t="n">
        <v>0</v>
      </c>
      <c r="N680" t="n">
        <v>0</v>
      </c>
      <c r="O680" t="n">
        <v>0</v>
      </c>
      <c r="P680" t="n">
        <v>0</v>
      </c>
      <c r="Q680" t="n">
        <v>0</v>
      </c>
      <c r="R680" s="2" t="inlineStr"/>
    </row>
    <row r="681" ht="15" customHeight="1">
      <c r="A681" t="inlineStr">
        <is>
          <t>A 38834-2025</t>
        </is>
      </c>
      <c r="B681" s="1" t="n">
        <v>45887.53174768519</v>
      </c>
      <c r="C681" s="1" t="n">
        <v>46118</v>
      </c>
      <c r="D681" t="inlineStr">
        <is>
          <t>JÄMTLANDS LÄN</t>
        </is>
      </c>
      <c r="E681" t="inlineStr">
        <is>
          <t>BRÄCKE</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51540-2024</t>
        </is>
      </c>
      <c r="B682" s="1" t="n">
        <v>45604</v>
      </c>
      <c r="C682" s="1" t="n">
        <v>46118</v>
      </c>
      <c r="D682" t="inlineStr">
        <is>
          <t>JÄMTLANDS LÄN</t>
        </is>
      </c>
      <c r="E682" t="inlineStr">
        <is>
          <t>BRÄCKE</t>
        </is>
      </c>
      <c r="G682" t="n">
        <v>0.6</v>
      </c>
      <c r="H682" t="n">
        <v>0</v>
      </c>
      <c r="I682" t="n">
        <v>0</v>
      </c>
      <c r="J682" t="n">
        <v>0</v>
      </c>
      <c r="K682" t="n">
        <v>0</v>
      </c>
      <c r="L682" t="n">
        <v>0</v>
      </c>
      <c r="M682" t="n">
        <v>0</v>
      </c>
      <c r="N682" t="n">
        <v>0</v>
      </c>
      <c r="O682" t="n">
        <v>0</v>
      </c>
      <c r="P682" t="n">
        <v>0</v>
      </c>
      <c r="Q682" t="n">
        <v>0</v>
      </c>
      <c r="R682" s="2" t="inlineStr"/>
    </row>
    <row r="683" ht="15" customHeight="1">
      <c r="A683" t="inlineStr">
        <is>
          <t>A 3866-2025</t>
        </is>
      </c>
      <c r="B683" s="1" t="n">
        <v>45684.31995370371</v>
      </c>
      <c r="C683" s="1" t="n">
        <v>46118</v>
      </c>
      <c r="D683" t="inlineStr">
        <is>
          <t>JÄMTLANDS LÄN</t>
        </is>
      </c>
      <c r="E683" t="inlineStr">
        <is>
          <t>BRÄCKE</t>
        </is>
      </c>
      <c r="G683" t="n">
        <v>0.6</v>
      </c>
      <c r="H683" t="n">
        <v>0</v>
      </c>
      <c r="I683" t="n">
        <v>0</v>
      </c>
      <c r="J683" t="n">
        <v>0</v>
      </c>
      <c r="K683" t="n">
        <v>0</v>
      </c>
      <c r="L683" t="n">
        <v>0</v>
      </c>
      <c r="M683" t="n">
        <v>0</v>
      </c>
      <c r="N683" t="n">
        <v>0</v>
      </c>
      <c r="O683" t="n">
        <v>0</v>
      </c>
      <c r="P683" t="n">
        <v>0</v>
      </c>
      <c r="Q683" t="n">
        <v>0</v>
      </c>
      <c r="R683" s="2" t="inlineStr"/>
    </row>
    <row r="684" ht="15" customHeight="1">
      <c r="A684" t="inlineStr">
        <is>
          <t>A 35731-2025</t>
        </is>
      </c>
      <c r="B684" s="1" t="n">
        <v>45860.46923611111</v>
      </c>
      <c r="C684" s="1" t="n">
        <v>46118</v>
      </c>
      <c r="D684" t="inlineStr">
        <is>
          <t>JÄMTLANDS LÄN</t>
        </is>
      </c>
      <c r="E684" t="inlineStr">
        <is>
          <t>BRÄCKE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15423-2025</t>
        </is>
      </c>
      <c r="B685" s="1" t="n">
        <v>45747.4640162037</v>
      </c>
      <c r="C685" s="1" t="n">
        <v>46118</v>
      </c>
      <c r="D685" t="inlineStr">
        <is>
          <t>JÄMTLANDS LÄN</t>
        </is>
      </c>
      <c r="E685" t="inlineStr">
        <is>
          <t>BRÄCKE</t>
        </is>
      </c>
      <c r="G685" t="n">
        <v>3.4</v>
      </c>
      <c r="H685" t="n">
        <v>0</v>
      </c>
      <c r="I685" t="n">
        <v>0</v>
      </c>
      <c r="J685" t="n">
        <v>0</v>
      </c>
      <c r="K685" t="n">
        <v>0</v>
      </c>
      <c r="L685" t="n">
        <v>0</v>
      </c>
      <c r="M685" t="n">
        <v>0</v>
      </c>
      <c r="N685" t="n">
        <v>0</v>
      </c>
      <c r="O685" t="n">
        <v>0</v>
      </c>
      <c r="P685" t="n">
        <v>0</v>
      </c>
      <c r="Q685" t="n">
        <v>0</v>
      </c>
      <c r="R685" s="2" t="inlineStr"/>
    </row>
    <row r="686" ht="15" customHeight="1">
      <c r="A686" t="inlineStr">
        <is>
          <t>A 34315-2022</t>
        </is>
      </c>
      <c r="B686" s="1" t="n">
        <v>44792</v>
      </c>
      <c r="C686" s="1" t="n">
        <v>46118</v>
      </c>
      <c r="D686" t="inlineStr">
        <is>
          <t>JÄMTLANDS LÄN</t>
        </is>
      </c>
      <c r="E686" t="inlineStr">
        <is>
          <t>BRÄCKE</t>
        </is>
      </c>
      <c r="G686" t="n">
        <v>4.9</v>
      </c>
      <c r="H686" t="n">
        <v>0</v>
      </c>
      <c r="I686" t="n">
        <v>0</v>
      </c>
      <c r="J686" t="n">
        <v>0</v>
      </c>
      <c r="K686" t="n">
        <v>0</v>
      </c>
      <c r="L686" t="n">
        <v>0</v>
      </c>
      <c r="M686" t="n">
        <v>0</v>
      </c>
      <c r="N686" t="n">
        <v>0</v>
      </c>
      <c r="O686" t="n">
        <v>0</v>
      </c>
      <c r="P686" t="n">
        <v>0</v>
      </c>
      <c r="Q686" t="n">
        <v>0</v>
      </c>
      <c r="R686" s="2" t="inlineStr"/>
    </row>
    <row r="687" ht="15" customHeight="1">
      <c r="A687" t="inlineStr">
        <is>
          <t>A 35712-2025</t>
        </is>
      </c>
      <c r="B687" s="1" t="n">
        <v>45860.40660879629</v>
      </c>
      <c r="C687" s="1" t="n">
        <v>46118</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56687-2023</t>
        </is>
      </c>
      <c r="B688" s="1" t="n">
        <v>45243.96633101852</v>
      </c>
      <c r="C688" s="1" t="n">
        <v>46118</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56688-2023</t>
        </is>
      </c>
      <c r="B689" s="1" t="n">
        <v>45243.96645833334</v>
      </c>
      <c r="C689" s="1" t="n">
        <v>46118</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35880-2025</t>
        </is>
      </c>
      <c r="B690" s="1" t="n">
        <v>45862.38334490741</v>
      </c>
      <c r="C690" s="1" t="n">
        <v>46118</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25056-2023</t>
        </is>
      </c>
      <c r="B691" s="1" t="n">
        <v>45085.94633101852</v>
      </c>
      <c r="C691" s="1" t="n">
        <v>46118</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35906-2025</t>
        </is>
      </c>
      <c r="B692" s="1" t="n">
        <v>45862.51081018519</v>
      </c>
      <c r="C692" s="1" t="n">
        <v>46118</v>
      </c>
      <c r="D692" t="inlineStr">
        <is>
          <t>JÄMTLANDS LÄN</t>
        </is>
      </c>
      <c r="E692" t="inlineStr">
        <is>
          <t>BRÄCKE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35879-2025</t>
        </is>
      </c>
      <c r="B693" s="1" t="n">
        <v>45862.37929398148</v>
      </c>
      <c r="C693" s="1" t="n">
        <v>46118</v>
      </c>
      <c r="D693" t="inlineStr">
        <is>
          <t>JÄMTLANDS LÄN</t>
        </is>
      </c>
      <c r="E693" t="inlineStr">
        <is>
          <t>BRÄCKE</t>
        </is>
      </c>
      <c r="G693" t="n">
        <v>1.8</v>
      </c>
      <c r="H693" t="n">
        <v>0</v>
      </c>
      <c r="I693" t="n">
        <v>0</v>
      </c>
      <c r="J693" t="n">
        <v>0</v>
      </c>
      <c r="K693" t="n">
        <v>0</v>
      </c>
      <c r="L693" t="n">
        <v>0</v>
      </c>
      <c r="M693" t="n">
        <v>0</v>
      </c>
      <c r="N693" t="n">
        <v>0</v>
      </c>
      <c r="O693" t="n">
        <v>0</v>
      </c>
      <c r="P693" t="n">
        <v>0</v>
      </c>
      <c r="Q693" t="n">
        <v>0</v>
      </c>
      <c r="R693" s="2" t="inlineStr"/>
    </row>
    <row r="694" ht="15" customHeight="1">
      <c r="A694" t="inlineStr">
        <is>
          <t>A 35908-2025</t>
        </is>
      </c>
      <c r="B694" s="1" t="n">
        <v>45862.51113425926</v>
      </c>
      <c r="C694" s="1" t="n">
        <v>46118</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64266-2023</t>
        </is>
      </c>
      <c r="B695" s="1" t="n">
        <v>45279.94579861111</v>
      </c>
      <c r="C695" s="1" t="n">
        <v>46118</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36223-2025</t>
        </is>
      </c>
      <c r="B696" s="1" t="n">
        <v>45867.51101851852</v>
      </c>
      <c r="C696" s="1" t="n">
        <v>46118</v>
      </c>
      <c r="D696" t="inlineStr">
        <is>
          <t>JÄMTLANDS LÄN</t>
        </is>
      </c>
      <c r="E696" t="inlineStr">
        <is>
          <t>BRÄCKE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36034-2025</t>
        </is>
      </c>
      <c r="B697" s="1" t="n">
        <v>45865.64755787037</v>
      </c>
      <c r="C697" s="1" t="n">
        <v>46118</v>
      </c>
      <c r="D697" t="inlineStr">
        <is>
          <t>JÄMTLANDS LÄN</t>
        </is>
      </c>
      <c r="E697" t="inlineStr">
        <is>
          <t>BRÄCKE</t>
        </is>
      </c>
      <c r="G697" t="n">
        <v>1.8</v>
      </c>
      <c r="H697" t="n">
        <v>0</v>
      </c>
      <c r="I697" t="n">
        <v>0</v>
      </c>
      <c r="J697" t="n">
        <v>0</v>
      </c>
      <c r="K697" t="n">
        <v>0</v>
      </c>
      <c r="L697" t="n">
        <v>0</v>
      </c>
      <c r="M697" t="n">
        <v>0</v>
      </c>
      <c r="N697" t="n">
        <v>0</v>
      </c>
      <c r="O697" t="n">
        <v>0</v>
      </c>
      <c r="P697" t="n">
        <v>0</v>
      </c>
      <c r="Q697" t="n">
        <v>0</v>
      </c>
      <c r="R697" s="2" t="inlineStr"/>
    </row>
    <row r="698" ht="15" customHeight="1">
      <c r="A698" t="inlineStr">
        <is>
          <t>A 30102-2021</t>
        </is>
      </c>
      <c r="B698" s="1" t="n">
        <v>44363</v>
      </c>
      <c r="C698" s="1" t="n">
        <v>46118</v>
      </c>
      <c r="D698" t="inlineStr">
        <is>
          <t>JÄMTLANDS LÄN</t>
        </is>
      </c>
      <c r="E698" t="inlineStr">
        <is>
          <t>BRÄCKE</t>
        </is>
      </c>
      <c r="G698" t="n">
        <v>1.3</v>
      </c>
      <c r="H698" t="n">
        <v>0</v>
      </c>
      <c r="I698" t="n">
        <v>0</v>
      </c>
      <c r="J698" t="n">
        <v>0</v>
      </c>
      <c r="K698" t="n">
        <v>0</v>
      </c>
      <c r="L698" t="n">
        <v>0</v>
      </c>
      <c r="M698" t="n">
        <v>0</v>
      </c>
      <c r="N698" t="n">
        <v>0</v>
      </c>
      <c r="O698" t="n">
        <v>0</v>
      </c>
      <c r="P698" t="n">
        <v>0</v>
      </c>
      <c r="Q698" t="n">
        <v>0</v>
      </c>
      <c r="R698" s="2" t="inlineStr"/>
    </row>
    <row r="699" ht="15" customHeight="1">
      <c r="A699" t="inlineStr">
        <is>
          <t>A 23491-2025</t>
        </is>
      </c>
      <c r="B699" s="1" t="n">
        <v>45792.46924768519</v>
      </c>
      <c r="C699" s="1" t="n">
        <v>46118</v>
      </c>
      <c r="D699" t="inlineStr">
        <is>
          <t>JÄMTLANDS LÄN</t>
        </is>
      </c>
      <c r="E699" t="inlineStr">
        <is>
          <t>BRÄCKE</t>
        </is>
      </c>
      <c r="F699" t="inlineStr">
        <is>
          <t>SCA</t>
        </is>
      </c>
      <c r="G699" t="n">
        <v>11.8</v>
      </c>
      <c r="H699" t="n">
        <v>0</v>
      </c>
      <c r="I699" t="n">
        <v>0</v>
      </c>
      <c r="J699" t="n">
        <v>0</v>
      </c>
      <c r="K699" t="n">
        <v>0</v>
      </c>
      <c r="L699" t="n">
        <v>0</v>
      </c>
      <c r="M699" t="n">
        <v>0</v>
      </c>
      <c r="N699" t="n">
        <v>0</v>
      </c>
      <c r="O699" t="n">
        <v>0</v>
      </c>
      <c r="P699" t="n">
        <v>0</v>
      </c>
      <c r="Q699" t="n">
        <v>0</v>
      </c>
      <c r="R699" s="2" t="inlineStr"/>
    </row>
    <row r="700" ht="15" customHeight="1">
      <c r="A700" t="inlineStr">
        <is>
          <t>A 56641-2022</t>
        </is>
      </c>
      <c r="B700" s="1" t="n">
        <v>44893</v>
      </c>
      <c r="C700" s="1" t="n">
        <v>46118</v>
      </c>
      <c r="D700" t="inlineStr">
        <is>
          <t>JÄMTLANDS LÄN</t>
        </is>
      </c>
      <c r="E700" t="inlineStr">
        <is>
          <t>BRÄCKE</t>
        </is>
      </c>
      <c r="G700" t="n">
        <v>6.9</v>
      </c>
      <c r="H700" t="n">
        <v>0</v>
      </c>
      <c r="I700" t="n">
        <v>0</v>
      </c>
      <c r="J700" t="n">
        <v>0</v>
      </c>
      <c r="K700" t="n">
        <v>0</v>
      </c>
      <c r="L700" t="n">
        <v>0</v>
      </c>
      <c r="M700" t="n">
        <v>0</v>
      </c>
      <c r="N700" t="n">
        <v>0</v>
      </c>
      <c r="O700" t="n">
        <v>0</v>
      </c>
      <c r="P700" t="n">
        <v>0</v>
      </c>
      <c r="Q700" t="n">
        <v>0</v>
      </c>
      <c r="R700" s="2" t="inlineStr"/>
    </row>
    <row r="701" ht="15" customHeight="1">
      <c r="A701" t="inlineStr">
        <is>
          <t>A 39273-2025</t>
        </is>
      </c>
      <c r="B701" s="1" t="n">
        <v>45889.38655092593</v>
      </c>
      <c r="C701" s="1" t="n">
        <v>46118</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32471-2021</t>
        </is>
      </c>
      <c r="B702" s="1" t="n">
        <v>44371</v>
      </c>
      <c r="C702" s="1" t="n">
        <v>46118</v>
      </c>
      <c r="D702" t="inlineStr">
        <is>
          <t>JÄMTLANDS LÄN</t>
        </is>
      </c>
      <c r="E702" t="inlineStr">
        <is>
          <t>BRÄCKE</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36222-2025</t>
        </is>
      </c>
      <c r="B703" s="1" t="n">
        <v>45867.51087962963</v>
      </c>
      <c r="C703" s="1" t="n">
        <v>46118</v>
      </c>
      <c r="D703" t="inlineStr">
        <is>
          <t>JÄMTLANDS LÄN</t>
        </is>
      </c>
      <c r="E703" t="inlineStr">
        <is>
          <t>BRÄCKE</t>
        </is>
      </c>
      <c r="G703" t="n">
        <v>1</v>
      </c>
      <c r="H703" t="n">
        <v>0</v>
      </c>
      <c r="I703" t="n">
        <v>0</v>
      </c>
      <c r="J703" t="n">
        <v>0</v>
      </c>
      <c r="K703" t="n">
        <v>0</v>
      </c>
      <c r="L703" t="n">
        <v>0</v>
      </c>
      <c r="M703" t="n">
        <v>0</v>
      </c>
      <c r="N703" t="n">
        <v>0</v>
      </c>
      <c r="O703" t="n">
        <v>0</v>
      </c>
      <c r="P703" t="n">
        <v>0</v>
      </c>
      <c r="Q703" t="n">
        <v>0</v>
      </c>
      <c r="R703" s="2" t="inlineStr"/>
    </row>
    <row r="704" ht="15" customHeight="1">
      <c r="A704" t="inlineStr">
        <is>
          <t>A 36169-2025</t>
        </is>
      </c>
      <c r="B704" s="1" t="n">
        <v>45867.38596064815</v>
      </c>
      <c r="C704" s="1" t="n">
        <v>46118</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24432-2024</t>
        </is>
      </c>
      <c r="B705" s="1" t="n">
        <v>45457.96054398148</v>
      </c>
      <c r="C705" s="1" t="n">
        <v>46118</v>
      </c>
      <c r="D705" t="inlineStr">
        <is>
          <t>JÄMTLANDS LÄN</t>
        </is>
      </c>
      <c r="E705" t="inlineStr">
        <is>
          <t>BRÄCKE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39385-2025</t>
        </is>
      </c>
      <c r="B706" s="1" t="n">
        <v>45889.61550925926</v>
      </c>
      <c r="C706" s="1" t="n">
        <v>46118</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36508-2025</t>
        </is>
      </c>
      <c r="B707" s="1" t="n">
        <v>45869.57351851852</v>
      </c>
      <c r="C707" s="1" t="n">
        <v>46118</v>
      </c>
      <c r="D707" t="inlineStr">
        <is>
          <t>JÄMTLANDS LÄN</t>
        </is>
      </c>
      <c r="E707" t="inlineStr">
        <is>
          <t>BRÄCKE</t>
        </is>
      </c>
      <c r="F707" t="inlineStr">
        <is>
          <t>SCA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39344-2025</t>
        </is>
      </c>
      <c r="B708" s="1" t="n">
        <v>45889.53175925926</v>
      </c>
      <c r="C708" s="1" t="n">
        <v>46118</v>
      </c>
      <c r="D708" t="inlineStr">
        <is>
          <t>JÄMTLANDS LÄN</t>
        </is>
      </c>
      <c r="E708" t="inlineStr">
        <is>
          <t>BRÄCKE</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39355-2025</t>
        </is>
      </c>
      <c r="B709" s="1" t="n">
        <v>45889.55252314815</v>
      </c>
      <c r="C709" s="1" t="n">
        <v>46118</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39377-2025</t>
        </is>
      </c>
      <c r="B710" s="1" t="n">
        <v>45889.59434027778</v>
      </c>
      <c r="C710" s="1" t="n">
        <v>46118</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36507-2025</t>
        </is>
      </c>
      <c r="B711" s="1" t="n">
        <v>45869.57335648148</v>
      </c>
      <c r="C711" s="1" t="n">
        <v>46118</v>
      </c>
      <c r="D711" t="inlineStr">
        <is>
          <t>JÄMTLANDS LÄN</t>
        </is>
      </c>
      <c r="E711" t="inlineStr">
        <is>
          <t>BRÄCKE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1914-2025</t>
        </is>
      </c>
      <c r="B712" s="1" t="n">
        <v>45671.65984953703</v>
      </c>
      <c r="C712" s="1" t="n">
        <v>46118</v>
      </c>
      <c r="D712" t="inlineStr">
        <is>
          <t>JÄMTLANDS LÄN</t>
        </is>
      </c>
      <c r="E712" t="inlineStr">
        <is>
          <t>BRÄCKE</t>
        </is>
      </c>
      <c r="G712" t="n">
        <v>2.9</v>
      </c>
      <c r="H712" t="n">
        <v>0</v>
      </c>
      <c r="I712" t="n">
        <v>0</v>
      </c>
      <c r="J712" t="n">
        <v>0</v>
      </c>
      <c r="K712" t="n">
        <v>0</v>
      </c>
      <c r="L712" t="n">
        <v>0</v>
      </c>
      <c r="M712" t="n">
        <v>0</v>
      </c>
      <c r="N712" t="n">
        <v>0</v>
      </c>
      <c r="O712" t="n">
        <v>0</v>
      </c>
      <c r="P712" t="n">
        <v>0</v>
      </c>
      <c r="Q712" t="n">
        <v>0</v>
      </c>
      <c r="R712" s="2" t="inlineStr"/>
    </row>
    <row r="713" ht="15" customHeight="1">
      <c r="A713" t="inlineStr">
        <is>
          <t>A 39376-2025</t>
        </is>
      </c>
      <c r="B713" s="1" t="n">
        <v>45889.59425925926</v>
      </c>
      <c r="C713" s="1" t="n">
        <v>46118</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46118</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39086-2025</t>
        </is>
      </c>
      <c r="B715" s="1" t="n">
        <v>45888.49046296296</v>
      </c>
      <c r="C715" s="1" t="n">
        <v>46118</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36386-2025</t>
        </is>
      </c>
      <c r="B716" s="1" t="n">
        <v>45868.59412037037</v>
      </c>
      <c r="C716" s="1" t="n">
        <v>46118</v>
      </c>
      <c r="D716" t="inlineStr">
        <is>
          <t>JÄMTLANDS LÄN</t>
        </is>
      </c>
      <c r="E716" t="inlineStr">
        <is>
          <t>BRÄCKE</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39272-2025</t>
        </is>
      </c>
      <c r="B717" s="1" t="n">
        <v>45889.38640046296</v>
      </c>
      <c r="C717" s="1" t="n">
        <v>46118</v>
      </c>
      <c r="D717" t="inlineStr">
        <is>
          <t>JÄMTLANDS LÄN</t>
        </is>
      </c>
      <c r="E717" t="inlineStr">
        <is>
          <t>BRÄCKE</t>
        </is>
      </c>
      <c r="F717" t="inlineStr">
        <is>
          <t>SCA</t>
        </is>
      </c>
      <c r="G717" t="n">
        <v>13.1</v>
      </c>
      <c r="H717" t="n">
        <v>0</v>
      </c>
      <c r="I717" t="n">
        <v>0</v>
      </c>
      <c r="J717" t="n">
        <v>0</v>
      </c>
      <c r="K717" t="n">
        <v>0</v>
      </c>
      <c r="L717" t="n">
        <v>0</v>
      </c>
      <c r="M717" t="n">
        <v>0</v>
      </c>
      <c r="N717" t="n">
        <v>0</v>
      </c>
      <c r="O717" t="n">
        <v>0</v>
      </c>
      <c r="P717" t="n">
        <v>0</v>
      </c>
      <c r="Q717" t="n">
        <v>0</v>
      </c>
      <c r="R717" s="2" t="inlineStr"/>
    </row>
    <row r="718" ht="15" customHeight="1">
      <c r="A718" t="inlineStr">
        <is>
          <t>A 39100-2025</t>
        </is>
      </c>
      <c r="B718" s="1" t="n">
        <v>45888.5108912037</v>
      </c>
      <c r="C718" s="1" t="n">
        <v>46118</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13249-2025</t>
        </is>
      </c>
      <c r="B719" s="1" t="n">
        <v>45735.48996527777</v>
      </c>
      <c r="C719" s="1" t="n">
        <v>46118</v>
      </c>
      <c r="D719" t="inlineStr">
        <is>
          <t>JÄMTLANDS LÄN</t>
        </is>
      </c>
      <c r="E719" t="inlineStr">
        <is>
          <t>BRÄCKE</t>
        </is>
      </c>
      <c r="F719" t="inlineStr">
        <is>
          <t>SCA</t>
        </is>
      </c>
      <c r="G719" t="n">
        <v>8.9</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46118</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39088-2025</t>
        </is>
      </c>
      <c r="B721" s="1" t="n">
        <v>45888.49105324074</v>
      </c>
      <c r="C721" s="1" t="n">
        <v>46118</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39117-2025</t>
        </is>
      </c>
      <c r="B722" s="1" t="n">
        <v>45888.55275462963</v>
      </c>
      <c r="C722" s="1" t="n">
        <v>46118</v>
      </c>
      <c r="D722" t="inlineStr">
        <is>
          <t>JÄMTLANDS LÄN</t>
        </is>
      </c>
      <c r="E722" t="inlineStr">
        <is>
          <t>BRÄCKE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53047-2023</t>
        </is>
      </c>
      <c r="B723" s="1" t="n">
        <v>45226.96398148148</v>
      </c>
      <c r="C723" s="1" t="n">
        <v>46118</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39052-2025</t>
        </is>
      </c>
      <c r="B724" s="1" t="n">
        <v>45888.44829861111</v>
      </c>
      <c r="C724" s="1" t="n">
        <v>46118</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39087-2025</t>
        </is>
      </c>
      <c r="B725" s="1" t="n">
        <v>45888.49076388889</v>
      </c>
      <c r="C725" s="1" t="n">
        <v>46118</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47550-2024</t>
        </is>
      </c>
      <c r="B726" s="1" t="n">
        <v>45587.66041666667</v>
      </c>
      <c r="C726" s="1" t="n">
        <v>46118</v>
      </c>
      <c r="D726" t="inlineStr">
        <is>
          <t>JÄMTLANDS LÄN</t>
        </is>
      </c>
      <c r="E726" t="inlineStr">
        <is>
          <t>BRÄCKE</t>
        </is>
      </c>
      <c r="G726" t="n">
        <v>5.3</v>
      </c>
      <c r="H726" t="n">
        <v>0</v>
      </c>
      <c r="I726" t="n">
        <v>0</v>
      </c>
      <c r="J726" t="n">
        <v>0</v>
      </c>
      <c r="K726" t="n">
        <v>0</v>
      </c>
      <c r="L726" t="n">
        <v>0</v>
      </c>
      <c r="M726" t="n">
        <v>0</v>
      </c>
      <c r="N726" t="n">
        <v>0</v>
      </c>
      <c r="O726" t="n">
        <v>0</v>
      </c>
      <c r="P726" t="n">
        <v>0</v>
      </c>
      <c r="Q726" t="n">
        <v>0</v>
      </c>
      <c r="R726" s="2" t="inlineStr"/>
    </row>
    <row r="727" ht="15" customHeight="1">
      <c r="A727" t="inlineStr">
        <is>
          <t>A 36534-2025</t>
        </is>
      </c>
      <c r="B727" s="1" t="n">
        <v>45869.61495370371</v>
      </c>
      <c r="C727" s="1" t="n">
        <v>46118</v>
      </c>
      <c r="D727" t="inlineStr">
        <is>
          <t>JÄMTLANDS LÄN</t>
        </is>
      </c>
      <c r="E727" t="inlineStr">
        <is>
          <t>BRÄCKE</t>
        </is>
      </c>
      <c r="F727" t="inlineStr">
        <is>
          <t>SCA</t>
        </is>
      </c>
      <c r="G727" t="n">
        <v>22.1</v>
      </c>
      <c r="H727" t="n">
        <v>0</v>
      </c>
      <c r="I727" t="n">
        <v>0</v>
      </c>
      <c r="J727" t="n">
        <v>0</v>
      </c>
      <c r="K727" t="n">
        <v>0</v>
      </c>
      <c r="L727" t="n">
        <v>0</v>
      </c>
      <c r="M727" t="n">
        <v>0</v>
      </c>
      <c r="N727" t="n">
        <v>0</v>
      </c>
      <c r="O727" t="n">
        <v>0</v>
      </c>
      <c r="P727" t="n">
        <v>0</v>
      </c>
      <c r="Q727" t="n">
        <v>0</v>
      </c>
      <c r="R727" s="2" t="inlineStr"/>
    </row>
    <row r="728" ht="15" customHeight="1">
      <c r="A728" t="inlineStr">
        <is>
          <t>A 39680-2025</t>
        </is>
      </c>
      <c r="B728" s="1" t="n">
        <v>45890.65677083333</v>
      </c>
      <c r="C728" s="1" t="n">
        <v>46118</v>
      </c>
      <c r="D728" t="inlineStr">
        <is>
          <t>JÄMTLANDS LÄN</t>
        </is>
      </c>
      <c r="E728" t="inlineStr">
        <is>
          <t>BRÄCKE</t>
        </is>
      </c>
      <c r="G728" t="n">
        <v>3.3</v>
      </c>
      <c r="H728" t="n">
        <v>0</v>
      </c>
      <c r="I728" t="n">
        <v>0</v>
      </c>
      <c r="J728" t="n">
        <v>0</v>
      </c>
      <c r="K728" t="n">
        <v>0</v>
      </c>
      <c r="L728" t="n">
        <v>0</v>
      </c>
      <c r="M728" t="n">
        <v>0</v>
      </c>
      <c r="N728" t="n">
        <v>0</v>
      </c>
      <c r="O728" t="n">
        <v>0</v>
      </c>
      <c r="P728" t="n">
        <v>0</v>
      </c>
      <c r="Q728" t="n">
        <v>0</v>
      </c>
      <c r="R728" s="2" t="inlineStr"/>
    </row>
    <row r="729" ht="15" customHeight="1">
      <c r="A729" t="inlineStr">
        <is>
          <t>A 39506-2025</t>
        </is>
      </c>
      <c r="B729" s="1" t="n">
        <v>45890.40703703704</v>
      </c>
      <c r="C729" s="1" t="n">
        <v>46118</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15261-2025</t>
        </is>
      </c>
      <c r="B730" s="1" t="n">
        <v>45744</v>
      </c>
      <c r="C730" s="1" t="n">
        <v>46118</v>
      </c>
      <c r="D730" t="inlineStr">
        <is>
          <t>JÄMTLANDS LÄN</t>
        </is>
      </c>
      <c r="E730" t="inlineStr">
        <is>
          <t>BRÄCKE</t>
        </is>
      </c>
      <c r="F730" t="inlineStr">
        <is>
          <t>SCA</t>
        </is>
      </c>
      <c r="G730" t="n">
        <v>9</v>
      </c>
      <c r="H730" t="n">
        <v>0</v>
      </c>
      <c r="I730" t="n">
        <v>0</v>
      </c>
      <c r="J730" t="n">
        <v>0</v>
      </c>
      <c r="K730" t="n">
        <v>0</v>
      </c>
      <c r="L730" t="n">
        <v>0</v>
      </c>
      <c r="M730" t="n">
        <v>0</v>
      </c>
      <c r="N730" t="n">
        <v>0</v>
      </c>
      <c r="O730" t="n">
        <v>0</v>
      </c>
      <c r="P730" t="n">
        <v>0</v>
      </c>
      <c r="Q730" t="n">
        <v>0</v>
      </c>
      <c r="R730" s="2" t="inlineStr"/>
    </row>
    <row r="731" ht="15" customHeight="1">
      <c r="A731" t="inlineStr">
        <is>
          <t>A 39505-2025</t>
        </is>
      </c>
      <c r="B731" s="1" t="n">
        <v>45890.40689814815</v>
      </c>
      <c r="C731" s="1" t="n">
        <v>46118</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39532-2025</t>
        </is>
      </c>
      <c r="B732" s="1" t="n">
        <v>45890.44847222222</v>
      </c>
      <c r="C732" s="1" t="n">
        <v>46118</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39487-2025</t>
        </is>
      </c>
      <c r="B733" s="1" t="n">
        <v>45890.3650462963</v>
      </c>
      <c r="C733" s="1" t="n">
        <v>46118</v>
      </c>
      <c r="D733" t="inlineStr">
        <is>
          <t>JÄMTLANDS LÄN</t>
        </is>
      </c>
      <c r="E733" t="inlineStr">
        <is>
          <t>BRÄCKE</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64643-2023</t>
        </is>
      </c>
      <c r="B734" s="1" t="n">
        <v>45281</v>
      </c>
      <c r="C734" s="1" t="n">
        <v>46118</v>
      </c>
      <c r="D734" t="inlineStr">
        <is>
          <t>JÄMTLANDS LÄN</t>
        </is>
      </c>
      <c r="E734" t="inlineStr">
        <is>
          <t>BRÄCKE</t>
        </is>
      </c>
      <c r="G734" t="n">
        <v>0.6</v>
      </c>
      <c r="H734" t="n">
        <v>0</v>
      </c>
      <c r="I734" t="n">
        <v>0</v>
      </c>
      <c r="J734" t="n">
        <v>0</v>
      </c>
      <c r="K734" t="n">
        <v>0</v>
      </c>
      <c r="L734" t="n">
        <v>0</v>
      </c>
      <c r="M734" t="n">
        <v>0</v>
      </c>
      <c r="N734" t="n">
        <v>0</v>
      </c>
      <c r="O734" t="n">
        <v>0</v>
      </c>
      <c r="P734" t="n">
        <v>0</v>
      </c>
      <c r="Q734" t="n">
        <v>0</v>
      </c>
      <c r="R734" s="2" t="inlineStr"/>
    </row>
    <row r="735" ht="15" customHeight="1">
      <c r="A735" t="inlineStr">
        <is>
          <t>A 50223-2023</t>
        </is>
      </c>
      <c r="B735" s="1" t="n">
        <v>45215.94747685185</v>
      </c>
      <c r="C735" s="1" t="n">
        <v>46118</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48816-2022</t>
        </is>
      </c>
      <c r="B736" s="1" t="n">
        <v>44859</v>
      </c>
      <c r="C736" s="1" t="n">
        <v>46118</v>
      </c>
      <c r="D736" t="inlineStr">
        <is>
          <t>JÄMTLANDS LÄN</t>
        </is>
      </c>
      <c r="E736" t="inlineStr">
        <is>
          <t>BRÄCKE</t>
        </is>
      </c>
      <c r="G736" t="n">
        <v>13.3</v>
      </c>
      <c r="H736" t="n">
        <v>0</v>
      </c>
      <c r="I736" t="n">
        <v>0</v>
      </c>
      <c r="J736" t="n">
        <v>0</v>
      </c>
      <c r="K736" t="n">
        <v>0</v>
      </c>
      <c r="L736" t="n">
        <v>0</v>
      </c>
      <c r="M736" t="n">
        <v>0</v>
      </c>
      <c r="N736" t="n">
        <v>0</v>
      </c>
      <c r="O736" t="n">
        <v>0</v>
      </c>
      <c r="P736" t="n">
        <v>0</v>
      </c>
      <c r="Q736" t="n">
        <v>0</v>
      </c>
      <c r="R736" s="2" t="inlineStr"/>
    </row>
    <row r="737" ht="15" customHeight="1">
      <c r="A737" t="inlineStr">
        <is>
          <t>A 29314-2021</t>
        </is>
      </c>
      <c r="B737" s="1" t="n">
        <v>44361</v>
      </c>
      <c r="C737" s="1" t="n">
        <v>46118</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24195-2023</t>
        </is>
      </c>
      <c r="B738" s="1" t="n">
        <v>45079</v>
      </c>
      <c r="C738" s="1" t="n">
        <v>46118</v>
      </c>
      <c r="D738" t="inlineStr">
        <is>
          <t>JÄMTLANDS LÄN</t>
        </is>
      </c>
      <c r="E738" t="inlineStr">
        <is>
          <t>BRÄCKE</t>
        </is>
      </c>
      <c r="G738" t="n">
        <v>1.5</v>
      </c>
      <c r="H738" t="n">
        <v>0</v>
      </c>
      <c r="I738" t="n">
        <v>0</v>
      </c>
      <c r="J738" t="n">
        <v>0</v>
      </c>
      <c r="K738" t="n">
        <v>0</v>
      </c>
      <c r="L738" t="n">
        <v>0</v>
      </c>
      <c r="M738" t="n">
        <v>0</v>
      </c>
      <c r="N738" t="n">
        <v>0</v>
      </c>
      <c r="O738" t="n">
        <v>0</v>
      </c>
      <c r="P738" t="n">
        <v>0</v>
      </c>
      <c r="Q738" t="n">
        <v>0</v>
      </c>
      <c r="R738" s="2" t="inlineStr"/>
    </row>
    <row r="739" ht="15" customHeight="1">
      <c r="A739" t="inlineStr">
        <is>
          <t>A 39933-2025</t>
        </is>
      </c>
      <c r="B739" s="1" t="n">
        <v>45891.71150462963</v>
      </c>
      <c r="C739" s="1" t="n">
        <v>46118</v>
      </c>
      <c r="D739" t="inlineStr">
        <is>
          <t>JÄMTLANDS LÄN</t>
        </is>
      </c>
      <c r="E739" t="inlineStr">
        <is>
          <t>BRÄCKE</t>
        </is>
      </c>
      <c r="G739" t="n">
        <v>15.1</v>
      </c>
      <c r="H739" t="n">
        <v>0</v>
      </c>
      <c r="I739" t="n">
        <v>0</v>
      </c>
      <c r="J739" t="n">
        <v>0</v>
      </c>
      <c r="K739" t="n">
        <v>0</v>
      </c>
      <c r="L739" t="n">
        <v>0</v>
      </c>
      <c r="M739" t="n">
        <v>0</v>
      </c>
      <c r="N739" t="n">
        <v>0</v>
      </c>
      <c r="O739" t="n">
        <v>0</v>
      </c>
      <c r="P739" t="n">
        <v>0</v>
      </c>
      <c r="Q739" t="n">
        <v>0</v>
      </c>
      <c r="R739" s="2" t="inlineStr"/>
    </row>
    <row r="740" ht="15" customHeight="1">
      <c r="A740" t="inlineStr">
        <is>
          <t>A 3389-2024</t>
        </is>
      </c>
      <c r="B740" s="1" t="n">
        <v>45317.9409837963</v>
      </c>
      <c r="C740" s="1" t="n">
        <v>46118</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49646-2023</t>
        </is>
      </c>
      <c r="B741" s="1" t="n">
        <v>45211</v>
      </c>
      <c r="C741" s="1" t="n">
        <v>46118</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39767-2025</t>
        </is>
      </c>
      <c r="B742" s="1" t="n">
        <v>45891.44828703703</v>
      </c>
      <c r="C742" s="1" t="n">
        <v>46118</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17209-2023</t>
        </is>
      </c>
      <c r="B743" s="1" t="n">
        <v>45034</v>
      </c>
      <c r="C743" s="1" t="n">
        <v>46118</v>
      </c>
      <c r="D743" t="inlineStr">
        <is>
          <t>JÄMTLANDS LÄN</t>
        </is>
      </c>
      <c r="E743" t="inlineStr">
        <is>
          <t>BRÄCKE</t>
        </is>
      </c>
      <c r="G743" t="n">
        <v>11.1</v>
      </c>
      <c r="H743" t="n">
        <v>0</v>
      </c>
      <c r="I743" t="n">
        <v>0</v>
      </c>
      <c r="J743" t="n">
        <v>0</v>
      </c>
      <c r="K743" t="n">
        <v>0</v>
      </c>
      <c r="L743" t="n">
        <v>0</v>
      </c>
      <c r="M743" t="n">
        <v>0</v>
      </c>
      <c r="N743" t="n">
        <v>0</v>
      </c>
      <c r="O743" t="n">
        <v>0</v>
      </c>
      <c r="P743" t="n">
        <v>0</v>
      </c>
      <c r="Q743" t="n">
        <v>0</v>
      </c>
      <c r="R743" s="2" t="inlineStr"/>
    </row>
    <row r="744" ht="15" customHeight="1">
      <c r="A744" t="inlineStr">
        <is>
          <t>A 39535-2025</t>
        </is>
      </c>
      <c r="B744" s="1" t="n">
        <v>45890.44881944444</v>
      </c>
      <c r="C744" s="1" t="n">
        <v>46118</v>
      </c>
      <c r="D744" t="inlineStr">
        <is>
          <t>JÄMTLANDS LÄN</t>
        </is>
      </c>
      <c r="E744" t="inlineStr">
        <is>
          <t>BRÄCKE</t>
        </is>
      </c>
      <c r="G744" t="n">
        <v>6.4</v>
      </c>
      <c r="H744" t="n">
        <v>0</v>
      </c>
      <c r="I744" t="n">
        <v>0</v>
      </c>
      <c r="J744" t="n">
        <v>0</v>
      </c>
      <c r="K744" t="n">
        <v>0</v>
      </c>
      <c r="L744" t="n">
        <v>0</v>
      </c>
      <c r="M744" t="n">
        <v>0</v>
      </c>
      <c r="N744" t="n">
        <v>0</v>
      </c>
      <c r="O744" t="n">
        <v>0</v>
      </c>
      <c r="P744" t="n">
        <v>0</v>
      </c>
      <c r="Q744" t="n">
        <v>0</v>
      </c>
      <c r="R744" s="2" t="inlineStr"/>
    </row>
    <row r="745" ht="15" customHeight="1">
      <c r="A745" t="inlineStr">
        <is>
          <t>A 39745-2025</t>
        </is>
      </c>
      <c r="B745" s="1" t="n">
        <v>45891.38579861111</v>
      </c>
      <c r="C745" s="1" t="n">
        <v>46118</v>
      </c>
      <c r="D745" t="inlineStr">
        <is>
          <t>JÄMTLANDS LÄN</t>
        </is>
      </c>
      <c r="E745" t="inlineStr">
        <is>
          <t>BRÄCKE</t>
        </is>
      </c>
      <c r="G745" t="n">
        <v>3.4</v>
      </c>
      <c r="H745" t="n">
        <v>0</v>
      </c>
      <c r="I745" t="n">
        <v>0</v>
      </c>
      <c r="J745" t="n">
        <v>0</v>
      </c>
      <c r="K745" t="n">
        <v>0</v>
      </c>
      <c r="L745" t="n">
        <v>0</v>
      </c>
      <c r="M745" t="n">
        <v>0</v>
      </c>
      <c r="N745" t="n">
        <v>0</v>
      </c>
      <c r="O745" t="n">
        <v>0</v>
      </c>
      <c r="P745" t="n">
        <v>0</v>
      </c>
      <c r="Q745" t="n">
        <v>0</v>
      </c>
      <c r="R745" s="2" t="inlineStr"/>
    </row>
    <row r="746" ht="15" customHeight="1">
      <c r="A746" t="inlineStr">
        <is>
          <t>A 39901-2025</t>
        </is>
      </c>
      <c r="B746" s="1" t="n">
        <v>45891.63577546296</v>
      </c>
      <c r="C746" s="1" t="n">
        <v>46118</v>
      </c>
      <c r="D746" t="inlineStr">
        <is>
          <t>JÄMTLANDS LÄN</t>
        </is>
      </c>
      <c r="E746" t="inlineStr">
        <is>
          <t>BRÄCKE</t>
        </is>
      </c>
      <c r="G746" t="n">
        <v>2.3</v>
      </c>
      <c r="H746" t="n">
        <v>0</v>
      </c>
      <c r="I746" t="n">
        <v>0</v>
      </c>
      <c r="J746" t="n">
        <v>0</v>
      </c>
      <c r="K746" t="n">
        <v>0</v>
      </c>
      <c r="L746" t="n">
        <v>0</v>
      </c>
      <c r="M746" t="n">
        <v>0</v>
      </c>
      <c r="N746" t="n">
        <v>0</v>
      </c>
      <c r="O746" t="n">
        <v>0</v>
      </c>
      <c r="P746" t="n">
        <v>0</v>
      </c>
      <c r="Q746" t="n">
        <v>0</v>
      </c>
      <c r="R746" s="2" t="inlineStr"/>
    </row>
    <row r="747" ht="15" customHeight="1">
      <c r="A747" t="inlineStr">
        <is>
          <t>A 20879-2023</t>
        </is>
      </c>
      <c r="B747" s="1" t="n">
        <v>45058.94399305555</v>
      </c>
      <c r="C747" s="1" t="n">
        <v>46118</v>
      </c>
      <c r="D747" t="inlineStr">
        <is>
          <t>JÄMTLANDS LÄN</t>
        </is>
      </c>
      <c r="E747" t="inlineStr">
        <is>
          <t>BRÄCKE</t>
        </is>
      </c>
      <c r="F747" t="inlineStr">
        <is>
          <t>Naturvårdsverket</t>
        </is>
      </c>
      <c r="G747" t="n">
        <v>0.9</v>
      </c>
      <c r="H747" t="n">
        <v>0</v>
      </c>
      <c r="I747" t="n">
        <v>0</v>
      </c>
      <c r="J747" t="n">
        <v>0</v>
      </c>
      <c r="K747" t="n">
        <v>0</v>
      </c>
      <c r="L747" t="n">
        <v>0</v>
      </c>
      <c r="M747" t="n">
        <v>0</v>
      </c>
      <c r="N747" t="n">
        <v>0</v>
      </c>
      <c r="O747" t="n">
        <v>0</v>
      </c>
      <c r="P747" t="n">
        <v>0</v>
      </c>
      <c r="Q747" t="n">
        <v>0</v>
      </c>
      <c r="R747" s="2" t="inlineStr"/>
    </row>
    <row r="748" ht="15" customHeight="1">
      <c r="A748" t="inlineStr">
        <is>
          <t>A 18965-2025</t>
        </is>
      </c>
      <c r="B748" s="1" t="n">
        <v>45764.53155092592</v>
      </c>
      <c r="C748" s="1" t="n">
        <v>46118</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18982-2025</t>
        </is>
      </c>
      <c r="B749" s="1" t="n">
        <v>45764.55288194444</v>
      </c>
      <c r="C749" s="1" t="n">
        <v>46118</v>
      </c>
      <c r="D749" t="inlineStr">
        <is>
          <t>JÄMTLANDS LÄN</t>
        </is>
      </c>
      <c r="E749" t="inlineStr">
        <is>
          <t>BRÄCKE</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37117-2025</t>
        </is>
      </c>
      <c r="B750" s="1" t="n">
        <v>45875.51163194444</v>
      </c>
      <c r="C750" s="1" t="n">
        <v>46118</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43785-2022</t>
        </is>
      </c>
      <c r="B751" s="1" t="n">
        <v>44837</v>
      </c>
      <c r="C751" s="1" t="n">
        <v>46118</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40411-2025</t>
        </is>
      </c>
      <c r="B752" s="1" t="n">
        <v>45895.57373842593</v>
      </c>
      <c r="C752" s="1" t="n">
        <v>46118</v>
      </c>
      <c r="D752" t="inlineStr">
        <is>
          <t>JÄMTLANDS LÄN</t>
        </is>
      </c>
      <c r="E752" t="inlineStr">
        <is>
          <t>BRÄCKE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37116-2025</t>
        </is>
      </c>
      <c r="B753" s="1" t="n">
        <v>45875.51150462963</v>
      </c>
      <c r="C753" s="1" t="n">
        <v>46118</v>
      </c>
      <c r="D753" t="inlineStr">
        <is>
          <t>JÄMTLANDS LÄN</t>
        </is>
      </c>
      <c r="E753" t="inlineStr">
        <is>
          <t>BRÄCKE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24056-2022</t>
        </is>
      </c>
      <c r="B754" s="1" t="n">
        <v>44724.938125</v>
      </c>
      <c r="C754" s="1" t="n">
        <v>46118</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37093-2025</t>
        </is>
      </c>
      <c r="B755" s="1" t="n">
        <v>45875.46909722222</v>
      </c>
      <c r="C755" s="1" t="n">
        <v>46118</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37185-2025</t>
        </is>
      </c>
      <c r="B756" s="1" t="n">
        <v>45875.63608796296</v>
      </c>
      <c r="C756" s="1" t="n">
        <v>46118</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37074-2025</t>
        </is>
      </c>
      <c r="B757" s="1" t="n">
        <v>45875.40717592592</v>
      </c>
      <c r="C757" s="1" t="n">
        <v>46118</v>
      </c>
      <c r="D757" t="inlineStr">
        <is>
          <t>JÄMTLANDS LÄN</t>
        </is>
      </c>
      <c r="E757" t="inlineStr">
        <is>
          <t>BRÄCKE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20624-2023</t>
        </is>
      </c>
      <c r="B758" s="1" t="n">
        <v>45057.94346064814</v>
      </c>
      <c r="C758" s="1" t="n">
        <v>46118</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36970-2025</t>
        </is>
      </c>
      <c r="B759" s="1" t="n">
        <v>45874.63700231481</v>
      </c>
      <c r="C759" s="1" t="n">
        <v>46118</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37459-2025</t>
        </is>
      </c>
      <c r="B760" s="1" t="n">
        <v>45877.57327546296</v>
      </c>
      <c r="C760" s="1" t="n">
        <v>46118</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64302-2023</t>
        </is>
      </c>
      <c r="B761" s="1" t="n">
        <v>45280</v>
      </c>
      <c r="C761" s="1" t="n">
        <v>46118</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37405-2025</t>
        </is>
      </c>
      <c r="B762" s="1" t="n">
        <v>45877.44858796296</v>
      </c>
      <c r="C762" s="1" t="n">
        <v>46118</v>
      </c>
      <c r="D762" t="inlineStr">
        <is>
          <t>JÄMTLANDS LÄN</t>
        </is>
      </c>
      <c r="E762" t="inlineStr">
        <is>
          <t>BRÄCKE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37464-2025</t>
        </is>
      </c>
      <c r="B763" s="1" t="n">
        <v>45877.57395833333</v>
      </c>
      <c r="C763" s="1" t="n">
        <v>46118</v>
      </c>
      <c r="D763" t="inlineStr">
        <is>
          <t>JÄMTLANDS LÄN</t>
        </is>
      </c>
      <c r="E763" t="inlineStr">
        <is>
          <t>BRÄCKE</t>
        </is>
      </c>
      <c r="G763" t="n">
        <v>2.8</v>
      </c>
      <c r="H763" t="n">
        <v>0</v>
      </c>
      <c r="I763" t="n">
        <v>0</v>
      </c>
      <c r="J763" t="n">
        <v>0</v>
      </c>
      <c r="K763" t="n">
        <v>0</v>
      </c>
      <c r="L763" t="n">
        <v>0</v>
      </c>
      <c r="M763" t="n">
        <v>0</v>
      </c>
      <c r="N763" t="n">
        <v>0</v>
      </c>
      <c r="O763" t="n">
        <v>0</v>
      </c>
      <c r="P763" t="n">
        <v>0</v>
      </c>
      <c r="Q763" t="n">
        <v>0</v>
      </c>
      <c r="R763" s="2" t="inlineStr"/>
    </row>
    <row r="764" ht="15" customHeight="1">
      <c r="A764" t="inlineStr">
        <is>
          <t>A 37377-2025</t>
        </is>
      </c>
      <c r="B764" s="1" t="n">
        <v>45877.3653125</v>
      </c>
      <c r="C764" s="1" t="n">
        <v>46118</v>
      </c>
      <c r="D764" t="inlineStr">
        <is>
          <t>JÄMTLANDS LÄN</t>
        </is>
      </c>
      <c r="E764" t="inlineStr">
        <is>
          <t>BRÄCKE</t>
        </is>
      </c>
      <c r="F764" t="inlineStr">
        <is>
          <t>SCA</t>
        </is>
      </c>
      <c r="G764" t="n">
        <v>0.3</v>
      </c>
      <c r="H764" t="n">
        <v>0</v>
      </c>
      <c r="I764" t="n">
        <v>0</v>
      </c>
      <c r="J764" t="n">
        <v>0</v>
      </c>
      <c r="K764" t="n">
        <v>0</v>
      </c>
      <c r="L764" t="n">
        <v>0</v>
      </c>
      <c r="M764" t="n">
        <v>0</v>
      </c>
      <c r="N764" t="n">
        <v>0</v>
      </c>
      <c r="O764" t="n">
        <v>0</v>
      </c>
      <c r="P764" t="n">
        <v>0</v>
      </c>
      <c r="Q764" t="n">
        <v>0</v>
      </c>
      <c r="R764" s="2" t="inlineStr"/>
    </row>
    <row r="765" ht="15" customHeight="1">
      <c r="A765" t="inlineStr">
        <is>
          <t>A 40334-2025</t>
        </is>
      </c>
      <c r="B765" s="1" t="n">
        <v>45895</v>
      </c>
      <c r="C765" s="1" t="n">
        <v>46118</v>
      </c>
      <c r="D765" t="inlineStr">
        <is>
          <t>JÄMTLANDS LÄN</t>
        </is>
      </c>
      <c r="E765" t="inlineStr">
        <is>
          <t>BRÄCKE</t>
        </is>
      </c>
      <c r="G765" t="n">
        <v>5.4</v>
      </c>
      <c r="H765" t="n">
        <v>0</v>
      </c>
      <c r="I765" t="n">
        <v>0</v>
      </c>
      <c r="J765" t="n">
        <v>0</v>
      </c>
      <c r="K765" t="n">
        <v>0</v>
      </c>
      <c r="L765" t="n">
        <v>0</v>
      </c>
      <c r="M765" t="n">
        <v>0</v>
      </c>
      <c r="N765" t="n">
        <v>0</v>
      </c>
      <c r="O765" t="n">
        <v>0</v>
      </c>
      <c r="P765" t="n">
        <v>0</v>
      </c>
      <c r="Q765" t="n">
        <v>0</v>
      </c>
      <c r="R765" s="2" t="inlineStr"/>
    </row>
    <row r="766" ht="15" customHeight="1">
      <c r="A766" t="inlineStr">
        <is>
          <t>A 40903-2025</t>
        </is>
      </c>
      <c r="B766" s="1" t="n">
        <v>45897.61609953704</v>
      </c>
      <c r="C766" s="1" t="n">
        <v>46118</v>
      </c>
      <c r="D766" t="inlineStr">
        <is>
          <t>JÄMTLANDS LÄN</t>
        </is>
      </c>
      <c r="E766" t="inlineStr">
        <is>
          <t>BRÄCKE</t>
        </is>
      </c>
      <c r="G766" t="n">
        <v>2.9</v>
      </c>
      <c r="H766" t="n">
        <v>0</v>
      </c>
      <c r="I766" t="n">
        <v>0</v>
      </c>
      <c r="J766" t="n">
        <v>0</v>
      </c>
      <c r="K766" t="n">
        <v>0</v>
      </c>
      <c r="L766" t="n">
        <v>0</v>
      </c>
      <c r="M766" t="n">
        <v>0</v>
      </c>
      <c r="N766" t="n">
        <v>0</v>
      </c>
      <c r="O766" t="n">
        <v>0</v>
      </c>
      <c r="P766" t="n">
        <v>0</v>
      </c>
      <c r="Q766" t="n">
        <v>0</v>
      </c>
      <c r="R766" s="2" t="inlineStr"/>
    </row>
    <row r="767" ht="15" customHeight="1">
      <c r="A767" t="inlineStr">
        <is>
          <t>A 40749-2025</t>
        </is>
      </c>
      <c r="B767" s="1" t="n">
        <v>45897.38248842592</v>
      </c>
      <c r="C767" s="1" t="n">
        <v>46118</v>
      </c>
      <c r="D767" t="inlineStr">
        <is>
          <t>JÄMTLANDS LÄN</t>
        </is>
      </c>
      <c r="E767" t="inlineStr">
        <is>
          <t>BRÄCKE</t>
        </is>
      </c>
      <c r="G767" t="n">
        <v>4.1</v>
      </c>
      <c r="H767" t="n">
        <v>0</v>
      </c>
      <c r="I767" t="n">
        <v>0</v>
      </c>
      <c r="J767" t="n">
        <v>0</v>
      </c>
      <c r="K767" t="n">
        <v>0</v>
      </c>
      <c r="L767" t="n">
        <v>0</v>
      </c>
      <c r="M767" t="n">
        <v>0</v>
      </c>
      <c r="N767" t="n">
        <v>0</v>
      </c>
      <c r="O767" t="n">
        <v>0</v>
      </c>
      <c r="P767" t="n">
        <v>0</v>
      </c>
      <c r="Q767" t="n">
        <v>0</v>
      </c>
      <c r="R767" s="2" t="inlineStr"/>
    </row>
    <row r="768" ht="15" customHeight="1">
      <c r="A768" t="inlineStr">
        <is>
          <t>A 37394-2025</t>
        </is>
      </c>
      <c r="B768" s="1" t="n">
        <v>45877.4275462963</v>
      </c>
      <c r="C768" s="1" t="n">
        <v>46118</v>
      </c>
      <c r="D768" t="inlineStr">
        <is>
          <t>JÄMTLANDS LÄN</t>
        </is>
      </c>
      <c r="E768" t="inlineStr">
        <is>
          <t>BRÄCKE</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37412-2025</t>
        </is>
      </c>
      <c r="B769" s="1" t="n">
        <v>45877.46915509259</v>
      </c>
      <c r="C769" s="1" t="n">
        <v>46118</v>
      </c>
      <c r="D769" t="inlineStr">
        <is>
          <t>JÄMTLANDS LÄN</t>
        </is>
      </c>
      <c r="E769" t="inlineStr">
        <is>
          <t>BRÄCKE</t>
        </is>
      </c>
      <c r="G769" t="n">
        <v>2.2</v>
      </c>
      <c r="H769" t="n">
        <v>0</v>
      </c>
      <c r="I769" t="n">
        <v>0</v>
      </c>
      <c r="J769" t="n">
        <v>0</v>
      </c>
      <c r="K769" t="n">
        <v>0</v>
      </c>
      <c r="L769" t="n">
        <v>0</v>
      </c>
      <c r="M769" t="n">
        <v>0</v>
      </c>
      <c r="N769" t="n">
        <v>0</v>
      </c>
      <c r="O769" t="n">
        <v>0</v>
      </c>
      <c r="P769" t="n">
        <v>0</v>
      </c>
      <c r="Q769" t="n">
        <v>0</v>
      </c>
      <c r="R769" s="2" t="inlineStr"/>
    </row>
    <row r="770" ht="15" customHeight="1">
      <c r="A770" t="inlineStr">
        <is>
          <t>A 40607-2025</t>
        </is>
      </c>
      <c r="B770" s="1" t="n">
        <v>45896</v>
      </c>
      <c r="C770" s="1" t="n">
        <v>46118</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37403-2025</t>
        </is>
      </c>
      <c r="B771" s="1" t="n">
        <v>45877.44828703703</v>
      </c>
      <c r="C771" s="1" t="n">
        <v>46118</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37411-2025</t>
        </is>
      </c>
      <c r="B772" s="1" t="n">
        <v>45877.46912037037</v>
      </c>
      <c r="C772" s="1" t="n">
        <v>46118</v>
      </c>
      <c r="D772" t="inlineStr">
        <is>
          <t>JÄMTLANDS LÄN</t>
        </is>
      </c>
      <c r="E772" t="inlineStr">
        <is>
          <t>BRÄCKE</t>
        </is>
      </c>
      <c r="G772" t="n">
        <v>0.5</v>
      </c>
      <c r="H772" t="n">
        <v>0</v>
      </c>
      <c r="I772" t="n">
        <v>0</v>
      </c>
      <c r="J772" t="n">
        <v>0</v>
      </c>
      <c r="K772" t="n">
        <v>0</v>
      </c>
      <c r="L772" t="n">
        <v>0</v>
      </c>
      <c r="M772" t="n">
        <v>0</v>
      </c>
      <c r="N772" t="n">
        <v>0</v>
      </c>
      <c r="O772" t="n">
        <v>0</v>
      </c>
      <c r="P772" t="n">
        <v>0</v>
      </c>
      <c r="Q772" t="n">
        <v>0</v>
      </c>
      <c r="R772" s="2" t="inlineStr"/>
    </row>
    <row r="773" ht="15" customHeight="1">
      <c r="A773" t="inlineStr">
        <is>
          <t>A 40793-2025</t>
        </is>
      </c>
      <c r="B773" s="1" t="n">
        <v>45897.44868055556</v>
      </c>
      <c r="C773" s="1" t="n">
        <v>46118</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37460-2025</t>
        </is>
      </c>
      <c r="B774" s="1" t="n">
        <v>45877.57342592593</v>
      </c>
      <c r="C774" s="1" t="n">
        <v>46118</v>
      </c>
      <c r="D774" t="inlineStr">
        <is>
          <t>JÄMTLANDS LÄN</t>
        </is>
      </c>
      <c r="E774" t="inlineStr">
        <is>
          <t>BRÄCKE</t>
        </is>
      </c>
      <c r="G774" t="n">
        <v>1.4</v>
      </c>
      <c r="H774" t="n">
        <v>0</v>
      </c>
      <c r="I774" t="n">
        <v>0</v>
      </c>
      <c r="J774" t="n">
        <v>0</v>
      </c>
      <c r="K774" t="n">
        <v>0</v>
      </c>
      <c r="L774" t="n">
        <v>0</v>
      </c>
      <c r="M774" t="n">
        <v>0</v>
      </c>
      <c r="N774" t="n">
        <v>0</v>
      </c>
      <c r="O774" t="n">
        <v>0</v>
      </c>
      <c r="P774" t="n">
        <v>0</v>
      </c>
      <c r="Q774" t="n">
        <v>0</v>
      </c>
      <c r="R774" s="2" t="inlineStr"/>
    </row>
    <row r="775" ht="15" customHeight="1">
      <c r="A775" t="inlineStr">
        <is>
          <t>A 40834-2025</t>
        </is>
      </c>
      <c r="B775" s="1" t="n">
        <v>45897.51135416667</v>
      </c>
      <c r="C775" s="1" t="n">
        <v>46118</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40843-2025</t>
        </is>
      </c>
      <c r="B776" s="1" t="n">
        <v>45897.5321412037</v>
      </c>
      <c r="C776" s="1" t="n">
        <v>46118</v>
      </c>
      <c r="D776" t="inlineStr">
        <is>
          <t>JÄMTLANDS LÄN</t>
        </is>
      </c>
      <c r="E776" t="inlineStr">
        <is>
          <t>BRÄCKE</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40871-2025</t>
        </is>
      </c>
      <c r="B777" s="1" t="n">
        <v>45897.57418981481</v>
      </c>
      <c r="C777" s="1" t="n">
        <v>46118</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37241-2025</t>
        </is>
      </c>
      <c r="B778" s="1" t="n">
        <v>45876.38599537037</v>
      </c>
      <c r="C778" s="1" t="n">
        <v>46118</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40757-2025</t>
        </is>
      </c>
      <c r="B779" s="1" t="n">
        <v>45897.39034722222</v>
      </c>
      <c r="C779" s="1" t="n">
        <v>46118</v>
      </c>
      <c r="D779" t="inlineStr">
        <is>
          <t>JÄMTLANDS LÄN</t>
        </is>
      </c>
      <c r="E779" t="inlineStr">
        <is>
          <t>BRÄCKE</t>
        </is>
      </c>
      <c r="G779" t="n">
        <v>1.6</v>
      </c>
      <c r="H779" t="n">
        <v>0</v>
      </c>
      <c r="I779" t="n">
        <v>0</v>
      </c>
      <c r="J779" t="n">
        <v>0</v>
      </c>
      <c r="K779" t="n">
        <v>0</v>
      </c>
      <c r="L779" t="n">
        <v>0</v>
      </c>
      <c r="M779" t="n">
        <v>0</v>
      </c>
      <c r="N779" t="n">
        <v>0</v>
      </c>
      <c r="O779" t="n">
        <v>0</v>
      </c>
      <c r="P779" t="n">
        <v>0</v>
      </c>
      <c r="Q779" t="n">
        <v>0</v>
      </c>
      <c r="R779" s="2" t="inlineStr"/>
    </row>
    <row r="780" ht="15" customHeight="1">
      <c r="A780" t="inlineStr">
        <is>
          <t>A 37423-2025</t>
        </is>
      </c>
      <c r="B780" s="1" t="n">
        <v>45877.48996527777</v>
      </c>
      <c r="C780" s="1" t="n">
        <v>46118</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40868-2025</t>
        </is>
      </c>
      <c r="B781" s="1" t="n">
        <v>45897.57365740741</v>
      </c>
      <c r="C781" s="1" t="n">
        <v>46118</v>
      </c>
      <c r="D781" t="inlineStr">
        <is>
          <t>JÄMTLANDS LÄN</t>
        </is>
      </c>
      <c r="E781" t="inlineStr">
        <is>
          <t>BRÄCKE</t>
        </is>
      </c>
      <c r="F781" t="inlineStr">
        <is>
          <t>SCA</t>
        </is>
      </c>
      <c r="G781" t="n">
        <v>5.6</v>
      </c>
      <c r="H781" t="n">
        <v>0</v>
      </c>
      <c r="I781" t="n">
        <v>0</v>
      </c>
      <c r="J781" t="n">
        <v>0</v>
      </c>
      <c r="K781" t="n">
        <v>0</v>
      </c>
      <c r="L781" t="n">
        <v>0</v>
      </c>
      <c r="M781" t="n">
        <v>0</v>
      </c>
      <c r="N781" t="n">
        <v>0</v>
      </c>
      <c r="O781" t="n">
        <v>0</v>
      </c>
      <c r="P781" t="n">
        <v>0</v>
      </c>
      <c r="Q781" t="n">
        <v>0</v>
      </c>
      <c r="R781" s="2" t="inlineStr"/>
    </row>
    <row r="782" ht="15" customHeight="1">
      <c r="A782" t="inlineStr">
        <is>
          <t>A 40869-2025</t>
        </is>
      </c>
      <c r="B782" s="1" t="n">
        <v>45897.57383101852</v>
      </c>
      <c r="C782" s="1" t="n">
        <v>46118</v>
      </c>
      <c r="D782" t="inlineStr">
        <is>
          <t>JÄMTLANDS LÄN</t>
        </is>
      </c>
      <c r="E782" t="inlineStr">
        <is>
          <t>BRÄCKE</t>
        </is>
      </c>
      <c r="G782" t="n">
        <v>4.8</v>
      </c>
      <c r="H782" t="n">
        <v>0</v>
      </c>
      <c r="I782" t="n">
        <v>0</v>
      </c>
      <c r="J782" t="n">
        <v>0</v>
      </c>
      <c r="K782" t="n">
        <v>0</v>
      </c>
      <c r="L782" t="n">
        <v>0</v>
      </c>
      <c r="M782" t="n">
        <v>0</v>
      </c>
      <c r="N782" t="n">
        <v>0</v>
      </c>
      <c r="O782" t="n">
        <v>0</v>
      </c>
      <c r="P782" t="n">
        <v>0</v>
      </c>
      <c r="Q782" t="n">
        <v>0</v>
      </c>
      <c r="R782" s="2" t="inlineStr"/>
    </row>
    <row r="783" ht="15" customHeight="1">
      <c r="A783" t="inlineStr">
        <is>
          <t>A 40748-2025</t>
        </is>
      </c>
      <c r="B783" s="1" t="n">
        <v>45897.38009259259</v>
      </c>
      <c r="C783" s="1" t="n">
        <v>46118</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40832-2025</t>
        </is>
      </c>
      <c r="B784" s="1" t="n">
        <v>45897.51096064815</v>
      </c>
      <c r="C784" s="1" t="n">
        <v>46118</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40809-2025</t>
        </is>
      </c>
      <c r="B785" s="1" t="n">
        <v>45897.46936342592</v>
      </c>
      <c r="C785" s="1" t="n">
        <v>46118</v>
      </c>
      <c r="D785" t="inlineStr">
        <is>
          <t>JÄMTLANDS LÄN</t>
        </is>
      </c>
      <c r="E785" t="inlineStr">
        <is>
          <t>BRÄCKE</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37974-2025</t>
        </is>
      </c>
      <c r="B786" s="1" t="n">
        <v>45881.67743055556</v>
      </c>
      <c r="C786" s="1" t="n">
        <v>46118</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53260-2024</t>
        </is>
      </c>
      <c r="B787" s="1" t="n">
        <v>45614</v>
      </c>
      <c r="C787" s="1" t="n">
        <v>46118</v>
      </c>
      <c r="D787" t="inlineStr">
        <is>
          <t>JÄMTLANDS LÄN</t>
        </is>
      </c>
      <c r="E787" t="inlineStr">
        <is>
          <t>BRÄCKE</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59416-2023</t>
        </is>
      </c>
      <c r="B788" s="1" t="n">
        <v>45253</v>
      </c>
      <c r="C788" s="1" t="n">
        <v>46118</v>
      </c>
      <c r="D788" t="inlineStr">
        <is>
          <t>JÄMTLANDS LÄN</t>
        </is>
      </c>
      <c r="E788" t="inlineStr">
        <is>
          <t>BRÄCKE</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40959-2025</t>
        </is>
      </c>
      <c r="B789" s="1" t="n">
        <v>45897.67890046296</v>
      </c>
      <c r="C789" s="1" t="n">
        <v>46118</v>
      </c>
      <c r="D789" t="inlineStr">
        <is>
          <t>JÄMTLANDS LÄN</t>
        </is>
      </c>
      <c r="E789" t="inlineStr">
        <is>
          <t>BRÄCKE</t>
        </is>
      </c>
      <c r="F789" t="inlineStr">
        <is>
          <t>Naturvårdsverket</t>
        </is>
      </c>
      <c r="G789" t="n">
        <v>12.6</v>
      </c>
      <c r="H789" t="n">
        <v>0</v>
      </c>
      <c r="I789" t="n">
        <v>0</v>
      </c>
      <c r="J789" t="n">
        <v>0</v>
      </c>
      <c r="K789" t="n">
        <v>0</v>
      </c>
      <c r="L789" t="n">
        <v>0</v>
      </c>
      <c r="M789" t="n">
        <v>0</v>
      </c>
      <c r="N789" t="n">
        <v>0</v>
      </c>
      <c r="O789" t="n">
        <v>0</v>
      </c>
      <c r="P789" t="n">
        <v>0</v>
      </c>
      <c r="Q789" t="n">
        <v>0</v>
      </c>
      <c r="R789" s="2" t="inlineStr"/>
    </row>
    <row r="790" ht="15" customHeight="1">
      <c r="A790" t="inlineStr">
        <is>
          <t>A 49709-2024</t>
        </is>
      </c>
      <c r="B790" s="1" t="n">
        <v>45596.69858796296</v>
      </c>
      <c r="C790" s="1" t="n">
        <v>46118</v>
      </c>
      <c r="D790" t="inlineStr">
        <is>
          <t>JÄMTLANDS LÄN</t>
        </is>
      </c>
      <c r="E790" t="inlineStr">
        <is>
          <t>BRÄCKE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37887-2025</t>
        </is>
      </c>
      <c r="B791" s="1" t="n">
        <v>45881.51099537037</v>
      </c>
      <c r="C791" s="1" t="n">
        <v>46118</v>
      </c>
      <c r="D791" t="inlineStr">
        <is>
          <t>JÄMTLANDS LÄN</t>
        </is>
      </c>
      <c r="E791" t="inlineStr">
        <is>
          <t>BRÄCKE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37585-2025</t>
        </is>
      </c>
      <c r="B792" s="1" t="n">
        <v>45880.40076388889</v>
      </c>
      <c r="C792" s="1" t="n">
        <v>46118</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40908-2025</t>
        </is>
      </c>
      <c r="B793" s="1" t="n">
        <v>45897.61657407408</v>
      </c>
      <c r="C793" s="1" t="n">
        <v>46118</v>
      </c>
      <c r="D793" t="inlineStr">
        <is>
          <t>JÄMTLANDS LÄN</t>
        </is>
      </c>
      <c r="E793" t="inlineStr">
        <is>
          <t>BRÄCKE</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17568-2023</t>
        </is>
      </c>
      <c r="B794" s="1" t="n">
        <v>45036</v>
      </c>
      <c r="C794" s="1" t="n">
        <v>46118</v>
      </c>
      <c r="D794" t="inlineStr">
        <is>
          <t>JÄMTLANDS LÄN</t>
        </is>
      </c>
      <c r="E794" t="inlineStr">
        <is>
          <t>BRÄCKE</t>
        </is>
      </c>
      <c r="G794" t="n">
        <v>5</v>
      </c>
      <c r="H794" t="n">
        <v>0</v>
      </c>
      <c r="I794" t="n">
        <v>0</v>
      </c>
      <c r="J794" t="n">
        <v>0</v>
      </c>
      <c r="K794" t="n">
        <v>0</v>
      </c>
      <c r="L794" t="n">
        <v>0</v>
      </c>
      <c r="M794" t="n">
        <v>0</v>
      </c>
      <c r="N794" t="n">
        <v>0</v>
      </c>
      <c r="O794" t="n">
        <v>0</v>
      </c>
      <c r="P794" t="n">
        <v>0</v>
      </c>
      <c r="Q794" t="n">
        <v>0</v>
      </c>
      <c r="R794" s="2" t="inlineStr"/>
    </row>
    <row r="795" ht="15" customHeight="1">
      <c r="A795" t="inlineStr">
        <is>
          <t>A 40900-2025</t>
        </is>
      </c>
      <c r="B795" s="1" t="n">
        <v>45897.61546296296</v>
      </c>
      <c r="C795" s="1" t="n">
        <v>46118</v>
      </c>
      <c r="D795" t="inlineStr">
        <is>
          <t>JÄMTLANDS LÄN</t>
        </is>
      </c>
      <c r="E795" t="inlineStr">
        <is>
          <t>BRÄCKE</t>
        </is>
      </c>
      <c r="G795" t="n">
        <v>4.8</v>
      </c>
      <c r="H795" t="n">
        <v>0</v>
      </c>
      <c r="I795" t="n">
        <v>0</v>
      </c>
      <c r="J795" t="n">
        <v>0</v>
      </c>
      <c r="K795" t="n">
        <v>0</v>
      </c>
      <c r="L795" t="n">
        <v>0</v>
      </c>
      <c r="M795" t="n">
        <v>0</v>
      </c>
      <c r="N795" t="n">
        <v>0</v>
      </c>
      <c r="O795" t="n">
        <v>0</v>
      </c>
      <c r="P795" t="n">
        <v>0</v>
      </c>
      <c r="Q795" t="n">
        <v>0</v>
      </c>
      <c r="R795" s="2" t="inlineStr"/>
    </row>
    <row r="796" ht="15" customHeight="1">
      <c r="A796" t="inlineStr">
        <is>
          <t>A 37709-2025</t>
        </is>
      </c>
      <c r="B796" s="1" t="n">
        <v>45880.59458333333</v>
      </c>
      <c r="C796" s="1" t="n">
        <v>46118</v>
      </c>
      <c r="D796" t="inlineStr">
        <is>
          <t>JÄMTLANDS LÄN</t>
        </is>
      </c>
      <c r="E796" t="inlineStr">
        <is>
          <t>BRÄCKE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49185-2024</t>
        </is>
      </c>
      <c r="B797" s="1" t="n">
        <v>45595.34466435185</v>
      </c>
      <c r="C797" s="1" t="n">
        <v>46118</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37938-2025</t>
        </is>
      </c>
      <c r="B798" s="1" t="n">
        <v>45880</v>
      </c>
      <c r="C798" s="1" t="n">
        <v>46118</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41297-2025</t>
        </is>
      </c>
      <c r="B799" s="1" t="n">
        <v>45898.66872685185</v>
      </c>
      <c r="C799" s="1" t="n">
        <v>46118</v>
      </c>
      <c r="D799" t="inlineStr">
        <is>
          <t>JÄMTLANDS LÄN</t>
        </is>
      </c>
      <c r="E799" t="inlineStr">
        <is>
          <t>BRÄCKE</t>
        </is>
      </c>
      <c r="F799" t="inlineStr">
        <is>
          <t>Övriga Aktiebolag</t>
        </is>
      </c>
      <c r="G799" t="n">
        <v>2.8</v>
      </c>
      <c r="H799" t="n">
        <v>0</v>
      </c>
      <c r="I799" t="n">
        <v>0</v>
      </c>
      <c r="J799" t="n">
        <v>0</v>
      </c>
      <c r="K799" t="n">
        <v>0</v>
      </c>
      <c r="L799" t="n">
        <v>0</v>
      </c>
      <c r="M799" t="n">
        <v>0</v>
      </c>
      <c r="N799" t="n">
        <v>0</v>
      </c>
      <c r="O799" t="n">
        <v>0</v>
      </c>
      <c r="P799" t="n">
        <v>0</v>
      </c>
      <c r="Q799" t="n">
        <v>0</v>
      </c>
      <c r="R799" s="2" t="inlineStr"/>
    </row>
    <row r="800" ht="15" customHeight="1">
      <c r="A800" t="inlineStr">
        <is>
          <t>A 41196-2025</t>
        </is>
      </c>
      <c r="B800" s="1" t="n">
        <v>45898.57332175926</v>
      </c>
      <c r="C800" s="1" t="n">
        <v>46118</v>
      </c>
      <c r="D800" t="inlineStr">
        <is>
          <t>JÄMTLANDS LÄN</t>
        </is>
      </c>
      <c r="E800" t="inlineStr">
        <is>
          <t>BRÄCKE</t>
        </is>
      </c>
      <c r="G800" t="n">
        <v>0.8</v>
      </c>
      <c r="H800" t="n">
        <v>0</v>
      </c>
      <c r="I800" t="n">
        <v>0</v>
      </c>
      <c r="J800" t="n">
        <v>0</v>
      </c>
      <c r="K800" t="n">
        <v>0</v>
      </c>
      <c r="L800" t="n">
        <v>0</v>
      </c>
      <c r="M800" t="n">
        <v>0</v>
      </c>
      <c r="N800" t="n">
        <v>0</v>
      </c>
      <c r="O800" t="n">
        <v>0</v>
      </c>
      <c r="P800" t="n">
        <v>0</v>
      </c>
      <c r="Q800" t="n">
        <v>0</v>
      </c>
      <c r="R800" s="2" t="inlineStr"/>
    </row>
    <row r="801" ht="15" customHeight="1">
      <c r="A801" t="inlineStr">
        <is>
          <t>A 38030-2025</t>
        </is>
      </c>
      <c r="B801" s="1" t="n">
        <v>45882.36521990741</v>
      </c>
      <c r="C801" s="1" t="n">
        <v>46118</v>
      </c>
      <c r="D801" t="inlineStr">
        <is>
          <t>JÄMTLANDS LÄN</t>
        </is>
      </c>
      <c r="E801" t="inlineStr">
        <is>
          <t>BRÄCKE</t>
        </is>
      </c>
      <c r="F801" t="inlineStr">
        <is>
          <t>SCA</t>
        </is>
      </c>
      <c r="G801" t="n">
        <v>11.6</v>
      </c>
      <c r="H801" t="n">
        <v>0</v>
      </c>
      <c r="I801" t="n">
        <v>0</v>
      </c>
      <c r="J801" t="n">
        <v>0</v>
      </c>
      <c r="K801" t="n">
        <v>0</v>
      </c>
      <c r="L801" t="n">
        <v>0</v>
      </c>
      <c r="M801" t="n">
        <v>0</v>
      </c>
      <c r="N801" t="n">
        <v>0</v>
      </c>
      <c r="O801" t="n">
        <v>0</v>
      </c>
      <c r="P801" t="n">
        <v>0</v>
      </c>
      <c r="Q801" t="n">
        <v>0</v>
      </c>
      <c r="R801" s="2" t="inlineStr"/>
    </row>
    <row r="802" ht="15" customHeight="1">
      <c r="A802" t="inlineStr">
        <is>
          <t>A 41026-2025</t>
        </is>
      </c>
      <c r="B802" s="1" t="n">
        <v>45898.36888888889</v>
      </c>
      <c r="C802" s="1" t="n">
        <v>46118</v>
      </c>
      <c r="D802" t="inlineStr">
        <is>
          <t>JÄMTLANDS LÄN</t>
        </is>
      </c>
      <c r="E802" t="inlineStr">
        <is>
          <t>BRÄCKE</t>
        </is>
      </c>
      <c r="F802" t="inlineStr">
        <is>
          <t>Övriga Aktiebolag</t>
        </is>
      </c>
      <c r="G802" t="n">
        <v>10.3</v>
      </c>
      <c r="H802" t="n">
        <v>0</v>
      </c>
      <c r="I802" t="n">
        <v>0</v>
      </c>
      <c r="J802" t="n">
        <v>0</v>
      </c>
      <c r="K802" t="n">
        <v>0</v>
      </c>
      <c r="L802" t="n">
        <v>0</v>
      </c>
      <c r="M802" t="n">
        <v>0</v>
      </c>
      <c r="N802" t="n">
        <v>0</v>
      </c>
      <c r="O802" t="n">
        <v>0</v>
      </c>
      <c r="P802" t="n">
        <v>0</v>
      </c>
      <c r="Q802" t="n">
        <v>0</v>
      </c>
      <c r="R802" s="2" t="inlineStr"/>
    </row>
    <row r="803" ht="15" customHeight="1">
      <c r="A803" t="inlineStr">
        <is>
          <t>A 57011-2022</t>
        </is>
      </c>
      <c r="B803" s="1" t="n">
        <v>44894</v>
      </c>
      <c r="C803" s="1" t="n">
        <v>46118</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38324-2025</t>
        </is>
      </c>
      <c r="B804" s="1" t="n">
        <v>45883.49037037037</v>
      </c>
      <c r="C804" s="1" t="n">
        <v>46118</v>
      </c>
      <c r="D804" t="inlineStr">
        <is>
          <t>JÄMTLANDS LÄN</t>
        </is>
      </c>
      <c r="E804" t="inlineStr">
        <is>
          <t>BRÄCKE</t>
        </is>
      </c>
      <c r="F804" t="inlineStr">
        <is>
          <t>SCA</t>
        </is>
      </c>
      <c r="G804" t="n">
        <v>7</v>
      </c>
      <c r="H804" t="n">
        <v>0</v>
      </c>
      <c r="I804" t="n">
        <v>0</v>
      </c>
      <c r="J804" t="n">
        <v>0</v>
      </c>
      <c r="K804" t="n">
        <v>0</v>
      </c>
      <c r="L804" t="n">
        <v>0</v>
      </c>
      <c r="M804" t="n">
        <v>0</v>
      </c>
      <c r="N804" t="n">
        <v>0</v>
      </c>
      <c r="O804" t="n">
        <v>0</v>
      </c>
      <c r="P804" t="n">
        <v>0</v>
      </c>
      <c r="Q804" t="n">
        <v>0</v>
      </c>
      <c r="R804" s="2" t="inlineStr"/>
    </row>
    <row r="805" ht="15" customHeight="1">
      <c r="A805" t="inlineStr">
        <is>
          <t>A 41600-2025</t>
        </is>
      </c>
      <c r="B805" s="1" t="n">
        <v>45901.65686342592</v>
      </c>
      <c r="C805" s="1" t="n">
        <v>46118</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41367-2025</t>
        </is>
      </c>
      <c r="B806" s="1" t="n">
        <v>45900.55118055556</v>
      </c>
      <c r="C806" s="1" t="n">
        <v>46118</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38072-2025</t>
        </is>
      </c>
      <c r="B807" s="1" t="n">
        <v>45882</v>
      </c>
      <c r="C807" s="1" t="n">
        <v>46118</v>
      </c>
      <c r="D807" t="inlineStr">
        <is>
          <t>JÄMTLANDS LÄN</t>
        </is>
      </c>
      <c r="E807" t="inlineStr">
        <is>
          <t>BRÄCKE</t>
        </is>
      </c>
      <c r="G807" t="n">
        <v>1.8</v>
      </c>
      <c r="H807" t="n">
        <v>0</v>
      </c>
      <c r="I807" t="n">
        <v>0</v>
      </c>
      <c r="J807" t="n">
        <v>0</v>
      </c>
      <c r="K807" t="n">
        <v>0</v>
      </c>
      <c r="L807" t="n">
        <v>0</v>
      </c>
      <c r="M807" t="n">
        <v>0</v>
      </c>
      <c r="N807" t="n">
        <v>0</v>
      </c>
      <c r="O807" t="n">
        <v>0</v>
      </c>
      <c r="P807" t="n">
        <v>0</v>
      </c>
      <c r="Q807" t="n">
        <v>0</v>
      </c>
      <c r="R807" s="2" t="inlineStr"/>
    </row>
    <row r="808" ht="15" customHeight="1">
      <c r="A808" t="inlineStr">
        <is>
          <t>A 38304-2025</t>
        </is>
      </c>
      <c r="B808" s="1" t="n">
        <v>45883.46912037037</v>
      </c>
      <c r="C808" s="1" t="n">
        <v>46118</v>
      </c>
      <c r="D808" t="inlineStr">
        <is>
          <t>JÄMTLANDS LÄN</t>
        </is>
      </c>
      <c r="E808" t="inlineStr">
        <is>
          <t>BRÄCKE</t>
        </is>
      </c>
      <c r="G808" t="n">
        <v>10</v>
      </c>
      <c r="H808" t="n">
        <v>0</v>
      </c>
      <c r="I808" t="n">
        <v>0</v>
      </c>
      <c r="J808" t="n">
        <v>0</v>
      </c>
      <c r="K808" t="n">
        <v>0</v>
      </c>
      <c r="L808" t="n">
        <v>0</v>
      </c>
      <c r="M808" t="n">
        <v>0</v>
      </c>
      <c r="N808" t="n">
        <v>0</v>
      </c>
      <c r="O808" t="n">
        <v>0</v>
      </c>
      <c r="P808" t="n">
        <v>0</v>
      </c>
      <c r="Q808" t="n">
        <v>0</v>
      </c>
      <c r="R808" s="2" t="inlineStr"/>
    </row>
    <row r="809" ht="15" customHeight="1">
      <c r="A809" t="inlineStr">
        <is>
          <t>A 38361-2025</t>
        </is>
      </c>
      <c r="B809" s="1" t="n">
        <v>45883.53303240741</v>
      </c>
      <c r="C809" s="1" t="n">
        <v>46118</v>
      </c>
      <c r="D809" t="inlineStr">
        <is>
          <t>JÄMTLANDS LÄN</t>
        </is>
      </c>
      <c r="E809" t="inlineStr">
        <is>
          <t>BRÄCKE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41094-2025</t>
        </is>
      </c>
      <c r="B810" s="1" t="n">
        <v>45898.44246527777</v>
      </c>
      <c r="C810" s="1" t="n">
        <v>46118</v>
      </c>
      <c r="D810" t="inlineStr">
        <is>
          <t>JÄMTLANDS LÄN</t>
        </is>
      </c>
      <c r="E810" t="inlineStr">
        <is>
          <t>BRÄCKE</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38456-2025</t>
        </is>
      </c>
      <c r="B811" s="1" t="n">
        <v>45883.69831018519</v>
      </c>
      <c r="C811" s="1" t="n">
        <v>46118</v>
      </c>
      <c r="D811" t="inlineStr">
        <is>
          <t>JÄMTLANDS LÄN</t>
        </is>
      </c>
      <c r="E811" t="inlineStr">
        <is>
          <t>BRÄCKE</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41236-2025</t>
        </is>
      </c>
      <c r="B812" s="1" t="n">
        <v>45898.59565972222</v>
      </c>
      <c r="C812" s="1" t="n">
        <v>46118</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41285-2025</t>
        </is>
      </c>
      <c r="B813" s="1" t="n">
        <v>45898.63637731481</v>
      </c>
      <c r="C813" s="1" t="n">
        <v>46118</v>
      </c>
      <c r="D813" t="inlineStr">
        <is>
          <t>JÄMTLANDS LÄN</t>
        </is>
      </c>
      <c r="E813" t="inlineStr">
        <is>
          <t>BRÄCKE</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38862-2024</t>
        </is>
      </c>
      <c r="B814" s="1" t="n">
        <v>45547.63063657407</v>
      </c>
      <c r="C814" s="1" t="n">
        <v>46118</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41344-2025</t>
        </is>
      </c>
      <c r="B815" s="1" t="n">
        <v>45899.46899305555</v>
      </c>
      <c r="C815" s="1" t="n">
        <v>46118</v>
      </c>
      <c r="D815" t="inlineStr">
        <is>
          <t>JÄMTLANDS LÄN</t>
        </is>
      </c>
      <c r="E815" t="inlineStr">
        <is>
          <t>BRÄCKE</t>
        </is>
      </c>
      <c r="G815" t="n">
        <v>1.5</v>
      </c>
      <c r="H815" t="n">
        <v>0</v>
      </c>
      <c r="I815" t="n">
        <v>0</v>
      </c>
      <c r="J815" t="n">
        <v>0</v>
      </c>
      <c r="K815" t="n">
        <v>0</v>
      </c>
      <c r="L815" t="n">
        <v>0</v>
      </c>
      <c r="M815" t="n">
        <v>0</v>
      </c>
      <c r="N815" t="n">
        <v>0</v>
      </c>
      <c r="O815" t="n">
        <v>0</v>
      </c>
      <c r="P815" t="n">
        <v>0</v>
      </c>
      <c r="Q815" t="n">
        <v>0</v>
      </c>
      <c r="R815" s="2" t="inlineStr"/>
    </row>
    <row r="816" ht="15" customHeight="1">
      <c r="A816" t="inlineStr">
        <is>
          <t>A 57412-2023</t>
        </is>
      </c>
      <c r="B816" s="1" t="n">
        <v>45245</v>
      </c>
      <c r="C816" s="1" t="n">
        <v>46118</v>
      </c>
      <c r="D816" t="inlineStr">
        <is>
          <t>JÄMTLANDS LÄN</t>
        </is>
      </c>
      <c r="E816" t="inlineStr">
        <is>
          <t>BRÄCKE</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57419-2023</t>
        </is>
      </c>
      <c r="B817" s="1" t="n">
        <v>45245.96983796296</v>
      </c>
      <c r="C817" s="1" t="n">
        <v>46118</v>
      </c>
      <c r="D817" t="inlineStr">
        <is>
          <t>JÄMTLANDS LÄN</t>
        </is>
      </c>
      <c r="E817" t="inlineStr">
        <is>
          <t>BRÄCKE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38326-2025</t>
        </is>
      </c>
      <c r="B818" s="1" t="n">
        <v>45883.49070601852</v>
      </c>
      <c r="C818" s="1" t="n">
        <v>46118</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38333-2025</t>
        </is>
      </c>
      <c r="B819" s="1" t="n">
        <v>45883.49164351852</v>
      </c>
      <c r="C819" s="1" t="n">
        <v>46118</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41193-2025</t>
        </is>
      </c>
      <c r="B820" s="1" t="n">
        <v>45898.56891203704</v>
      </c>
      <c r="C820" s="1" t="n">
        <v>46118</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41195-2025</t>
        </is>
      </c>
      <c r="B821" s="1" t="n">
        <v>45898.57331018519</v>
      </c>
      <c r="C821" s="1" t="n">
        <v>46118</v>
      </c>
      <c r="D821" t="inlineStr">
        <is>
          <t>JÄMTLANDS LÄN</t>
        </is>
      </c>
      <c r="E821" t="inlineStr">
        <is>
          <t>BRÄCKE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41647-2023</t>
        </is>
      </c>
      <c r="B822" s="1" t="n">
        <v>45175.95690972222</v>
      </c>
      <c r="C822" s="1" t="n">
        <v>46118</v>
      </c>
      <c r="D822" t="inlineStr">
        <is>
          <t>JÄMTLANDS LÄN</t>
        </is>
      </c>
      <c r="E822" t="inlineStr">
        <is>
          <t>BRÄCKE</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41368-2025</t>
        </is>
      </c>
      <c r="B823" s="1" t="n">
        <v>45900.5678125</v>
      </c>
      <c r="C823" s="1" t="n">
        <v>46118</v>
      </c>
      <c r="D823" t="inlineStr">
        <is>
          <t>JÄMTLANDS LÄN</t>
        </is>
      </c>
      <c r="E823" t="inlineStr">
        <is>
          <t>BRÄCKE</t>
        </is>
      </c>
      <c r="G823" t="n">
        <v>4</v>
      </c>
      <c r="H823" t="n">
        <v>0</v>
      </c>
      <c r="I823" t="n">
        <v>0</v>
      </c>
      <c r="J823" t="n">
        <v>0</v>
      </c>
      <c r="K823" t="n">
        <v>0</v>
      </c>
      <c r="L823" t="n">
        <v>0</v>
      </c>
      <c r="M823" t="n">
        <v>0</v>
      </c>
      <c r="N823" t="n">
        <v>0</v>
      </c>
      <c r="O823" t="n">
        <v>0</v>
      </c>
      <c r="P823" t="n">
        <v>0</v>
      </c>
      <c r="Q823" t="n">
        <v>0</v>
      </c>
      <c r="R823" s="2" t="inlineStr"/>
    </row>
    <row r="824" ht="15" customHeight="1">
      <c r="A824" t="inlineStr">
        <is>
          <t>A 38459-2025</t>
        </is>
      </c>
      <c r="B824" s="1" t="n">
        <v>45883.71927083333</v>
      </c>
      <c r="C824" s="1" t="n">
        <v>46118</v>
      </c>
      <c r="D824" t="inlineStr">
        <is>
          <t>JÄMTLANDS LÄN</t>
        </is>
      </c>
      <c r="E824" t="inlineStr">
        <is>
          <t>BRÄCKE</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38095-2025</t>
        </is>
      </c>
      <c r="B825" s="1" t="n">
        <v>45882.49050925926</v>
      </c>
      <c r="C825" s="1" t="n">
        <v>46118</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38381-2025</t>
        </is>
      </c>
      <c r="B826" s="1" t="n">
        <v>45883.57380787037</v>
      </c>
      <c r="C826" s="1" t="n">
        <v>46118</v>
      </c>
      <c r="D826" t="inlineStr">
        <is>
          <t>JÄMTLANDS LÄN</t>
        </is>
      </c>
      <c r="E826" t="inlineStr">
        <is>
          <t>BRÄCKE</t>
        </is>
      </c>
      <c r="G826" t="n">
        <v>11.1</v>
      </c>
      <c r="H826" t="n">
        <v>0</v>
      </c>
      <c r="I826" t="n">
        <v>0</v>
      </c>
      <c r="J826" t="n">
        <v>0</v>
      </c>
      <c r="K826" t="n">
        <v>0</v>
      </c>
      <c r="L826" t="n">
        <v>0</v>
      </c>
      <c r="M826" t="n">
        <v>0</v>
      </c>
      <c r="N826" t="n">
        <v>0</v>
      </c>
      <c r="O826" t="n">
        <v>0</v>
      </c>
      <c r="P826" t="n">
        <v>0</v>
      </c>
      <c r="Q826" t="n">
        <v>0</v>
      </c>
      <c r="R826" s="2" t="inlineStr"/>
    </row>
    <row r="827" ht="15" customHeight="1">
      <c r="A827" t="inlineStr">
        <is>
          <t>A 10110-2025</t>
        </is>
      </c>
      <c r="B827" s="1" t="n">
        <v>45719.58855324074</v>
      </c>
      <c r="C827" s="1" t="n">
        <v>46118</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41526-2025</t>
        </is>
      </c>
      <c r="B828" s="1" t="n">
        <v>45901.5528587963</v>
      </c>
      <c r="C828" s="1" t="n">
        <v>46118</v>
      </c>
      <c r="D828" t="inlineStr">
        <is>
          <t>JÄMTLANDS LÄN</t>
        </is>
      </c>
      <c r="E828" t="inlineStr">
        <is>
          <t>BRÄCKE</t>
        </is>
      </c>
      <c r="G828" t="n">
        <v>1.2</v>
      </c>
      <c r="H828" t="n">
        <v>0</v>
      </c>
      <c r="I828" t="n">
        <v>0</v>
      </c>
      <c r="J828" t="n">
        <v>0</v>
      </c>
      <c r="K828" t="n">
        <v>0</v>
      </c>
      <c r="L828" t="n">
        <v>0</v>
      </c>
      <c r="M828" t="n">
        <v>0</v>
      </c>
      <c r="N828" t="n">
        <v>0</v>
      </c>
      <c r="O828" t="n">
        <v>0</v>
      </c>
      <c r="P828" t="n">
        <v>0</v>
      </c>
      <c r="Q828" t="n">
        <v>0</v>
      </c>
      <c r="R828" s="2" t="inlineStr"/>
    </row>
    <row r="829" ht="15" customHeight="1">
      <c r="A829" t="inlineStr">
        <is>
          <t>A 41503-2025</t>
        </is>
      </c>
      <c r="B829" s="1" t="n">
        <v>45901.51952546297</v>
      </c>
      <c r="C829" s="1" t="n">
        <v>46118</v>
      </c>
      <c r="D829" t="inlineStr">
        <is>
          <t>JÄMTLANDS LÄN</t>
        </is>
      </c>
      <c r="E829" t="inlineStr">
        <is>
          <t>BRÄCKE</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38329-2025</t>
        </is>
      </c>
      <c r="B830" s="1" t="n">
        <v>45883.49111111111</v>
      </c>
      <c r="C830" s="1" t="n">
        <v>46118</v>
      </c>
      <c r="D830" t="inlineStr">
        <is>
          <t>JÄMTLANDS LÄN</t>
        </is>
      </c>
      <c r="E830" t="inlineStr">
        <is>
          <t>BRÄCKE</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38123-2025</t>
        </is>
      </c>
      <c r="B831" s="1" t="n">
        <v>45882.55259259259</v>
      </c>
      <c r="C831" s="1" t="n">
        <v>46118</v>
      </c>
      <c r="D831" t="inlineStr">
        <is>
          <t>JÄMTLANDS LÄN</t>
        </is>
      </c>
      <c r="E831" t="inlineStr">
        <is>
          <t>BRÄCKE</t>
        </is>
      </c>
      <c r="G831" t="n">
        <v>3.8</v>
      </c>
      <c r="H831" t="n">
        <v>0</v>
      </c>
      <c r="I831" t="n">
        <v>0</v>
      </c>
      <c r="J831" t="n">
        <v>0</v>
      </c>
      <c r="K831" t="n">
        <v>0</v>
      </c>
      <c r="L831" t="n">
        <v>0</v>
      </c>
      <c r="M831" t="n">
        <v>0</v>
      </c>
      <c r="N831" t="n">
        <v>0</v>
      </c>
      <c r="O831" t="n">
        <v>0</v>
      </c>
      <c r="P831" t="n">
        <v>0</v>
      </c>
      <c r="Q831" t="n">
        <v>0</v>
      </c>
      <c r="R831" s="2" t="inlineStr"/>
    </row>
    <row r="832" ht="15" customHeight="1">
      <c r="A832" t="inlineStr">
        <is>
          <t>A 41345-2025</t>
        </is>
      </c>
      <c r="B832" s="1" t="n">
        <v>45899.46903935185</v>
      </c>
      <c r="C832" s="1" t="n">
        <v>46118</v>
      </c>
      <c r="D832" t="inlineStr">
        <is>
          <t>JÄMTLANDS LÄN</t>
        </is>
      </c>
      <c r="E832" t="inlineStr">
        <is>
          <t>BRÄCKE</t>
        </is>
      </c>
      <c r="G832" t="n">
        <v>7.5</v>
      </c>
      <c r="H832" t="n">
        <v>0</v>
      </c>
      <c r="I832" t="n">
        <v>0</v>
      </c>
      <c r="J832" t="n">
        <v>0</v>
      </c>
      <c r="K832" t="n">
        <v>0</v>
      </c>
      <c r="L832" t="n">
        <v>0</v>
      </c>
      <c r="M832" t="n">
        <v>0</v>
      </c>
      <c r="N832" t="n">
        <v>0</v>
      </c>
      <c r="O832" t="n">
        <v>0</v>
      </c>
      <c r="P832" t="n">
        <v>0</v>
      </c>
      <c r="Q832" t="n">
        <v>0</v>
      </c>
      <c r="R832" s="2" t="inlineStr"/>
    </row>
    <row r="833" ht="15" customHeight="1">
      <c r="A833" t="inlineStr">
        <is>
          <t>A 38378-2025</t>
        </is>
      </c>
      <c r="B833" s="1" t="n">
        <v>45883.57368055556</v>
      </c>
      <c r="C833" s="1" t="n">
        <v>46118</v>
      </c>
      <c r="D833" t="inlineStr">
        <is>
          <t>JÄMTLANDS LÄN</t>
        </is>
      </c>
      <c r="E833" t="inlineStr">
        <is>
          <t>BRÄCKE</t>
        </is>
      </c>
      <c r="G833" t="n">
        <v>0.7</v>
      </c>
      <c r="H833" t="n">
        <v>0</v>
      </c>
      <c r="I833" t="n">
        <v>0</v>
      </c>
      <c r="J833" t="n">
        <v>0</v>
      </c>
      <c r="K833" t="n">
        <v>0</v>
      </c>
      <c r="L833" t="n">
        <v>0</v>
      </c>
      <c r="M833" t="n">
        <v>0</v>
      </c>
      <c r="N833" t="n">
        <v>0</v>
      </c>
      <c r="O833" t="n">
        <v>0</v>
      </c>
      <c r="P833" t="n">
        <v>0</v>
      </c>
      <c r="Q833" t="n">
        <v>0</v>
      </c>
      <c r="R833" s="2" t="inlineStr"/>
    </row>
    <row r="834" ht="15" customHeight="1">
      <c r="A834" t="inlineStr">
        <is>
          <t>A 38391-2025</t>
        </is>
      </c>
      <c r="B834" s="1" t="n">
        <v>45883.57501157407</v>
      </c>
      <c r="C834" s="1" t="n">
        <v>46118</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38328-2025</t>
        </is>
      </c>
      <c r="B835" s="1" t="n">
        <v>45883.4909837963</v>
      </c>
      <c r="C835" s="1" t="n">
        <v>46118</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38358-2025</t>
        </is>
      </c>
      <c r="B836" s="1" t="n">
        <v>45883.5327662037</v>
      </c>
      <c r="C836" s="1" t="n">
        <v>46118</v>
      </c>
      <c r="D836" t="inlineStr">
        <is>
          <t>JÄMTLANDS LÄN</t>
        </is>
      </c>
      <c r="E836" t="inlineStr">
        <is>
          <t>BRÄCKE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41187-2025</t>
        </is>
      </c>
      <c r="B837" s="1" t="n">
        <v>45898.56390046296</v>
      </c>
      <c r="C837" s="1" t="n">
        <v>46118</v>
      </c>
      <c r="D837" t="inlineStr">
        <is>
          <t>JÄMTLANDS LÄN</t>
        </is>
      </c>
      <c r="E837" t="inlineStr">
        <is>
          <t>BRÄCKE</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38025-2025</t>
        </is>
      </c>
      <c r="B838" s="1" t="n">
        <v>45882.34527777778</v>
      </c>
      <c r="C838" s="1" t="n">
        <v>46118</v>
      </c>
      <c r="D838" t="inlineStr">
        <is>
          <t>JÄMTLANDS LÄN</t>
        </is>
      </c>
      <c r="E838" t="inlineStr">
        <is>
          <t>BRÄCKE</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41049-2025</t>
        </is>
      </c>
      <c r="B839" s="1" t="n">
        <v>45898.40252314815</v>
      </c>
      <c r="C839" s="1" t="n">
        <v>46118</v>
      </c>
      <c r="D839" t="inlineStr">
        <is>
          <t>JÄMTLANDS LÄN</t>
        </is>
      </c>
      <c r="E839" t="inlineStr">
        <is>
          <t>BRÄCKE</t>
        </is>
      </c>
      <c r="F839" t="inlineStr">
        <is>
          <t>Övriga Aktiebolag</t>
        </is>
      </c>
      <c r="G839" t="n">
        <v>4.1</v>
      </c>
      <c r="H839" t="n">
        <v>0</v>
      </c>
      <c r="I839" t="n">
        <v>0</v>
      </c>
      <c r="J839" t="n">
        <v>0</v>
      </c>
      <c r="K839" t="n">
        <v>0</v>
      </c>
      <c r="L839" t="n">
        <v>0</v>
      </c>
      <c r="M839" t="n">
        <v>0</v>
      </c>
      <c r="N839" t="n">
        <v>0</v>
      </c>
      <c r="O839" t="n">
        <v>0</v>
      </c>
      <c r="P839" t="n">
        <v>0</v>
      </c>
      <c r="Q839" t="n">
        <v>0</v>
      </c>
      <c r="R839" s="2" t="inlineStr"/>
    </row>
    <row r="840" ht="15" customHeight="1">
      <c r="A840" t="inlineStr">
        <is>
          <t>A 38245-2025</t>
        </is>
      </c>
      <c r="B840" s="1" t="n">
        <v>45883.36563657408</v>
      </c>
      <c r="C840" s="1" t="n">
        <v>46118</v>
      </c>
      <c r="D840" t="inlineStr">
        <is>
          <t>JÄMTLANDS LÄN</t>
        </is>
      </c>
      <c r="E840" t="inlineStr">
        <is>
          <t>BRÄCKE</t>
        </is>
      </c>
      <c r="G840" t="n">
        <v>4.8</v>
      </c>
      <c r="H840" t="n">
        <v>0</v>
      </c>
      <c r="I840" t="n">
        <v>0</v>
      </c>
      <c r="J840" t="n">
        <v>0</v>
      </c>
      <c r="K840" t="n">
        <v>0</v>
      </c>
      <c r="L840" t="n">
        <v>0</v>
      </c>
      <c r="M840" t="n">
        <v>0</v>
      </c>
      <c r="N840" t="n">
        <v>0</v>
      </c>
      <c r="O840" t="n">
        <v>0</v>
      </c>
      <c r="P840" t="n">
        <v>0</v>
      </c>
      <c r="Q840" t="n">
        <v>0</v>
      </c>
      <c r="R840" s="2" t="inlineStr"/>
    </row>
    <row r="841" ht="15" customHeight="1">
      <c r="A841" t="inlineStr">
        <is>
          <t>A 41257-2025</t>
        </is>
      </c>
      <c r="B841" s="1" t="n">
        <v>45898.6084375</v>
      </c>
      <c r="C841" s="1" t="n">
        <v>46118</v>
      </c>
      <c r="D841" t="inlineStr">
        <is>
          <t>JÄMTLANDS LÄN</t>
        </is>
      </c>
      <c r="E841" t="inlineStr">
        <is>
          <t>BRÄCKE</t>
        </is>
      </c>
      <c r="F841" t="inlineStr">
        <is>
          <t>Övriga Aktiebolag</t>
        </is>
      </c>
      <c r="G841" t="n">
        <v>2.2</v>
      </c>
      <c r="H841" t="n">
        <v>0</v>
      </c>
      <c r="I841" t="n">
        <v>0</v>
      </c>
      <c r="J841" t="n">
        <v>0</v>
      </c>
      <c r="K841" t="n">
        <v>0</v>
      </c>
      <c r="L841" t="n">
        <v>0</v>
      </c>
      <c r="M841" t="n">
        <v>0</v>
      </c>
      <c r="N841" t="n">
        <v>0</v>
      </c>
      <c r="O841" t="n">
        <v>0</v>
      </c>
      <c r="P841" t="n">
        <v>0</v>
      </c>
      <c r="Q841" t="n">
        <v>0</v>
      </c>
      <c r="R841" s="2" t="inlineStr"/>
    </row>
    <row r="842" ht="15" customHeight="1">
      <c r="A842" t="inlineStr">
        <is>
          <t>A 53608-2024</t>
        </is>
      </c>
      <c r="B842" s="1" t="n">
        <v>45614</v>
      </c>
      <c r="C842" s="1" t="n">
        <v>46118</v>
      </c>
      <c r="D842" t="inlineStr">
        <is>
          <t>JÄMTLANDS LÄN</t>
        </is>
      </c>
      <c r="E842" t="inlineStr">
        <is>
          <t>BRÄCKE</t>
        </is>
      </c>
      <c r="F842" t="inlineStr">
        <is>
          <t>SCA</t>
        </is>
      </c>
      <c r="G842" t="n">
        <v>6.6</v>
      </c>
      <c r="H842" t="n">
        <v>0</v>
      </c>
      <c r="I842" t="n">
        <v>0</v>
      </c>
      <c r="J842" t="n">
        <v>0</v>
      </c>
      <c r="K842" t="n">
        <v>0</v>
      </c>
      <c r="L842" t="n">
        <v>0</v>
      </c>
      <c r="M842" t="n">
        <v>0</v>
      </c>
      <c r="N842" t="n">
        <v>0</v>
      </c>
      <c r="O842" t="n">
        <v>0</v>
      </c>
      <c r="P842" t="n">
        <v>0</v>
      </c>
      <c r="Q842" t="n">
        <v>0</v>
      </c>
      <c r="R842" s="2" t="inlineStr"/>
    </row>
    <row r="843" ht="15" customHeight="1">
      <c r="A843" t="inlineStr">
        <is>
          <t>A 52127-2023</t>
        </is>
      </c>
      <c r="B843" s="1" t="n">
        <v>45223.96543981481</v>
      </c>
      <c r="C843" s="1" t="n">
        <v>46118</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38353-2025</t>
        </is>
      </c>
      <c r="B844" s="1" t="n">
        <v>45883.53201388889</v>
      </c>
      <c r="C844" s="1" t="n">
        <v>46118</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37824-2025</t>
        </is>
      </c>
      <c r="B845" s="1" t="n">
        <v>45881.40686342592</v>
      </c>
      <c r="C845" s="1" t="n">
        <v>46118</v>
      </c>
      <c r="D845" t="inlineStr">
        <is>
          <t>JÄMTLANDS LÄN</t>
        </is>
      </c>
      <c r="E845" t="inlineStr">
        <is>
          <t>BRÄCKE</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38278-2025</t>
        </is>
      </c>
      <c r="B846" s="1" t="n">
        <v>45883.41405092592</v>
      </c>
      <c r="C846" s="1" t="n">
        <v>46118</v>
      </c>
      <c r="D846" t="inlineStr">
        <is>
          <t>JÄMTLANDS LÄN</t>
        </is>
      </c>
      <c r="E846" t="inlineStr">
        <is>
          <t>BRÄCKE</t>
        </is>
      </c>
      <c r="G846" t="n">
        <v>2.8</v>
      </c>
      <c r="H846" t="n">
        <v>0</v>
      </c>
      <c r="I846" t="n">
        <v>0</v>
      </c>
      <c r="J846" t="n">
        <v>0</v>
      </c>
      <c r="K846" t="n">
        <v>0</v>
      </c>
      <c r="L846" t="n">
        <v>0</v>
      </c>
      <c r="M846" t="n">
        <v>0</v>
      </c>
      <c r="N846" t="n">
        <v>0</v>
      </c>
      <c r="O846" t="n">
        <v>0</v>
      </c>
      <c r="P846" t="n">
        <v>0</v>
      </c>
      <c r="Q846" t="n">
        <v>0</v>
      </c>
      <c r="R846" s="2" t="inlineStr"/>
    </row>
    <row r="847" ht="15" customHeight="1">
      <c r="A847" t="inlineStr">
        <is>
          <t>A 41060-2025</t>
        </is>
      </c>
      <c r="B847" s="1" t="n">
        <v>45898.4071875</v>
      </c>
      <c r="C847" s="1" t="n">
        <v>46118</v>
      </c>
      <c r="D847" t="inlineStr">
        <is>
          <t>JÄMTLANDS LÄN</t>
        </is>
      </c>
      <c r="E847" t="inlineStr">
        <is>
          <t>BRÄCKE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41510-2025</t>
        </is>
      </c>
      <c r="B848" s="1" t="n">
        <v>45901.53417824074</v>
      </c>
      <c r="C848" s="1" t="n">
        <v>46118</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29456-2024</t>
        </is>
      </c>
      <c r="B849" s="1" t="n">
        <v>45483.96898148148</v>
      </c>
      <c r="C849" s="1" t="n">
        <v>46118</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29460-2024</t>
        </is>
      </c>
      <c r="B850" s="1" t="n">
        <v>45483.96952546296</v>
      </c>
      <c r="C850" s="1" t="n">
        <v>46118</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41757-2025</t>
        </is>
      </c>
      <c r="B851" s="1" t="n">
        <v>45902.50755787037</v>
      </c>
      <c r="C851" s="1" t="n">
        <v>46118</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16634-2025</t>
        </is>
      </c>
      <c r="B852" s="1" t="n">
        <v>45754.3653125</v>
      </c>
      <c r="C852" s="1" t="n">
        <v>46118</v>
      </c>
      <c r="D852" t="inlineStr">
        <is>
          <t>JÄMTLANDS LÄN</t>
        </is>
      </c>
      <c r="E852" t="inlineStr">
        <is>
          <t>BRÄCKE</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35395-2024</t>
        </is>
      </c>
      <c r="B853" s="1" t="n">
        <v>45531.403125</v>
      </c>
      <c r="C853" s="1" t="n">
        <v>46118</v>
      </c>
      <c r="D853" t="inlineStr">
        <is>
          <t>JÄMTLANDS LÄN</t>
        </is>
      </c>
      <c r="E853" t="inlineStr">
        <is>
          <t>BRÄCKE</t>
        </is>
      </c>
      <c r="F853" t="inlineStr">
        <is>
          <t>SCA</t>
        </is>
      </c>
      <c r="G853" t="n">
        <v>23.2</v>
      </c>
      <c r="H853" t="n">
        <v>0</v>
      </c>
      <c r="I853" t="n">
        <v>0</v>
      </c>
      <c r="J853" t="n">
        <v>0</v>
      </c>
      <c r="K853" t="n">
        <v>0</v>
      </c>
      <c r="L853" t="n">
        <v>0</v>
      </c>
      <c r="M853" t="n">
        <v>0</v>
      </c>
      <c r="N853" t="n">
        <v>0</v>
      </c>
      <c r="O853" t="n">
        <v>0</v>
      </c>
      <c r="P853" t="n">
        <v>0</v>
      </c>
      <c r="Q853" t="n">
        <v>0</v>
      </c>
      <c r="R853" s="2" t="inlineStr"/>
    </row>
    <row r="854" ht="15" customHeight="1">
      <c r="A854" t="inlineStr">
        <is>
          <t>A 35400-2024</t>
        </is>
      </c>
      <c r="B854" s="1" t="n">
        <v>45531.40457175926</v>
      </c>
      <c r="C854" s="1" t="n">
        <v>46118</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38352-2025</t>
        </is>
      </c>
      <c r="B855" s="1" t="n">
        <v>45883.53186342592</v>
      </c>
      <c r="C855" s="1" t="n">
        <v>46118</v>
      </c>
      <c r="D855" t="inlineStr">
        <is>
          <t>JÄMTLANDS LÄN</t>
        </is>
      </c>
      <c r="E855" t="inlineStr">
        <is>
          <t>BRÄCKE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38379-2025</t>
        </is>
      </c>
      <c r="B856" s="1" t="n">
        <v>45883.57377314815</v>
      </c>
      <c r="C856" s="1" t="n">
        <v>46118</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38461-2025</t>
        </is>
      </c>
      <c r="B857" s="1" t="n">
        <v>45883.71962962963</v>
      </c>
      <c r="C857" s="1" t="n">
        <v>46118</v>
      </c>
      <c r="D857" t="inlineStr">
        <is>
          <t>JÄMTLANDS LÄN</t>
        </is>
      </c>
      <c r="E857" t="inlineStr">
        <is>
          <t>BRÄCKE</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38241-2025</t>
        </is>
      </c>
      <c r="B858" s="1" t="n">
        <v>45883.36541666667</v>
      </c>
      <c r="C858" s="1" t="n">
        <v>46118</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41981-2025</t>
        </is>
      </c>
      <c r="B859" s="1" t="n">
        <v>45903.53172453704</v>
      </c>
      <c r="C859" s="1" t="n">
        <v>46118</v>
      </c>
      <c r="D859" t="inlineStr">
        <is>
          <t>JÄMTLANDS LÄN</t>
        </is>
      </c>
      <c r="E859" t="inlineStr">
        <is>
          <t>BRÄCKE</t>
        </is>
      </c>
      <c r="G859" t="n">
        <v>6.2</v>
      </c>
      <c r="H859" t="n">
        <v>0</v>
      </c>
      <c r="I859" t="n">
        <v>0</v>
      </c>
      <c r="J859" t="n">
        <v>0</v>
      </c>
      <c r="K859" t="n">
        <v>0</v>
      </c>
      <c r="L859" t="n">
        <v>0</v>
      </c>
      <c r="M859" t="n">
        <v>0</v>
      </c>
      <c r="N859" t="n">
        <v>0</v>
      </c>
      <c r="O859" t="n">
        <v>0</v>
      </c>
      <c r="P859" t="n">
        <v>0</v>
      </c>
      <c r="Q859" t="n">
        <v>0</v>
      </c>
      <c r="R859" s="2" t="inlineStr"/>
    </row>
    <row r="860" ht="15" customHeight="1">
      <c r="A860" t="inlineStr">
        <is>
          <t>A 41547-2025</t>
        </is>
      </c>
      <c r="B860" s="1" t="n">
        <v>45901.57991898148</v>
      </c>
      <c r="C860" s="1" t="n">
        <v>46118</v>
      </c>
      <c r="D860" t="inlineStr">
        <is>
          <t>JÄMTLANDS LÄN</t>
        </is>
      </c>
      <c r="E860" t="inlineStr">
        <is>
          <t>BRÄCKE</t>
        </is>
      </c>
      <c r="G860" t="n">
        <v>5.1</v>
      </c>
      <c r="H860" t="n">
        <v>0</v>
      </c>
      <c r="I860" t="n">
        <v>0</v>
      </c>
      <c r="J860" t="n">
        <v>0</v>
      </c>
      <c r="K860" t="n">
        <v>0</v>
      </c>
      <c r="L860" t="n">
        <v>0</v>
      </c>
      <c r="M860" t="n">
        <v>0</v>
      </c>
      <c r="N860" t="n">
        <v>0</v>
      </c>
      <c r="O860" t="n">
        <v>0</v>
      </c>
      <c r="P860" t="n">
        <v>0</v>
      </c>
      <c r="Q860" t="n">
        <v>0</v>
      </c>
      <c r="R860" s="2" t="inlineStr"/>
    </row>
    <row r="861" ht="15" customHeight="1">
      <c r="A861" t="inlineStr">
        <is>
          <t>A 35766-2023</t>
        </is>
      </c>
      <c r="B861" s="1" t="n">
        <v>45147</v>
      </c>
      <c r="C861" s="1" t="n">
        <v>46118</v>
      </c>
      <c r="D861" t="inlineStr">
        <is>
          <t>JÄMTLANDS LÄN</t>
        </is>
      </c>
      <c r="E861" t="inlineStr">
        <is>
          <t>BRÄCKE</t>
        </is>
      </c>
      <c r="G861" t="n">
        <v>2.2</v>
      </c>
      <c r="H861" t="n">
        <v>0</v>
      </c>
      <c r="I861" t="n">
        <v>0</v>
      </c>
      <c r="J861" t="n">
        <v>0</v>
      </c>
      <c r="K861" t="n">
        <v>0</v>
      </c>
      <c r="L861" t="n">
        <v>0</v>
      </c>
      <c r="M861" t="n">
        <v>0</v>
      </c>
      <c r="N861" t="n">
        <v>0</v>
      </c>
      <c r="O861" t="n">
        <v>0</v>
      </c>
      <c r="P861" t="n">
        <v>0</v>
      </c>
      <c r="Q861" t="n">
        <v>0</v>
      </c>
      <c r="R861" s="2" t="inlineStr"/>
    </row>
    <row r="862" ht="15" customHeight="1">
      <c r="A862" t="inlineStr">
        <is>
          <t>A 7943-2025</t>
        </is>
      </c>
      <c r="B862" s="1" t="n">
        <v>45707.40697916667</v>
      </c>
      <c r="C862" s="1" t="n">
        <v>46118</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50220-2023</t>
        </is>
      </c>
      <c r="B863" s="1" t="n">
        <v>45215</v>
      </c>
      <c r="C863" s="1" t="n">
        <v>46118</v>
      </c>
      <c r="D863" t="inlineStr">
        <is>
          <t>JÄMTLANDS LÄN</t>
        </is>
      </c>
      <c r="E863" t="inlineStr">
        <is>
          <t>BRÄCKE</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31888-2024</t>
        </is>
      </c>
      <c r="B864" s="1" t="n">
        <v>45509</v>
      </c>
      <c r="C864" s="1" t="n">
        <v>46118</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42131-2025</t>
        </is>
      </c>
      <c r="B865" s="1" t="n">
        <v>45904.34542824074</v>
      </c>
      <c r="C865" s="1" t="n">
        <v>46118</v>
      </c>
      <c r="D865" t="inlineStr">
        <is>
          <t>JÄMTLANDS LÄN</t>
        </is>
      </c>
      <c r="E865" t="inlineStr">
        <is>
          <t>BRÄCKE</t>
        </is>
      </c>
      <c r="G865" t="n">
        <v>3.3</v>
      </c>
      <c r="H865" t="n">
        <v>0</v>
      </c>
      <c r="I865" t="n">
        <v>0</v>
      </c>
      <c r="J865" t="n">
        <v>0</v>
      </c>
      <c r="K865" t="n">
        <v>0</v>
      </c>
      <c r="L865" t="n">
        <v>0</v>
      </c>
      <c r="M865" t="n">
        <v>0</v>
      </c>
      <c r="N865" t="n">
        <v>0</v>
      </c>
      <c r="O865" t="n">
        <v>0</v>
      </c>
      <c r="P865" t="n">
        <v>0</v>
      </c>
      <c r="Q865" t="n">
        <v>0</v>
      </c>
      <c r="R865" s="2" t="inlineStr"/>
    </row>
    <row r="866" ht="15" customHeight="1">
      <c r="A866" t="inlineStr">
        <is>
          <t>A 42132-2025</t>
        </is>
      </c>
      <c r="B866" s="1" t="n">
        <v>45904.34546296296</v>
      </c>
      <c r="C866" s="1" t="n">
        <v>46118</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42507-2025</t>
        </is>
      </c>
      <c r="B867" s="1" t="n">
        <v>45905.53167824074</v>
      </c>
      <c r="C867" s="1" t="n">
        <v>46118</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42312-2025</t>
        </is>
      </c>
      <c r="B868" s="1" t="n">
        <v>45904.65673611111</v>
      </c>
      <c r="C868" s="1" t="n">
        <v>46118</v>
      </c>
      <c r="D868" t="inlineStr">
        <is>
          <t>JÄMTLANDS LÄN</t>
        </is>
      </c>
      <c r="E868" t="inlineStr">
        <is>
          <t>BRÄCKE</t>
        </is>
      </c>
      <c r="G868" t="n">
        <v>3</v>
      </c>
      <c r="H868" t="n">
        <v>0</v>
      </c>
      <c r="I868" t="n">
        <v>0</v>
      </c>
      <c r="J868" t="n">
        <v>0</v>
      </c>
      <c r="K868" t="n">
        <v>0</v>
      </c>
      <c r="L868" t="n">
        <v>0</v>
      </c>
      <c r="M868" t="n">
        <v>0</v>
      </c>
      <c r="N868" t="n">
        <v>0</v>
      </c>
      <c r="O868" t="n">
        <v>0</v>
      </c>
      <c r="P868" t="n">
        <v>0</v>
      </c>
      <c r="Q868" t="n">
        <v>0</v>
      </c>
      <c r="R868" s="2" t="inlineStr"/>
    </row>
    <row r="869" ht="15" customHeight="1">
      <c r="A869" t="inlineStr">
        <is>
          <t>A 26100-2021</t>
        </is>
      </c>
      <c r="B869" s="1" t="n">
        <v>44344.93584490741</v>
      </c>
      <c r="C869" s="1" t="n">
        <v>46118</v>
      </c>
      <c r="D869" t="inlineStr">
        <is>
          <t>JÄMTLANDS LÄN</t>
        </is>
      </c>
      <c r="E869" t="inlineStr">
        <is>
          <t>BRÄCKE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42380-2025</t>
        </is>
      </c>
      <c r="B870" s="1" t="n">
        <v>45905.34456018519</v>
      </c>
      <c r="C870" s="1" t="n">
        <v>46118</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23687-2022</t>
        </is>
      </c>
      <c r="B871" s="1" t="n">
        <v>44721</v>
      </c>
      <c r="C871" s="1" t="n">
        <v>46118</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42590-2025</t>
        </is>
      </c>
      <c r="B872" s="1" t="n">
        <v>45905.63607638889</v>
      </c>
      <c r="C872" s="1" t="n">
        <v>46118</v>
      </c>
      <c r="D872" t="inlineStr">
        <is>
          <t>JÄMTLANDS LÄN</t>
        </is>
      </c>
      <c r="E872" t="inlineStr">
        <is>
          <t>BRÄCKE</t>
        </is>
      </c>
      <c r="F872" t="inlineStr">
        <is>
          <t>SCA</t>
        </is>
      </c>
      <c r="G872" t="n">
        <v>24.2</v>
      </c>
      <c r="H872" t="n">
        <v>0</v>
      </c>
      <c r="I872" t="n">
        <v>0</v>
      </c>
      <c r="J872" t="n">
        <v>0</v>
      </c>
      <c r="K872" t="n">
        <v>0</v>
      </c>
      <c r="L872" t="n">
        <v>0</v>
      </c>
      <c r="M872" t="n">
        <v>0</v>
      </c>
      <c r="N872" t="n">
        <v>0</v>
      </c>
      <c r="O872" t="n">
        <v>0</v>
      </c>
      <c r="P872" t="n">
        <v>0</v>
      </c>
      <c r="Q872" t="n">
        <v>0</v>
      </c>
      <c r="R872" s="2" t="inlineStr"/>
    </row>
    <row r="873" ht="15" customHeight="1">
      <c r="A873" t="inlineStr">
        <is>
          <t>A 50840-2023</t>
        </is>
      </c>
      <c r="B873" s="1" t="n">
        <v>45217</v>
      </c>
      <c r="C873" s="1" t="n">
        <v>46118</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12722-2025</t>
        </is>
      </c>
      <c r="B874" s="1" t="n">
        <v>45733.48998842593</v>
      </c>
      <c r="C874" s="1" t="n">
        <v>46118</v>
      </c>
      <c r="D874" t="inlineStr">
        <is>
          <t>JÄMTLANDS LÄN</t>
        </is>
      </c>
      <c r="E874" t="inlineStr">
        <is>
          <t>BRÄCKE</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42123-2025</t>
        </is>
      </c>
      <c r="B875" s="1" t="n">
        <v>45904.34429398148</v>
      </c>
      <c r="C875" s="1" t="n">
        <v>46118</v>
      </c>
      <c r="D875" t="inlineStr">
        <is>
          <t>JÄMTLANDS LÄN</t>
        </is>
      </c>
      <c r="E875" t="inlineStr">
        <is>
          <t>BRÄCKE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42379-2025</t>
        </is>
      </c>
      <c r="B876" s="1" t="n">
        <v>45905.34443287037</v>
      </c>
      <c r="C876" s="1" t="n">
        <v>46118</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42270-2025</t>
        </is>
      </c>
      <c r="B877" s="1" t="n">
        <v>45904.60445601852</v>
      </c>
      <c r="C877" s="1" t="n">
        <v>46118</v>
      </c>
      <c r="D877" t="inlineStr">
        <is>
          <t>JÄMTLANDS LÄN</t>
        </is>
      </c>
      <c r="E877" t="inlineStr">
        <is>
          <t>BRÄCKE</t>
        </is>
      </c>
      <c r="G877" t="n">
        <v>6.4</v>
      </c>
      <c r="H877" t="n">
        <v>0</v>
      </c>
      <c r="I877" t="n">
        <v>0</v>
      </c>
      <c r="J877" t="n">
        <v>0</v>
      </c>
      <c r="K877" t="n">
        <v>0</v>
      </c>
      <c r="L877" t="n">
        <v>0</v>
      </c>
      <c r="M877" t="n">
        <v>0</v>
      </c>
      <c r="N877" t="n">
        <v>0</v>
      </c>
      <c r="O877" t="n">
        <v>0</v>
      </c>
      <c r="P877" t="n">
        <v>0</v>
      </c>
      <c r="Q877" t="n">
        <v>0</v>
      </c>
      <c r="R877" s="2" t="inlineStr"/>
    </row>
    <row r="878" ht="15" customHeight="1">
      <c r="A878" t="inlineStr">
        <is>
          <t>A 42280-2025</t>
        </is>
      </c>
      <c r="B878" s="1" t="n">
        <v>45904.61605324074</v>
      </c>
      <c r="C878" s="1" t="n">
        <v>46118</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42128-2025</t>
        </is>
      </c>
      <c r="B879" s="1" t="n">
        <v>45904.34517361111</v>
      </c>
      <c r="C879" s="1" t="n">
        <v>46118</v>
      </c>
      <c r="D879" t="inlineStr">
        <is>
          <t>JÄMTLANDS LÄN</t>
        </is>
      </c>
      <c r="E879" t="inlineStr">
        <is>
          <t>BRÄCKE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42130-2025</t>
        </is>
      </c>
      <c r="B880" s="1" t="n">
        <v>45904.34540509259</v>
      </c>
      <c r="C880" s="1" t="n">
        <v>46118</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42435-2025</t>
        </is>
      </c>
      <c r="B881" s="1" t="n">
        <v>45905.42763888889</v>
      </c>
      <c r="C881" s="1" t="n">
        <v>46118</v>
      </c>
      <c r="D881" t="inlineStr">
        <is>
          <t>JÄMTLANDS LÄN</t>
        </is>
      </c>
      <c r="E881" t="inlineStr">
        <is>
          <t>BRÄCKE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42732-2025</t>
        </is>
      </c>
      <c r="B882" s="1" t="n">
        <v>45908.40704861111</v>
      </c>
      <c r="C882" s="1" t="n">
        <v>46118</v>
      </c>
      <c r="D882" t="inlineStr">
        <is>
          <t>JÄMTLANDS LÄN</t>
        </is>
      </c>
      <c r="E882" t="inlineStr">
        <is>
          <t>BRÄCKE</t>
        </is>
      </c>
      <c r="G882" t="n">
        <v>2.1</v>
      </c>
      <c r="H882" t="n">
        <v>0</v>
      </c>
      <c r="I882" t="n">
        <v>0</v>
      </c>
      <c r="J882" t="n">
        <v>0</v>
      </c>
      <c r="K882" t="n">
        <v>0</v>
      </c>
      <c r="L882" t="n">
        <v>0</v>
      </c>
      <c r="M882" t="n">
        <v>0</v>
      </c>
      <c r="N882" t="n">
        <v>0</v>
      </c>
      <c r="O882" t="n">
        <v>0</v>
      </c>
      <c r="P882" t="n">
        <v>0</v>
      </c>
      <c r="Q882" t="n">
        <v>0</v>
      </c>
      <c r="R882" s="2" t="inlineStr"/>
    </row>
    <row r="883" ht="15" customHeight="1">
      <c r="A883" t="inlineStr">
        <is>
          <t>A 38847-2025</t>
        </is>
      </c>
      <c r="B883" s="1" t="n">
        <v>45887.54438657407</v>
      </c>
      <c r="C883" s="1" t="n">
        <v>46118</v>
      </c>
      <c r="D883" t="inlineStr">
        <is>
          <t>JÄMTLANDS LÄN</t>
        </is>
      </c>
      <c r="E883" t="inlineStr">
        <is>
          <t>BRÄCKE</t>
        </is>
      </c>
      <c r="G883" t="n">
        <v>4</v>
      </c>
      <c r="H883" t="n">
        <v>0</v>
      </c>
      <c r="I883" t="n">
        <v>0</v>
      </c>
      <c r="J883" t="n">
        <v>0</v>
      </c>
      <c r="K883" t="n">
        <v>0</v>
      </c>
      <c r="L883" t="n">
        <v>0</v>
      </c>
      <c r="M883" t="n">
        <v>0</v>
      </c>
      <c r="N883" t="n">
        <v>0</v>
      </c>
      <c r="O883" t="n">
        <v>0</v>
      </c>
      <c r="P883" t="n">
        <v>0</v>
      </c>
      <c r="Q883" t="n">
        <v>0</v>
      </c>
      <c r="R883" s="2" t="inlineStr"/>
    </row>
    <row r="884" ht="15" customHeight="1">
      <c r="A884" t="inlineStr">
        <is>
          <t>A 2581-2025</t>
        </is>
      </c>
      <c r="B884" s="1" t="n">
        <v>45674.67771990741</v>
      </c>
      <c r="C884" s="1" t="n">
        <v>46118</v>
      </c>
      <c r="D884" t="inlineStr">
        <is>
          <t>JÄMTLANDS LÄN</t>
        </is>
      </c>
      <c r="E884" t="inlineStr">
        <is>
          <t>BRÄCKE</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42784-2025</t>
        </is>
      </c>
      <c r="B885" s="1" t="n">
        <v>45908.51035879629</v>
      </c>
      <c r="C885" s="1" t="n">
        <v>46118</v>
      </c>
      <c r="D885" t="inlineStr">
        <is>
          <t>JÄMTLANDS LÄN</t>
        </is>
      </c>
      <c r="E885" t="inlineStr">
        <is>
          <t>BRÄCKE</t>
        </is>
      </c>
      <c r="G885" t="n">
        <v>3.6</v>
      </c>
      <c r="H885" t="n">
        <v>0</v>
      </c>
      <c r="I885" t="n">
        <v>0</v>
      </c>
      <c r="J885" t="n">
        <v>0</v>
      </c>
      <c r="K885" t="n">
        <v>0</v>
      </c>
      <c r="L885" t="n">
        <v>0</v>
      </c>
      <c r="M885" t="n">
        <v>0</v>
      </c>
      <c r="N885" t="n">
        <v>0</v>
      </c>
      <c r="O885" t="n">
        <v>0</v>
      </c>
      <c r="P885" t="n">
        <v>0</v>
      </c>
      <c r="Q885" t="n">
        <v>0</v>
      </c>
      <c r="R885" s="2" t="inlineStr"/>
    </row>
    <row r="886" ht="15" customHeight="1">
      <c r="A886" t="inlineStr">
        <is>
          <t>A 42936-2025</t>
        </is>
      </c>
      <c r="B886" s="1" t="n">
        <v>45909.32590277777</v>
      </c>
      <c r="C886" s="1" t="n">
        <v>46118</v>
      </c>
      <c r="D886" t="inlineStr">
        <is>
          <t>JÄMTLANDS LÄN</t>
        </is>
      </c>
      <c r="E886" t="inlineStr">
        <is>
          <t>BRÄCKE</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43022-2025</t>
        </is>
      </c>
      <c r="B887" s="1" t="n">
        <v>45909.51016203704</v>
      </c>
      <c r="C887" s="1" t="n">
        <v>46118</v>
      </c>
      <c r="D887" t="inlineStr">
        <is>
          <t>JÄMTLANDS LÄN</t>
        </is>
      </c>
      <c r="E887" t="inlineStr">
        <is>
          <t>BRÄCKE</t>
        </is>
      </c>
      <c r="G887" t="n">
        <v>1.4</v>
      </c>
      <c r="H887" t="n">
        <v>0</v>
      </c>
      <c r="I887" t="n">
        <v>0</v>
      </c>
      <c r="J887" t="n">
        <v>0</v>
      </c>
      <c r="K887" t="n">
        <v>0</v>
      </c>
      <c r="L887" t="n">
        <v>0</v>
      </c>
      <c r="M887" t="n">
        <v>0</v>
      </c>
      <c r="N887" t="n">
        <v>0</v>
      </c>
      <c r="O887" t="n">
        <v>0</v>
      </c>
      <c r="P887" t="n">
        <v>0</v>
      </c>
      <c r="Q887" t="n">
        <v>0</v>
      </c>
      <c r="R887" s="2" t="inlineStr"/>
    </row>
    <row r="888" ht="15" customHeight="1">
      <c r="A888" t="inlineStr">
        <is>
          <t>A 41923-2023</t>
        </is>
      </c>
      <c r="B888" s="1" t="n">
        <v>45176</v>
      </c>
      <c r="C888" s="1" t="n">
        <v>46118</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54568-2022</t>
        </is>
      </c>
      <c r="B889" s="1" t="n">
        <v>44882.95480324074</v>
      </c>
      <c r="C889" s="1" t="n">
        <v>46118</v>
      </c>
      <c r="D889" t="inlineStr">
        <is>
          <t>JÄMTLANDS LÄN</t>
        </is>
      </c>
      <c r="E889" t="inlineStr">
        <is>
          <t>BRÄCKE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29323-2023</t>
        </is>
      </c>
      <c r="B890" s="1" t="n">
        <v>45105</v>
      </c>
      <c r="C890" s="1" t="n">
        <v>46118</v>
      </c>
      <c r="D890" t="inlineStr">
        <is>
          <t>JÄMTLANDS LÄN</t>
        </is>
      </c>
      <c r="E890" t="inlineStr">
        <is>
          <t>BRÄCKE</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42933-2025</t>
        </is>
      </c>
      <c r="B891" s="1" t="n">
        <v>45909.32215277778</v>
      </c>
      <c r="C891" s="1" t="n">
        <v>46118</v>
      </c>
      <c r="D891" t="inlineStr">
        <is>
          <t>JÄMTLANDS LÄN</t>
        </is>
      </c>
      <c r="E891" t="inlineStr">
        <is>
          <t>BRÄCKE</t>
        </is>
      </c>
      <c r="G891" t="n">
        <v>6.1</v>
      </c>
      <c r="H891" t="n">
        <v>0</v>
      </c>
      <c r="I891" t="n">
        <v>0</v>
      </c>
      <c r="J891" t="n">
        <v>0</v>
      </c>
      <c r="K891" t="n">
        <v>0</v>
      </c>
      <c r="L891" t="n">
        <v>0</v>
      </c>
      <c r="M891" t="n">
        <v>0</v>
      </c>
      <c r="N891" t="n">
        <v>0</v>
      </c>
      <c r="O891" t="n">
        <v>0</v>
      </c>
      <c r="P891" t="n">
        <v>0</v>
      </c>
      <c r="Q891" t="n">
        <v>0</v>
      </c>
      <c r="R891" s="2" t="inlineStr"/>
    </row>
    <row r="892" ht="15" customHeight="1">
      <c r="A892" t="inlineStr">
        <is>
          <t>A 25676-2023</t>
        </is>
      </c>
      <c r="B892" s="1" t="n">
        <v>45089.93925925926</v>
      </c>
      <c r="C892" s="1" t="n">
        <v>46118</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39930-2022</t>
        </is>
      </c>
      <c r="B893" s="1" t="n">
        <v>44819</v>
      </c>
      <c r="C893" s="1" t="n">
        <v>46118</v>
      </c>
      <c r="D893" t="inlineStr">
        <is>
          <t>JÄMTLANDS LÄN</t>
        </is>
      </c>
      <c r="E893" t="inlineStr">
        <is>
          <t>BRÄCKE</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42659-2025</t>
        </is>
      </c>
      <c r="B894" s="1" t="n">
        <v>45907.56715277778</v>
      </c>
      <c r="C894" s="1" t="n">
        <v>46118</v>
      </c>
      <c r="D894" t="inlineStr">
        <is>
          <t>JÄMTLANDS LÄN</t>
        </is>
      </c>
      <c r="E894" t="inlineStr">
        <is>
          <t>BRÄCKE</t>
        </is>
      </c>
      <c r="G894" t="n">
        <v>3.2</v>
      </c>
      <c r="H894" t="n">
        <v>0</v>
      </c>
      <c r="I894" t="n">
        <v>0</v>
      </c>
      <c r="J894" t="n">
        <v>0</v>
      </c>
      <c r="K894" t="n">
        <v>0</v>
      </c>
      <c r="L894" t="n">
        <v>0</v>
      </c>
      <c r="M894" t="n">
        <v>0</v>
      </c>
      <c r="N894" t="n">
        <v>0</v>
      </c>
      <c r="O894" t="n">
        <v>0</v>
      </c>
      <c r="P894" t="n">
        <v>0</v>
      </c>
      <c r="Q894" t="n">
        <v>0</v>
      </c>
      <c r="R894" s="2" t="inlineStr"/>
    </row>
    <row r="895" ht="15" customHeight="1">
      <c r="A895" t="inlineStr">
        <is>
          <t>A 43180-2025</t>
        </is>
      </c>
      <c r="B895" s="1" t="n">
        <v>45910.40699074074</v>
      </c>
      <c r="C895" s="1" t="n">
        <v>46118</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43254-2025</t>
        </is>
      </c>
      <c r="B896" s="1" t="n">
        <v>45910.553125</v>
      </c>
      <c r="C896" s="1" t="n">
        <v>46118</v>
      </c>
      <c r="D896" t="inlineStr">
        <is>
          <t>JÄMTLANDS LÄN</t>
        </is>
      </c>
      <c r="E896" t="inlineStr">
        <is>
          <t>BRÄCKE</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43618-2025</t>
        </is>
      </c>
      <c r="B897" s="1" t="n">
        <v>45911.67806712963</v>
      </c>
      <c r="C897" s="1" t="n">
        <v>46118</v>
      </c>
      <c r="D897" t="inlineStr">
        <is>
          <t>JÄMTLANDS LÄN</t>
        </is>
      </c>
      <c r="E897" t="inlineStr">
        <is>
          <t>BRÄCKE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43416-2025</t>
        </is>
      </c>
      <c r="B898" s="1" t="n">
        <v>45911.40685185185</v>
      </c>
      <c r="C898" s="1" t="n">
        <v>46118</v>
      </c>
      <c r="D898" t="inlineStr">
        <is>
          <t>JÄMTLANDS LÄN</t>
        </is>
      </c>
      <c r="E898" t="inlineStr">
        <is>
          <t>BRÄCKE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58776-2023</t>
        </is>
      </c>
      <c r="B899" s="1" t="n">
        <v>45251.96740740741</v>
      </c>
      <c r="C899" s="1" t="n">
        <v>46118</v>
      </c>
      <c r="D899" t="inlineStr">
        <is>
          <t>JÄMTLANDS LÄN</t>
        </is>
      </c>
      <c r="E899" t="inlineStr">
        <is>
          <t>BRÄCKE</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43591-2025</t>
        </is>
      </c>
      <c r="B900" s="1" t="n">
        <v>45911.65681712963</v>
      </c>
      <c r="C900" s="1" t="n">
        <v>46118</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17905-2025</t>
        </is>
      </c>
      <c r="B901" s="1" t="n">
        <v>45758.71907407408</v>
      </c>
      <c r="C901" s="1" t="n">
        <v>46118</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39662-2024</t>
        </is>
      </c>
      <c r="B902" s="1" t="n">
        <v>45552.51068287037</v>
      </c>
      <c r="C902" s="1" t="n">
        <v>46118</v>
      </c>
      <c r="D902" t="inlineStr">
        <is>
          <t>JÄMTLANDS LÄN</t>
        </is>
      </c>
      <c r="E902" t="inlineStr">
        <is>
          <t>BRÄCKE</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43387-2025</t>
        </is>
      </c>
      <c r="B903" s="1" t="n">
        <v>45911.3653587963</v>
      </c>
      <c r="C903" s="1" t="n">
        <v>46118</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44035-2025</t>
        </is>
      </c>
      <c r="B904" s="1" t="n">
        <v>45915.49084490741</v>
      </c>
      <c r="C904" s="1" t="n">
        <v>46118</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58461-2023</t>
        </is>
      </c>
      <c r="B905" s="1" t="n">
        <v>45250</v>
      </c>
      <c r="C905" s="1" t="n">
        <v>46118</v>
      </c>
      <c r="D905" t="inlineStr">
        <is>
          <t>JÄMTLANDS LÄN</t>
        </is>
      </c>
      <c r="E905" t="inlineStr">
        <is>
          <t>BRÄCKE</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58467-2023</t>
        </is>
      </c>
      <c r="B906" s="1" t="n">
        <v>45250.96192129629</v>
      </c>
      <c r="C906" s="1" t="n">
        <v>46118</v>
      </c>
      <c r="D906" t="inlineStr">
        <is>
          <t>JÄMTLANDS LÄN</t>
        </is>
      </c>
      <c r="E906" t="inlineStr">
        <is>
          <t>BRÄCKE</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38775-2025</t>
        </is>
      </c>
      <c r="B907" s="1" t="n">
        <v>45887.42667824074</v>
      </c>
      <c r="C907" s="1" t="n">
        <v>46118</v>
      </c>
      <c r="D907" t="inlineStr">
        <is>
          <t>JÄMTLANDS LÄN</t>
        </is>
      </c>
      <c r="E907" t="inlineStr">
        <is>
          <t>BRÄCKE</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44030-2025</t>
        </is>
      </c>
      <c r="B908" s="1" t="n">
        <v>45915.49006944444</v>
      </c>
      <c r="C908" s="1" t="n">
        <v>46118</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2483-2025</t>
        </is>
      </c>
      <c r="B909" s="1" t="n">
        <v>45673</v>
      </c>
      <c r="C909" s="1" t="n">
        <v>46118</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4887-2025</t>
        </is>
      </c>
      <c r="B910" s="1" t="n">
        <v>45688.67800925926</v>
      </c>
      <c r="C910" s="1" t="n">
        <v>46118</v>
      </c>
      <c r="D910" t="inlineStr">
        <is>
          <t>JÄMTLANDS LÄN</t>
        </is>
      </c>
      <c r="E910" t="inlineStr">
        <is>
          <t>BRÄCKE</t>
        </is>
      </c>
      <c r="F910" t="inlineStr">
        <is>
          <t>SCA</t>
        </is>
      </c>
      <c r="G910" t="n">
        <v>9.4</v>
      </c>
      <c r="H910" t="n">
        <v>0</v>
      </c>
      <c r="I910" t="n">
        <v>0</v>
      </c>
      <c r="J910" t="n">
        <v>0</v>
      </c>
      <c r="K910" t="n">
        <v>0</v>
      </c>
      <c r="L910" t="n">
        <v>0</v>
      </c>
      <c r="M910" t="n">
        <v>0</v>
      </c>
      <c r="N910" t="n">
        <v>0</v>
      </c>
      <c r="O910" t="n">
        <v>0</v>
      </c>
      <c r="P910" t="n">
        <v>0</v>
      </c>
      <c r="Q910" t="n">
        <v>0</v>
      </c>
      <c r="R910" s="2" t="inlineStr"/>
    </row>
    <row r="911" ht="15" customHeight="1">
      <c r="A911" t="inlineStr">
        <is>
          <t>A 4893-2025</t>
        </is>
      </c>
      <c r="B911" s="1" t="n">
        <v>45688.67871527778</v>
      </c>
      <c r="C911" s="1" t="n">
        <v>46118</v>
      </c>
      <c r="D911" t="inlineStr">
        <is>
          <t>JÄMTLANDS LÄN</t>
        </is>
      </c>
      <c r="E911" t="inlineStr">
        <is>
          <t>BRÄCKE</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54328-2023</t>
        </is>
      </c>
      <c r="B912" s="1" t="n">
        <v>45232.95774305556</v>
      </c>
      <c r="C912" s="1" t="n">
        <v>46118</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44057-2025</t>
        </is>
      </c>
      <c r="B913" s="1" t="n">
        <v>45915.53097222222</v>
      </c>
      <c r="C913" s="1" t="n">
        <v>46118</v>
      </c>
      <c r="D913" t="inlineStr">
        <is>
          <t>JÄMTLANDS LÄN</t>
        </is>
      </c>
      <c r="E913" t="inlineStr">
        <is>
          <t>BRÄCKE</t>
        </is>
      </c>
      <c r="G913" t="n">
        <v>3</v>
      </c>
      <c r="H913" t="n">
        <v>0</v>
      </c>
      <c r="I913" t="n">
        <v>0</v>
      </c>
      <c r="J913" t="n">
        <v>0</v>
      </c>
      <c r="K913" t="n">
        <v>0</v>
      </c>
      <c r="L913" t="n">
        <v>0</v>
      </c>
      <c r="M913" t="n">
        <v>0</v>
      </c>
      <c r="N913" t="n">
        <v>0</v>
      </c>
      <c r="O913" t="n">
        <v>0</v>
      </c>
      <c r="P913" t="n">
        <v>0</v>
      </c>
      <c r="Q913" t="n">
        <v>0</v>
      </c>
      <c r="R913" s="2" t="inlineStr"/>
    </row>
    <row r="914" ht="15" customHeight="1">
      <c r="A914" t="inlineStr">
        <is>
          <t>A 44216-2025</t>
        </is>
      </c>
      <c r="B914" s="1" t="n">
        <v>45915.6359837963</v>
      </c>
      <c r="C914" s="1" t="n">
        <v>46118</v>
      </c>
      <c r="D914" t="inlineStr">
        <is>
          <t>JÄMTLANDS LÄN</t>
        </is>
      </c>
      <c r="E914" t="inlineStr">
        <is>
          <t>BRÄCKE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43736-2025</t>
        </is>
      </c>
      <c r="B915" s="1" t="n">
        <v>45912.44840277778</v>
      </c>
      <c r="C915" s="1" t="n">
        <v>46118</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43723-2025</t>
        </is>
      </c>
      <c r="B916" s="1" t="n">
        <v>45912.42844907408</v>
      </c>
      <c r="C916" s="1" t="n">
        <v>46118</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29314-2021</t>
        </is>
      </c>
      <c r="B917" s="1" t="n">
        <v>44361</v>
      </c>
      <c r="C917" s="1" t="n">
        <v>46118</v>
      </c>
      <c r="D917" t="inlineStr">
        <is>
          <t>JÄMTLANDS LÄN</t>
        </is>
      </c>
      <c r="E917" t="inlineStr">
        <is>
          <t>BRÄCKE</t>
        </is>
      </c>
      <c r="G917" t="n">
        <v>9.6</v>
      </c>
      <c r="H917" t="n">
        <v>0</v>
      </c>
      <c r="I917" t="n">
        <v>0</v>
      </c>
      <c r="J917" t="n">
        <v>0</v>
      </c>
      <c r="K917" t="n">
        <v>0</v>
      </c>
      <c r="L917" t="n">
        <v>0</v>
      </c>
      <c r="M917" t="n">
        <v>0</v>
      </c>
      <c r="N917" t="n">
        <v>0</v>
      </c>
      <c r="O917" t="n">
        <v>0</v>
      </c>
      <c r="P917" t="n">
        <v>0</v>
      </c>
      <c r="Q917" t="n">
        <v>0</v>
      </c>
      <c r="R917" s="2" t="inlineStr"/>
    </row>
    <row r="918" ht="15" customHeight="1">
      <c r="A918" t="inlineStr">
        <is>
          <t>A 8422-2022</t>
        </is>
      </c>
      <c r="B918" s="1" t="n">
        <v>44610</v>
      </c>
      <c r="C918" s="1" t="n">
        <v>46118</v>
      </c>
      <c r="D918" t="inlineStr">
        <is>
          <t>JÄMTLANDS LÄN</t>
        </is>
      </c>
      <c r="E918" t="inlineStr">
        <is>
          <t>BRÄCKE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40765-2023</t>
        </is>
      </c>
      <c r="B919" s="1" t="n">
        <v>45170</v>
      </c>
      <c r="C919" s="1" t="n">
        <v>46118</v>
      </c>
      <c r="D919" t="inlineStr">
        <is>
          <t>JÄMTLANDS LÄN</t>
        </is>
      </c>
      <c r="E919" t="inlineStr">
        <is>
          <t>BRÄCKE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58082-2023</t>
        </is>
      </c>
      <c r="B920" s="1" t="n">
        <v>45247.96538194444</v>
      </c>
      <c r="C920" s="1" t="n">
        <v>46118</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58083-2023</t>
        </is>
      </c>
      <c r="B921" s="1" t="n">
        <v>45247</v>
      </c>
      <c r="C921" s="1" t="n">
        <v>46118</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22986-2023</t>
        </is>
      </c>
      <c r="B922" s="1" t="n">
        <v>45072.94140046297</v>
      </c>
      <c r="C922" s="1" t="n">
        <v>46118</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44843-2025</t>
        </is>
      </c>
      <c r="B923" s="1" t="n">
        <v>45918.43283564815</v>
      </c>
      <c r="C923" s="1" t="n">
        <v>46118</v>
      </c>
      <c r="D923" t="inlineStr">
        <is>
          <t>JÄMTLANDS LÄN</t>
        </is>
      </c>
      <c r="E923" t="inlineStr">
        <is>
          <t>BRÄCKE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44854-2025</t>
        </is>
      </c>
      <c r="B924" s="1" t="n">
        <v>45918.44819444444</v>
      </c>
      <c r="C924" s="1" t="n">
        <v>46118</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1799-2024</t>
        </is>
      </c>
      <c r="B925" s="1" t="n">
        <v>45307</v>
      </c>
      <c r="C925" s="1" t="n">
        <v>46118</v>
      </c>
      <c r="D925" t="inlineStr">
        <is>
          <t>JÄMTLANDS LÄN</t>
        </is>
      </c>
      <c r="E925" t="inlineStr">
        <is>
          <t>BRÄCKE</t>
        </is>
      </c>
      <c r="G925" t="n">
        <v>4.5</v>
      </c>
      <c r="H925" t="n">
        <v>0</v>
      </c>
      <c r="I925" t="n">
        <v>0</v>
      </c>
      <c r="J925" t="n">
        <v>0</v>
      </c>
      <c r="K925" t="n">
        <v>0</v>
      </c>
      <c r="L925" t="n">
        <v>0</v>
      </c>
      <c r="M925" t="n">
        <v>0</v>
      </c>
      <c r="N925" t="n">
        <v>0</v>
      </c>
      <c r="O925" t="n">
        <v>0</v>
      </c>
      <c r="P925" t="n">
        <v>0</v>
      </c>
      <c r="Q925" t="n">
        <v>0</v>
      </c>
      <c r="R925" s="2" t="inlineStr"/>
    </row>
    <row r="926" ht="15" customHeight="1">
      <c r="A926" t="inlineStr">
        <is>
          <t>A 50151-2023</t>
        </is>
      </c>
      <c r="B926" s="1" t="n">
        <v>45208</v>
      </c>
      <c r="C926" s="1" t="n">
        <v>46118</v>
      </c>
      <c r="D926" t="inlineStr">
        <is>
          <t>JÄMTLANDS LÄN</t>
        </is>
      </c>
      <c r="E926" t="inlineStr">
        <is>
          <t>BRÄCKE</t>
        </is>
      </c>
      <c r="G926" t="n">
        <v>0.8</v>
      </c>
      <c r="H926" t="n">
        <v>0</v>
      </c>
      <c r="I926" t="n">
        <v>0</v>
      </c>
      <c r="J926" t="n">
        <v>0</v>
      </c>
      <c r="K926" t="n">
        <v>0</v>
      </c>
      <c r="L926" t="n">
        <v>0</v>
      </c>
      <c r="M926" t="n">
        <v>0</v>
      </c>
      <c r="N926" t="n">
        <v>0</v>
      </c>
      <c r="O926" t="n">
        <v>0</v>
      </c>
      <c r="P926" t="n">
        <v>0</v>
      </c>
      <c r="Q926" t="n">
        <v>0</v>
      </c>
      <c r="R926" s="2" t="inlineStr"/>
    </row>
    <row r="927" ht="15" customHeight="1">
      <c r="A927" t="inlineStr">
        <is>
          <t>A 44847-2025</t>
        </is>
      </c>
      <c r="B927" s="1" t="n">
        <v>45918.44200231481</v>
      </c>
      <c r="C927" s="1" t="n">
        <v>46118</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44968-2025</t>
        </is>
      </c>
      <c r="B928" s="1" t="n">
        <v>45918.63228009259</v>
      </c>
      <c r="C928" s="1" t="n">
        <v>46118</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44957-2025</t>
        </is>
      </c>
      <c r="B929" s="1" t="n">
        <v>45918.615</v>
      </c>
      <c r="C929" s="1" t="n">
        <v>46118</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45081-2025</t>
        </is>
      </c>
      <c r="B930" s="1" t="n">
        <v>45919.36574074074</v>
      </c>
      <c r="C930" s="1" t="n">
        <v>46118</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44831-2025</t>
        </is>
      </c>
      <c r="B931" s="1" t="n">
        <v>45918.40663194445</v>
      </c>
      <c r="C931" s="1" t="n">
        <v>46118</v>
      </c>
      <c r="D931" t="inlineStr">
        <is>
          <t>JÄMTLANDS LÄN</t>
        </is>
      </c>
      <c r="E931" t="inlineStr">
        <is>
          <t>BRÄCKE</t>
        </is>
      </c>
      <c r="F931" t="inlineStr">
        <is>
          <t>Naturvårdsverket</t>
        </is>
      </c>
      <c r="G931" t="n">
        <v>6.9</v>
      </c>
      <c r="H931" t="n">
        <v>0</v>
      </c>
      <c r="I931" t="n">
        <v>0</v>
      </c>
      <c r="J931" t="n">
        <v>0</v>
      </c>
      <c r="K931" t="n">
        <v>0</v>
      </c>
      <c r="L931" t="n">
        <v>0</v>
      </c>
      <c r="M931" t="n">
        <v>0</v>
      </c>
      <c r="N931" t="n">
        <v>0</v>
      </c>
      <c r="O931" t="n">
        <v>0</v>
      </c>
      <c r="P931" t="n">
        <v>0</v>
      </c>
      <c r="Q931" t="n">
        <v>0</v>
      </c>
      <c r="R931" s="2" t="inlineStr"/>
    </row>
    <row r="932" ht="15" customHeight="1">
      <c r="A932" t="inlineStr">
        <is>
          <t>A 44840-2025</t>
        </is>
      </c>
      <c r="B932" s="1" t="n">
        <v>45918.42769675926</v>
      </c>
      <c r="C932" s="1" t="n">
        <v>46118</v>
      </c>
      <c r="D932" t="inlineStr">
        <is>
          <t>JÄMTLANDS LÄN</t>
        </is>
      </c>
      <c r="E932" t="inlineStr">
        <is>
          <t>BRÄCKE</t>
        </is>
      </c>
      <c r="F932" t="inlineStr">
        <is>
          <t>SCA</t>
        </is>
      </c>
      <c r="G932" t="n">
        <v>6.5</v>
      </c>
      <c r="H932" t="n">
        <v>0</v>
      </c>
      <c r="I932" t="n">
        <v>0</v>
      </c>
      <c r="J932" t="n">
        <v>0</v>
      </c>
      <c r="K932" t="n">
        <v>0</v>
      </c>
      <c r="L932" t="n">
        <v>0</v>
      </c>
      <c r="M932" t="n">
        <v>0</v>
      </c>
      <c r="N932" t="n">
        <v>0</v>
      </c>
      <c r="O932" t="n">
        <v>0</v>
      </c>
      <c r="P932" t="n">
        <v>0</v>
      </c>
      <c r="Q932" t="n">
        <v>0</v>
      </c>
      <c r="R932" s="2" t="inlineStr"/>
    </row>
    <row r="933" ht="15" customHeight="1">
      <c r="A933" t="inlineStr">
        <is>
          <t>A 48433-2023</t>
        </is>
      </c>
      <c r="B933" s="1" t="n">
        <v>45205</v>
      </c>
      <c r="C933" s="1" t="n">
        <v>46118</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48473-2023</t>
        </is>
      </c>
      <c r="B934" s="1" t="n">
        <v>45206.95770833334</v>
      </c>
      <c r="C934" s="1" t="n">
        <v>46118</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44959-2025</t>
        </is>
      </c>
      <c r="B935" s="1" t="n">
        <v>45918.61537037037</v>
      </c>
      <c r="C935" s="1" t="n">
        <v>46118</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45797-2025</t>
        </is>
      </c>
      <c r="B936" s="1" t="n">
        <v>45923.57422453703</v>
      </c>
      <c r="C936" s="1" t="n">
        <v>46118</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19342-2025</t>
        </is>
      </c>
      <c r="B937" s="1" t="n">
        <v>45769.59520833333</v>
      </c>
      <c r="C937" s="1" t="n">
        <v>46118</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45698-2025</t>
        </is>
      </c>
      <c r="B938" s="1" t="n">
        <v>45923.39917824074</v>
      </c>
      <c r="C938" s="1" t="n">
        <v>46118</v>
      </c>
      <c r="D938" t="inlineStr">
        <is>
          <t>JÄMTLANDS LÄN</t>
        </is>
      </c>
      <c r="E938" t="inlineStr">
        <is>
          <t>BRÄCKE</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10476-2022</t>
        </is>
      </c>
      <c r="B939" s="1" t="n">
        <v>44623</v>
      </c>
      <c r="C939" s="1" t="n">
        <v>46118</v>
      </c>
      <c r="D939" t="inlineStr">
        <is>
          <t>JÄMTLANDS LÄN</t>
        </is>
      </c>
      <c r="E939" t="inlineStr">
        <is>
          <t>BRÄCKE</t>
        </is>
      </c>
      <c r="G939" t="n">
        <v>3.8</v>
      </c>
      <c r="H939" t="n">
        <v>0</v>
      </c>
      <c r="I939" t="n">
        <v>0</v>
      </c>
      <c r="J939" t="n">
        <v>0</v>
      </c>
      <c r="K939" t="n">
        <v>0</v>
      </c>
      <c r="L939" t="n">
        <v>0</v>
      </c>
      <c r="M939" t="n">
        <v>0</v>
      </c>
      <c r="N939" t="n">
        <v>0</v>
      </c>
      <c r="O939" t="n">
        <v>0</v>
      </c>
      <c r="P939" t="n">
        <v>0</v>
      </c>
      <c r="Q939" t="n">
        <v>0</v>
      </c>
      <c r="R939" s="2" t="inlineStr"/>
    </row>
    <row r="940" ht="15" customHeight="1">
      <c r="A940" t="inlineStr">
        <is>
          <t>A 10542-2022</t>
        </is>
      </c>
      <c r="B940" s="1" t="n">
        <v>44623.92204861111</v>
      </c>
      <c r="C940" s="1" t="n">
        <v>46118</v>
      </c>
      <c r="D940" t="inlineStr">
        <is>
          <t>JÄMTLANDS LÄN</t>
        </is>
      </c>
      <c r="E940" t="inlineStr">
        <is>
          <t>BRÄCKE</t>
        </is>
      </c>
      <c r="G940" t="n">
        <v>2.9</v>
      </c>
      <c r="H940" t="n">
        <v>0</v>
      </c>
      <c r="I940" t="n">
        <v>0</v>
      </c>
      <c r="J940" t="n">
        <v>0</v>
      </c>
      <c r="K940" t="n">
        <v>0</v>
      </c>
      <c r="L940" t="n">
        <v>0</v>
      </c>
      <c r="M940" t="n">
        <v>0</v>
      </c>
      <c r="N940" t="n">
        <v>0</v>
      </c>
      <c r="O940" t="n">
        <v>0</v>
      </c>
      <c r="P940" t="n">
        <v>0</v>
      </c>
      <c r="Q940" t="n">
        <v>0</v>
      </c>
      <c r="R940" s="2" t="inlineStr"/>
    </row>
    <row r="941" ht="15" customHeight="1">
      <c r="A941" t="inlineStr">
        <is>
          <t>A 32636-2024</t>
        </is>
      </c>
      <c r="B941" s="1" t="n">
        <v>45513.96137731482</v>
      </c>
      <c r="C941" s="1" t="n">
        <v>46118</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49861-2022</t>
        </is>
      </c>
      <c r="B942" s="1" t="n">
        <v>44862</v>
      </c>
      <c r="C942" s="1" t="n">
        <v>46118</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45741-2025</t>
        </is>
      </c>
      <c r="B943" s="1" t="n">
        <v>45923.46953703704</v>
      </c>
      <c r="C943" s="1" t="n">
        <v>46118</v>
      </c>
      <c r="D943" t="inlineStr">
        <is>
          <t>JÄMTLANDS LÄN</t>
        </is>
      </c>
      <c r="E943" t="inlineStr">
        <is>
          <t>BRÄCKE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20003-2024</t>
        </is>
      </c>
      <c r="B944" s="1" t="n">
        <v>45433.94275462963</v>
      </c>
      <c r="C944" s="1" t="n">
        <v>46118</v>
      </c>
      <c r="D944" t="inlineStr">
        <is>
          <t>JÄMTLANDS LÄN</t>
        </is>
      </c>
      <c r="E944" t="inlineStr">
        <is>
          <t>BRÄCKE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20009-2024</t>
        </is>
      </c>
      <c r="B945" s="1" t="n">
        <v>45433.94325231481</v>
      </c>
      <c r="C945" s="1" t="n">
        <v>46118</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45703-2025</t>
        </is>
      </c>
      <c r="B946" s="1" t="n">
        <v>45923.40854166666</v>
      </c>
      <c r="C946" s="1" t="n">
        <v>46118</v>
      </c>
      <c r="D946" t="inlineStr">
        <is>
          <t>JÄMTLANDS LÄN</t>
        </is>
      </c>
      <c r="E946" t="inlineStr">
        <is>
          <t>BRÄCKE</t>
        </is>
      </c>
      <c r="G946" t="n">
        <v>2.4</v>
      </c>
      <c r="H946" t="n">
        <v>0</v>
      </c>
      <c r="I946" t="n">
        <v>0</v>
      </c>
      <c r="J946" t="n">
        <v>0</v>
      </c>
      <c r="K946" t="n">
        <v>0</v>
      </c>
      <c r="L946" t="n">
        <v>0</v>
      </c>
      <c r="M946" t="n">
        <v>0</v>
      </c>
      <c r="N946" t="n">
        <v>0</v>
      </c>
      <c r="O946" t="n">
        <v>0</v>
      </c>
      <c r="P946" t="n">
        <v>0</v>
      </c>
      <c r="Q946" t="n">
        <v>0</v>
      </c>
      <c r="R946" s="2" t="inlineStr"/>
    </row>
    <row r="947" ht="15" customHeight="1">
      <c r="A947" t="inlineStr">
        <is>
          <t>A 45740-2025</t>
        </is>
      </c>
      <c r="B947" s="1" t="n">
        <v>45923.46938657408</v>
      </c>
      <c r="C947" s="1" t="n">
        <v>46118</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45589-2025</t>
        </is>
      </c>
      <c r="B948" s="1" t="n">
        <v>45922.67697916667</v>
      </c>
      <c r="C948" s="1" t="n">
        <v>46118</v>
      </c>
      <c r="D948" t="inlineStr">
        <is>
          <t>JÄMTLANDS LÄN</t>
        </is>
      </c>
      <c r="E948" t="inlineStr">
        <is>
          <t>BRÄCKE</t>
        </is>
      </c>
      <c r="G948" t="n">
        <v>3.3</v>
      </c>
      <c r="H948" t="n">
        <v>0</v>
      </c>
      <c r="I948" t="n">
        <v>0</v>
      </c>
      <c r="J948" t="n">
        <v>0</v>
      </c>
      <c r="K948" t="n">
        <v>0</v>
      </c>
      <c r="L948" t="n">
        <v>0</v>
      </c>
      <c r="M948" t="n">
        <v>0</v>
      </c>
      <c r="N948" t="n">
        <v>0</v>
      </c>
      <c r="O948" t="n">
        <v>0</v>
      </c>
      <c r="P948" t="n">
        <v>0</v>
      </c>
      <c r="Q948" t="n">
        <v>0</v>
      </c>
      <c r="R948" s="2" t="inlineStr"/>
    </row>
    <row r="949" ht="15" customHeight="1">
      <c r="A949" t="inlineStr">
        <is>
          <t>A 34102-2025</t>
        </is>
      </c>
      <c r="B949" s="1" t="n">
        <v>45845.49</v>
      </c>
      <c r="C949" s="1" t="n">
        <v>46118</v>
      </c>
      <c r="D949" t="inlineStr">
        <is>
          <t>JÄMTLANDS LÄN</t>
        </is>
      </c>
      <c r="E949" t="inlineStr">
        <is>
          <t>BRÄCKE</t>
        </is>
      </c>
      <c r="G949" t="n">
        <v>4.7</v>
      </c>
      <c r="H949" t="n">
        <v>0</v>
      </c>
      <c r="I949" t="n">
        <v>0</v>
      </c>
      <c r="J949" t="n">
        <v>0</v>
      </c>
      <c r="K949" t="n">
        <v>0</v>
      </c>
      <c r="L949" t="n">
        <v>0</v>
      </c>
      <c r="M949" t="n">
        <v>0</v>
      </c>
      <c r="N949" t="n">
        <v>0</v>
      </c>
      <c r="O949" t="n">
        <v>0</v>
      </c>
      <c r="P949" t="n">
        <v>0</v>
      </c>
      <c r="Q949" t="n">
        <v>0</v>
      </c>
      <c r="R949" s="2" t="inlineStr"/>
    </row>
    <row r="950" ht="15" customHeight="1">
      <c r="A950" t="inlineStr">
        <is>
          <t>A 46131-2025</t>
        </is>
      </c>
      <c r="B950" s="1" t="n">
        <v>45924.59469907408</v>
      </c>
      <c r="C950" s="1" t="n">
        <v>46118</v>
      </c>
      <c r="D950" t="inlineStr">
        <is>
          <t>JÄMTLANDS LÄN</t>
        </is>
      </c>
      <c r="E950" t="inlineStr">
        <is>
          <t>BRÄCKE</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54799-2025</t>
        </is>
      </c>
      <c r="B951" s="1" t="n">
        <v>45966.63707175926</v>
      </c>
      <c r="C951" s="1" t="n">
        <v>46118</v>
      </c>
      <c r="D951" t="inlineStr">
        <is>
          <t>JÄMTLANDS LÄN</t>
        </is>
      </c>
      <c r="E951" t="inlineStr">
        <is>
          <t>BRÄCKE</t>
        </is>
      </c>
      <c r="G951" t="n">
        <v>0</v>
      </c>
      <c r="H951" t="n">
        <v>0</v>
      </c>
      <c r="I951" t="n">
        <v>0</v>
      </c>
      <c r="J951" t="n">
        <v>0</v>
      </c>
      <c r="K951" t="n">
        <v>0</v>
      </c>
      <c r="L951" t="n">
        <v>0</v>
      </c>
      <c r="M951" t="n">
        <v>0</v>
      </c>
      <c r="N951" t="n">
        <v>0</v>
      </c>
      <c r="O951" t="n">
        <v>0</v>
      </c>
      <c r="P951" t="n">
        <v>0</v>
      </c>
      <c r="Q951" t="n">
        <v>0</v>
      </c>
      <c r="R951" s="2" t="inlineStr"/>
    </row>
    <row r="952" ht="15" customHeight="1">
      <c r="A952" t="inlineStr">
        <is>
          <t>A 22116-2024</t>
        </is>
      </c>
      <c r="B952" s="1" t="n">
        <v>45443.95230324074</v>
      </c>
      <c r="C952" s="1" t="n">
        <v>46118</v>
      </c>
      <c r="D952" t="inlineStr">
        <is>
          <t>JÄMTLANDS LÄN</t>
        </is>
      </c>
      <c r="E952" t="inlineStr">
        <is>
          <t>BRÄCKE</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46218-2025</t>
        </is>
      </c>
      <c r="B953" s="1" t="n">
        <v>45924.851875</v>
      </c>
      <c r="C953" s="1" t="n">
        <v>46118</v>
      </c>
      <c r="D953" t="inlineStr">
        <is>
          <t>JÄMTLANDS LÄN</t>
        </is>
      </c>
      <c r="E953" t="inlineStr">
        <is>
          <t>BRÄCKE</t>
        </is>
      </c>
      <c r="G953" t="n">
        <v>0.8</v>
      </c>
      <c r="H953" t="n">
        <v>0</v>
      </c>
      <c r="I953" t="n">
        <v>0</v>
      </c>
      <c r="J953" t="n">
        <v>0</v>
      </c>
      <c r="K953" t="n">
        <v>0</v>
      </c>
      <c r="L953" t="n">
        <v>0</v>
      </c>
      <c r="M953" t="n">
        <v>0</v>
      </c>
      <c r="N953" t="n">
        <v>0</v>
      </c>
      <c r="O953" t="n">
        <v>0</v>
      </c>
      <c r="P953" t="n">
        <v>0</v>
      </c>
      <c r="Q953" t="n">
        <v>0</v>
      </c>
      <c r="R953" s="2" t="inlineStr"/>
    </row>
    <row r="954" ht="15" customHeight="1">
      <c r="A954" t="inlineStr">
        <is>
          <t>A 46069-2025</t>
        </is>
      </c>
      <c r="B954" s="1" t="n">
        <v>45924.48994212963</v>
      </c>
      <c r="C954" s="1" t="n">
        <v>46118</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46217-2025</t>
        </is>
      </c>
      <c r="B955" s="1" t="n">
        <v>45924.8475925926</v>
      </c>
      <c r="C955" s="1" t="n">
        <v>46118</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46017-2025</t>
        </is>
      </c>
      <c r="B956" s="1" t="n">
        <v>45924.42774305555</v>
      </c>
      <c r="C956" s="1" t="n">
        <v>46118</v>
      </c>
      <c r="D956" t="inlineStr">
        <is>
          <t>JÄMTLANDS LÄN</t>
        </is>
      </c>
      <c r="E956" t="inlineStr">
        <is>
          <t>BRÄCKE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45971-2025</t>
        </is>
      </c>
      <c r="B957" s="1" t="n">
        <v>45924.36534722222</v>
      </c>
      <c r="C957" s="1" t="n">
        <v>46118</v>
      </c>
      <c r="D957" t="inlineStr">
        <is>
          <t>JÄMTLANDS LÄN</t>
        </is>
      </c>
      <c r="E957" t="inlineStr">
        <is>
          <t>BRÄCKE</t>
        </is>
      </c>
      <c r="G957" t="n">
        <v>0.9</v>
      </c>
      <c r="H957" t="n">
        <v>0</v>
      </c>
      <c r="I957" t="n">
        <v>0</v>
      </c>
      <c r="J957" t="n">
        <v>0</v>
      </c>
      <c r="K957" t="n">
        <v>0</v>
      </c>
      <c r="L957" t="n">
        <v>0</v>
      </c>
      <c r="M957" t="n">
        <v>0</v>
      </c>
      <c r="N957" t="n">
        <v>0</v>
      </c>
      <c r="O957" t="n">
        <v>0</v>
      </c>
      <c r="P957" t="n">
        <v>0</v>
      </c>
      <c r="Q957" t="n">
        <v>0</v>
      </c>
      <c r="R957" s="2" t="inlineStr"/>
    </row>
    <row r="958" ht="15" customHeight="1">
      <c r="A958" t="inlineStr">
        <is>
          <t>A 57066-2024</t>
        </is>
      </c>
      <c r="B958" s="1" t="n">
        <v>45629.35359953704</v>
      </c>
      <c r="C958" s="1" t="n">
        <v>46118</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46093-2025</t>
        </is>
      </c>
      <c r="B959" s="1" t="n">
        <v>45924.53166666667</v>
      </c>
      <c r="C959" s="1" t="n">
        <v>46118</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61787-2023</t>
        </is>
      </c>
      <c r="B960" s="1" t="n">
        <v>45265.95765046297</v>
      </c>
      <c r="C960" s="1" t="n">
        <v>46118</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46216-2025</t>
        </is>
      </c>
      <c r="B961" s="1" t="n">
        <v>45924.84655092593</v>
      </c>
      <c r="C961" s="1" t="n">
        <v>46118</v>
      </c>
      <c r="D961" t="inlineStr">
        <is>
          <t>JÄMTLANDS LÄN</t>
        </is>
      </c>
      <c r="E961" t="inlineStr">
        <is>
          <t>BRÄCKE</t>
        </is>
      </c>
      <c r="G961" t="n">
        <v>2.8</v>
      </c>
      <c r="H961" t="n">
        <v>0</v>
      </c>
      <c r="I961" t="n">
        <v>0</v>
      </c>
      <c r="J961" t="n">
        <v>0</v>
      </c>
      <c r="K961" t="n">
        <v>0</v>
      </c>
      <c r="L961" t="n">
        <v>0</v>
      </c>
      <c r="M961" t="n">
        <v>0</v>
      </c>
      <c r="N961" t="n">
        <v>0</v>
      </c>
      <c r="O961" t="n">
        <v>0</v>
      </c>
      <c r="P961" t="n">
        <v>0</v>
      </c>
      <c r="Q961" t="n">
        <v>0</v>
      </c>
      <c r="R961" s="2" t="inlineStr"/>
    </row>
    <row r="962" ht="15" customHeight="1">
      <c r="A962" t="inlineStr">
        <is>
          <t>A 46180-2025</t>
        </is>
      </c>
      <c r="B962" s="1" t="n">
        <v>45924.65664351852</v>
      </c>
      <c r="C962" s="1" t="n">
        <v>46118</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46005-2025</t>
        </is>
      </c>
      <c r="B963" s="1" t="n">
        <v>45924.40751157407</v>
      </c>
      <c r="C963" s="1" t="n">
        <v>46118</v>
      </c>
      <c r="D963" t="inlineStr">
        <is>
          <t>JÄMTLANDS LÄN</t>
        </is>
      </c>
      <c r="E963" t="inlineStr">
        <is>
          <t>BRÄCKE</t>
        </is>
      </c>
      <c r="G963" t="n">
        <v>2.4</v>
      </c>
      <c r="H963" t="n">
        <v>0</v>
      </c>
      <c r="I963" t="n">
        <v>0</v>
      </c>
      <c r="J963" t="n">
        <v>0</v>
      </c>
      <c r="K963" t="n">
        <v>0</v>
      </c>
      <c r="L963" t="n">
        <v>0</v>
      </c>
      <c r="M963" t="n">
        <v>0</v>
      </c>
      <c r="N963" t="n">
        <v>0</v>
      </c>
      <c r="O963" t="n">
        <v>0</v>
      </c>
      <c r="P963" t="n">
        <v>0</v>
      </c>
      <c r="Q963" t="n">
        <v>0</v>
      </c>
      <c r="R963" s="2" t="inlineStr"/>
    </row>
    <row r="964" ht="15" customHeight="1">
      <c r="A964" t="inlineStr">
        <is>
          <t>A 46004-2025</t>
        </is>
      </c>
      <c r="B964" s="1" t="n">
        <v>45924.40741898148</v>
      </c>
      <c r="C964" s="1" t="n">
        <v>46118</v>
      </c>
      <c r="D964" t="inlineStr">
        <is>
          <t>JÄMTLANDS LÄN</t>
        </is>
      </c>
      <c r="E964" t="inlineStr">
        <is>
          <t>BRÄCKE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46070-2025</t>
        </is>
      </c>
      <c r="B965" s="1" t="n">
        <v>45924.49011574074</v>
      </c>
      <c r="C965" s="1" t="n">
        <v>46118</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782-2025</t>
        </is>
      </c>
      <c r="B966" s="1" t="n">
        <v>45665.48423611111</v>
      </c>
      <c r="C966" s="1" t="n">
        <v>46118</v>
      </c>
      <c r="D966" t="inlineStr">
        <is>
          <t>JÄMTLANDS LÄN</t>
        </is>
      </c>
      <c r="E966" t="inlineStr">
        <is>
          <t>BRÄCKE</t>
        </is>
      </c>
      <c r="G966" t="n">
        <v>1.1</v>
      </c>
      <c r="H966" t="n">
        <v>0</v>
      </c>
      <c r="I966" t="n">
        <v>0</v>
      </c>
      <c r="J966" t="n">
        <v>0</v>
      </c>
      <c r="K966" t="n">
        <v>0</v>
      </c>
      <c r="L966" t="n">
        <v>0</v>
      </c>
      <c r="M966" t="n">
        <v>0</v>
      </c>
      <c r="N966" t="n">
        <v>0</v>
      </c>
      <c r="O966" t="n">
        <v>0</v>
      </c>
      <c r="P966" t="n">
        <v>0</v>
      </c>
      <c r="Q966" t="n">
        <v>0</v>
      </c>
      <c r="R966" s="2" t="inlineStr"/>
    </row>
    <row r="967" ht="15" customHeight="1">
      <c r="A967" t="inlineStr">
        <is>
          <t>A 54447-2023</t>
        </is>
      </c>
      <c r="B967" s="1" t="n">
        <v>45233.44271990741</v>
      </c>
      <c r="C967" s="1" t="n">
        <v>46118</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46875-2025</t>
        </is>
      </c>
      <c r="B968" s="1" t="n">
        <v>45929.34453703704</v>
      </c>
      <c r="C968" s="1" t="n">
        <v>46118</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41936-2023</t>
        </is>
      </c>
      <c r="B969" s="1" t="n">
        <v>45176.94594907408</v>
      </c>
      <c r="C969" s="1" t="n">
        <v>46118</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46686-2025</t>
        </is>
      </c>
      <c r="B970" s="1" t="n">
        <v>45926.55258101852</v>
      </c>
      <c r="C970" s="1" t="n">
        <v>46118</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46623-2025</t>
        </is>
      </c>
      <c r="B971" s="1" t="n">
        <v>45926.44829861111</v>
      </c>
      <c r="C971" s="1" t="n">
        <v>46118</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46624-2025</t>
        </is>
      </c>
      <c r="B972" s="1" t="n">
        <v>45926.44844907407</v>
      </c>
      <c r="C972" s="1" t="n">
        <v>46118</v>
      </c>
      <c r="D972" t="inlineStr">
        <is>
          <t>JÄMTLANDS LÄN</t>
        </is>
      </c>
      <c r="E972" t="inlineStr">
        <is>
          <t>BRÄCKE</t>
        </is>
      </c>
      <c r="G972" t="n">
        <v>3.7</v>
      </c>
      <c r="H972" t="n">
        <v>0</v>
      </c>
      <c r="I972" t="n">
        <v>0</v>
      </c>
      <c r="J972" t="n">
        <v>0</v>
      </c>
      <c r="K972" t="n">
        <v>0</v>
      </c>
      <c r="L972" t="n">
        <v>0</v>
      </c>
      <c r="M972" t="n">
        <v>0</v>
      </c>
      <c r="N972" t="n">
        <v>0</v>
      </c>
      <c r="O972" t="n">
        <v>0</v>
      </c>
      <c r="P972" t="n">
        <v>0</v>
      </c>
      <c r="Q972" t="n">
        <v>0</v>
      </c>
      <c r="R972" s="2" t="inlineStr"/>
    </row>
    <row r="973" ht="15" customHeight="1">
      <c r="A973" t="inlineStr">
        <is>
          <t>A 47117-2025</t>
        </is>
      </c>
      <c r="B973" s="1" t="n">
        <v>45929.67751157407</v>
      </c>
      <c r="C973" s="1" t="n">
        <v>46118</v>
      </c>
      <c r="D973" t="inlineStr">
        <is>
          <t>JÄMTLANDS LÄN</t>
        </is>
      </c>
      <c r="E973" t="inlineStr">
        <is>
          <t>BRÄCKE</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59419-2023</t>
        </is>
      </c>
      <c r="B974" s="1" t="n">
        <v>45253.96864583333</v>
      </c>
      <c r="C974" s="1" t="n">
        <v>46118</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8865-2023</t>
        </is>
      </c>
      <c r="B975" s="1" t="n">
        <v>44978</v>
      </c>
      <c r="C975" s="1" t="n">
        <v>46118</v>
      </c>
      <c r="D975" t="inlineStr">
        <is>
          <t>JÄMTLANDS LÄN</t>
        </is>
      </c>
      <c r="E975" t="inlineStr">
        <is>
          <t>BRÄCKE</t>
        </is>
      </c>
      <c r="G975" t="n">
        <v>2.9</v>
      </c>
      <c r="H975" t="n">
        <v>0</v>
      </c>
      <c r="I975" t="n">
        <v>0</v>
      </c>
      <c r="J975" t="n">
        <v>0</v>
      </c>
      <c r="K975" t="n">
        <v>0</v>
      </c>
      <c r="L975" t="n">
        <v>0</v>
      </c>
      <c r="M975" t="n">
        <v>0</v>
      </c>
      <c r="N975" t="n">
        <v>0</v>
      </c>
      <c r="O975" t="n">
        <v>0</v>
      </c>
      <c r="P975" t="n">
        <v>0</v>
      </c>
      <c r="Q975" t="n">
        <v>0</v>
      </c>
      <c r="R975" s="2" t="inlineStr"/>
    </row>
    <row r="976" ht="15" customHeight="1">
      <c r="A976" t="inlineStr">
        <is>
          <t>A 47070-2025</t>
        </is>
      </c>
      <c r="B976" s="1" t="n">
        <v>45929.63621527778</v>
      </c>
      <c r="C976" s="1" t="n">
        <v>46118</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46625-2025</t>
        </is>
      </c>
      <c r="B977" s="1" t="n">
        <v>45926.44857638889</v>
      </c>
      <c r="C977" s="1" t="n">
        <v>46118</v>
      </c>
      <c r="D977" t="inlineStr">
        <is>
          <t>JÄMTLANDS LÄN</t>
        </is>
      </c>
      <c r="E977" t="inlineStr">
        <is>
          <t>BRÄCKE</t>
        </is>
      </c>
      <c r="G977" t="n">
        <v>4</v>
      </c>
      <c r="H977" t="n">
        <v>0</v>
      </c>
      <c r="I977" t="n">
        <v>0</v>
      </c>
      <c r="J977" t="n">
        <v>0</v>
      </c>
      <c r="K977" t="n">
        <v>0</v>
      </c>
      <c r="L977" t="n">
        <v>0</v>
      </c>
      <c r="M977" t="n">
        <v>0</v>
      </c>
      <c r="N977" t="n">
        <v>0</v>
      </c>
      <c r="O977" t="n">
        <v>0</v>
      </c>
      <c r="P977" t="n">
        <v>0</v>
      </c>
      <c r="Q977" t="n">
        <v>0</v>
      </c>
      <c r="R977" s="2" t="inlineStr"/>
    </row>
    <row r="978" ht="15" customHeight="1">
      <c r="A978" t="inlineStr">
        <is>
          <t>A 8958-2023</t>
        </is>
      </c>
      <c r="B978" s="1" t="n">
        <v>44979.47976851852</v>
      </c>
      <c r="C978" s="1" t="n">
        <v>46118</v>
      </c>
      <c r="D978" t="inlineStr">
        <is>
          <t>JÄMTLANDS LÄN</t>
        </is>
      </c>
      <c r="E978" t="inlineStr">
        <is>
          <t>BRÄCKE</t>
        </is>
      </c>
      <c r="G978" t="n">
        <v>4.9</v>
      </c>
      <c r="H978" t="n">
        <v>0</v>
      </c>
      <c r="I978" t="n">
        <v>0</v>
      </c>
      <c r="J978" t="n">
        <v>0</v>
      </c>
      <c r="K978" t="n">
        <v>0</v>
      </c>
      <c r="L978" t="n">
        <v>0</v>
      </c>
      <c r="M978" t="n">
        <v>0</v>
      </c>
      <c r="N978" t="n">
        <v>0</v>
      </c>
      <c r="O978" t="n">
        <v>0</v>
      </c>
      <c r="P978" t="n">
        <v>0</v>
      </c>
      <c r="Q978" t="n">
        <v>0</v>
      </c>
      <c r="R978" s="2" t="inlineStr"/>
    </row>
    <row r="979" ht="15" customHeight="1">
      <c r="A979" t="inlineStr">
        <is>
          <t>A 47120-2025</t>
        </is>
      </c>
      <c r="B979" s="1" t="n">
        <v>45929.67829861111</v>
      </c>
      <c r="C979" s="1" t="n">
        <v>46118</v>
      </c>
      <c r="D979" t="inlineStr">
        <is>
          <t>JÄMTLANDS LÄN</t>
        </is>
      </c>
      <c r="E979" t="inlineStr">
        <is>
          <t>BRÄCKE</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6768-2023</t>
        </is>
      </c>
      <c r="B980" s="1" t="n">
        <v>44966.93079861111</v>
      </c>
      <c r="C980" s="1" t="n">
        <v>46118</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c r="U980">
        <f>HYPERLINK("https://klasma.github.io/Logging_2305/knärot/A 6768-2023 karta knärot.png", "A 6768-2023")</f>
        <v/>
      </c>
      <c r="V980">
        <f>HYPERLINK("https://klasma.github.io/Logging_2305/klagomål/A 6768-2023 FSC-klagomål.docx", "A 6768-2023")</f>
        <v/>
      </c>
      <c r="W980">
        <f>HYPERLINK("https://klasma.github.io/Logging_2305/klagomålsmail/A 6768-2023 FSC-klagomål mail.docx", "A 6768-2023")</f>
        <v/>
      </c>
      <c r="X980">
        <f>HYPERLINK("https://klasma.github.io/Logging_2305/tillsyn/A 6768-2023 tillsynsbegäran.docx", "A 6768-2023")</f>
        <v/>
      </c>
      <c r="Y980">
        <f>HYPERLINK("https://klasma.github.io/Logging_2305/tillsynsmail/A 6768-2023 tillsynsbegäran mail.docx", "A 6768-2023")</f>
        <v/>
      </c>
    </row>
    <row r="981" ht="15" customHeight="1">
      <c r="A981" t="inlineStr">
        <is>
          <t>A 31558-2024</t>
        </is>
      </c>
      <c r="B981" s="1" t="n">
        <v>45505</v>
      </c>
      <c r="C981" s="1" t="n">
        <v>46118</v>
      </c>
      <c r="D981" t="inlineStr">
        <is>
          <t>JÄMTLANDS LÄN</t>
        </is>
      </c>
      <c r="E981" t="inlineStr">
        <is>
          <t>BRÄCKE</t>
        </is>
      </c>
      <c r="G981" t="n">
        <v>1.1</v>
      </c>
      <c r="H981" t="n">
        <v>0</v>
      </c>
      <c r="I981" t="n">
        <v>0</v>
      </c>
      <c r="J981" t="n">
        <v>0</v>
      </c>
      <c r="K981" t="n">
        <v>0</v>
      </c>
      <c r="L981" t="n">
        <v>0</v>
      </c>
      <c r="M981" t="n">
        <v>0</v>
      </c>
      <c r="N981" t="n">
        <v>0</v>
      </c>
      <c r="O981" t="n">
        <v>0</v>
      </c>
      <c r="P981" t="n">
        <v>0</v>
      </c>
      <c r="Q981" t="n">
        <v>0</v>
      </c>
      <c r="R981" s="2" t="inlineStr"/>
    </row>
    <row r="982" ht="15" customHeight="1">
      <c r="A982" t="inlineStr">
        <is>
          <t>A 2245-2025</t>
        </is>
      </c>
      <c r="B982" s="1" t="n">
        <v>45673.49019675926</v>
      </c>
      <c r="C982" s="1" t="n">
        <v>46118</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45758-2024</t>
        </is>
      </c>
      <c r="B983" s="1" t="n">
        <v>45579.6357175926</v>
      </c>
      <c r="C983" s="1" t="n">
        <v>46118</v>
      </c>
      <c r="D983" t="inlineStr">
        <is>
          <t>JÄMTLANDS LÄN</t>
        </is>
      </c>
      <c r="E983" t="inlineStr">
        <is>
          <t>BRÄCKE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2774-2025</t>
        </is>
      </c>
      <c r="B984" s="1" t="n">
        <v>45677.51086805556</v>
      </c>
      <c r="C984" s="1" t="n">
        <v>46118</v>
      </c>
      <c r="D984" t="inlineStr">
        <is>
          <t>JÄMTLANDS LÄN</t>
        </is>
      </c>
      <c r="E984" t="inlineStr">
        <is>
          <t>BRÄCKE</t>
        </is>
      </c>
      <c r="F984" t="inlineStr">
        <is>
          <t>SCA</t>
        </is>
      </c>
      <c r="G984" t="n">
        <v>11.4</v>
      </c>
      <c r="H984" t="n">
        <v>0</v>
      </c>
      <c r="I984" t="n">
        <v>0</v>
      </c>
      <c r="J984" t="n">
        <v>0</v>
      </c>
      <c r="K984" t="n">
        <v>0</v>
      </c>
      <c r="L984" t="n">
        <v>0</v>
      </c>
      <c r="M984" t="n">
        <v>0</v>
      </c>
      <c r="N984" t="n">
        <v>0</v>
      </c>
      <c r="O984" t="n">
        <v>0</v>
      </c>
      <c r="P984" t="n">
        <v>0</v>
      </c>
      <c r="Q984" t="n">
        <v>0</v>
      </c>
      <c r="R984" s="2" t="inlineStr"/>
      <c r="U984">
        <f>HYPERLINK("https://klasma.github.io/Logging_2305/knärot/A 2774-2025 karta knärot.png", "A 2774-2025")</f>
        <v/>
      </c>
      <c r="V984">
        <f>HYPERLINK("https://klasma.github.io/Logging_2305/klagomål/A 2774-2025 FSC-klagomål.docx", "A 2774-2025")</f>
        <v/>
      </c>
      <c r="W984">
        <f>HYPERLINK("https://klasma.github.io/Logging_2305/klagomålsmail/A 2774-2025 FSC-klagomål mail.docx", "A 2774-2025")</f>
        <v/>
      </c>
      <c r="X984">
        <f>HYPERLINK("https://klasma.github.io/Logging_2305/tillsyn/A 2774-2025 tillsynsbegäran.docx", "A 2774-2025")</f>
        <v/>
      </c>
      <c r="Y984">
        <f>HYPERLINK("https://klasma.github.io/Logging_2305/tillsynsmail/A 2774-2025 tillsynsbegäran mail.docx", "A 2774-2025")</f>
        <v/>
      </c>
    </row>
    <row r="985" ht="15" customHeight="1">
      <c r="A985" t="inlineStr">
        <is>
          <t>A 48770-2023</t>
        </is>
      </c>
      <c r="B985" s="1" t="n">
        <v>45208.9489699074</v>
      </c>
      <c r="C985" s="1" t="n">
        <v>46118</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48435-2023</t>
        </is>
      </c>
      <c r="B986" s="1" t="n">
        <v>45205</v>
      </c>
      <c r="C986" s="1" t="n">
        <v>46118</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47320-2025</t>
        </is>
      </c>
      <c r="B987" s="1" t="n">
        <v>45930.55255787037</v>
      </c>
      <c r="C987" s="1" t="n">
        <v>46118</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48480-2023</t>
        </is>
      </c>
      <c r="B988" s="1" t="n">
        <v>45206.95831018518</v>
      </c>
      <c r="C988" s="1" t="n">
        <v>46118</v>
      </c>
      <c r="D988" t="inlineStr">
        <is>
          <t>JÄMTLANDS LÄN</t>
        </is>
      </c>
      <c r="E988" t="inlineStr">
        <is>
          <t>BRÄCKE</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47318-2025</t>
        </is>
      </c>
      <c r="B989" s="1" t="n">
        <v>45930.55251157407</v>
      </c>
      <c r="C989" s="1" t="n">
        <v>46118</v>
      </c>
      <c r="D989" t="inlineStr">
        <is>
          <t>JÄMTLANDS LÄN</t>
        </is>
      </c>
      <c r="E989" t="inlineStr">
        <is>
          <t>BRÄCKE</t>
        </is>
      </c>
      <c r="G989" t="n">
        <v>0.4</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46118</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45807-2024</t>
        </is>
      </c>
      <c r="B991" s="1" t="n">
        <v>45579.69815972223</v>
      </c>
      <c r="C991" s="1" t="n">
        <v>46118</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47474-2025</t>
        </is>
      </c>
      <c r="B992" s="1" t="n">
        <v>45930.67776620371</v>
      </c>
      <c r="C992" s="1" t="n">
        <v>46118</v>
      </c>
      <c r="D992" t="inlineStr">
        <is>
          <t>JÄMTLANDS LÄN</t>
        </is>
      </c>
      <c r="E992" t="inlineStr">
        <is>
          <t>BRÄCKE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47714-2025</t>
        </is>
      </c>
      <c r="B993" s="1" t="n">
        <v>45931.61553240741</v>
      </c>
      <c r="C993" s="1" t="n">
        <v>46118</v>
      </c>
      <c r="D993" t="inlineStr">
        <is>
          <t>JÄMTLANDS LÄN</t>
        </is>
      </c>
      <c r="E993" t="inlineStr">
        <is>
          <t>BRÄCKE</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27197-2025</t>
        </is>
      </c>
      <c r="B994" s="1" t="n">
        <v>45812.38596064815</v>
      </c>
      <c r="C994" s="1" t="n">
        <v>46118</v>
      </c>
      <c r="D994" t="inlineStr">
        <is>
          <t>JÄMTLANDS LÄN</t>
        </is>
      </c>
      <c r="E994" t="inlineStr">
        <is>
          <t>BRÄCKE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54986-2023</t>
        </is>
      </c>
      <c r="B995" s="1" t="n">
        <v>45236.96729166667</v>
      </c>
      <c r="C995" s="1" t="n">
        <v>46118</v>
      </c>
      <c r="D995" t="inlineStr">
        <is>
          <t>JÄMTLANDS LÄN</t>
        </is>
      </c>
      <c r="E995" t="inlineStr">
        <is>
          <t>BRÄCKE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9970-2025</t>
        </is>
      </c>
      <c r="B996" s="1" t="n">
        <v>45719.38614583333</v>
      </c>
      <c r="C996" s="1" t="n">
        <v>46118</v>
      </c>
      <c r="D996" t="inlineStr">
        <is>
          <t>JÄMTLANDS LÄN</t>
        </is>
      </c>
      <c r="E996" t="inlineStr">
        <is>
          <t>BRÄCKE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44845.95319444445</v>
      </c>
      <c r="C997" s="1" t="n">
        <v>46118</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8739-2025</t>
        </is>
      </c>
      <c r="B998" s="1" t="n">
        <v>45712.55239583334</v>
      </c>
      <c r="C998" s="1" t="n">
        <v>46118</v>
      </c>
      <c r="D998" t="inlineStr">
        <is>
          <t>JÄMTLANDS LÄN</t>
        </is>
      </c>
      <c r="E998" t="inlineStr">
        <is>
          <t>BRÄCKE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46118</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52610-2024</t>
        </is>
      </c>
      <c r="B1000" s="1" t="n">
        <v>45609.78957175926</v>
      </c>
      <c r="C1000" s="1" t="n">
        <v>46118</v>
      </c>
      <c r="D1000" t="inlineStr">
        <is>
          <t>JÄMTLANDS LÄN</t>
        </is>
      </c>
      <c r="E1000" t="inlineStr">
        <is>
          <t>BRÄCKE</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47230-2025</t>
        </is>
      </c>
      <c r="B1001" s="1" t="n">
        <v>45930.40326388889</v>
      </c>
      <c r="C1001" s="1" t="n">
        <v>46118</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47235-2025</t>
        </is>
      </c>
      <c r="B1002" s="1" t="n">
        <v>45930.40729166667</v>
      </c>
      <c r="C1002" s="1" t="n">
        <v>46118</v>
      </c>
      <c r="D1002" t="inlineStr">
        <is>
          <t>JÄMTLANDS LÄN</t>
        </is>
      </c>
      <c r="E1002" t="inlineStr">
        <is>
          <t>BRÄCKE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55468-2024</t>
        </is>
      </c>
      <c r="B1003" s="1" t="n">
        <v>45622.43024305555</v>
      </c>
      <c r="C1003" s="1" t="n">
        <v>46118</v>
      </c>
      <c r="D1003" t="inlineStr">
        <is>
          <t>JÄMTLANDS LÄN</t>
        </is>
      </c>
      <c r="E1003" t="inlineStr">
        <is>
          <t>BRÄCKE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24588-2025</t>
        </is>
      </c>
      <c r="B1004" s="1" t="n">
        <v>45798.53157407408</v>
      </c>
      <c r="C1004" s="1" t="n">
        <v>46118</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44848.95137731481</v>
      </c>
      <c r="C1005" s="1" t="n">
        <v>46118</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4914-2025</t>
        </is>
      </c>
      <c r="B1006" s="1" t="n">
        <v>45688.68173611111</v>
      </c>
      <c r="C1006" s="1" t="n">
        <v>46118</v>
      </c>
      <c r="D1006" t="inlineStr">
        <is>
          <t>JÄMTLANDS LÄN</t>
        </is>
      </c>
      <c r="E1006" t="inlineStr">
        <is>
          <t>BRÄCKE</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5621-2025</t>
        </is>
      </c>
      <c r="B1007" s="1" t="n">
        <v>45693.6357175926</v>
      </c>
      <c r="C1007" s="1" t="n">
        <v>46118</v>
      </c>
      <c r="D1007" t="inlineStr">
        <is>
          <t>JÄMTLANDS LÄN</t>
        </is>
      </c>
      <c r="E1007" t="inlineStr">
        <is>
          <t>BRÄCKE</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5618-2025</t>
        </is>
      </c>
      <c r="B1008" s="1" t="n">
        <v>45693.61509259259</v>
      </c>
      <c r="C1008" s="1" t="n">
        <v>46118</v>
      </c>
      <c r="D1008" t="inlineStr">
        <is>
          <t>JÄMTLANDS LÄN</t>
        </is>
      </c>
      <c r="E1008" t="inlineStr">
        <is>
          <t>BRÄCKE</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39937-2022</t>
        </is>
      </c>
      <c r="B1009" s="1" t="n">
        <v>44819.9487962963</v>
      </c>
      <c r="C1009" s="1" t="n">
        <v>46118</v>
      </c>
      <c r="D1009" t="inlineStr">
        <is>
          <t>JÄMTLANDS LÄN</t>
        </is>
      </c>
      <c r="E1009" t="inlineStr">
        <is>
          <t>BRÄCKE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47873-2025</t>
        </is>
      </c>
      <c r="B1010" s="1" t="n">
        <v>45932.4528587963</v>
      </c>
      <c r="C1010" s="1" t="n">
        <v>46118</v>
      </c>
      <c r="D1010" t="inlineStr">
        <is>
          <t>JÄMTLANDS LÄN</t>
        </is>
      </c>
      <c r="E1010" t="inlineStr">
        <is>
          <t>BRÄCKE</t>
        </is>
      </c>
      <c r="F1010" t="inlineStr">
        <is>
          <t>Kyrkan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4121-2025</t>
        </is>
      </c>
      <c r="B1011" s="1" t="n">
        <v>45685.26607638889</v>
      </c>
      <c r="C1011" s="1" t="n">
        <v>46118</v>
      </c>
      <c r="D1011" t="inlineStr">
        <is>
          <t>JÄMTLANDS LÄN</t>
        </is>
      </c>
      <c r="E1011" t="inlineStr">
        <is>
          <t>BRÄCKE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47868-2025</t>
        </is>
      </c>
      <c r="B1012" s="1" t="n">
        <v>45932.44094907407</v>
      </c>
      <c r="C1012" s="1" t="n">
        <v>46118</v>
      </c>
      <c r="D1012" t="inlineStr">
        <is>
          <t>JÄMTLANDS LÄN</t>
        </is>
      </c>
      <c r="E1012" t="inlineStr">
        <is>
          <t>BRÄCKE</t>
        </is>
      </c>
      <c r="F1012" t="inlineStr">
        <is>
          <t>Kyrkan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60954-2023</t>
        </is>
      </c>
      <c r="B1013" s="1" t="n">
        <v>45261.45638888889</v>
      </c>
      <c r="C1013" s="1" t="n">
        <v>46118</v>
      </c>
      <c r="D1013" t="inlineStr">
        <is>
          <t>JÄMTLANDS LÄN</t>
        </is>
      </c>
      <c r="E1013" t="inlineStr">
        <is>
          <t>BRÄCKE</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28903-2021</t>
        </is>
      </c>
      <c r="B1014" s="1" t="n">
        <v>44357</v>
      </c>
      <c r="C1014" s="1" t="n">
        <v>46118</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24053-2022</t>
        </is>
      </c>
      <c r="B1015" s="1" t="n">
        <v>44724.93731481482</v>
      </c>
      <c r="C1015" s="1" t="n">
        <v>46118</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44855-2025</t>
        </is>
      </c>
      <c r="B1016" s="1" t="n">
        <v>45918</v>
      </c>
      <c r="C1016" s="1" t="n">
        <v>46118</v>
      </c>
      <c r="D1016" t="inlineStr">
        <is>
          <t>JÄMTLANDS LÄN</t>
        </is>
      </c>
      <c r="E1016" t="inlineStr">
        <is>
          <t>BRÄCKE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48177-2025</t>
        </is>
      </c>
      <c r="B1017" s="1" t="n">
        <v>45933.44846064815</v>
      </c>
      <c r="C1017" s="1" t="n">
        <v>46118</v>
      </c>
      <c r="D1017" t="inlineStr">
        <is>
          <t>JÄMTLANDS LÄN</t>
        </is>
      </c>
      <c r="E1017" t="inlineStr">
        <is>
          <t>BRÄCKE</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47826-2025</t>
        </is>
      </c>
      <c r="B1018" s="1" t="n">
        <v>45932.34487268519</v>
      </c>
      <c r="C1018" s="1" t="n">
        <v>46118</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48067-2025</t>
        </is>
      </c>
      <c r="B1019" s="1" t="n">
        <v>45932.69829861111</v>
      </c>
      <c r="C1019" s="1" t="n">
        <v>46118</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231-2025</t>
        </is>
      </c>
      <c r="B1020" s="1" t="n">
        <v>45660.36972222223</v>
      </c>
      <c r="C1020" s="1" t="n">
        <v>46118</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278-2025</t>
        </is>
      </c>
      <c r="B1021" s="1" t="n">
        <v>45660.49075231481</v>
      </c>
      <c r="C1021" s="1" t="n">
        <v>46118</v>
      </c>
      <c r="D1021" t="inlineStr">
        <is>
          <t>JÄMTLANDS LÄN</t>
        </is>
      </c>
      <c r="E1021" t="inlineStr">
        <is>
          <t>BRÄCKE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46118</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22841-2025</t>
        </is>
      </c>
      <c r="B1023" s="1" t="n">
        <v>45789</v>
      </c>
      <c r="C1023" s="1" t="n">
        <v>46118</v>
      </c>
      <c r="D1023" t="inlineStr">
        <is>
          <t>JÄMTLANDS LÄN</t>
        </is>
      </c>
      <c r="E1023" t="inlineStr">
        <is>
          <t>BRÄCKE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16059-2024</t>
        </is>
      </c>
      <c r="B1024" s="1" t="n">
        <v>45406.04950231482</v>
      </c>
      <c r="C1024" s="1" t="n">
        <v>46118</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48706-2025</t>
        </is>
      </c>
      <c r="B1025" s="1" t="n">
        <v>45936.62423611111</v>
      </c>
      <c r="C1025" s="1" t="n">
        <v>46118</v>
      </c>
      <c r="D1025" t="inlineStr">
        <is>
          <t>JÄMTLANDS LÄN</t>
        </is>
      </c>
      <c r="E1025" t="inlineStr">
        <is>
          <t>BRÄCKE</t>
        </is>
      </c>
      <c r="F1025" t="inlineStr">
        <is>
          <t>Övriga Aktiebolag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12889-2024</t>
        </is>
      </c>
      <c r="B1026" s="1" t="n">
        <v>45385</v>
      </c>
      <c r="C1026" s="1" t="n">
        <v>46118</v>
      </c>
      <c r="D1026" t="inlineStr">
        <is>
          <t>JÄMTLANDS LÄN</t>
        </is>
      </c>
      <c r="E1026" t="inlineStr">
        <is>
          <t>BRÄCKE</t>
        </is>
      </c>
      <c r="F1026" t="inlineStr">
        <is>
          <t>Kyrkan</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6622-2025</t>
        </is>
      </c>
      <c r="B1027" s="1" t="n">
        <v>45700.36594907408</v>
      </c>
      <c r="C1027" s="1" t="n">
        <v>46118</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48562-2025</t>
        </is>
      </c>
      <c r="B1028" s="1" t="n">
        <v>45936.43636574074</v>
      </c>
      <c r="C1028" s="1" t="n">
        <v>46118</v>
      </c>
      <c r="D1028" t="inlineStr">
        <is>
          <t>JÄMTLANDS LÄN</t>
        </is>
      </c>
      <c r="E1028" t="inlineStr">
        <is>
          <t>BRÄCKE</t>
        </is>
      </c>
      <c r="F1028" t="inlineStr">
        <is>
          <t>Övriga Aktiebolag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49292-2025</t>
        </is>
      </c>
      <c r="B1029" s="1" t="n">
        <v>45938.53203703704</v>
      </c>
      <c r="C1029" s="1" t="n">
        <v>46118</v>
      </c>
      <c r="D1029" t="inlineStr">
        <is>
          <t>JÄMTLANDS LÄN</t>
        </is>
      </c>
      <c r="E1029" t="inlineStr">
        <is>
          <t>BRÄCKE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48851-2025</t>
        </is>
      </c>
      <c r="B1030" s="1" t="n">
        <v>45937.42969907408</v>
      </c>
      <c r="C1030" s="1" t="n">
        <v>46118</v>
      </c>
      <c r="D1030" t="inlineStr">
        <is>
          <t>JÄMTLANDS LÄN</t>
        </is>
      </c>
      <c r="E1030" t="inlineStr">
        <is>
          <t>BRÄCKE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21117-2023</t>
        </is>
      </c>
      <c r="B1031" s="1" t="n">
        <v>45061</v>
      </c>
      <c r="C1031" s="1" t="n">
        <v>46118</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49260-2025</t>
        </is>
      </c>
      <c r="B1032" s="1" t="n">
        <v>45938.49702546297</v>
      </c>
      <c r="C1032" s="1" t="n">
        <v>46118</v>
      </c>
      <c r="D1032" t="inlineStr">
        <is>
          <t>JÄMTLANDS LÄN</t>
        </is>
      </c>
      <c r="E1032" t="inlineStr">
        <is>
          <t>BRÄCKE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26350-2023</t>
        </is>
      </c>
      <c r="B1033" s="1" t="n">
        <v>45091.9421412037</v>
      </c>
      <c r="C1033" s="1" t="n">
        <v>46118</v>
      </c>
      <c r="D1033" t="inlineStr">
        <is>
          <t>JÄMTLANDS LÄN</t>
        </is>
      </c>
      <c r="E1033" t="inlineStr">
        <is>
          <t>BRÄCKE</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61662-2022</t>
        </is>
      </c>
      <c r="B1034" s="1" t="n">
        <v>44916.96359953703</v>
      </c>
      <c r="C1034" s="1" t="n">
        <v>46118</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15262-2025</t>
        </is>
      </c>
      <c r="B1035" s="1" t="n">
        <v>45744.65693287037</v>
      </c>
      <c r="C1035" s="1" t="n">
        <v>46118</v>
      </c>
      <c r="D1035" t="inlineStr">
        <is>
          <t>JÄMTLANDS LÄN</t>
        </is>
      </c>
      <c r="E1035" t="inlineStr">
        <is>
          <t>BRÄCKE</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40410-2023</t>
        </is>
      </c>
      <c r="B1036" s="1" t="n">
        <v>45169</v>
      </c>
      <c r="C1036" s="1" t="n">
        <v>46118</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48982-2025</t>
        </is>
      </c>
      <c r="B1037" s="1" t="n">
        <v>45937.57377314815</v>
      </c>
      <c r="C1037" s="1" t="n">
        <v>46118</v>
      </c>
      <c r="D1037" t="inlineStr">
        <is>
          <t>JÄMTLANDS LÄN</t>
        </is>
      </c>
      <c r="E1037" t="inlineStr">
        <is>
          <t>BRÄCKE</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49276-2025</t>
        </is>
      </c>
      <c r="B1038" s="1" t="n">
        <v>45938.50738425926</v>
      </c>
      <c r="C1038" s="1" t="n">
        <v>46118</v>
      </c>
      <c r="D1038" t="inlineStr">
        <is>
          <t>JÄMTLANDS LÄN</t>
        </is>
      </c>
      <c r="E1038" t="inlineStr">
        <is>
          <t>BRÄCKE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49255-2025</t>
        </is>
      </c>
      <c r="B1039" s="1" t="n">
        <v>45938.49164351852</v>
      </c>
      <c r="C1039" s="1" t="n">
        <v>46118</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49046-2025</t>
        </is>
      </c>
      <c r="B1040" s="1" t="n">
        <v>45937.63693287037</v>
      </c>
      <c r="C1040" s="1" t="n">
        <v>46118</v>
      </c>
      <c r="D1040" t="inlineStr">
        <is>
          <t>JÄMTLANDS LÄN</t>
        </is>
      </c>
      <c r="E1040" t="inlineStr">
        <is>
          <t>BRÄCKE</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44445-2022</t>
        </is>
      </c>
      <c r="B1041" s="1" t="n">
        <v>44839.95482638889</v>
      </c>
      <c r="C1041" s="1" t="n">
        <v>46118</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60654-2024</t>
        </is>
      </c>
      <c r="B1042" s="1" t="n">
        <v>45644</v>
      </c>
      <c r="C1042" s="1" t="n">
        <v>46118</v>
      </c>
      <c r="D1042" t="inlineStr">
        <is>
          <t>JÄMTLANDS LÄN</t>
        </is>
      </c>
      <c r="E1042" t="inlineStr">
        <is>
          <t>BRÄCKE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49826-2025</t>
        </is>
      </c>
      <c r="B1043" s="1" t="n">
        <v>45940.44829861111</v>
      </c>
      <c r="C1043" s="1" t="n">
        <v>46118</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50214-2025</t>
        </is>
      </c>
      <c r="B1044" s="1" t="n">
        <v>45943.67826388889</v>
      </c>
      <c r="C1044" s="1" t="n">
        <v>46118</v>
      </c>
      <c r="D1044" t="inlineStr">
        <is>
          <t>JÄMTLANDS LÄN</t>
        </is>
      </c>
      <c r="E1044" t="inlineStr">
        <is>
          <t>BRÄCKE</t>
        </is>
      </c>
      <c r="F1044" t="inlineStr">
        <is>
          <t>SCA</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23443-2022</t>
        </is>
      </c>
      <c r="B1045" s="1" t="n">
        <v>44720.94112268519</v>
      </c>
      <c r="C1045" s="1" t="n">
        <v>46118</v>
      </c>
      <c r="D1045" t="inlineStr">
        <is>
          <t>JÄMTLANDS LÄN</t>
        </is>
      </c>
      <c r="E1045" t="inlineStr">
        <is>
          <t>BRÄCKE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50016-2025</t>
        </is>
      </c>
      <c r="B1046" s="1" t="n">
        <v>45943.35318287037</v>
      </c>
      <c r="C1046" s="1" t="n">
        <v>46118</v>
      </c>
      <c r="D1046" t="inlineStr">
        <is>
          <t>JÄMTLANDS LÄN</t>
        </is>
      </c>
      <c r="E1046" t="inlineStr">
        <is>
          <t>BRÄCKE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11548-2023</t>
        </is>
      </c>
      <c r="B1047" s="1" t="n">
        <v>44993.9484837963</v>
      </c>
      <c r="C1047" s="1" t="n">
        <v>46118</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50216-2025</t>
        </is>
      </c>
      <c r="B1048" s="1" t="n">
        <v>45943.67859953704</v>
      </c>
      <c r="C1048" s="1" t="n">
        <v>46118</v>
      </c>
      <c r="D1048" t="inlineStr">
        <is>
          <t>JÄMTLANDS LÄN</t>
        </is>
      </c>
      <c r="E1048" t="inlineStr">
        <is>
          <t>BRÄCKE</t>
        </is>
      </c>
      <c r="F1048" t="inlineStr">
        <is>
          <t>SCA</t>
        </is>
      </c>
      <c r="G1048" t="n">
        <v>15.7</v>
      </c>
      <c r="H1048" t="n">
        <v>0</v>
      </c>
      <c r="I1048" t="n">
        <v>0</v>
      </c>
      <c r="J1048" t="n">
        <v>0</v>
      </c>
      <c r="K1048" t="n">
        <v>0</v>
      </c>
      <c r="L1048" t="n">
        <v>0</v>
      </c>
      <c r="M1048" t="n">
        <v>0</v>
      </c>
      <c r="N1048" t="n">
        <v>0</v>
      </c>
      <c r="O1048" t="n">
        <v>0</v>
      </c>
      <c r="P1048" t="n">
        <v>0</v>
      </c>
      <c r="Q1048" t="n">
        <v>0</v>
      </c>
      <c r="R1048" s="2" t="inlineStr"/>
    </row>
    <row r="1049" ht="15" customHeight="1">
      <c r="A1049" t="inlineStr">
        <is>
          <t>A 31467-2023</t>
        </is>
      </c>
      <c r="B1049" s="1" t="n">
        <v>45104</v>
      </c>
      <c r="C1049" s="1" t="n">
        <v>46118</v>
      </c>
      <c r="D1049" t="inlineStr">
        <is>
          <t>JÄMTLANDS LÄN</t>
        </is>
      </c>
      <c r="E1049" t="inlineStr">
        <is>
          <t>BRÄCKE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50079-2025</t>
        </is>
      </c>
      <c r="B1050" s="1" t="n">
        <v>45943.46916666667</v>
      </c>
      <c r="C1050" s="1" t="n">
        <v>46118</v>
      </c>
      <c r="D1050" t="inlineStr">
        <is>
          <t>JÄMTLANDS LÄN</t>
        </is>
      </c>
      <c r="E1050" t="inlineStr">
        <is>
          <t>BRÄCKE</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50257-2025</t>
        </is>
      </c>
      <c r="B1051" s="1" t="n">
        <v>45944.34462962963</v>
      </c>
      <c r="C1051" s="1" t="n">
        <v>46118</v>
      </c>
      <c r="D1051" t="inlineStr">
        <is>
          <t>JÄMTLANDS LÄN</t>
        </is>
      </c>
      <c r="E1051" t="inlineStr">
        <is>
          <t>BRÄCKE</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50271-2025</t>
        </is>
      </c>
      <c r="B1052" s="1" t="n">
        <v>45944.35690972222</v>
      </c>
      <c r="C1052" s="1" t="n">
        <v>46118</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49291-2024</t>
        </is>
      </c>
      <c r="B1053" s="1" t="n">
        <v>45595.53299768519</v>
      </c>
      <c r="C1053" s="1" t="n">
        <v>46118</v>
      </c>
      <c r="D1053" t="inlineStr">
        <is>
          <t>JÄMTLANDS LÄN</t>
        </is>
      </c>
      <c r="E1053" t="inlineStr">
        <is>
          <t>BRÄCKE</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47186-2023</t>
        </is>
      </c>
      <c r="B1054" s="1" t="n">
        <v>45201</v>
      </c>
      <c r="C1054" s="1" t="n">
        <v>46118</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50272-2025</t>
        </is>
      </c>
      <c r="B1055" s="1" t="n">
        <v>45944.365</v>
      </c>
      <c r="C1055" s="1" t="n">
        <v>46118</v>
      </c>
      <c r="D1055" t="inlineStr">
        <is>
          <t>JÄMTLANDS LÄN</t>
        </is>
      </c>
      <c r="E1055" t="inlineStr">
        <is>
          <t>BRÄCKE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50262-2025</t>
        </is>
      </c>
      <c r="B1056" s="1" t="n">
        <v>45944.34542824074</v>
      </c>
      <c r="C1056" s="1" t="n">
        <v>46118</v>
      </c>
      <c r="D1056" t="inlineStr">
        <is>
          <t>JÄMTLANDS LÄN</t>
        </is>
      </c>
      <c r="E1056" t="inlineStr">
        <is>
          <t>BRÄCKE</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26910-2024</t>
        </is>
      </c>
      <c r="B1057" s="1" t="n">
        <v>45470.76403935185</v>
      </c>
      <c r="C1057" s="1" t="n">
        <v>46118</v>
      </c>
      <c r="D1057" t="inlineStr">
        <is>
          <t>JÄMTLANDS LÄN</t>
        </is>
      </c>
      <c r="E1057" t="inlineStr">
        <is>
          <t>BRÄCKE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50256-2025</t>
        </is>
      </c>
      <c r="B1058" s="1" t="n">
        <v>45944.34435185185</v>
      </c>
      <c r="C1058" s="1" t="n">
        <v>46118</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50263-2025</t>
        </is>
      </c>
      <c r="B1059" s="1" t="n">
        <v>45944.34545138889</v>
      </c>
      <c r="C1059" s="1" t="n">
        <v>46118</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50669-2025</t>
        </is>
      </c>
      <c r="B1060" s="1" t="n">
        <v>45945.70633101852</v>
      </c>
      <c r="C1060" s="1" t="n">
        <v>46118</v>
      </c>
      <c r="D1060" t="inlineStr">
        <is>
          <t>JÄMTLANDS LÄN</t>
        </is>
      </c>
      <c r="E1060" t="inlineStr">
        <is>
          <t>BRÄCKE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20095-2023</t>
        </is>
      </c>
      <c r="B1061" s="1" t="n">
        <v>45054.94199074074</v>
      </c>
      <c r="C1061" s="1" t="n">
        <v>46118</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20100-2023</t>
        </is>
      </c>
      <c r="B1062" s="1" t="n">
        <v>45054.94239583334</v>
      </c>
      <c r="C1062" s="1" t="n">
        <v>46118</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20101-2023</t>
        </is>
      </c>
      <c r="B1063" s="1" t="n">
        <v>45054.94247685185</v>
      </c>
      <c r="C1063" s="1" t="n">
        <v>46118</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51204-2025</t>
        </is>
      </c>
      <c r="B1064" s="1" t="n">
        <v>45947.63607638889</v>
      </c>
      <c r="C1064" s="1" t="n">
        <v>46118</v>
      </c>
      <c r="D1064" t="inlineStr">
        <is>
          <t>JÄMTLANDS LÄN</t>
        </is>
      </c>
      <c r="E1064" t="inlineStr">
        <is>
          <t>BRÄCKE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51205-2025</t>
        </is>
      </c>
      <c r="B1065" s="1" t="n">
        <v>45947.63615740741</v>
      </c>
      <c r="C1065" s="1" t="n">
        <v>46118</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50722-2025</t>
        </is>
      </c>
      <c r="B1066" s="1" t="n">
        <v>45946.34673611111</v>
      </c>
      <c r="C1066" s="1" t="n">
        <v>46118</v>
      </c>
      <c r="D1066" t="inlineStr">
        <is>
          <t>JÄMTLANDS LÄN</t>
        </is>
      </c>
      <c r="E1066" t="inlineStr">
        <is>
          <t>BRÄCKE</t>
        </is>
      </c>
      <c r="F1066" t="inlineStr">
        <is>
          <t>SCA</t>
        </is>
      </c>
      <c r="G1066" t="n">
        <v>22.7</v>
      </c>
      <c r="H1066" t="n">
        <v>0</v>
      </c>
      <c r="I1066" t="n">
        <v>0</v>
      </c>
      <c r="J1066" t="n">
        <v>0</v>
      </c>
      <c r="K1066" t="n">
        <v>0</v>
      </c>
      <c r="L1066" t="n">
        <v>0</v>
      </c>
      <c r="M1066" t="n">
        <v>0</v>
      </c>
      <c r="N1066" t="n">
        <v>0</v>
      </c>
      <c r="O1066" t="n">
        <v>0</v>
      </c>
      <c r="P1066" t="n">
        <v>0</v>
      </c>
      <c r="Q1066" t="n">
        <v>0</v>
      </c>
      <c r="R1066" s="2" t="inlineStr"/>
    </row>
    <row r="1067" ht="15" customHeight="1">
      <c r="A1067" t="inlineStr">
        <is>
          <t>A 33172-2023</t>
        </is>
      </c>
      <c r="B1067" s="1" t="n">
        <v>45126.94283564815</v>
      </c>
      <c r="C1067" s="1" t="n">
        <v>46118</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10510-2025</t>
        </is>
      </c>
      <c r="B1068" s="1" t="n">
        <v>45721.40363425926</v>
      </c>
      <c r="C1068" s="1" t="n">
        <v>46118</v>
      </c>
      <c r="D1068" t="inlineStr">
        <is>
          <t>JÄMTLANDS LÄN</t>
        </is>
      </c>
      <c r="E1068" t="inlineStr">
        <is>
          <t>BRÄCKE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10606-2025</t>
        </is>
      </c>
      <c r="B1069" s="1" t="n">
        <v>45721.59429398148</v>
      </c>
      <c r="C1069" s="1" t="n">
        <v>46118</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51612-2025</t>
        </is>
      </c>
      <c r="B1070" s="1" t="n">
        <v>45951.39751157408</v>
      </c>
      <c r="C1070" s="1" t="n">
        <v>46118</v>
      </c>
      <c r="D1070" t="inlineStr">
        <is>
          <t>JÄMTLANDS LÄN</t>
        </is>
      </c>
      <c r="E1070" t="inlineStr">
        <is>
          <t>BRÄCKE</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51616-2025</t>
        </is>
      </c>
      <c r="B1071" s="1" t="n">
        <v>45951.40637731482</v>
      </c>
      <c r="C1071" s="1" t="n">
        <v>46118</v>
      </c>
      <c r="D1071" t="inlineStr">
        <is>
          <t>JÄMTLANDS LÄN</t>
        </is>
      </c>
      <c r="E1071" t="inlineStr">
        <is>
          <t>BRÄCKE</t>
        </is>
      </c>
      <c r="G1071" t="n">
        <v>18.9</v>
      </c>
      <c r="H1071" t="n">
        <v>0</v>
      </c>
      <c r="I1071" t="n">
        <v>0</v>
      </c>
      <c r="J1071" t="n">
        <v>0</v>
      </c>
      <c r="K1071" t="n">
        <v>0</v>
      </c>
      <c r="L1071" t="n">
        <v>0</v>
      </c>
      <c r="M1071" t="n">
        <v>0</v>
      </c>
      <c r="N1071" t="n">
        <v>0</v>
      </c>
      <c r="O1071" t="n">
        <v>0</v>
      </c>
      <c r="P1071" t="n">
        <v>0</v>
      </c>
      <c r="Q1071" t="n">
        <v>0</v>
      </c>
      <c r="R1071" s="2" t="inlineStr"/>
    </row>
    <row r="1072" ht="15" customHeight="1">
      <c r="A1072" t="inlineStr">
        <is>
          <t>A 51574-2025</t>
        </is>
      </c>
      <c r="B1072" s="1" t="n">
        <v>45951.34423611111</v>
      </c>
      <c r="C1072" s="1" t="n">
        <v>46118</v>
      </c>
      <c r="D1072" t="inlineStr">
        <is>
          <t>JÄMTLANDS LÄN</t>
        </is>
      </c>
      <c r="E1072" t="inlineStr">
        <is>
          <t>BRÄCKE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29028-2024</t>
        </is>
      </c>
      <c r="B1073" s="1" t="n">
        <v>45481.59387731482</v>
      </c>
      <c r="C1073" s="1" t="n">
        <v>46118</v>
      </c>
      <c r="D1073" t="inlineStr">
        <is>
          <t>JÄMTLANDS LÄN</t>
        </is>
      </c>
      <c r="E1073" t="inlineStr">
        <is>
          <t>BRÄCKE</t>
        </is>
      </c>
      <c r="F1073" t="inlineStr">
        <is>
          <t>Övriga Aktiebolag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44753-2022</t>
        </is>
      </c>
      <c r="B1074" s="1" t="n">
        <v>44840</v>
      </c>
      <c r="C1074" s="1" t="n">
        <v>46118</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51614-2025</t>
        </is>
      </c>
      <c r="B1075" s="1" t="n">
        <v>45951.40204861111</v>
      </c>
      <c r="C1075" s="1" t="n">
        <v>46118</v>
      </c>
      <c r="D1075" t="inlineStr">
        <is>
          <t>JÄMTLANDS LÄN</t>
        </is>
      </c>
      <c r="E1075" t="inlineStr">
        <is>
          <t>BRÄCKE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51452-2025</t>
        </is>
      </c>
      <c r="B1076" s="1" t="n">
        <v>45950.59430555555</v>
      </c>
      <c r="C1076" s="1" t="n">
        <v>46118</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51620-2025</t>
        </is>
      </c>
      <c r="B1077" s="1" t="n">
        <v>45951.4128125</v>
      </c>
      <c r="C1077" s="1" t="n">
        <v>46118</v>
      </c>
      <c r="D1077" t="inlineStr">
        <is>
          <t>JÄMTLANDS LÄN</t>
        </is>
      </c>
      <c r="E1077" t="inlineStr">
        <is>
          <t>BRÄCKE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51623-2025</t>
        </is>
      </c>
      <c r="B1078" s="1" t="n">
        <v>45951.41578703704</v>
      </c>
      <c r="C1078" s="1" t="n">
        <v>46118</v>
      </c>
      <c r="D1078" t="inlineStr">
        <is>
          <t>JÄMTLANDS LÄN</t>
        </is>
      </c>
      <c r="E1078" t="inlineStr">
        <is>
          <t>BRÄCKE</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45005-2023</t>
        </is>
      </c>
      <c r="B1079" s="1" t="n">
        <v>45190</v>
      </c>
      <c r="C1079" s="1" t="n">
        <v>46118</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51619-2025</t>
        </is>
      </c>
      <c r="B1080" s="1" t="n">
        <v>45951.41025462963</v>
      </c>
      <c r="C1080" s="1" t="n">
        <v>46118</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51625-2025</t>
        </is>
      </c>
      <c r="B1081" s="1" t="n">
        <v>45951.41704861111</v>
      </c>
      <c r="C1081" s="1" t="n">
        <v>46118</v>
      </c>
      <c r="D1081" t="inlineStr">
        <is>
          <t>JÄMTLANDS LÄN</t>
        </is>
      </c>
      <c r="E1081" t="inlineStr">
        <is>
          <t>BRÄCKE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32961-2022</t>
        </is>
      </c>
      <c r="B1082" s="1" t="n">
        <v>44784.92487268519</v>
      </c>
      <c r="C1082" s="1" t="n">
        <v>46118</v>
      </c>
      <c r="D1082" t="inlineStr">
        <is>
          <t>JÄMTLANDS LÄN</t>
        </is>
      </c>
      <c r="E1082" t="inlineStr">
        <is>
          <t>BRÄCKE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35424-2023</t>
        </is>
      </c>
      <c r="B1083" s="1" t="n">
        <v>45146.6240625</v>
      </c>
      <c r="C1083" s="1" t="n">
        <v>46118</v>
      </c>
      <c r="D1083" t="inlineStr">
        <is>
          <t>JÄMTLANDS LÄN</t>
        </is>
      </c>
      <c r="E1083" t="inlineStr">
        <is>
          <t>BRÄCKE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52202-2025</t>
        </is>
      </c>
      <c r="B1084" s="1" t="n">
        <v>45953.40715277778</v>
      </c>
      <c r="C1084" s="1" t="n">
        <v>46118</v>
      </c>
      <c r="D1084" t="inlineStr">
        <is>
          <t>JÄMTLANDS LÄN</t>
        </is>
      </c>
      <c r="E1084" t="inlineStr">
        <is>
          <t>BRÄCKE</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51965-2025</t>
        </is>
      </c>
      <c r="B1085" s="1" t="n">
        <v>45952.55327546296</v>
      </c>
      <c r="C1085" s="1" t="n">
        <v>46118</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52157-2025</t>
        </is>
      </c>
      <c r="B1086" s="1" t="n">
        <v>45953.3558912037</v>
      </c>
      <c r="C1086" s="1" t="n">
        <v>46118</v>
      </c>
      <c r="D1086" t="inlineStr">
        <is>
          <t>JÄMTLANDS LÄN</t>
        </is>
      </c>
      <c r="E1086" t="inlineStr">
        <is>
          <t>BRÄCKE</t>
        </is>
      </c>
      <c r="F1086" t="inlineStr">
        <is>
          <t>SCA</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2954-2023</t>
        </is>
      </c>
      <c r="B1087" s="1" t="n">
        <v>44945.62861111111</v>
      </c>
      <c r="C1087" s="1" t="n">
        <v>46118</v>
      </c>
      <c r="D1087" t="inlineStr">
        <is>
          <t>JÄMTLANDS LÄN</t>
        </is>
      </c>
      <c r="E1087" t="inlineStr">
        <is>
          <t>BRÄCKE</t>
        </is>
      </c>
      <c r="F1087" t="inlineStr">
        <is>
          <t>Övriga Aktiebolag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51858-2025</t>
        </is>
      </c>
      <c r="B1088" s="1" t="n">
        <v>45952.36511574074</v>
      </c>
      <c r="C1088" s="1" t="n">
        <v>46118</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51809-2023</t>
        </is>
      </c>
      <c r="B1089" s="1" t="n">
        <v>45222.96574074074</v>
      </c>
      <c r="C1089" s="1" t="n">
        <v>46118</v>
      </c>
      <c r="D1089" t="inlineStr">
        <is>
          <t>JÄMTLANDS LÄN</t>
        </is>
      </c>
      <c r="E1089" t="inlineStr">
        <is>
          <t>BRÄCKE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52344-2025</t>
        </is>
      </c>
      <c r="B1090" s="1" t="n">
        <v>45953.71978009259</v>
      </c>
      <c r="C1090" s="1" t="n">
        <v>46118</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52342-2025</t>
        </is>
      </c>
      <c r="B1091" s="1" t="n">
        <v>45953.71928240741</v>
      </c>
      <c r="C1091" s="1" t="n">
        <v>46118</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52343-2025</t>
        </is>
      </c>
      <c r="B1092" s="1" t="n">
        <v>45953.71953703704</v>
      </c>
      <c r="C1092" s="1" t="n">
        <v>46118</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52345-2025</t>
        </is>
      </c>
      <c r="B1093" s="1" t="n">
        <v>45953.71998842592</v>
      </c>
      <c r="C1093" s="1" t="n">
        <v>46118</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52346-2025</t>
        </is>
      </c>
      <c r="B1094" s="1" t="n">
        <v>45953</v>
      </c>
      <c r="C1094" s="1" t="n">
        <v>46118</v>
      </c>
      <c r="D1094" t="inlineStr">
        <is>
          <t>JÄMTLANDS LÄN</t>
        </is>
      </c>
      <c r="E1094" t="inlineStr">
        <is>
          <t>BRÄCKE</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51839-2025</t>
        </is>
      </c>
      <c r="B1095" s="1" t="n">
        <v>45952.34472222222</v>
      </c>
      <c r="C1095" s="1" t="n">
        <v>46118</v>
      </c>
      <c r="D1095" t="inlineStr">
        <is>
          <t>JÄMTLANDS LÄN</t>
        </is>
      </c>
      <c r="E1095" t="inlineStr">
        <is>
          <t>BRÄCKE</t>
        </is>
      </c>
      <c r="F1095" t="inlineStr">
        <is>
          <t>SCA</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51964-2025</t>
        </is>
      </c>
      <c r="B1096" s="1" t="n">
        <v>45952.55321759259</v>
      </c>
      <c r="C1096" s="1" t="n">
        <v>46118</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20760-2024</t>
        </is>
      </c>
      <c r="B1097" s="1" t="n">
        <v>45436.92543981481</v>
      </c>
      <c r="C1097" s="1" t="n">
        <v>46118</v>
      </c>
      <c r="D1097" t="inlineStr">
        <is>
          <t>JÄMTLANDS LÄN</t>
        </is>
      </c>
      <c r="E1097" t="inlineStr">
        <is>
          <t>BRÄCKE</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52468-2025</t>
        </is>
      </c>
      <c r="B1098" s="1" t="n">
        <v>45954.44833333333</v>
      </c>
      <c r="C1098" s="1" t="n">
        <v>46118</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52771-2025</t>
        </is>
      </c>
      <c r="B1099" s="1" t="n">
        <v>45957.41019675926</v>
      </c>
      <c r="C1099" s="1" t="n">
        <v>46118</v>
      </c>
      <c r="D1099" t="inlineStr">
        <is>
          <t>JÄMTLANDS LÄN</t>
        </is>
      </c>
      <c r="E1099" t="inlineStr">
        <is>
          <t>BRÄCKE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52991-2025</t>
        </is>
      </c>
      <c r="B1100" s="1" t="n">
        <v>45957.71960648148</v>
      </c>
      <c r="C1100" s="1" t="n">
        <v>46118</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1863-2022</t>
        </is>
      </c>
      <c r="B1101" s="1" t="n">
        <v>44574</v>
      </c>
      <c r="C1101" s="1" t="n">
        <v>46118</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1865-2022</t>
        </is>
      </c>
      <c r="B1102" s="1" t="n">
        <v>44574</v>
      </c>
      <c r="C1102" s="1" t="n">
        <v>46118</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7756-2025</t>
        </is>
      </c>
      <c r="B1103" s="1" t="n">
        <v>45706.51079861111</v>
      </c>
      <c r="C1103" s="1" t="n">
        <v>46118</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7757-2025</t>
        </is>
      </c>
      <c r="B1104" s="1" t="n">
        <v>45706.51085648148</v>
      </c>
      <c r="C1104" s="1" t="n">
        <v>46118</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52476-2025</t>
        </is>
      </c>
      <c r="B1105" s="1" t="n">
        <v>45954.46921296296</v>
      </c>
      <c r="C1105" s="1" t="n">
        <v>46118</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5482-2025</t>
        </is>
      </c>
      <c r="B1106" s="1" t="n">
        <v>45693.34427083333</v>
      </c>
      <c r="C1106" s="1" t="n">
        <v>46118</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14266-2025</t>
        </is>
      </c>
      <c r="B1107" s="1" t="n">
        <v>45740.63572916666</v>
      </c>
      <c r="C1107" s="1" t="n">
        <v>46118</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40791-2024</t>
        </is>
      </c>
      <c r="B1108" s="1" t="n">
        <v>45558.50222222223</v>
      </c>
      <c r="C1108" s="1" t="n">
        <v>46118</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52798-2025</t>
        </is>
      </c>
      <c r="B1109" s="1" t="n">
        <v>45957.44013888889</v>
      </c>
      <c r="C1109" s="1" t="n">
        <v>46118</v>
      </c>
      <c r="D1109" t="inlineStr">
        <is>
          <t>JÄMTLANDS LÄN</t>
        </is>
      </c>
      <c r="E1109" t="inlineStr">
        <is>
          <t>BRÄCKE</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57623-2024</t>
        </is>
      </c>
      <c r="B1110" s="1" t="n">
        <v>45630.55260416667</v>
      </c>
      <c r="C1110" s="1" t="n">
        <v>46118</v>
      </c>
      <c r="D1110" t="inlineStr">
        <is>
          <t>JÄMTLANDS LÄN</t>
        </is>
      </c>
      <c r="E1110" t="inlineStr">
        <is>
          <t>BRÄCKE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52781-2025</t>
        </is>
      </c>
      <c r="B1111" s="1" t="n">
        <v>45957.4228125</v>
      </c>
      <c r="C1111" s="1" t="n">
        <v>46118</v>
      </c>
      <c r="D1111" t="inlineStr">
        <is>
          <t>JÄMTLANDS LÄN</t>
        </is>
      </c>
      <c r="E1111" t="inlineStr">
        <is>
          <t>BRÄCKE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48416-2024</t>
        </is>
      </c>
      <c r="B1112" s="1" t="n">
        <v>45590.64153935185</v>
      </c>
      <c r="C1112" s="1" t="n">
        <v>46118</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53139-2025</t>
        </is>
      </c>
      <c r="B1113" s="1" t="n">
        <v>45958.47019675926</v>
      </c>
      <c r="C1113" s="1" t="n">
        <v>46118</v>
      </c>
      <c r="D1113" t="inlineStr">
        <is>
          <t>JÄMTLANDS LÄN</t>
        </is>
      </c>
      <c r="E1113" t="inlineStr">
        <is>
          <t>BRÄCKE</t>
        </is>
      </c>
      <c r="F1113" t="inlineStr">
        <is>
          <t>Övriga Aktiebolag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43910-2023</t>
        </is>
      </c>
      <c r="B1114" s="1" t="n">
        <v>45182</v>
      </c>
      <c r="C1114" s="1" t="n">
        <v>46118</v>
      </c>
      <c r="D1114" t="inlineStr">
        <is>
          <t>JÄMTLANDS LÄN</t>
        </is>
      </c>
      <c r="E1114" t="inlineStr">
        <is>
          <t>BRÄCKE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5536-2025</t>
        </is>
      </c>
      <c r="B1115" s="1" t="n">
        <v>45693.44846064815</v>
      </c>
      <c r="C1115" s="1" t="n">
        <v>46118</v>
      </c>
      <c r="D1115" t="inlineStr">
        <is>
          <t>JÄMTLANDS LÄN</t>
        </is>
      </c>
      <c r="E1115" t="inlineStr">
        <is>
          <t>BRÄCKE</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5537-2025</t>
        </is>
      </c>
      <c r="B1116" s="1" t="n">
        <v>45693.44858796296</v>
      </c>
      <c r="C1116" s="1" t="n">
        <v>46118</v>
      </c>
      <c r="D1116" t="inlineStr">
        <is>
          <t>JÄMTLANDS LÄN</t>
        </is>
      </c>
      <c r="E1116" t="inlineStr">
        <is>
          <t>BRÄCKE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53138-2025</t>
        </is>
      </c>
      <c r="B1117" s="1" t="n">
        <v>45958.47013888889</v>
      </c>
      <c r="C1117" s="1" t="n">
        <v>46118</v>
      </c>
      <c r="D1117" t="inlineStr">
        <is>
          <t>JÄMTLANDS LÄN</t>
        </is>
      </c>
      <c r="E1117" t="inlineStr">
        <is>
          <t>BRÄCKE</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53210-2025</t>
        </is>
      </c>
      <c r="B1118" s="1" t="n">
        <v>45958.59469907408</v>
      </c>
      <c r="C1118" s="1" t="n">
        <v>46118</v>
      </c>
      <c r="D1118" t="inlineStr">
        <is>
          <t>JÄMTLANDS LÄN</t>
        </is>
      </c>
      <c r="E1118" t="inlineStr">
        <is>
          <t>BRÄCKE</t>
        </is>
      </c>
      <c r="F1118" t="inlineStr">
        <is>
          <t>SCA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53168-2025</t>
        </is>
      </c>
      <c r="B1119" s="1" t="n">
        <v>45958.51083333333</v>
      </c>
      <c r="C1119" s="1" t="n">
        <v>46118</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53140-2025</t>
        </is>
      </c>
      <c r="B1120" s="1" t="n">
        <v>45958.4703125</v>
      </c>
      <c r="C1120" s="1" t="n">
        <v>46118</v>
      </c>
      <c r="D1120" t="inlineStr">
        <is>
          <t>JÄMTLANDS LÄN</t>
        </is>
      </c>
      <c r="E1120" t="inlineStr">
        <is>
          <t>BRÄCKE</t>
        </is>
      </c>
      <c r="F1120" t="inlineStr">
        <is>
          <t>Övriga Aktiebolag</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53352-2025</t>
        </is>
      </c>
      <c r="B1121" s="1" t="n">
        <v>45959.44840277778</v>
      </c>
      <c r="C1121" s="1" t="n">
        <v>46118</v>
      </c>
      <c r="D1121" t="inlineStr">
        <is>
          <t>JÄMTLANDS LÄN</t>
        </is>
      </c>
      <c r="E1121" t="inlineStr">
        <is>
          <t>BRÄCKE</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53197-2025</t>
        </is>
      </c>
      <c r="B1122" s="1" t="n">
        <v>45958.57358796296</v>
      </c>
      <c r="C1122" s="1" t="n">
        <v>46118</v>
      </c>
      <c r="D1122" t="inlineStr">
        <is>
          <t>JÄMTLANDS LÄN</t>
        </is>
      </c>
      <c r="E1122" t="inlineStr">
        <is>
          <t>BRÄCKE</t>
        </is>
      </c>
      <c r="F1122" t="inlineStr">
        <is>
          <t>SCA</t>
        </is>
      </c>
      <c r="G1122" t="n">
        <v>43.4</v>
      </c>
      <c r="H1122" t="n">
        <v>0</v>
      </c>
      <c r="I1122" t="n">
        <v>0</v>
      </c>
      <c r="J1122" t="n">
        <v>0</v>
      </c>
      <c r="K1122" t="n">
        <v>0</v>
      </c>
      <c r="L1122" t="n">
        <v>0</v>
      </c>
      <c r="M1122" t="n">
        <v>0</v>
      </c>
      <c r="N1122" t="n">
        <v>0</v>
      </c>
      <c r="O1122" t="n">
        <v>0</v>
      </c>
      <c r="P1122" t="n">
        <v>0</v>
      </c>
      <c r="Q1122" t="n">
        <v>0</v>
      </c>
      <c r="R1122" s="2" t="inlineStr"/>
    </row>
    <row r="1123" ht="15" customHeight="1">
      <c r="A1123" t="inlineStr">
        <is>
          <t>A 27280-2024</t>
        </is>
      </c>
      <c r="B1123" s="1" t="n">
        <v>45471.92576388889</v>
      </c>
      <c r="C1123" s="1" t="n">
        <v>46118</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53270-2025</t>
        </is>
      </c>
      <c r="B1124" s="1" t="n">
        <v>45958.70261574074</v>
      </c>
      <c r="C1124" s="1" t="n">
        <v>46118</v>
      </c>
      <c r="D1124" t="inlineStr">
        <is>
          <t>JÄMTLANDS LÄN</t>
        </is>
      </c>
      <c r="E1124" t="inlineStr">
        <is>
          <t>BRÄCKE</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53185-2025</t>
        </is>
      </c>
      <c r="B1125" s="1" t="n">
        <v>45958.55537037037</v>
      </c>
      <c r="C1125" s="1" t="n">
        <v>46118</v>
      </c>
      <c r="D1125" t="inlineStr">
        <is>
          <t>JÄMTLANDS LÄN</t>
        </is>
      </c>
      <c r="E1125" t="inlineStr">
        <is>
          <t>BRÄCKE</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53114-2025</t>
        </is>
      </c>
      <c r="B1126" s="1" t="n">
        <v>45958.44440972222</v>
      </c>
      <c r="C1126" s="1" t="n">
        <v>46118</v>
      </c>
      <c r="D1126" t="inlineStr">
        <is>
          <t>JÄMTLANDS LÄN</t>
        </is>
      </c>
      <c r="E1126" t="inlineStr">
        <is>
          <t>BRÄCKE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53169-2025</t>
        </is>
      </c>
      <c r="B1127" s="1" t="n">
        <v>45958.51101851852</v>
      </c>
      <c r="C1127" s="1" t="n">
        <v>46118</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53943-2025</t>
        </is>
      </c>
      <c r="B1128" s="1" t="n">
        <v>45961.48997685185</v>
      </c>
      <c r="C1128" s="1" t="n">
        <v>46118</v>
      </c>
      <c r="D1128" t="inlineStr">
        <is>
          <t>JÄMTLANDS LÄN</t>
        </is>
      </c>
      <c r="E1128" t="inlineStr">
        <is>
          <t>BRÄCKE</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54010-2025</t>
        </is>
      </c>
      <c r="B1129" s="1" t="n">
        <v>45961.6153125</v>
      </c>
      <c r="C1129" s="1" t="n">
        <v>46118</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54011-2025</t>
        </is>
      </c>
      <c r="B1130" s="1" t="n">
        <v>45961.61545138889</v>
      </c>
      <c r="C1130" s="1" t="n">
        <v>46118</v>
      </c>
      <c r="D1130" t="inlineStr">
        <is>
          <t>JÄMTLANDS LÄN</t>
        </is>
      </c>
      <c r="E1130" t="inlineStr">
        <is>
          <t>BRÄCKE</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45414-2024</t>
        </is>
      </c>
      <c r="B1131" s="1" t="n">
        <v>45576.5943287037</v>
      </c>
      <c r="C1131" s="1" t="n">
        <v>46118</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54007-2025</t>
        </is>
      </c>
      <c r="B1132" s="1" t="n">
        <v>45961.61497685185</v>
      </c>
      <c r="C1132" s="1" t="n">
        <v>46118</v>
      </c>
      <c r="D1132" t="inlineStr">
        <is>
          <t>JÄMTLANDS LÄN</t>
        </is>
      </c>
      <c r="E1132" t="inlineStr">
        <is>
          <t>BRÄCKE</t>
        </is>
      </c>
      <c r="F1132" t="inlineStr">
        <is>
          <t>SCA</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21086-2024</t>
        </is>
      </c>
      <c r="B1133" s="1" t="n">
        <v>45439.92791666667</v>
      </c>
      <c r="C1133" s="1" t="n">
        <v>46118</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11550-2023</t>
        </is>
      </c>
      <c r="B1134" s="1" t="n">
        <v>44993</v>
      </c>
      <c r="C1134" s="1" t="n">
        <v>46118</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14838-2025</t>
        </is>
      </c>
      <c r="B1135" s="1" t="n">
        <v>45743.38582175926</v>
      </c>
      <c r="C1135" s="1" t="n">
        <v>46118</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10103-2025</t>
        </is>
      </c>
      <c r="B1136" s="1" t="n">
        <v>45719.57978009259</v>
      </c>
      <c r="C1136" s="1" t="n">
        <v>46118</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54009-2025</t>
        </is>
      </c>
      <c r="B1137" s="1" t="n">
        <v>45961.61516203704</v>
      </c>
      <c r="C1137" s="1" t="n">
        <v>46118</v>
      </c>
      <c r="D1137" t="inlineStr">
        <is>
          <t>JÄMTLANDS LÄN</t>
        </is>
      </c>
      <c r="E1137" t="inlineStr">
        <is>
          <t>BRÄCKE</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59405-2022</t>
        </is>
      </c>
      <c r="B1138" s="1" t="n">
        <v>44906</v>
      </c>
      <c r="C1138" s="1" t="n">
        <v>46118</v>
      </c>
      <c r="D1138" t="inlineStr">
        <is>
          <t>JÄMTLANDS LÄN</t>
        </is>
      </c>
      <c r="E1138" t="inlineStr">
        <is>
          <t>BRÄCKE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53829-2025</t>
        </is>
      </c>
      <c r="B1139" s="1" t="n">
        <v>45961.34475694445</v>
      </c>
      <c r="C1139" s="1" t="n">
        <v>46118</v>
      </c>
      <c r="D1139" t="inlineStr">
        <is>
          <t>JÄMTLANDS LÄN</t>
        </is>
      </c>
      <c r="E1139" t="inlineStr">
        <is>
          <t>BRÄCKE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53844-2025</t>
        </is>
      </c>
      <c r="B1140" s="1" t="n">
        <v>45961.36488425926</v>
      </c>
      <c r="C1140" s="1" t="n">
        <v>46118</v>
      </c>
      <c r="D1140" t="inlineStr">
        <is>
          <t>JÄMTLANDS LÄN</t>
        </is>
      </c>
      <c r="E1140" t="inlineStr">
        <is>
          <t>BRÄCKE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20014-2022</t>
        </is>
      </c>
      <c r="B1141" s="1" t="n">
        <v>44697.64387731482</v>
      </c>
      <c r="C1141" s="1" t="n">
        <v>46118</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53868-2025</t>
        </is>
      </c>
      <c r="B1142" s="1" t="n">
        <v>45961.38594907407</v>
      </c>
      <c r="C1142" s="1" t="n">
        <v>46118</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37957-2021</t>
        </is>
      </c>
      <c r="B1143" s="1" t="n">
        <v>44403</v>
      </c>
      <c r="C1143" s="1" t="n">
        <v>46118</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21366-2021</t>
        </is>
      </c>
      <c r="B1144" s="1" t="n">
        <v>44320</v>
      </c>
      <c r="C1144" s="1" t="n">
        <v>46118</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54160-2025</t>
        </is>
      </c>
      <c r="B1145" s="1" t="n">
        <v>45964.50528935185</v>
      </c>
      <c r="C1145" s="1" t="n">
        <v>46118</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41311-2024</t>
        </is>
      </c>
      <c r="B1146" s="1" t="n">
        <v>45559.63569444444</v>
      </c>
      <c r="C1146" s="1" t="n">
        <v>46118</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41315-2024</t>
        </is>
      </c>
      <c r="B1147" s="1" t="n">
        <v>45559.63628472222</v>
      </c>
      <c r="C1147" s="1" t="n">
        <v>46118</v>
      </c>
      <c r="D1147" t="inlineStr">
        <is>
          <t>JÄMTLANDS LÄN</t>
        </is>
      </c>
      <c r="E1147" t="inlineStr">
        <is>
          <t>BRÄCKE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13033-2023</t>
        </is>
      </c>
      <c r="B1148" s="1" t="n">
        <v>45001</v>
      </c>
      <c r="C1148" s="1" t="n">
        <v>46118</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54316-2025</t>
        </is>
      </c>
      <c r="B1149" s="1" t="n">
        <v>45965.32975694445</v>
      </c>
      <c r="C1149" s="1" t="n">
        <v>46118</v>
      </c>
      <c r="D1149" t="inlineStr">
        <is>
          <t>JÄMTLANDS LÄN</t>
        </is>
      </c>
      <c r="E1149" t="inlineStr">
        <is>
          <t>BRÄCKE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54372-2025</t>
        </is>
      </c>
      <c r="B1150" s="1" t="n">
        <v>45965.41297453704</v>
      </c>
      <c r="C1150" s="1" t="n">
        <v>46118</v>
      </c>
      <c r="D1150" t="inlineStr">
        <is>
          <t>JÄMTLANDS LÄN</t>
        </is>
      </c>
      <c r="E1150" t="inlineStr">
        <is>
          <t>BRÄCKE</t>
        </is>
      </c>
      <c r="F1150" t="inlineStr">
        <is>
          <t>Övriga Aktiebolag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26522-2024</t>
        </is>
      </c>
      <c r="B1151" s="1" t="n">
        <v>45469</v>
      </c>
      <c r="C1151" s="1" t="n">
        <v>46118</v>
      </c>
      <c r="D1151" t="inlineStr">
        <is>
          <t>JÄMTLANDS LÄN</t>
        </is>
      </c>
      <c r="E1151" t="inlineStr">
        <is>
          <t>BRÄCKE</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54158-2025</t>
        </is>
      </c>
      <c r="B1152" s="1" t="n">
        <v>45964.50181712963</v>
      </c>
      <c r="C1152" s="1" t="n">
        <v>46118</v>
      </c>
      <c r="D1152" t="inlineStr">
        <is>
          <t>JÄMTLANDS LÄN</t>
        </is>
      </c>
      <c r="E1152" t="inlineStr">
        <is>
          <t>BRÄCKE</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54315-2025</t>
        </is>
      </c>
      <c r="B1153" s="1" t="n">
        <v>45965.32789351852</v>
      </c>
      <c r="C1153" s="1" t="n">
        <v>46118</v>
      </c>
      <c r="D1153" t="inlineStr">
        <is>
          <t>JÄMTLANDS LÄN</t>
        </is>
      </c>
      <c r="E1153" t="inlineStr">
        <is>
          <t>BRÄCKE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3865-2025</t>
        </is>
      </c>
      <c r="B1154" s="1" t="n">
        <v>45684.31815972222</v>
      </c>
      <c r="C1154" s="1" t="n">
        <v>46118</v>
      </c>
      <c r="D1154" t="inlineStr">
        <is>
          <t>JÄMTLANDS LÄN</t>
        </is>
      </c>
      <c r="E1154" t="inlineStr">
        <is>
          <t>BRÄCKE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54422-2025</t>
        </is>
      </c>
      <c r="B1155" s="1" t="n">
        <v>45965.48649305556</v>
      </c>
      <c r="C1155" s="1" t="n">
        <v>46118</v>
      </c>
      <c r="D1155" t="inlineStr">
        <is>
          <t>JÄMTLANDS LÄN</t>
        </is>
      </c>
      <c r="E1155" t="inlineStr">
        <is>
          <t>BRÄCKE</t>
        </is>
      </c>
      <c r="F1155" t="inlineStr">
        <is>
          <t>Övriga Aktiebolag</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20157-2025</t>
        </is>
      </c>
      <c r="B1156" s="1" t="n">
        <v>45772.56060185185</v>
      </c>
      <c r="C1156" s="1" t="n">
        <v>46118</v>
      </c>
      <c r="D1156" t="inlineStr">
        <is>
          <t>JÄMTLANDS LÄN</t>
        </is>
      </c>
      <c r="E1156" t="inlineStr">
        <is>
          <t>BRÄCKE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54323-2025</t>
        </is>
      </c>
      <c r="B1157" s="1" t="n">
        <v>45965.34454861111</v>
      </c>
      <c r="C1157" s="1" t="n">
        <v>46118</v>
      </c>
      <c r="D1157" t="inlineStr">
        <is>
          <t>JÄMTLANDS LÄN</t>
        </is>
      </c>
      <c r="E1157" t="inlineStr">
        <is>
          <t>BRÄCKE</t>
        </is>
      </c>
      <c r="F1157" t="inlineStr">
        <is>
          <t>SCA</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53941-2022</t>
        </is>
      </c>
      <c r="B1158" s="1" t="n">
        <v>44880</v>
      </c>
      <c r="C1158" s="1" t="n">
        <v>46118</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46597-2022</t>
        </is>
      </c>
      <c r="B1159" s="1" t="n">
        <v>44848</v>
      </c>
      <c r="C1159" s="1" t="n">
        <v>46118</v>
      </c>
      <c r="D1159" t="inlineStr">
        <is>
          <t>JÄMTLANDS LÄN</t>
        </is>
      </c>
      <c r="E1159" t="inlineStr">
        <is>
          <t>BRÄCKE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54257-2025</t>
        </is>
      </c>
      <c r="B1160" s="1" t="n">
        <v>45964.65732638889</v>
      </c>
      <c r="C1160" s="1" t="n">
        <v>46118</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35880-2023</t>
        </is>
      </c>
      <c r="B1161" s="1" t="n">
        <v>45148</v>
      </c>
      <c r="C1161" s="1" t="n">
        <v>46118</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55069-2025</t>
        </is>
      </c>
      <c r="B1162" s="1" t="n">
        <v>45967.72344907407</v>
      </c>
      <c r="C1162" s="1" t="n">
        <v>46118</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54741-2025</t>
        </is>
      </c>
      <c r="B1163" s="1" t="n">
        <v>45966.57350694444</v>
      </c>
      <c r="C1163" s="1" t="n">
        <v>46118</v>
      </c>
      <c r="D1163" t="inlineStr">
        <is>
          <t>JÄMTLANDS LÄN</t>
        </is>
      </c>
      <c r="E1163" t="inlineStr">
        <is>
          <t>BRÄCKE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54887-2025</t>
        </is>
      </c>
      <c r="B1164" s="1" t="n">
        <v>45967.34484953704</v>
      </c>
      <c r="C1164" s="1" t="n">
        <v>46118</v>
      </c>
      <c r="D1164" t="inlineStr">
        <is>
          <t>JÄMTLANDS LÄN</t>
        </is>
      </c>
      <c r="E1164" t="inlineStr">
        <is>
          <t>BRÄCKE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54886-2025</t>
        </is>
      </c>
      <c r="B1165" s="1" t="n">
        <v>45967.34481481482</v>
      </c>
      <c r="C1165" s="1" t="n">
        <v>46118</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54888-2025</t>
        </is>
      </c>
      <c r="B1166" s="1" t="n">
        <v>45967.34487268519</v>
      </c>
      <c r="C1166" s="1" t="n">
        <v>46118</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53724-2024</t>
        </is>
      </c>
      <c r="B1167" s="1" t="n">
        <v>45615.45042824074</v>
      </c>
      <c r="C1167" s="1" t="n">
        <v>46118</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54775-2025</t>
        </is>
      </c>
      <c r="B1168" s="1" t="n">
        <v>45966.61333333333</v>
      </c>
      <c r="C1168" s="1" t="n">
        <v>46118</v>
      </c>
      <c r="D1168" t="inlineStr">
        <is>
          <t>JÄMTLANDS LÄN</t>
        </is>
      </c>
      <c r="E1168" t="inlineStr">
        <is>
          <t>BRÄCKE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54793-2025</t>
        </is>
      </c>
      <c r="B1169" s="1" t="n">
        <v>45966.63584490741</v>
      </c>
      <c r="C1169" s="1" t="n">
        <v>46118</v>
      </c>
      <c r="D1169" t="inlineStr">
        <is>
          <t>JÄMTLANDS LÄN</t>
        </is>
      </c>
      <c r="E1169" t="inlineStr">
        <is>
          <t>BRÄCKE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54885-2025</t>
        </is>
      </c>
      <c r="B1170" s="1" t="n">
        <v>45967.34465277778</v>
      </c>
      <c r="C1170" s="1" t="n">
        <v>46118</v>
      </c>
      <c r="D1170" t="inlineStr">
        <is>
          <t>JÄMTLANDS LÄN</t>
        </is>
      </c>
      <c r="E1170" t="inlineStr">
        <is>
          <t>BRÄCKE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54904-2025</t>
        </is>
      </c>
      <c r="B1171" s="1" t="n">
        <v>45967.36640046296</v>
      </c>
      <c r="C1171" s="1" t="n">
        <v>46118</v>
      </c>
      <c r="D1171" t="inlineStr">
        <is>
          <t>JÄMTLANDS LÄN</t>
        </is>
      </c>
      <c r="E1171" t="inlineStr">
        <is>
          <t>BRÄCKE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54642-2025</t>
        </is>
      </c>
      <c r="B1172" s="1" t="n">
        <v>45966.36555555555</v>
      </c>
      <c r="C1172" s="1" t="n">
        <v>46118</v>
      </c>
      <c r="D1172" t="inlineStr">
        <is>
          <t>JÄMTLANDS LÄN</t>
        </is>
      </c>
      <c r="E1172" t="inlineStr">
        <is>
          <t>BRÄCKE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49189-2024</t>
        </is>
      </c>
      <c r="B1173" s="1" t="n">
        <v>45595.34502314815</v>
      </c>
      <c r="C1173" s="1" t="n">
        <v>46118</v>
      </c>
      <c r="D1173" t="inlineStr">
        <is>
          <t>JÄMTLANDS LÄN</t>
        </is>
      </c>
      <c r="E1173" t="inlineStr">
        <is>
          <t>BRÄCKE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55028-2025</t>
        </is>
      </c>
      <c r="B1174" s="1" t="n">
        <v>45967.63650462963</v>
      </c>
      <c r="C1174" s="1" t="n">
        <v>46118</v>
      </c>
      <c r="D1174" t="inlineStr">
        <is>
          <t>JÄMTLANDS LÄN</t>
        </is>
      </c>
      <c r="E1174" t="inlineStr">
        <is>
          <t>BRÄCKE</t>
        </is>
      </c>
      <c r="F1174" t="inlineStr">
        <is>
          <t>SCA</t>
        </is>
      </c>
      <c r="G1174" t="n">
        <v>16.4</v>
      </c>
      <c r="H1174" t="n">
        <v>0</v>
      </c>
      <c r="I1174" t="n">
        <v>0</v>
      </c>
      <c r="J1174" t="n">
        <v>0</v>
      </c>
      <c r="K1174" t="n">
        <v>0</v>
      </c>
      <c r="L1174" t="n">
        <v>0</v>
      </c>
      <c r="M1174" t="n">
        <v>0</v>
      </c>
      <c r="N1174" t="n">
        <v>0</v>
      </c>
      <c r="O1174" t="n">
        <v>0</v>
      </c>
      <c r="P1174" t="n">
        <v>0</v>
      </c>
      <c r="Q1174" t="n">
        <v>0</v>
      </c>
      <c r="R1174" s="2" t="inlineStr"/>
    </row>
    <row r="1175" ht="15" customHeight="1">
      <c r="A1175" t="inlineStr">
        <is>
          <t>A 54681-2025</t>
        </is>
      </c>
      <c r="B1175" s="1" t="n">
        <v>45966.42777777778</v>
      </c>
      <c r="C1175" s="1" t="n">
        <v>46118</v>
      </c>
      <c r="D1175" t="inlineStr">
        <is>
          <t>JÄMTLANDS LÄN</t>
        </is>
      </c>
      <c r="E1175" t="inlineStr">
        <is>
          <t>BRÄCKE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55485-2025</t>
        </is>
      </c>
      <c r="B1176" s="1" t="n">
        <v>45971.5733912037</v>
      </c>
      <c r="C1176" s="1" t="n">
        <v>46118</v>
      </c>
      <c r="D1176" t="inlineStr">
        <is>
          <t>JÄMTLANDS LÄN</t>
        </is>
      </c>
      <c r="E1176" t="inlineStr">
        <is>
          <t>BRÄCKE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55388-2025</t>
        </is>
      </c>
      <c r="B1177" s="1" t="n">
        <v>45971.43935185186</v>
      </c>
      <c r="C1177" s="1" t="n">
        <v>46118</v>
      </c>
      <c r="D1177" t="inlineStr">
        <is>
          <t>JÄMTLANDS LÄN</t>
        </is>
      </c>
      <c r="E1177" t="inlineStr">
        <is>
          <t>BRÄCKE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55367-2025</t>
        </is>
      </c>
      <c r="B1178" s="1" t="n">
        <v>45971.41381944445</v>
      </c>
      <c r="C1178" s="1" t="n">
        <v>46118</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54863-2024</t>
        </is>
      </c>
      <c r="B1179" s="1" t="n">
        <v>45618.59431712963</v>
      </c>
      <c r="C1179" s="1" t="n">
        <v>46118</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54865-2024</t>
        </is>
      </c>
      <c r="B1180" s="1" t="n">
        <v>45618.59471064815</v>
      </c>
      <c r="C1180" s="1" t="n">
        <v>46118</v>
      </c>
      <c r="D1180" t="inlineStr">
        <is>
          <t>JÄMTLANDS LÄN</t>
        </is>
      </c>
      <c r="E1180" t="inlineStr">
        <is>
          <t>BRÄCKE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55524-2025</t>
        </is>
      </c>
      <c r="B1181" s="1" t="n">
        <v>45971.61523148148</v>
      </c>
      <c r="C1181" s="1" t="n">
        <v>46118</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24214-2023</t>
        </is>
      </c>
      <c r="B1182" s="1" t="n">
        <v>45079.5752199074</v>
      </c>
      <c r="C1182" s="1" t="n">
        <v>46118</v>
      </c>
      <c r="D1182" t="inlineStr">
        <is>
          <t>JÄMTLANDS LÄN</t>
        </is>
      </c>
      <c r="E1182" t="inlineStr">
        <is>
          <t>BRÄCKE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55457-2025</t>
        </is>
      </c>
      <c r="B1183" s="1" t="n">
        <v>45971.51321759259</v>
      </c>
      <c r="C1183" s="1" t="n">
        <v>46118</v>
      </c>
      <c r="D1183" t="inlineStr">
        <is>
          <t>JÄMTLANDS LÄN</t>
        </is>
      </c>
      <c r="E1183" t="inlineStr">
        <is>
          <t>BRÄCKE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19584-2024</t>
        </is>
      </c>
      <c r="B1184" s="1" t="n">
        <v>45429</v>
      </c>
      <c r="C1184" s="1" t="n">
        <v>46118</v>
      </c>
      <c r="D1184" t="inlineStr">
        <is>
          <t>JÄMTLANDS LÄN</t>
        </is>
      </c>
      <c r="E1184" t="inlineStr">
        <is>
          <t>BRÄCKE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23081-2024</t>
        </is>
      </c>
      <c r="B1185" s="1" t="n">
        <v>45450.50152777778</v>
      </c>
      <c r="C1185" s="1" t="n">
        <v>46118</v>
      </c>
      <c r="D1185" t="inlineStr">
        <is>
          <t>JÄMTLANDS LÄN</t>
        </is>
      </c>
      <c r="E1185" t="inlineStr">
        <is>
          <t>BRÄCKE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30569-2024</t>
        </is>
      </c>
      <c r="B1186" s="1" t="n">
        <v>45492.95690972222</v>
      </c>
      <c r="C1186" s="1" t="n">
        <v>46118</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47746-2024</t>
        </is>
      </c>
      <c r="B1187" s="1" t="n">
        <v>45588.53438657407</v>
      </c>
      <c r="C1187" s="1" t="n">
        <v>46118</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32229-2023</t>
        </is>
      </c>
      <c r="B1188" s="1" t="n">
        <v>45119.94334490741</v>
      </c>
      <c r="C1188" s="1" t="n">
        <v>46118</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55382-2025</t>
        </is>
      </c>
      <c r="B1189" s="1" t="n">
        <v>45971.42909722222</v>
      </c>
      <c r="C1189" s="1" t="n">
        <v>46118</v>
      </c>
      <c r="D1189" t="inlineStr">
        <is>
          <t>JÄMTLANDS LÄN</t>
        </is>
      </c>
      <c r="E1189" t="inlineStr">
        <is>
          <t>BRÄCKE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55733-2025</t>
        </is>
      </c>
      <c r="B1190" s="1" t="n">
        <v>45972.55298611111</v>
      </c>
      <c r="C1190" s="1" t="n">
        <v>46118</v>
      </c>
      <c r="D1190" t="inlineStr">
        <is>
          <t>JÄMTLANDS LÄN</t>
        </is>
      </c>
      <c r="E1190" t="inlineStr">
        <is>
          <t>BRÄCKE</t>
        </is>
      </c>
      <c r="F1190" t="inlineStr">
        <is>
          <t>SCA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40394-2023</t>
        </is>
      </c>
      <c r="B1191" s="1" t="n">
        <v>45169.93751157408</v>
      </c>
      <c r="C1191" s="1" t="n">
        <v>46118</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34409-2021</t>
        </is>
      </c>
      <c r="B1192" s="1" t="n">
        <v>44379</v>
      </c>
      <c r="C1192" s="1" t="n">
        <v>46118</v>
      </c>
      <c r="D1192" t="inlineStr">
        <is>
          <t>JÄMTLANDS LÄN</t>
        </is>
      </c>
      <c r="E1192" t="inlineStr">
        <is>
          <t>BRÄCKE</t>
        </is>
      </c>
      <c r="F1192" t="inlineStr">
        <is>
          <t>SCA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55654-2025</t>
        </is>
      </c>
      <c r="B1193" s="1" t="n">
        <v>45972.38594907407</v>
      </c>
      <c r="C1193" s="1" t="n">
        <v>46118</v>
      </c>
      <c r="D1193" t="inlineStr">
        <is>
          <t>JÄMTLANDS LÄN</t>
        </is>
      </c>
      <c r="E1193" t="inlineStr">
        <is>
          <t>BRÄCKE</t>
        </is>
      </c>
      <c r="F1193" t="inlineStr">
        <is>
          <t>SCA</t>
        </is>
      </c>
      <c r="G1193" t="n">
        <v>12.1</v>
      </c>
      <c r="H1193" t="n">
        <v>0</v>
      </c>
      <c r="I1193" t="n">
        <v>0</v>
      </c>
      <c r="J1193" t="n">
        <v>0</v>
      </c>
      <c r="K1193" t="n">
        <v>0</v>
      </c>
      <c r="L1193" t="n">
        <v>0</v>
      </c>
      <c r="M1193" t="n">
        <v>0</v>
      </c>
      <c r="N1193" t="n">
        <v>0</v>
      </c>
      <c r="O1193" t="n">
        <v>0</v>
      </c>
      <c r="P1193" t="n">
        <v>0</v>
      </c>
      <c r="Q1193" t="n">
        <v>0</v>
      </c>
      <c r="R1193" s="2" t="inlineStr"/>
    </row>
    <row r="1194" ht="15" customHeight="1">
      <c r="A1194" t="inlineStr">
        <is>
          <t>A 31520-2022</t>
        </is>
      </c>
      <c r="B1194" s="1" t="n">
        <v>44774.94930555556</v>
      </c>
      <c r="C1194" s="1" t="n">
        <v>46118</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55880-2025</t>
        </is>
      </c>
      <c r="B1195" s="1" t="n">
        <v>45973.36510416667</v>
      </c>
      <c r="C1195" s="1" t="n">
        <v>46118</v>
      </c>
      <c r="D1195" t="inlineStr">
        <is>
          <t>JÄMTLANDS LÄN</t>
        </is>
      </c>
      <c r="E1195" t="inlineStr">
        <is>
          <t>BRÄCKE</t>
        </is>
      </c>
      <c r="F1195" t="inlineStr">
        <is>
          <t>SCA</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52760-2023</t>
        </is>
      </c>
      <c r="B1196" s="1" t="n">
        <v>45225</v>
      </c>
      <c r="C1196" s="1" t="n">
        <v>46118</v>
      </c>
      <c r="D1196" t="inlineStr">
        <is>
          <t>JÄMTLANDS LÄN</t>
        </is>
      </c>
      <c r="E1196" t="inlineStr">
        <is>
          <t>BRÄCKE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55636-2025</t>
        </is>
      </c>
      <c r="B1197" s="1" t="n">
        <v>45972.345</v>
      </c>
      <c r="C1197" s="1" t="n">
        <v>46118</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24026-2024</t>
        </is>
      </c>
      <c r="B1198" s="1" t="n">
        <v>45456.45159722222</v>
      </c>
      <c r="C1198" s="1" t="n">
        <v>46118</v>
      </c>
      <c r="D1198" t="inlineStr">
        <is>
          <t>JÄMTLANDS LÄN</t>
        </is>
      </c>
      <c r="E1198" t="inlineStr">
        <is>
          <t>BRÄCKE</t>
        </is>
      </c>
      <c r="F1198" t="inlineStr">
        <is>
          <t>Övriga Aktiebolag</t>
        </is>
      </c>
      <c r="G1198" t="n">
        <v>23.7</v>
      </c>
      <c r="H1198" t="n">
        <v>0</v>
      </c>
      <c r="I1198" t="n">
        <v>0</v>
      </c>
      <c r="J1198" t="n">
        <v>0</v>
      </c>
      <c r="K1198" t="n">
        <v>0</v>
      </c>
      <c r="L1198" t="n">
        <v>0</v>
      </c>
      <c r="M1198" t="n">
        <v>0</v>
      </c>
      <c r="N1198" t="n">
        <v>0</v>
      </c>
      <c r="O1198" t="n">
        <v>0</v>
      </c>
      <c r="P1198" t="n">
        <v>0</v>
      </c>
      <c r="Q1198" t="n">
        <v>0</v>
      </c>
      <c r="R1198" s="2" t="inlineStr"/>
    </row>
    <row r="1199" ht="15" customHeight="1">
      <c r="A1199" t="inlineStr">
        <is>
          <t>A 55905-2025</t>
        </is>
      </c>
      <c r="B1199" s="1" t="n">
        <v>45973.39108796296</v>
      </c>
      <c r="C1199" s="1" t="n">
        <v>46118</v>
      </c>
      <c r="D1199" t="inlineStr">
        <is>
          <t>JÄMTLANDS LÄN</t>
        </is>
      </c>
      <c r="E1199" t="inlineStr">
        <is>
          <t>BRÄCKE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56535-2025</t>
        </is>
      </c>
      <c r="B1200" s="1" t="n">
        <v>45975.46998842592</v>
      </c>
      <c r="C1200" s="1" t="n">
        <v>46118</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104-2025</t>
        </is>
      </c>
      <c r="B1201" s="1" t="n">
        <v>45659</v>
      </c>
      <c r="C1201" s="1" t="n">
        <v>46118</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9706-2025</t>
        </is>
      </c>
      <c r="B1202" s="1" t="n">
        <v>45716.3858912037</v>
      </c>
      <c r="C1202" s="1" t="n">
        <v>46118</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51827-2023</t>
        </is>
      </c>
      <c r="B1203" s="1" t="n">
        <v>45222.96791666667</v>
      </c>
      <c r="C1203" s="1" t="n">
        <v>46118</v>
      </c>
      <c r="D1203" t="inlineStr">
        <is>
          <t>JÄMTLANDS LÄN</t>
        </is>
      </c>
      <c r="E1203" t="inlineStr">
        <is>
          <t>BRÄCKE</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56431-2025</t>
        </is>
      </c>
      <c r="B1204" s="1" t="n">
        <v>45975.34625</v>
      </c>
      <c r="C1204" s="1" t="n">
        <v>46118</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51378-2024</t>
        </is>
      </c>
      <c r="B1205" s="1" t="n">
        <v>45604.38572916666</v>
      </c>
      <c r="C1205" s="1" t="n">
        <v>46118</v>
      </c>
      <c r="D1205" t="inlineStr">
        <is>
          <t>JÄMTLANDS LÄN</t>
        </is>
      </c>
      <c r="E1205" t="inlineStr">
        <is>
          <t>BRÄCKE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56309-2025</t>
        </is>
      </c>
      <c r="B1206" s="1" t="n">
        <v>45974.61491898148</v>
      </c>
      <c r="C1206" s="1" t="n">
        <v>46118</v>
      </c>
      <c r="D1206" t="inlineStr">
        <is>
          <t>JÄMTLANDS LÄN</t>
        </is>
      </c>
      <c r="E1206" t="inlineStr">
        <is>
          <t>BRÄCKE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24531-2022</t>
        </is>
      </c>
      <c r="B1207" s="1" t="n">
        <v>44726</v>
      </c>
      <c r="C1207" s="1" t="n">
        <v>46118</v>
      </c>
      <c r="D1207" t="inlineStr">
        <is>
          <t>JÄMTLANDS LÄN</t>
        </is>
      </c>
      <c r="E1207" t="inlineStr">
        <is>
          <t>BRÄCKE</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56448-2025</t>
        </is>
      </c>
      <c r="B1208" s="1" t="n">
        <v>45975.34862268518</v>
      </c>
      <c r="C1208" s="1" t="n">
        <v>46118</v>
      </c>
      <c r="D1208" t="inlineStr">
        <is>
          <t>JÄMTLANDS LÄN</t>
        </is>
      </c>
      <c r="E1208" t="inlineStr">
        <is>
          <t>BRÄCKE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56449-2025</t>
        </is>
      </c>
      <c r="B1209" s="1" t="n">
        <v>45975.34864583334</v>
      </c>
      <c r="C1209" s="1" t="n">
        <v>46118</v>
      </c>
      <c r="D1209" t="inlineStr">
        <is>
          <t>JÄMTLANDS LÄN</t>
        </is>
      </c>
      <c r="E1209" t="inlineStr">
        <is>
          <t>BRÄCKE</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51195-2024</t>
        </is>
      </c>
      <c r="B1210" s="1" t="n">
        <v>45603.61532407408</v>
      </c>
      <c r="C1210" s="1" t="n">
        <v>46118</v>
      </c>
      <c r="D1210" t="inlineStr">
        <is>
          <t>JÄMTLANDS LÄN</t>
        </is>
      </c>
      <c r="E1210" t="inlineStr">
        <is>
          <t>BRÄCKE</t>
        </is>
      </c>
      <c r="F1210" t="inlineStr">
        <is>
          <t>SCA</t>
        </is>
      </c>
      <c r="G1210" t="n">
        <v>17.4</v>
      </c>
      <c r="H1210" t="n">
        <v>0</v>
      </c>
      <c r="I1210" t="n">
        <v>0</v>
      </c>
      <c r="J1210" t="n">
        <v>0</v>
      </c>
      <c r="K1210" t="n">
        <v>0</v>
      </c>
      <c r="L1210" t="n">
        <v>0</v>
      </c>
      <c r="M1210" t="n">
        <v>0</v>
      </c>
      <c r="N1210" t="n">
        <v>0</v>
      </c>
      <c r="O1210" t="n">
        <v>0</v>
      </c>
      <c r="P1210" t="n">
        <v>0</v>
      </c>
      <c r="Q1210" t="n">
        <v>0</v>
      </c>
      <c r="R1210" s="2" t="inlineStr"/>
    </row>
    <row r="1211" ht="15" customHeight="1">
      <c r="A1211" t="inlineStr">
        <is>
          <t>A 56738-2025</t>
        </is>
      </c>
      <c r="B1211" s="1" t="n">
        <v>45978.34487268519</v>
      </c>
      <c r="C1211" s="1" t="n">
        <v>46118</v>
      </c>
      <c r="D1211" t="inlineStr">
        <is>
          <t>JÄMTLANDS LÄN</t>
        </is>
      </c>
      <c r="E1211" t="inlineStr">
        <is>
          <t>BRÄCKE</t>
        </is>
      </c>
      <c r="F1211" t="inlineStr">
        <is>
          <t>SCA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56739-2025</t>
        </is>
      </c>
      <c r="B1212" s="1" t="n">
        <v>45978.34491898148</v>
      </c>
      <c r="C1212" s="1" t="n">
        <v>46118</v>
      </c>
      <c r="D1212" t="inlineStr">
        <is>
          <t>JÄMTLANDS LÄN</t>
        </is>
      </c>
      <c r="E1212" t="inlineStr">
        <is>
          <t>BRÄCKE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57036-2025</t>
        </is>
      </c>
      <c r="B1213" s="1" t="n">
        <v>45979.34494212963</v>
      </c>
      <c r="C1213" s="1" t="n">
        <v>46118</v>
      </c>
      <c r="D1213" t="inlineStr">
        <is>
          <t>JÄMTLANDS LÄN</t>
        </is>
      </c>
      <c r="E1213" t="inlineStr">
        <is>
          <t>BRÄCKE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3390-2024</t>
        </is>
      </c>
      <c r="B1214" s="1" t="n">
        <v>45317.94108796296</v>
      </c>
      <c r="C1214" s="1" t="n">
        <v>46118</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62674-2021</t>
        </is>
      </c>
      <c r="B1215" s="1" t="n">
        <v>44503.94478009259</v>
      </c>
      <c r="C1215" s="1" t="n">
        <v>46118</v>
      </c>
      <c r="D1215" t="inlineStr">
        <is>
          <t>JÄMTLANDS LÄN</t>
        </is>
      </c>
      <c r="E1215" t="inlineStr">
        <is>
          <t>BRÄCKE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57139-2025</t>
        </is>
      </c>
      <c r="B1216" s="1" t="n">
        <v>45979.48126157407</v>
      </c>
      <c r="C1216" s="1" t="n">
        <v>46118</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30479-2022</t>
        </is>
      </c>
      <c r="B1217" s="1" t="n">
        <v>44761.94013888889</v>
      </c>
      <c r="C1217" s="1" t="n">
        <v>46118</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57272-2025</t>
        </is>
      </c>
      <c r="B1218" s="1" t="n">
        <v>45979.67814814814</v>
      </c>
      <c r="C1218" s="1" t="n">
        <v>46118</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16317-2025</t>
        </is>
      </c>
      <c r="B1219" s="1" t="n">
        <v>45751.3480787037</v>
      </c>
      <c r="C1219" s="1" t="n">
        <v>46118</v>
      </c>
      <c r="D1219" t="inlineStr">
        <is>
          <t>JÄMTLANDS LÄN</t>
        </is>
      </c>
      <c r="E1219" t="inlineStr">
        <is>
          <t>BRÄCKE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57050-2025</t>
        </is>
      </c>
      <c r="B1220" s="1" t="n">
        <v>45979.34721064815</v>
      </c>
      <c r="C1220" s="1" t="n">
        <v>46118</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57133-2025</t>
        </is>
      </c>
      <c r="B1221" s="1" t="n">
        <v>45979.4744212963</v>
      </c>
      <c r="C1221" s="1" t="n">
        <v>46118</v>
      </c>
      <c r="D1221" t="inlineStr">
        <is>
          <t>JÄMTLANDS LÄN</t>
        </is>
      </c>
      <c r="E1221" t="inlineStr">
        <is>
          <t>BRÄCKE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55997-2024</t>
        </is>
      </c>
      <c r="B1222" s="1" t="n">
        <v>45623.6984837963</v>
      </c>
      <c r="C1222" s="1" t="n">
        <v>46118</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53113-2022</t>
        </is>
      </c>
      <c r="B1223" s="1" t="n">
        <v>44873</v>
      </c>
      <c r="C1223" s="1" t="n">
        <v>46118</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56807-2025</t>
        </is>
      </c>
      <c r="B1224" s="1" t="n">
        <v>45978.44863425926</v>
      </c>
      <c r="C1224" s="1" t="n">
        <v>46118</v>
      </c>
      <c r="D1224" t="inlineStr">
        <is>
          <t>JÄMTLANDS LÄN</t>
        </is>
      </c>
      <c r="E1224" t="inlineStr">
        <is>
          <t>BRÄCKE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57038-2025</t>
        </is>
      </c>
      <c r="B1225" s="1" t="n">
        <v>45979.34527777778</v>
      </c>
      <c r="C1225" s="1" t="n">
        <v>46118</v>
      </c>
      <c r="D1225" t="inlineStr">
        <is>
          <t>JÄMTLANDS LÄN</t>
        </is>
      </c>
      <c r="E1225" t="inlineStr">
        <is>
          <t>BRÄCKE</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57084-2025</t>
        </is>
      </c>
      <c r="B1226" s="1" t="n">
        <v>45979.41707175926</v>
      </c>
      <c r="C1226" s="1" t="n">
        <v>46118</v>
      </c>
      <c r="D1226" t="inlineStr">
        <is>
          <t>JÄMTLANDS LÄN</t>
        </is>
      </c>
      <c r="E1226" t="inlineStr">
        <is>
          <t>BRÄCKE</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3528-2024</t>
        </is>
      </c>
      <c r="B1227" s="1" t="n">
        <v>45320</v>
      </c>
      <c r="C1227" s="1" t="n">
        <v>46118</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6378-2025</t>
        </is>
      </c>
      <c r="B1228" s="1" t="n">
        <v>45699.40689814815</v>
      </c>
      <c r="C1228" s="1" t="n">
        <v>46118</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57334-2025</t>
        </is>
      </c>
      <c r="B1229" s="1" t="n">
        <v>45980.345</v>
      </c>
      <c r="C1229" s="1" t="n">
        <v>46118</v>
      </c>
      <c r="D1229" t="inlineStr">
        <is>
          <t>JÄMTLANDS LÄN</t>
        </is>
      </c>
      <c r="E1229" t="inlineStr">
        <is>
          <t>BRÄCKE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18255-2025</t>
        </is>
      </c>
      <c r="B1230" s="1" t="n">
        <v>45762.3446412037</v>
      </c>
      <c r="C1230" s="1" t="n">
        <v>46118</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57607-2025</t>
        </is>
      </c>
      <c r="B1231" s="1" t="n">
        <v>45981</v>
      </c>
      <c r="C1231" s="1" t="n">
        <v>46118</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57354-2025</t>
        </is>
      </c>
      <c r="B1232" s="1" t="n">
        <v>45980.36532407408</v>
      </c>
      <c r="C1232" s="1" t="n">
        <v>46118</v>
      </c>
      <c r="D1232" t="inlineStr">
        <is>
          <t>JÄMTLANDS LÄN</t>
        </is>
      </c>
      <c r="E1232" t="inlineStr">
        <is>
          <t>BRÄCKE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10088-2025</t>
        </is>
      </c>
      <c r="B1233" s="1" t="n">
        <v>45719.57335648148</v>
      </c>
      <c r="C1233" s="1" t="n">
        <v>46118</v>
      </c>
      <c r="D1233" t="inlineStr">
        <is>
          <t>JÄMTLANDS LÄN</t>
        </is>
      </c>
      <c r="E1233" t="inlineStr">
        <is>
          <t>BRÄCKE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57616-2025</t>
        </is>
      </c>
      <c r="B1234" s="1" t="n">
        <v>45981.34456018519</v>
      </c>
      <c r="C1234" s="1" t="n">
        <v>46118</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10106-2025</t>
        </is>
      </c>
      <c r="B1235" s="1" t="n">
        <v>45719.58611111111</v>
      </c>
      <c r="C1235" s="1" t="n">
        <v>46118</v>
      </c>
      <c r="D1235" t="inlineStr">
        <is>
          <t>JÄMTLANDS LÄN</t>
        </is>
      </c>
      <c r="E1235" t="inlineStr">
        <is>
          <t>BRÄCKE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57352-2025</t>
        </is>
      </c>
      <c r="B1236" s="1" t="n">
        <v>45980.36506944444</v>
      </c>
      <c r="C1236" s="1" t="n">
        <v>46118</v>
      </c>
      <c r="D1236" t="inlineStr">
        <is>
          <t>JÄMTLANDS LÄN</t>
        </is>
      </c>
      <c r="E1236" t="inlineStr">
        <is>
          <t>BRÄCKE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57850-2025</t>
        </is>
      </c>
      <c r="B1237" s="1" t="n">
        <v>45981.6360300926</v>
      </c>
      <c r="C1237" s="1" t="n">
        <v>46118</v>
      </c>
      <c r="D1237" t="inlineStr">
        <is>
          <t>JÄMTLANDS LÄN</t>
        </is>
      </c>
      <c r="E1237" t="inlineStr">
        <is>
          <t>BRÄCKE</t>
        </is>
      </c>
      <c r="F1237" t="inlineStr">
        <is>
          <t>SCA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11313-2022</t>
        </is>
      </c>
      <c r="B1238" s="1" t="n">
        <v>44629.94712962963</v>
      </c>
      <c r="C1238" s="1" t="n">
        <v>46118</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23747-2021</t>
        </is>
      </c>
      <c r="B1239" s="1" t="n">
        <v>44334</v>
      </c>
      <c r="C1239" s="1" t="n">
        <v>46118</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13019-2023</t>
        </is>
      </c>
      <c r="B1240" s="1" t="n">
        <v>45001</v>
      </c>
      <c r="C1240" s="1" t="n">
        <v>46118</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61362-2024</t>
        </is>
      </c>
      <c r="B1241" s="1" t="n">
        <v>45646.3857175926</v>
      </c>
      <c r="C1241" s="1" t="n">
        <v>46118</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49339-2024</t>
        </is>
      </c>
      <c r="B1242" s="1" t="n">
        <v>45595.59420138889</v>
      </c>
      <c r="C1242" s="1" t="n">
        <v>46118</v>
      </c>
      <c r="D1242" t="inlineStr">
        <is>
          <t>JÄMTLANDS LÄN</t>
        </is>
      </c>
      <c r="E1242" t="inlineStr">
        <is>
          <t>BRÄCKE</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60178-2022</t>
        </is>
      </c>
      <c r="B1243" s="1" t="n">
        <v>44909</v>
      </c>
      <c r="C1243" s="1" t="n">
        <v>46118</v>
      </c>
      <c r="D1243" t="inlineStr">
        <is>
          <t>JÄMTLANDS LÄN</t>
        </is>
      </c>
      <c r="E1243" t="inlineStr">
        <is>
          <t>BRÄCKE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22981-2024</t>
        </is>
      </c>
      <c r="B1244" s="1" t="n">
        <v>45449.90369212963</v>
      </c>
      <c r="C1244" s="1" t="n">
        <v>46118</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29821-2022</t>
        </is>
      </c>
      <c r="B1245" s="1" t="n">
        <v>44755.94486111111</v>
      </c>
      <c r="C1245" s="1" t="n">
        <v>46118</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16466-2024</t>
        </is>
      </c>
      <c r="B1246" s="1" t="n">
        <v>45408.050625</v>
      </c>
      <c r="C1246" s="1" t="n">
        <v>46118</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57948-2025</t>
        </is>
      </c>
      <c r="B1247" s="1" t="n">
        <v>45982.34452546296</v>
      </c>
      <c r="C1247" s="1" t="n">
        <v>46118</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58091-2025</t>
        </is>
      </c>
      <c r="B1248" s="1" t="n">
        <v>45982.57381944444</v>
      </c>
      <c r="C1248" s="1" t="n">
        <v>46118</v>
      </c>
      <c r="D1248" t="inlineStr">
        <is>
          <t>JÄMTLANDS LÄN</t>
        </is>
      </c>
      <c r="E1248" t="inlineStr">
        <is>
          <t>BRÄCKE</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54334-2023</t>
        </is>
      </c>
      <c r="B1249" s="1" t="n">
        <v>45232.95790509259</v>
      </c>
      <c r="C1249" s="1" t="n">
        <v>46118</v>
      </c>
      <c r="D1249" t="inlineStr">
        <is>
          <t>JÄMTLANDS LÄN</t>
        </is>
      </c>
      <c r="E1249" t="inlineStr">
        <is>
          <t>BRÄCKE</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58495-2025</t>
        </is>
      </c>
      <c r="B1250" s="1" t="n">
        <v>45985.67776620371</v>
      </c>
      <c r="C1250" s="1" t="n">
        <v>46118</v>
      </c>
      <c r="D1250" t="inlineStr">
        <is>
          <t>JÄMTLANDS LÄN</t>
        </is>
      </c>
      <c r="E1250" t="inlineStr">
        <is>
          <t>BRÄCKE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58351-2025</t>
        </is>
      </c>
      <c r="B1251" s="1" t="n">
        <v>45985.5109375</v>
      </c>
      <c r="C1251" s="1" t="n">
        <v>46118</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58132-2025</t>
        </is>
      </c>
      <c r="B1252" s="1" t="n">
        <v>45982.61650462963</v>
      </c>
      <c r="C1252" s="1" t="n">
        <v>46118</v>
      </c>
      <c r="D1252" t="inlineStr">
        <is>
          <t>JÄMTLANDS LÄN</t>
        </is>
      </c>
      <c r="E1252" t="inlineStr">
        <is>
          <t>BRÄCKE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58826-2025</t>
        </is>
      </c>
      <c r="B1253" s="1" t="n">
        <v>45987.346875</v>
      </c>
      <c r="C1253" s="1" t="n">
        <v>46118</v>
      </c>
      <c r="D1253" t="inlineStr">
        <is>
          <t>JÄMTLANDS LÄN</t>
        </is>
      </c>
      <c r="E1253" t="inlineStr">
        <is>
          <t>BRÄCKE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31521-2022</t>
        </is>
      </c>
      <c r="B1254" s="1" t="n">
        <v>44774.949375</v>
      </c>
      <c r="C1254" s="1" t="n">
        <v>46118</v>
      </c>
      <c r="D1254" t="inlineStr">
        <is>
          <t>JÄMTLANDS LÄN</t>
        </is>
      </c>
      <c r="E1254" t="inlineStr">
        <is>
          <t>BRÄCKE</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58618-2025</t>
        </is>
      </c>
      <c r="B1255" s="1" t="n">
        <v>45986.46935185185</v>
      </c>
      <c r="C1255" s="1" t="n">
        <v>46118</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58972-2025</t>
        </is>
      </c>
      <c r="B1256" s="1" t="n">
        <v>45987</v>
      </c>
      <c r="C1256" s="1" t="n">
        <v>46118</v>
      </c>
      <c r="D1256" t="inlineStr">
        <is>
          <t>JÄMTLANDS LÄN</t>
        </is>
      </c>
      <c r="E1256" t="inlineStr">
        <is>
          <t>BRÄCKE</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41922-2023</t>
        </is>
      </c>
      <c r="B1257" s="1" t="n">
        <v>45176</v>
      </c>
      <c r="C1257" s="1" t="n">
        <v>46118</v>
      </c>
      <c r="D1257" t="inlineStr">
        <is>
          <t>JÄMTLANDS LÄN</t>
        </is>
      </c>
      <c r="E1257" t="inlineStr">
        <is>
          <t>BRÄCKE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5005-2025</t>
        </is>
      </c>
      <c r="B1258" s="1" t="n">
        <v>45691.36862268519</v>
      </c>
      <c r="C1258" s="1" t="n">
        <v>46118</v>
      </c>
      <c r="D1258" t="inlineStr">
        <is>
          <t>JÄMTLANDS LÄN</t>
        </is>
      </c>
      <c r="E1258" t="inlineStr">
        <is>
          <t>BRÄCKE</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20667-2022</t>
        </is>
      </c>
      <c r="B1259" s="1" t="n">
        <v>44700.65226851852</v>
      </c>
      <c r="C1259" s="1" t="n">
        <v>46118</v>
      </c>
      <c r="D1259" t="inlineStr">
        <is>
          <t>JÄMTLANDS LÄN</t>
        </is>
      </c>
      <c r="E1259" t="inlineStr">
        <is>
          <t>BRÄCKE</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20514-2024</t>
        </is>
      </c>
      <c r="B1260" s="1" t="n">
        <v>45435.94387731481</v>
      </c>
      <c r="C1260" s="1" t="n">
        <v>46118</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58957-2025</t>
        </is>
      </c>
      <c r="B1261" s="1" t="n">
        <v>45987.59512731482</v>
      </c>
      <c r="C1261" s="1" t="n">
        <v>46118</v>
      </c>
      <c r="D1261" t="inlineStr">
        <is>
          <t>JÄMTLANDS LÄN</t>
        </is>
      </c>
      <c r="E1261" t="inlineStr">
        <is>
          <t>BRÄCKE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59914-2022</t>
        </is>
      </c>
      <c r="B1262" s="1" t="n">
        <v>44908.96010416667</v>
      </c>
      <c r="C1262" s="1" t="n">
        <v>46118</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50813-2024</t>
        </is>
      </c>
      <c r="B1263" s="1" t="n">
        <v>45602</v>
      </c>
      <c r="C1263" s="1" t="n">
        <v>46118</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30287-2024</t>
        </is>
      </c>
      <c r="B1264" s="1" t="n">
        <v>45490.6452199074</v>
      </c>
      <c r="C1264" s="1" t="n">
        <v>46118</v>
      </c>
      <c r="D1264" t="inlineStr">
        <is>
          <t>JÄMTLANDS LÄN</t>
        </is>
      </c>
      <c r="E1264" t="inlineStr">
        <is>
          <t>BRÄCKE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59323-2025</t>
        </is>
      </c>
      <c r="B1265" s="1" t="n">
        <v>45989.34443287037</v>
      </c>
      <c r="C1265" s="1" t="n">
        <v>46118</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65433-2021</t>
        </is>
      </c>
      <c r="B1266" s="1" t="n">
        <v>44515.93875</v>
      </c>
      <c r="C1266" s="1" t="n">
        <v>46118</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10763-2023</t>
        </is>
      </c>
      <c r="B1267" s="1" t="n">
        <v>44988</v>
      </c>
      <c r="C1267" s="1" t="n">
        <v>46118</v>
      </c>
      <c r="D1267" t="inlineStr">
        <is>
          <t>JÄMTLANDS LÄN</t>
        </is>
      </c>
      <c r="E1267" t="inlineStr">
        <is>
          <t>BRÄCKE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43123-2023</t>
        </is>
      </c>
      <c r="B1268" s="1" t="n">
        <v>45182</v>
      </c>
      <c r="C1268" s="1" t="n">
        <v>46118</v>
      </c>
      <c r="D1268" t="inlineStr">
        <is>
          <t>JÄMTLANDS LÄN</t>
        </is>
      </c>
      <c r="E1268" t="inlineStr">
        <is>
          <t>BRÄCKE</t>
        </is>
      </c>
      <c r="F1268" t="inlineStr">
        <is>
          <t>Naturvårdsverket</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60015-2021</t>
        </is>
      </c>
      <c r="B1269" s="1" t="n">
        <v>44494.94096064815</v>
      </c>
      <c r="C1269" s="1" t="n">
        <v>46118</v>
      </c>
      <c r="D1269" t="inlineStr">
        <is>
          <t>JÄMTLANDS LÄN</t>
        </is>
      </c>
      <c r="E1269" t="inlineStr">
        <is>
          <t>BRÄCKE</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59285-2025</t>
        </is>
      </c>
      <c r="B1270" s="1" t="n">
        <v>45988.73943287037</v>
      </c>
      <c r="C1270" s="1" t="n">
        <v>46118</v>
      </c>
      <c r="D1270" t="inlineStr">
        <is>
          <t>JÄMTLANDS LÄN</t>
        </is>
      </c>
      <c r="E1270" t="inlineStr">
        <is>
          <t>BRÄCKE</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57783-2023</t>
        </is>
      </c>
      <c r="B1271" s="1" t="n">
        <v>45246.96743055555</v>
      </c>
      <c r="C1271" s="1" t="n">
        <v>46118</v>
      </c>
      <c r="D1271" t="inlineStr">
        <is>
          <t>JÄMTLANDS LÄN</t>
        </is>
      </c>
      <c r="E1271" t="inlineStr">
        <is>
          <t>BRÄCKE</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1672-2025</t>
        </is>
      </c>
      <c r="B1272" s="1" t="n">
        <v>45670.6781712963</v>
      </c>
      <c r="C1272" s="1" t="n">
        <v>46118</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32429-2024</t>
        </is>
      </c>
      <c r="B1273" s="1" t="n">
        <v>45512.92820601852</v>
      </c>
      <c r="C1273" s="1" t="n">
        <v>46118</v>
      </c>
      <c r="D1273" t="inlineStr">
        <is>
          <t>JÄMTLANDS LÄN</t>
        </is>
      </c>
      <c r="E1273" t="inlineStr">
        <is>
          <t>BRÄCKE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47983-2021</t>
        </is>
      </c>
      <c r="B1274" s="1" t="n">
        <v>44448</v>
      </c>
      <c r="C1274" s="1" t="n">
        <v>46118</v>
      </c>
      <c r="D1274" t="inlineStr">
        <is>
          <t>JÄMTLANDS LÄN</t>
        </is>
      </c>
      <c r="E1274" t="inlineStr">
        <is>
          <t>BRÄCKE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49721-2024</t>
        </is>
      </c>
      <c r="B1275" s="1" t="n">
        <v>45596.72841435186</v>
      </c>
      <c r="C1275" s="1" t="n">
        <v>46118</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14601-2025</t>
        </is>
      </c>
      <c r="B1276" s="1" t="n">
        <v>45742.36497685185</v>
      </c>
      <c r="C1276" s="1" t="n">
        <v>46118</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59542-2025</t>
        </is>
      </c>
      <c r="B1277" s="1" t="n">
        <v>45990.34454861111</v>
      </c>
      <c r="C1277" s="1" t="n">
        <v>46118</v>
      </c>
      <c r="D1277" t="inlineStr">
        <is>
          <t>JÄMTLANDS LÄN</t>
        </is>
      </c>
      <c r="E1277" t="inlineStr">
        <is>
          <t>BRÄCKE</t>
        </is>
      </c>
      <c r="F1277" t="inlineStr">
        <is>
          <t>SCA</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59545-2025</t>
        </is>
      </c>
      <c r="B1278" s="1" t="n">
        <v>45990.34488425926</v>
      </c>
      <c r="C1278" s="1" t="n">
        <v>46118</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62249-2021</t>
        </is>
      </c>
      <c r="B1279" s="1" t="n">
        <v>44503</v>
      </c>
      <c r="C1279" s="1" t="n">
        <v>46118</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59543-2025</t>
        </is>
      </c>
      <c r="B1280" s="1" t="n">
        <v>45990.34466435185</v>
      </c>
      <c r="C1280" s="1" t="n">
        <v>46118</v>
      </c>
      <c r="D1280" t="inlineStr">
        <is>
          <t>JÄMTLANDS LÄN</t>
        </is>
      </c>
      <c r="E1280" t="inlineStr">
        <is>
          <t>BRÄCKE</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59544-2025</t>
        </is>
      </c>
      <c r="B1281" s="1" t="n">
        <v>45990.34483796296</v>
      </c>
      <c r="C1281" s="1" t="n">
        <v>46118</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59547-2025</t>
        </is>
      </c>
      <c r="B1282" s="1" t="n">
        <v>45990.34509259259</v>
      </c>
      <c r="C1282" s="1" t="n">
        <v>46118</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59976-2025</t>
        </is>
      </c>
      <c r="B1283" s="1" t="n">
        <v>45993.51091435185</v>
      </c>
      <c r="C1283" s="1" t="n">
        <v>46118</v>
      </c>
      <c r="D1283" t="inlineStr">
        <is>
          <t>JÄMTLANDS LÄN</t>
        </is>
      </c>
      <c r="E1283" t="inlineStr">
        <is>
          <t>BRÄCKE</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60053-2025</t>
        </is>
      </c>
      <c r="B1284" s="1" t="n">
        <v>45993.63614583333</v>
      </c>
      <c r="C1284" s="1" t="n">
        <v>46118</v>
      </c>
      <c r="D1284" t="inlineStr">
        <is>
          <t>JÄMTLANDS LÄN</t>
        </is>
      </c>
      <c r="E1284" t="inlineStr">
        <is>
          <t>BRÄCKE</t>
        </is>
      </c>
      <c r="F1284" t="inlineStr">
        <is>
          <t>SCA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19615-2025</t>
        </is>
      </c>
      <c r="B1285" s="1" t="n">
        <v>45770.61519675926</v>
      </c>
      <c r="C1285" s="1" t="n">
        <v>46118</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60321-2025</t>
        </is>
      </c>
      <c r="B1286" s="1" t="n">
        <v>45994.71998842592</v>
      </c>
      <c r="C1286" s="1" t="n">
        <v>46118</v>
      </c>
      <c r="D1286" t="inlineStr">
        <is>
          <t>JÄMTLANDS LÄN</t>
        </is>
      </c>
      <c r="E1286" t="inlineStr">
        <is>
          <t>BRÄCKE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11310-2025</t>
        </is>
      </c>
      <c r="B1287" s="1" t="n">
        <v>45726.44832175926</v>
      </c>
      <c r="C1287" s="1" t="n">
        <v>46118</v>
      </c>
      <c r="D1287" t="inlineStr">
        <is>
          <t>JÄMTLANDS LÄN</t>
        </is>
      </c>
      <c r="E1287" t="inlineStr">
        <is>
          <t>BRÄCKE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6362-2024</t>
        </is>
      </c>
      <c r="B1288" s="1" t="n">
        <v>45338</v>
      </c>
      <c r="C1288" s="1" t="n">
        <v>46118</v>
      </c>
      <c r="D1288" t="inlineStr">
        <is>
          <t>JÄMTLANDS LÄN</t>
        </is>
      </c>
      <c r="E1288" t="inlineStr">
        <is>
          <t>BRÄCKE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60132-2025</t>
        </is>
      </c>
      <c r="B1289" s="1" t="n">
        <v>45994.34591435185</v>
      </c>
      <c r="C1289" s="1" t="n">
        <v>46118</v>
      </c>
      <c r="D1289" t="inlineStr">
        <is>
          <t>JÄMTLANDS LÄN</t>
        </is>
      </c>
      <c r="E1289" t="inlineStr">
        <is>
          <t>BRÄCKE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19996-2024</t>
        </is>
      </c>
      <c r="B1290" s="1" t="n">
        <v>45433.92756944444</v>
      </c>
      <c r="C1290" s="1" t="n">
        <v>46118</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21781-2023</t>
        </is>
      </c>
      <c r="B1291" s="1" t="n">
        <v>45065</v>
      </c>
      <c r="C1291" s="1" t="n">
        <v>46118</v>
      </c>
      <c r="D1291" t="inlineStr">
        <is>
          <t>JÄMTLANDS LÄN</t>
        </is>
      </c>
      <c r="E1291" t="inlineStr">
        <is>
          <t>BRÄCKE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60432-2025</t>
        </is>
      </c>
      <c r="B1292" s="1" t="n">
        <v>45995.47159722223</v>
      </c>
      <c r="C1292" s="1" t="n">
        <v>46118</v>
      </c>
      <c r="D1292" t="inlineStr">
        <is>
          <t>JÄMTLANDS LÄN</t>
        </is>
      </c>
      <c r="E1292" t="inlineStr">
        <is>
          <t>BRÄCKE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23013-2021</t>
        </is>
      </c>
      <c r="B1293" s="1" t="n">
        <v>44328</v>
      </c>
      <c r="C1293" s="1" t="n">
        <v>46118</v>
      </c>
      <c r="D1293" t="inlineStr">
        <is>
          <t>JÄMTLANDS LÄN</t>
        </is>
      </c>
      <c r="E1293" t="inlineStr">
        <is>
          <t>BRÄCKE</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60353-2025</t>
        </is>
      </c>
      <c r="B1294" s="1" t="n">
        <v>45995.30998842593</v>
      </c>
      <c r="C1294" s="1" t="n">
        <v>46118</v>
      </c>
      <c r="D1294" t="inlineStr">
        <is>
          <t>JÄMTLANDS LÄN</t>
        </is>
      </c>
      <c r="E1294" t="inlineStr">
        <is>
          <t>BRÄCKE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60355-2025</t>
        </is>
      </c>
      <c r="B1295" s="1" t="n">
        <v>45995.31350694445</v>
      </c>
      <c r="C1295" s="1" t="n">
        <v>46118</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60377-2025</t>
        </is>
      </c>
      <c r="B1296" s="1" t="n">
        <v>45995.36479166667</v>
      </c>
      <c r="C1296" s="1" t="n">
        <v>46118</v>
      </c>
      <c r="D1296" t="inlineStr">
        <is>
          <t>JÄMTLANDS LÄN</t>
        </is>
      </c>
      <c r="E1296" t="inlineStr">
        <is>
          <t>BRÄCKE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21637-2021</t>
        </is>
      </c>
      <c r="B1297" s="1" t="n">
        <v>44321</v>
      </c>
      <c r="C1297" s="1" t="n">
        <v>46118</v>
      </c>
      <c r="D1297" t="inlineStr">
        <is>
          <t>JÄMTLANDS LÄN</t>
        </is>
      </c>
      <c r="E1297" t="inlineStr">
        <is>
          <t>BRÄCKE</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57590-2024</t>
        </is>
      </c>
      <c r="B1298" s="1" t="n">
        <v>45630.49729166667</v>
      </c>
      <c r="C1298" s="1" t="n">
        <v>46118</v>
      </c>
      <c r="D1298" t="inlineStr">
        <is>
          <t>JÄMTLANDS LÄN</t>
        </is>
      </c>
      <c r="E1298" t="inlineStr">
        <is>
          <t>BRÄCKE</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60295-2025</t>
        </is>
      </c>
      <c r="B1299" s="1" t="n">
        <v>45994.65680555555</v>
      </c>
      <c r="C1299" s="1" t="n">
        <v>46118</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60248-2025</t>
        </is>
      </c>
      <c r="B1300" s="1" t="n">
        <v>45994.59428240741</v>
      </c>
      <c r="C1300" s="1" t="n">
        <v>46118</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55667-2023</t>
        </is>
      </c>
      <c r="B1301" s="1" t="n">
        <v>45238.96780092592</v>
      </c>
      <c r="C1301" s="1" t="n">
        <v>46118</v>
      </c>
      <c r="D1301" t="inlineStr">
        <is>
          <t>JÄMTLANDS LÄN</t>
        </is>
      </c>
      <c r="E1301" t="inlineStr">
        <is>
          <t>BRÄCKE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55668-2023</t>
        </is>
      </c>
      <c r="B1302" s="1" t="n">
        <v>45238</v>
      </c>
      <c r="C1302" s="1" t="n">
        <v>46118</v>
      </c>
      <c r="D1302" t="inlineStr">
        <is>
          <t>JÄMTLANDS LÄN</t>
        </is>
      </c>
      <c r="E1302" t="inlineStr">
        <is>
          <t>BRÄCKE</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60221-2025</t>
        </is>
      </c>
      <c r="B1303" s="1" t="n">
        <v>45994.54357638889</v>
      </c>
      <c r="C1303" s="1" t="n">
        <v>46118</v>
      </c>
      <c r="D1303" t="inlineStr">
        <is>
          <t>JÄMTLANDS LÄN</t>
        </is>
      </c>
      <c r="E1303" t="inlineStr">
        <is>
          <t>BRÄCKE</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60220-2025</t>
        </is>
      </c>
      <c r="B1304" s="1" t="n">
        <v>45994</v>
      </c>
      <c r="C1304" s="1" t="n">
        <v>46118</v>
      </c>
      <c r="D1304" t="inlineStr">
        <is>
          <t>JÄMTLANDS LÄN</t>
        </is>
      </c>
      <c r="E1304" t="inlineStr">
        <is>
          <t>BRÄCKE</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60769-2025</t>
        </is>
      </c>
      <c r="B1305" s="1" t="n">
        <v>45999.38702546297</v>
      </c>
      <c r="C1305" s="1" t="n">
        <v>46118</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60762-2025</t>
        </is>
      </c>
      <c r="B1306" s="1" t="n">
        <v>45999.3863425926</v>
      </c>
      <c r="C1306" s="1" t="n">
        <v>46118</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41694-2025</t>
        </is>
      </c>
      <c r="B1307" s="1" t="n">
        <v>45902</v>
      </c>
      <c r="C1307" s="1" t="n">
        <v>46118</v>
      </c>
      <c r="D1307" t="inlineStr">
        <is>
          <t>JÄMTLANDS LÄN</t>
        </is>
      </c>
      <c r="E1307" t="inlineStr">
        <is>
          <t>BRÄCKE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60660-2025</t>
        </is>
      </c>
      <c r="B1308" s="1" t="n">
        <v>45996.48990740741</v>
      </c>
      <c r="C1308" s="1" t="n">
        <v>46118</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23064-2024</t>
        </is>
      </c>
      <c r="B1309" s="1" t="n">
        <v>45450.44827546296</v>
      </c>
      <c r="C1309" s="1" t="n">
        <v>46118</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37048-2021</t>
        </is>
      </c>
      <c r="B1310" s="1" t="n">
        <v>44393.93534722222</v>
      </c>
      <c r="C1310" s="1" t="n">
        <v>46118</v>
      </c>
      <c r="D1310" t="inlineStr">
        <is>
          <t>JÄMTLANDS LÄN</t>
        </is>
      </c>
      <c r="E1310" t="inlineStr">
        <is>
          <t>BRÄCKE</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25934-2024</t>
        </is>
      </c>
      <c r="B1311" s="1" t="n">
        <v>45467.62287037037</v>
      </c>
      <c r="C1311" s="1" t="n">
        <v>46118</v>
      </c>
      <c r="D1311" t="inlineStr">
        <is>
          <t>JÄMTLANDS LÄN</t>
        </is>
      </c>
      <c r="E1311" t="inlineStr">
        <is>
          <t>BRÄCKE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63534-2023</t>
        </is>
      </c>
      <c r="B1312" s="1" t="n">
        <v>45274.94905092593</v>
      </c>
      <c r="C1312" s="1" t="n">
        <v>46118</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45577-2023</t>
        </is>
      </c>
      <c r="B1313" s="1" t="n">
        <v>45194</v>
      </c>
      <c r="C1313" s="1" t="n">
        <v>46118</v>
      </c>
      <c r="D1313" t="inlineStr">
        <is>
          <t>JÄMTLANDS LÄN</t>
        </is>
      </c>
      <c r="E1313" t="inlineStr">
        <is>
          <t>BRÄCKE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61171-2025</t>
        </is>
      </c>
      <c r="B1314" s="1" t="n">
        <v>46000.57232638889</v>
      </c>
      <c r="C1314" s="1" t="n">
        <v>46118</v>
      </c>
      <c r="D1314" t="inlineStr">
        <is>
          <t>JÄMTLANDS LÄN</t>
        </is>
      </c>
      <c r="E1314" t="inlineStr">
        <is>
          <t>BRÄCKE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53522-2023</t>
        </is>
      </c>
      <c r="B1315" s="1" t="n">
        <v>45223</v>
      </c>
      <c r="C1315" s="1" t="n">
        <v>46118</v>
      </c>
      <c r="D1315" t="inlineStr">
        <is>
          <t>JÄMTLANDS LÄN</t>
        </is>
      </c>
      <c r="E1315" t="inlineStr">
        <is>
          <t>BRÄCKE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61190-2025</t>
        </is>
      </c>
      <c r="B1316" s="1" t="n">
        <v>46000.59221064814</v>
      </c>
      <c r="C1316" s="1" t="n">
        <v>46118</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61196-2025</t>
        </is>
      </c>
      <c r="B1317" s="1" t="n">
        <v>46000.60346064815</v>
      </c>
      <c r="C1317" s="1" t="n">
        <v>46118</v>
      </c>
      <c r="D1317" t="inlineStr">
        <is>
          <t>JÄMTLANDS LÄN</t>
        </is>
      </c>
      <c r="E1317" t="inlineStr">
        <is>
          <t>BRÄCKE</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21380-2024</t>
        </is>
      </c>
      <c r="B1318" s="1" t="n">
        <v>45440</v>
      </c>
      <c r="C1318" s="1" t="n">
        <v>46118</v>
      </c>
      <c r="D1318" t="inlineStr">
        <is>
          <t>JÄMTLANDS LÄN</t>
        </is>
      </c>
      <c r="E1318" t="inlineStr">
        <is>
          <t>BRÄCKE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21381-2024</t>
        </is>
      </c>
      <c r="B1319" s="1" t="n">
        <v>45440.95402777778</v>
      </c>
      <c r="C1319" s="1" t="n">
        <v>46118</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64037-2023</t>
        </is>
      </c>
      <c r="B1320" s="1" t="n">
        <v>45278.94344907408</v>
      </c>
      <c r="C1320" s="1" t="n">
        <v>46118</v>
      </c>
      <c r="D1320" t="inlineStr">
        <is>
          <t>JÄMTLANDS LÄN</t>
        </is>
      </c>
      <c r="E1320" t="inlineStr">
        <is>
          <t>BRÄCKE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34137-2023</t>
        </is>
      </c>
      <c r="B1321" s="1" t="n">
        <v>45135</v>
      </c>
      <c r="C1321" s="1" t="n">
        <v>46118</v>
      </c>
      <c r="D1321" t="inlineStr">
        <is>
          <t>JÄMTLANDS LÄN</t>
        </is>
      </c>
      <c r="E1321" t="inlineStr">
        <is>
          <t>BRÄCKE</t>
        </is>
      </c>
      <c r="F1321" t="inlineStr">
        <is>
          <t>SCA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61489-2025</t>
        </is>
      </c>
      <c r="B1322" s="1" t="n">
        <v>46001.63672453703</v>
      </c>
      <c r="C1322" s="1" t="n">
        <v>46118</v>
      </c>
      <c r="D1322" t="inlineStr">
        <is>
          <t>JÄMTLANDS LÄN</t>
        </is>
      </c>
      <c r="E1322" t="inlineStr">
        <is>
          <t>BRÄCKE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61862-2025</t>
        </is>
      </c>
      <c r="B1323" s="1" t="n">
        <v>46003.38708333333</v>
      </c>
      <c r="C1323" s="1" t="n">
        <v>46118</v>
      </c>
      <c r="D1323" t="inlineStr">
        <is>
          <t>JÄMTLANDS LÄN</t>
        </is>
      </c>
      <c r="E1323" t="inlineStr">
        <is>
          <t>BRÄCKE</t>
        </is>
      </c>
      <c r="F1323" t="inlineStr">
        <is>
          <t>SCA</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61827-2025</t>
        </is>
      </c>
      <c r="B1324" s="1" t="n">
        <v>46003.33991898148</v>
      </c>
      <c r="C1324" s="1" t="n">
        <v>46118</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61859-2025</t>
        </is>
      </c>
      <c r="B1325" s="1" t="n">
        <v>46003.38662037037</v>
      </c>
      <c r="C1325" s="1" t="n">
        <v>46118</v>
      </c>
      <c r="D1325" t="inlineStr">
        <is>
          <t>JÄMTLANDS LÄN</t>
        </is>
      </c>
      <c r="E1325" t="inlineStr">
        <is>
          <t>BRÄCKE</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52023-2022</t>
        </is>
      </c>
      <c r="B1326" s="1" t="n">
        <v>44872.95675925926</v>
      </c>
      <c r="C1326" s="1" t="n">
        <v>46118</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62023-2025</t>
        </is>
      </c>
      <c r="B1327" s="1" t="n">
        <v>46003.69858796296</v>
      </c>
      <c r="C1327" s="1" t="n">
        <v>46118</v>
      </c>
      <c r="D1327" t="inlineStr">
        <is>
          <t>JÄMTLANDS LÄN</t>
        </is>
      </c>
      <c r="E1327" t="inlineStr">
        <is>
          <t>BRÄCKE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30480-2022</t>
        </is>
      </c>
      <c r="B1328" s="1" t="n">
        <v>44761.94019675926</v>
      </c>
      <c r="C1328" s="1" t="n">
        <v>46118</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61587-2025</t>
        </is>
      </c>
      <c r="B1329" s="1" t="n">
        <v>46002.34481481482</v>
      </c>
      <c r="C1329" s="1" t="n">
        <v>46118</v>
      </c>
      <c r="D1329" t="inlineStr">
        <is>
          <t>JÄMTLANDS LÄN</t>
        </is>
      </c>
      <c r="E1329" t="inlineStr">
        <is>
          <t>BRÄCKE</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2197-2025</t>
        </is>
      </c>
      <c r="B1330" s="1" t="n">
        <v>45673.38782407407</v>
      </c>
      <c r="C1330" s="1" t="n">
        <v>46118</v>
      </c>
      <c r="D1330" t="inlineStr">
        <is>
          <t>JÄMTLANDS LÄN</t>
        </is>
      </c>
      <c r="E1330" t="inlineStr">
        <is>
          <t>BRÄCKE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61903-2025</t>
        </is>
      </c>
      <c r="B1331" s="1" t="n">
        <v>46003.46973379629</v>
      </c>
      <c r="C1331" s="1" t="n">
        <v>46118</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31843-2022</t>
        </is>
      </c>
      <c r="B1332" s="1" t="n">
        <v>44776.94121527778</v>
      </c>
      <c r="C1332" s="1" t="n">
        <v>46118</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31853-2022</t>
        </is>
      </c>
      <c r="B1333" s="1" t="n">
        <v>44776</v>
      </c>
      <c r="C1333" s="1" t="n">
        <v>46118</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62022-2025</t>
        </is>
      </c>
      <c r="B1334" s="1" t="n">
        <v>46003.69835648148</v>
      </c>
      <c r="C1334" s="1" t="n">
        <v>46118</v>
      </c>
      <c r="D1334" t="inlineStr">
        <is>
          <t>JÄMTLANDS LÄN</t>
        </is>
      </c>
      <c r="E1334" t="inlineStr">
        <is>
          <t>BRÄCKE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16158-2024</t>
        </is>
      </c>
      <c r="B1335" s="1" t="n">
        <v>45406.5909837963</v>
      </c>
      <c r="C1335" s="1" t="n">
        <v>46118</v>
      </c>
      <c r="D1335" t="inlineStr">
        <is>
          <t>JÄMTLANDS LÄN</t>
        </is>
      </c>
      <c r="E1335" t="inlineStr">
        <is>
          <t>BRÄCKE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46118</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62535-2025</t>
        </is>
      </c>
      <c r="B1337" s="1" t="n">
        <v>46007.63792824074</v>
      </c>
      <c r="C1337" s="1" t="n">
        <v>46118</v>
      </c>
      <c r="D1337" t="inlineStr">
        <is>
          <t>JÄMTLANDS LÄN</t>
        </is>
      </c>
      <c r="E1337" t="inlineStr">
        <is>
          <t>BRÄCKE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62236-2025</t>
        </is>
      </c>
      <c r="B1338" s="1" t="n">
        <v>46006.59461805555</v>
      </c>
      <c r="C1338" s="1" t="n">
        <v>46118</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62261-2025</t>
        </is>
      </c>
      <c r="B1339" s="1" t="n">
        <v>46006.61622685185</v>
      </c>
      <c r="C1339" s="1" t="n">
        <v>46118</v>
      </c>
      <c r="D1339" t="inlineStr">
        <is>
          <t>JÄMTLANDS LÄN</t>
        </is>
      </c>
      <c r="E1339" t="inlineStr">
        <is>
          <t>BRÄCKE</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62389-2025</t>
        </is>
      </c>
      <c r="B1340" s="1" t="n">
        <v>46007.38496527778</v>
      </c>
      <c r="C1340" s="1" t="n">
        <v>46118</v>
      </c>
      <c r="D1340" t="inlineStr">
        <is>
          <t>JÄMTLANDS LÄN</t>
        </is>
      </c>
      <c r="E1340" t="inlineStr">
        <is>
          <t>BRÄCKE</t>
        </is>
      </c>
      <c r="F1340" t="inlineStr">
        <is>
          <t>Övriga Aktiebolag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62063-2025</t>
        </is>
      </c>
      <c r="B1341" s="1" t="n">
        <v>46006.34462962963</v>
      </c>
      <c r="C1341" s="1" t="n">
        <v>46118</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62265-2025</t>
        </is>
      </c>
      <c r="B1342" s="1" t="n">
        <v>46006.61657407408</v>
      </c>
      <c r="C1342" s="1" t="n">
        <v>46118</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62233-2025</t>
        </is>
      </c>
      <c r="B1343" s="1" t="n">
        <v>46006.59424768519</v>
      </c>
      <c r="C1343" s="1" t="n">
        <v>46118</v>
      </c>
      <c r="D1343" t="inlineStr">
        <is>
          <t>JÄMTLANDS LÄN</t>
        </is>
      </c>
      <c r="E1343" t="inlineStr">
        <is>
          <t>BRÄCKE</t>
        </is>
      </c>
      <c r="F1343" t="inlineStr">
        <is>
          <t>SCA</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62445-2025</t>
        </is>
      </c>
      <c r="B1344" s="1" t="n">
        <v>46007.484375</v>
      </c>
      <c r="C1344" s="1" t="n">
        <v>46118</v>
      </c>
      <c r="D1344" t="inlineStr">
        <is>
          <t>JÄMTLANDS LÄN</t>
        </is>
      </c>
      <c r="E1344" t="inlineStr">
        <is>
          <t>BRÄCKE</t>
        </is>
      </c>
      <c r="F1344" t="inlineStr">
        <is>
          <t>Övriga Aktiebolag</t>
        </is>
      </c>
      <c r="G1344" t="n">
        <v>9.4</v>
      </c>
      <c r="H1344" t="n">
        <v>0</v>
      </c>
      <c r="I1344" t="n">
        <v>0</v>
      </c>
      <c r="J1344" t="n">
        <v>0</v>
      </c>
      <c r="K1344" t="n">
        <v>0</v>
      </c>
      <c r="L1344" t="n">
        <v>0</v>
      </c>
      <c r="M1344" t="n">
        <v>0</v>
      </c>
      <c r="N1344" t="n">
        <v>0</v>
      </c>
      <c r="O1344" t="n">
        <v>0</v>
      </c>
      <c r="P1344" t="n">
        <v>0</v>
      </c>
      <c r="Q1344" t="n">
        <v>0</v>
      </c>
      <c r="R1344" s="2" t="inlineStr"/>
    </row>
    <row r="1345" ht="15" customHeight="1">
      <c r="A1345" t="inlineStr">
        <is>
          <t>A 62466-2025</t>
        </is>
      </c>
      <c r="B1345" s="1" t="n">
        <v>46007.50883101852</v>
      </c>
      <c r="C1345" s="1" t="n">
        <v>46118</v>
      </c>
      <c r="D1345" t="inlineStr">
        <is>
          <t>JÄMTLANDS LÄN</t>
        </is>
      </c>
      <c r="E1345" t="inlineStr">
        <is>
          <t>BRÄCKE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1201-2022</t>
        </is>
      </c>
      <c r="B1346" s="1" t="n">
        <v>44572</v>
      </c>
      <c r="C1346" s="1" t="n">
        <v>46118</v>
      </c>
      <c r="D1346" t="inlineStr">
        <is>
          <t>JÄMTLANDS LÄN</t>
        </is>
      </c>
      <c r="E1346" t="inlineStr">
        <is>
          <t>BRÄCKE</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62457-2025</t>
        </is>
      </c>
      <c r="B1347" s="1" t="n">
        <v>46007.50248842593</v>
      </c>
      <c r="C1347" s="1" t="n">
        <v>46118</v>
      </c>
      <c r="D1347" t="inlineStr">
        <is>
          <t>JÄMTLANDS LÄN</t>
        </is>
      </c>
      <c r="E1347" t="inlineStr">
        <is>
          <t>BRÄCKE</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62460-2025</t>
        </is>
      </c>
      <c r="B1348" s="1" t="n">
        <v>46007.50479166667</v>
      </c>
      <c r="C1348" s="1" t="n">
        <v>46118</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62533-2025</t>
        </is>
      </c>
      <c r="B1349" s="1" t="n">
        <v>46007.63633101852</v>
      </c>
      <c r="C1349" s="1" t="n">
        <v>46118</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62406-2025</t>
        </is>
      </c>
      <c r="B1350" s="1" t="n">
        <v>46007.4287962963</v>
      </c>
      <c r="C1350" s="1" t="n">
        <v>46118</v>
      </c>
      <c r="D1350" t="inlineStr">
        <is>
          <t>JÄMTLANDS LÄN</t>
        </is>
      </c>
      <c r="E1350" t="inlineStr">
        <is>
          <t>BRÄCKE</t>
        </is>
      </c>
      <c r="F1350" t="inlineStr">
        <is>
          <t>Övriga Aktiebolag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62464-2025</t>
        </is>
      </c>
      <c r="B1351" s="1" t="n">
        <v>46007.50673611111</v>
      </c>
      <c r="C1351" s="1" t="n">
        <v>46118</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62511-2025</t>
        </is>
      </c>
      <c r="B1352" s="1" t="n">
        <v>46007.59884259259</v>
      </c>
      <c r="C1352" s="1" t="n">
        <v>46118</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62536-2025</t>
        </is>
      </c>
      <c r="B1353" s="1" t="n">
        <v>46007.63947916667</v>
      </c>
      <c r="C1353" s="1" t="n">
        <v>46118</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62499-2025</t>
        </is>
      </c>
      <c r="B1354" s="1" t="n">
        <v>46007.58229166667</v>
      </c>
      <c r="C1354" s="1" t="n">
        <v>46118</v>
      </c>
      <c r="D1354" t="inlineStr">
        <is>
          <t>JÄMTLANDS LÄN</t>
        </is>
      </c>
      <c r="E1354" t="inlineStr">
        <is>
          <t>BRÄCKE</t>
        </is>
      </c>
      <c r="F1354" t="inlineStr">
        <is>
          <t>Övriga Aktiebolag</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62950-2025</t>
        </is>
      </c>
      <c r="B1355" s="1" t="n">
        <v>46009.44737268519</v>
      </c>
      <c r="C1355" s="1" t="n">
        <v>46118</v>
      </c>
      <c r="D1355" t="inlineStr">
        <is>
          <t>JÄMTLANDS LÄN</t>
        </is>
      </c>
      <c r="E1355" t="inlineStr">
        <is>
          <t>BRÄCKE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46118</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62943-2025</t>
        </is>
      </c>
      <c r="B1357" s="1" t="n">
        <v>46009.43425925926</v>
      </c>
      <c r="C1357" s="1" t="n">
        <v>46118</v>
      </c>
      <c r="D1357" t="inlineStr">
        <is>
          <t>JÄMTLANDS LÄN</t>
        </is>
      </c>
      <c r="E1357" t="inlineStr">
        <is>
          <t>BRÄCKE</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62625-2025</t>
        </is>
      </c>
      <c r="B1358" s="1" t="n">
        <v>46008.34506944445</v>
      </c>
      <c r="C1358" s="1" t="n">
        <v>46118</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59047-2022</t>
        </is>
      </c>
      <c r="B1359" s="1" t="n">
        <v>44903.95328703704</v>
      </c>
      <c r="C1359" s="1" t="n">
        <v>46118</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60435-2023</t>
        </is>
      </c>
      <c r="B1360" s="1" t="n">
        <v>45258</v>
      </c>
      <c r="C1360" s="1" t="n">
        <v>46118</v>
      </c>
      <c r="D1360" t="inlineStr">
        <is>
          <t>JÄMTLANDS LÄN</t>
        </is>
      </c>
      <c r="E1360" t="inlineStr">
        <is>
          <t>BRÄCKE</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63089-2025</t>
        </is>
      </c>
      <c r="B1361" s="1" t="n">
        <v>46009.67777777778</v>
      </c>
      <c r="C1361" s="1" t="n">
        <v>46118</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14503-2024</t>
        </is>
      </c>
      <c r="B1362" s="1" t="n">
        <v>45394.60408564815</v>
      </c>
      <c r="C1362" s="1" t="n">
        <v>46118</v>
      </c>
      <c r="D1362" t="inlineStr">
        <is>
          <t>JÄMTLANDS LÄN</t>
        </is>
      </c>
      <c r="E1362" t="inlineStr">
        <is>
          <t>BRÄCKE</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18036-2025</t>
        </is>
      </c>
      <c r="B1363" s="1" t="n">
        <v>45761.45518518519</v>
      </c>
      <c r="C1363" s="1" t="n">
        <v>46118</v>
      </c>
      <c r="D1363" t="inlineStr">
        <is>
          <t>JÄMTLANDS LÄN</t>
        </is>
      </c>
      <c r="E1363" t="inlineStr">
        <is>
          <t>BRÄCKE</t>
        </is>
      </c>
      <c r="G1363" t="n">
        <v>19.5</v>
      </c>
      <c r="H1363" t="n">
        <v>0</v>
      </c>
      <c r="I1363" t="n">
        <v>0</v>
      </c>
      <c r="J1363" t="n">
        <v>0</v>
      </c>
      <c r="K1363" t="n">
        <v>0</v>
      </c>
      <c r="L1363" t="n">
        <v>0</v>
      </c>
      <c r="M1363" t="n">
        <v>0</v>
      </c>
      <c r="N1363" t="n">
        <v>0</v>
      </c>
      <c r="O1363" t="n">
        <v>0</v>
      </c>
      <c r="P1363" t="n">
        <v>0</v>
      </c>
      <c r="Q1363" t="n">
        <v>0</v>
      </c>
      <c r="R1363" s="2" t="inlineStr"/>
    </row>
    <row r="1364" ht="15" customHeight="1">
      <c r="A1364" t="inlineStr">
        <is>
          <t>A 58767-2023</t>
        </is>
      </c>
      <c r="B1364" s="1" t="n">
        <v>45251.96665509259</v>
      </c>
      <c r="C1364" s="1" t="n">
        <v>46118</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44444-2022</t>
        </is>
      </c>
      <c r="B1365" s="1" t="n">
        <v>44839.95474537037</v>
      </c>
      <c r="C1365" s="1" t="n">
        <v>46118</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17601-2025</t>
        </is>
      </c>
      <c r="B1366" s="1" t="n">
        <v>45757.71991898148</v>
      </c>
      <c r="C1366" s="1" t="n">
        <v>46118</v>
      </c>
      <c r="D1366" t="inlineStr">
        <is>
          <t>JÄMTLANDS LÄN</t>
        </is>
      </c>
      <c r="E1366" t="inlineStr">
        <is>
          <t>BRÄCKE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63319-2025</t>
        </is>
      </c>
      <c r="B1367" s="1" t="n">
        <v>46010.63584490741</v>
      </c>
      <c r="C1367" s="1" t="n">
        <v>46118</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40775-2023</t>
        </is>
      </c>
      <c r="B1368" s="1" t="n">
        <v>45170.95685185185</v>
      </c>
      <c r="C1368" s="1" t="n">
        <v>46118</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33773-2024</t>
        </is>
      </c>
      <c r="B1369" s="1" t="n">
        <v>45520</v>
      </c>
      <c r="C1369" s="1" t="n">
        <v>46118</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41314-2024</t>
        </is>
      </c>
      <c r="B1370" s="1" t="n">
        <v>45559.63613425926</v>
      </c>
      <c r="C1370" s="1" t="n">
        <v>46118</v>
      </c>
      <c r="D1370" t="inlineStr">
        <is>
          <t>JÄMTLANDS LÄN</t>
        </is>
      </c>
      <c r="E1370" t="inlineStr">
        <is>
          <t>BRÄCKE</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33774-2024</t>
        </is>
      </c>
      <c r="B1371" s="1" t="n">
        <v>45520</v>
      </c>
      <c r="C1371" s="1" t="n">
        <v>46118</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63641-2025</t>
        </is>
      </c>
      <c r="B1372" s="1" t="n">
        <v>46014.40689814815</v>
      </c>
      <c r="C1372" s="1" t="n">
        <v>46118</v>
      </c>
      <c r="D1372" t="inlineStr">
        <is>
          <t>JÄMTLANDS LÄN</t>
        </is>
      </c>
      <c r="E1372" t="inlineStr">
        <is>
          <t>BRÄCKE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34873-2021</t>
        </is>
      </c>
      <c r="B1373" s="1" t="n">
        <v>44382</v>
      </c>
      <c r="C1373" s="1" t="n">
        <v>46118</v>
      </c>
      <c r="D1373" t="inlineStr">
        <is>
          <t>JÄMTLANDS LÄN</t>
        </is>
      </c>
      <c r="E1373" t="inlineStr">
        <is>
          <t>BRÄCKE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63651-2025</t>
        </is>
      </c>
      <c r="B1374" s="1" t="n">
        <v>46014</v>
      </c>
      <c r="C1374" s="1" t="n">
        <v>46118</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19386-2025</t>
        </is>
      </c>
      <c r="B1375" s="1" t="n">
        <v>45769.65719907408</v>
      </c>
      <c r="C1375" s="1" t="n">
        <v>46118</v>
      </c>
      <c r="D1375" t="inlineStr">
        <is>
          <t>JÄMTLANDS LÄN</t>
        </is>
      </c>
      <c r="E1375" t="inlineStr">
        <is>
          <t>BRÄCKE</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56732-2022</t>
        </is>
      </c>
      <c r="B1376" s="1" t="n">
        <v>44893.94966435185</v>
      </c>
      <c r="C1376" s="1" t="n">
        <v>46118</v>
      </c>
      <c r="D1376" t="inlineStr">
        <is>
          <t>JÄMTLANDS LÄN</t>
        </is>
      </c>
      <c r="E1376" t="inlineStr">
        <is>
          <t>BRÄCKE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55138-2025</t>
        </is>
      </c>
      <c r="B1377" s="1" t="n">
        <v>45968.42784722222</v>
      </c>
      <c r="C1377" s="1" t="n">
        <v>46118</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51777-2025</t>
        </is>
      </c>
      <c r="B1378" s="1" t="n">
        <v>45951.65680555555</v>
      </c>
      <c r="C1378" s="1" t="n">
        <v>46118</v>
      </c>
      <c r="D1378" t="inlineStr">
        <is>
          <t>JÄMTLANDS LÄN</t>
        </is>
      </c>
      <c r="E1378" t="inlineStr">
        <is>
          <t>BRÄCKE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63292-2023</t>
        </is>
      </c>
      <c r="B1379" s="1" t="n">
        <v>45273.94680555556</v>
      </c>
      <c r="C1379" s="1" t="n">
        <v>46118</v>
      </c>
      <c r="D1379" t="inlineStr">
        <is>
          <t>JÄMTLANDS LÄN</t>
        </is>
      </c>
      <c r="E1379" t="inlineStr">
        <is>
          <t>BRÄCKE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58762-2025</t>
        </is>
      </c>
      <c r="B1380" s="1" t="n">
        <v>45986.6568287037</v>
      </c>
      <c r="C1380" s="1" t="n">
        <v>46118</v>
      </c>
      <c r="D1380" t="inlineStr">
        <is>
          <t>JÄMTLANDS LÄN</t>
        </is>
      </c>
      <c r="E1380" t="inlineStr">
        <is>
          <t>BRÄCKE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23723-2025</t>
        </is>
      </c>
      <c r="B1381" s="1" t="n">
        <v>45793</v>
      </c>
      <c r="C1381" s="1" t="n">
        <v>46118</v>
      </c>
      <c r="D1381" t="inlineStr">
        <is>
          <t>JÄMTLANDS LÄN</t>
        </is>
      </c>
      <c r="E1381" t="inlineStr">
        <is>
          <t>BRÄCKE</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11545-2025</t>
        </is>
      </c>
      <c r="B1382" s="1" t="n">
        <v>45727</v>
      </c>
      <c r="C1382" s="1" t="n">
        <v>46118</v>
      </c>
      <c r="D1382" t="inlineStr">
        <is>
          <t>JÄMTLANDS LÄN</t>
        </is>
      </c>
      <c r="E1382" t="inlineStr">
        <is>
          <t>BRÄCKE</t>
        </is>
      </c>
      <c r="F1382" t="inlineStr">
        <is>
          <t>SCA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58854-2025</t>
        </is>
      </c>
      <c r="B1383" s="1" t="n">
        <v>45987.40699074074</v>
      </c>
      <c r="C1383" s="1" t="n">
        <v>46118</v>
      </c>
      <c r="D1383" t="inlineStr">
        <is>
          <t>JÄMTLANDS LÄN</t>
        </is>
      </c>
      <c r="E1383" t="inlineStr">
        <is>
          <t>BRÄCKE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11309-2025</t>
        </is>
      </c>
      <c r="B1384" s="1" t="n">
        <v>45726</v>
      </c>
      <c r="C1384" s="1" t="n">
        <v>46118</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17097-2025</t>
        </is>
      </c>
      <c r="B1385" s="1" t="n">
        <v>45755</v>
      </c>
      <c r="C1385" s="1" t="n">
        <v>46118</v>
      </c>
      <c r="D1385" t="inlineStr">
        <is>
          <t>JÄMTLANDS LÄN</t>
        </is>
      </c>
      <c r="E1385" t="inlineStr">
        <is>
          <t>BRÄCKE</t>
        </is>
      </c>
      <c r="F1385" t="inlineStr">
        <is>
          <t>SCA</t>
        </is>
      </c>
      <c r="G1385" t="n">
        <v>29.9</v>
      </c>
      <c r="H1385" t="n">
        <v>0</v>
      </c>
      <c r="I1385" t="n">
        <v>0</v>
      </c>
      <c r="J1385" t="n">
        <v>0</v>
      </c>
      <c r="K1385" t="n">
        <v>0</v>
      </c>
      <c r="L1385" t="n">
        <v>0</v>
      </c>
      <c r="M1385" t="n">
        <v>0</v>
      </c>
      <c r="N1385" t="n">
        <v>0</v>
      </c>
      <c r="O1385" t="n">
        <v>0</v>
      </c>
      <c r="P1385" t="n">
        <v>0</v>
      </c>
      <c r="Q1385" t="n">
        <v>0</v>
      </c>
      <c r="R1385" s="2" t="inlineStr"/>
    </row>
    <row r="1386" ht="15" customHeight="1">
      <c r="A1386" t="inlineStr">
        <is>
          <t>A 60052-2025</t>
        </is>
      </c>
      <c r="B1386" s="1" t="n">
        <v>45993.63590277778</v>
      </c>
      <c r="C1386" s="1" t="n">
        <v>46118</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46118</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58744-2025</t>
        </is>
      </c>
      <c r="B1388" s="1" t="n">
        <v>45986.6365162037</v>
      </c>
      <c r="C1388" s="1" t="n">
        <v>46118</v>
      </c>
      <c r="D1388" t="inlineStr">
        <is>
          <t>JÄMTLANDS LÄN</t>
        </is>
      </c>
      <c r="E1388" t="inlineStr">
        <is>
          <t>BRÄCKE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49666-2025</t>
        </is>
      </c>
      <c r="B1389" s="1" t="n">
        <v>45939.63657407407</v>
      </c>
      <c r="C1389" s="1" t="n">
        <v>46118</v>
      </c>
      <c r="D1389" t="inlineStr">
        <is>
          <t>JÄMTLANDS LÄN</t>
        </is>
      </c>
      <c r="E1389" t="inlineStr">
        <is>
          <t>BRÄCKE</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47439-2025</t>
        </is>
      </c>
      <c r="B1390" s="1" t="n">
        <v>45930.63744212963</v>
      </c>
      <c r="C1390" s="1" t="n">
        <v>46118</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9824-2025</t>
        </is>
      </c>
      <c r="B1391" s="1" t="n">
        <v>45716</v>
      </c>
      <c r="C1391" s="1" t="n">
        <v>46118</v>
      </c>
      <c r="D1391" t="inlineStr">
        <is>
          <t>JÄMTLANDS LÄN</t>
        </is>
      </c>
      <c r="E1391" t="inlineStr">
        <is>
          <t>BRÄCKE</t>
        </is>
      </c>
      <c r="F1391" t="inlineStr">
        <is>
          <t>SCA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29189-2024</t>
        </is>
      </c>
      <c r="B1392" s="1" t="n">
        <v>45482.55164351852</v>
      </c>
      <c r="C1392" s="1" t="n">
        <v>46118</v>
      </c>
      <c r="D1392" t="inlineStr">
        <is>
          <t>JÄMTLANDS LÄN</t>
        </is>
      </c>
      <c r="E1392" t="inlineStr">
        <is>
          <t>BRÄCKE</t>
        </is>
      </c>
      <c r="F1392" t="inlineStr">
        <is>
          <t>Övriga Aktiebolag</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6516-2024</t>
        </is>
      </c>
      <c r="B1393" s="1" t="n">
        <v>45341</v>
      </c>
      <c r="C1393" s="1" t="n">
        <v>46118</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63809-2025</t>
        </is>
      </c>
      <c r="B1394" s="1" t="n">
        <v>46020.31028935185</v>
      </c>
      <c r="C1394" s="1" t="n">
        <v>46118</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63821-2025</t>
        </is>
      </c>
      <c r="B1395" s="1" t="n">
        <v>46020.3550462963</v>
      </c>
      <c r="C1395" s="1" t="n">
        <v>46118</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46118</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54524-2022</t>
        </is>
      </c>
      <c r="B1397" s="1" t="n">
        <v>44882.74364583333</v>
      </c>
      <c r="C1397" s="1" t="n">
        <v>46118</v>
      </c>
      <c r="D1397" t="inlineStr">
        <is>
          <t>JÄMTLANDS LÄN</t>
        </is>
      </c>
      <c r="E1397" t="inlineStr">
        <is>
          <t>BRÄCKE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63820-2025</t>
        </is>
      </c>
      <c r="B1398" s="1" t="n">
        <v>46020.3547800926</v>
      </c>
      <c r="C1398" s="1" t="n">
        <v>46118</v>
      </c>
      <c r="D1398" t="inlineStr">
        <is>
          <t>JÄMTLANDS LÄN</t>
        </is>
      </c>
      <c r="E1398" t="inlineStr">
        <is>
          <t>BRÄCKE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63822-2025</t>
        </is>
      </c>
      <c r="B1399" s="1" t="n">
        <v>46020.35534722222</v>
      </c>
      <c r="C1399" s="1" t="n">
        <v>46118</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46118</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46118</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63803-2025</t>
        </is>
      </c>
      <c r="B1402" s="1" t="n">
        <v>46019.91809027778</v>
      </c>
      <c r="C1402" s="1" t="n">
        <v>46118</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56499-2023</t>
        </is>
      </c>
      <c r="B1403" s="1" t="n">
        <v>45237</v>
      </c>
      <c r="C1403" s="1" t="n">
        <v>46118</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56525-2023</t>
        </is>
      </c>
      <c r="B1404" s="1" t="n">
        <v>45243.56650462963</v>
      </c>
      <c r="C1404" s="1" t="n">
        <v>46118</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261-2026</t>
        </is>
      </c>
      <c r="B1405" s="1" t="n">
        <v>46027.44835648148</v>
      </c>
      <c r="C1405" s="1" t="n">
        <v>46118</v>
      </c>
      <c r="D1405" t="inlineStr">
        <is>
          <t>JÄMTLANDS LÄN</t>
        </is>
      </c>
      <c r="E1405" t="inlineStr">
        <is>
          <t>BRÄCKE</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276-2026</t>
        </is>
      </c>
      <c r="B1406" s="1" t="n">
        <v>46027.469375</v>
      </c>
      <c r="C1406" s="1" t="n">
        <v>46118</v>
      </c>
      <c r="D1406" t="inlineStr">
        <is>
          <t>JÄMTLANDS LÄN</t>
        </is>
      </c>
      <c r="E1406" t="inlineStr">
        <is>
          <t>BRÄCKE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30488-2024</t>
        </is>
      </c>
      <c r="B1407" s="1" t="n">
        <v>45491</v>
      </c>
      <c r="C1407" s="1" t="n">
        <v>46118</v>
      </c>
      <c r="D1407" t="inlineStr">
        <is>
          <t>JÄMTLANDS LÄN</t>
        </is>
      </c>
      <c r="E1407" t="inlineStr">
        <is>
          <t>BRÄCKE</t>
        </is>
      </c>
      <c r="F1407" t="inlineStr">
        <is>
          <t>Naturvårdsverket</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277-2026</t>
        </is>
      </c>
      <c r="B1408" s="1" t="n">
        <v>46027.46945601852</v>
      </c>
      <c r="C1408" s="1" t="n">
        <v>46118</v>
      </c>
      <c r="D1408" t="inlineStr">
        <is>
          <t>JÄMTLANDS LÄN</t>
        </is>
      </c>
      <c r="E1408" t="inlineStr">
        <is>
          <t>BRÄCKE</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262-2026</t>
        </is>
      </c>
      <c r="B1409" s="1" t="n">
        <v>46027.44850694444</v>
      </c>
      <c r="C1409" s="1" t="n">
        <v>46118</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45381-2024</t>
        </is>
      </c>
      <c r="B1410" s="1" t="n">
        <v>45576.53155092592</v>
      </c>
      <c r="C1410" s="1" t="n">
        <v>46118</v>
      </c>
      <c r="D1410" t="inlineStr">
        <is>
          <t>JÄMTLANDS LÄN</t>
        </is>
      </c>
      <c r="E1410" t="inlineStr">
        <is>
          <t>BRÄCKE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13166-2024</t>
        </is>
      </c>
      <c r="B1411" s="1" t="n">
        <v>45386.40141203703</v>
      </c>
      <c r="C1411" s="1" t="n">
        <v>46118</v>
      </c>
      <c r="D1411" t="inlineStr">
        <is>
          <t>JÄMTLANDS LÄN</t>
        </is>
      </c>
      <c r="E1411" t="inlineStr">
        <is>
          <t>BRÄCKE</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13180-2024</t>
        </is>
      </c>
      <c r="B1412" s="1" t="n">
        <v>45386.43207175926</v>
      </c>
      <c r="C1412" s="1" t="n">
        <v>46118</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36209-2023</t>
        </is>
      </c>
      <c r="B1413" s="1" t="n">
        <v>45149</v>
      </c>
      <c r="C1413" s="1" t="n">
        <v>46118</v>
      </c>
      <c r="D1413" t="inlineStr">
        <is>
          <t>JÄMTLANDS LÄN</t>
        </is>
      </c>
      <c r="E1413" t="inlineStr">
        <is>
          <t>BRÄCKE</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57088-2024</t>
        </is>
      </c>
      <c r="B1414" s="1" t="n">
        <v>45629.35652777777</v>
      </c>
      <c r="C1414" s="1" t="n">
        <v>46118</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18982-2022</t>
        </is>
      </c>
      <c r="B1415" s="1" t="n">
        <v>44690.92626157407</v>
      </c>
      <c r="C1415" s="1" t="n">
        <v>46118</v>
      </c>
      <c r="D1415" t="inlineStr">
        <is>
          <t>JÄMTLANDS LÄN</t>
        </is>
      </c>
      <c r="E1415" t="inlineStr">
        <is>
          <t>BRÄCKE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496-2026</t>
        </is>
      </c>
      <c r="B1416" s="1" t="n">
        <v>46029.43114583333</v>
      </c>
      <c r="C1416" s="1" t="n">
        <v>46118</v>
      </c>
      <c r="D1416" t="inlineStr">
        <is>
          <t>JÄMTLANDS LÄN</t>
        </is>
      </c>
      <c r="E1416" t="inlineStr">
        <is>
          <t>BRÄCKE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13906-2025</t>
        </is>
      </c>
      <c r="B1417" s="1" t="n">
        <v>45737.6359375</v>
      </c>
      <c r="C1417" s="1" t="n">
        <v>46118</v>
      </c>
      <c r="D1417" t="inlineStr">
        <is>
          <t>JÄMTLANDS LÄN</t>
        </is>
      </c>
      <c r="E1417" t="inlineStr">
        <is>
          <t>BRÄCKE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52754-2023</t>
        </is>
      </c>
      <c r="B1418" s="1" t="n">
        <v>45225.96831018518</v>
      </c>
      <c r="C1418" s="1" t="n">
        <v>46118</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1080-2026</t>
        </is>
      </c>
      <c r="B1419" s="1" t="n">
        <v>46029</v>
      </c>
      <c r="C1419" s="1" t="n">
        <v>46118</v>
      </c>
      <c r="D1419" t="inlineStr">
        <is>
          <t>JÄMTLANDS LÄN</t>
        </is>
      </c>
      <c r="E1419" t="inlineStr">
        <is>
          <t>BRÄCKE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52712-2022</t>
        </is>
      </c>
      <c r="B1420" s="1" t="n">
        <v>44874</v>
      </c>
      <c r="C1420" s="1" t="n">
        <v>46118</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52713-2022</t>
        </is>
      </c>
      <c r="B1421" s="1" t="n">
        <v>44874.95504629629</v>
      </c>
      <c r="C1421" s="1" t="n">
        <v>46118</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41175-2023</t>
        </is>
      </c>
      <c r="B1422" s="1" t="n">
        <v>45170</v>
      </c>
      <c r="C1422" s="1" t="n">
        <v>46118</v>
      </c>
      <c r="D1422" t="inlineStr">
        <is>
          <t>JÄMTLANDS LÄN</t>
        </is>
      </c>
      <c r="E1422" t="inlineStr">
        <is>
          <t>BRÄCKE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41183-2023</t>
        </is>
      </c>
      <c r="B1423" s="1" t="n">
        <v>45170</v>
      </c>
      <c r="C1423" s="1" t="n">
        <v>46118</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974-2026</t>
        </is>
      </c>
      <c r="B1424" s="1" t="n">
        <v>46030.56853009259</v>
      </c>
      <c r="C1424" s="1" t="n">
        <v>46118</v>
      </c>
      <c r="D1424" t="inlineStr">
        <is>
          <t>JÄMTLANDS LÄN</t>
        </is>
      </c>
      <c r="E1424" t="inlineStr">
        <is>
          <t>BRÄCKE</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1227-2026</t>
        </is>
      </c>
      <c r="B1425" s="1" t="n">
        <v>46031.40693287037</v>
      </c>
      <c r="C1425" s="1" t="n">
        <v>46118</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56656-2022</t>
        </is>
      </c>
      <c r="B1426" s="1" t="n">
        <v>44893</v>
      </c>
      <c r="C1426" s="1" t="n">
        <v>46118</v>
      </c>
      <c r="D1426" t="inlineStr">
        <is>
          <t>JÄMTLANDS LÄN</t>
        </is>
      </c>
      <c r="E1426" t="inlineStr">
        <is>
          <t>BRÄCKE</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45436-2022</t>
        </is>
      </c>
      <c r="B1427" s="1" t="n">
        <v>44844.95355324074</v>
      </c>
      <c r="C1427" s="1" t="n">
        <v>46118</v>
      </c>
      <c r="D1427" t="inlineStr">
        <is>
          <t>JÄMTLANDS LÄN</t>
        </is>
      </c>
      <c r="E1427" t="inlineStr">
        <is>
          <t>BRÄCKE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962-2026</t>
        </is>
      </c>
      <c r="B1428" s="1" t="n">
        <v>46030.55704861111</v>
      </c>
      <c r="C1428" s="1" t="n">
        <v>46118</v>
      </c>
      <c r="D1428" t="inlineStr">
        <is>
          <t>JÄMTLANDS LÄN</t>
        </is>
      </c>
      <c r="E1428" t="inlineStr">
        <is>
          <t>BRÄCKE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51559-2022</t>
        </is>
      </c>
      <c r="B1429" s="1" t="n">
        <v>44869</v>
      </c>
      <c r="C1429" s="1" t="n">
        <v>46118</v>
      </c>
      <c r="D1429" t="inlineStr">
        <is>
          <t>JÄMTLANDS LÄN</t>
        </is>
      </c>
      <c r="E1429" t="inlineStr">
        <is>
          <t>BRÄCKE</t>
        </is>
      </c>
      <c r="F1429" t="inlineStr">
        <is>
          <t>SCA</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5340-2025</t>
        </is>
      </c>
      <c r="B1430" s="1" t="n">
        <v>45692.55248842593</v>
      </c>
      <c r="C1430" s="1" t="n">
        <v>46118</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1226-2026</t>
        </is>
      </c>
      <c r="B1431" s="1" t="n">
        <v>46031.40679398148</v>
      </c>
      <c r="C1431" s="1" t="n">
        <v>46118</v>
      </c>
      <c r="D1431" t="inlineStr">
        <is>
          <t>JÄMTLANDS LÄN</t>
        </is>
      </c>
      <c r="E1431" t="inlineStr">
        <is>
          <t>BRÄCKE</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998-2026</t>
        </is>
      </c>
      <c r="B1432" s="1" t="n">
        <v>46030.59447916667</v>
      </c>
      <c r="C1432" s="1" t="n">
        <v>46118</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1942-2026</t>
        </is>
      </c>
      <c r="B1433" s="1" t="n">
        <v>46035.59452546296</v>
      </c>
      <c r="C1433" s="1" t="n">
        <v>46118</v>
      </c>
      <c r="D1433" t="inlineStr">
        <is>
          <t>JÄMTLANDS LÄN</t>
        </is>
      </c>
      <c r="E1433" t="inlineStr">
        <is>
          <t>BRÄCKE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48784-2024</t>
        </is>
      </c>
      <c r="B1434" s="1" t="n">
        <v>45593.63570601852</v>
      </c>
      <c r="C1434" s="1" t="n">
        <v>46118</v>
      </c>
      <c r="D1434" t="inlineStr">
        <is>
          <t>JÄMTLANDS LÄN</t>
        </is>
      </c>
      <c r="E1434" t="inlineStr">
        <is>
          <t>BRÄCKE</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1878-2026</t>
        </is>
      </c>
      <c r="B1435" s="1" t="n">
        <v>46035.46946759259</v>
      </c>
      <c r="C1435" s="1" t="n">
        <v>46118</v>
      </c>
      <c r="D1435" t="inlineStr">
        <is>
          <t>JÄMTLANDS LÄN</t>
        </is>
      </c>
      <c r="E1435" t="inlineStr">
        <is>
          <t>BRÄCKE</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41401-2023</t>
        </is>
      </c>
      <c r="B1436" s="1" t="n">
        <v>45174</v>
      </c>
      <c r="C1436" s="1" t="n">
        <v>46118</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1998-2026</t>
        </is>
      </c>
      <c r="B1437" s="1" t="n">
        <v>46035.67759259259</v>
      </c>
      <c r="C1437" s="1" t="n">
        <v>46118</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10588-2026</t>
        </is>
      </c>
      <c r="B1438" s="1" t="n">
        <v>46077.68863425926</v>
      </c>
      <c r="C1438" s="1" t="n">
        <v>46118</v>
      </c>
      <c r="D1438" t="inlineStr">
        <is>
          <t>JÄMTLANDS LÄN</t>
        </is>
      </c>
      <c r="E1438" t="inlineStr">
        <is>
          <t>BRÄCKE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1941-2026</t>
        </is>
      </c>
      <c r="B1439" s="1" t="n">
        <v>46035.59439814815</v>
      </c>
      <c r="C1439" s="1" t="n">
        <v>46118</v>
      </c>
      <c r="D1439" t="inlineStr">
        <is>
          <t>JÄMTLANDS LÄN</t>
        </is>
      </c>
      <c r="E1439" t="inlineStr">
        <is>
          <t>BRÄCKE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19486-2023</t>
        </is>
      </c>
      <c r="B1440" s="1" t="n">
        <v>45049</v>
      </c>
      <c r="C1440" s="1" t="n">
        <v>46118</v>
      </c>
      <c r="D1440" t="inlineStr">
        <is>
          <t>JÄMTLANDS LÄN</t>
        </is>
      </c>
      <c r="E1440" t="inlineStr">
        <is>
          <t>BRÄCKE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12036-2023</t>
        </is>
      </c>
      <c r="B1441" s="1" t="n">
        <v>44995</v>
      </c>
      <c r="C1441" s="1" t="n">
        <v>46118</v>
      </c>
      <c r="D1441" t="inlineStr">
        <is>
          <t>JÄMTLANDS LÄN</t>
        </is>
      </c>
      <c r="E1441" t="inlineStr">
        <is>
          <t>BRÄCKE</t>
        </is>
      </c>
      <c r="G1441" t="n">
        <v>16.3</v>
      </c>
      <c r="H1441" t="n">
        <v>0</v>
      </c>
      <c r="I1441" t="n">
        <v>0</v>
      </c>
      <c r="J1441" t="n">
        <v>0</v>
      </c>
      <c r="K1441" t="n">
        <v>0</v>
      </c>
      <c r="L1441" t="n">
        <v>0</v>
      </c>
      <c r="M1441" t="n">
        <v>0</v>
      </c>
      <c r="N1441" t="n">
        <v>0</v>
      </c>
      <c r="O1441" t="n">
        <v>0</v>
      </c>
      <c r="P1441" t="n">
        <v>0</v>
      </c>
      <c r="Q1441" t="n">
        <v>0</v>
      </c>
      <c r="R1441" s="2" t="inlineStr"/>
    </row>
    <row r="1442" ht="15" customHeight="1">
      <c r="A1442" t="inlineStr">
        <is>
          <t>A 1877-2026</t>
        </is>
      </c>
      <c r="B1442" s="1" t="n">
        <v>46035.46924768519</v>
      </c>
      <c r="C1442" s="1" t="n">
        <v>46118</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63716-2023</t>
        </is>
      </c>
      <c r="B1443" s="1" t="n">
        <v>45275</v>
      </c>
      <c r="C1443" s="1" t="n">
        <v>46118</v>
      </c>
      <c r="D1443" t="inlineStr">
        <is>
          <t>JÄMTLANDS LÄN</t>
        </is>
      </c>
      <c r="E1443" t="inlineStr">
        <is>
          <t>BRÄCKE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3697-2025</t>
        </is>
      </c>
      <c r="B1444" s="1" t="n">
        <v>45681.46973379629</v>
      </c>
      <c r="C1444" s="1" t="n">
        <v>46118</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56822-2022</t>
        </is>
      </c>
      <c r="B1445" s="1" t="n">
        <v>44894.44673611111</v>
      </c>
      <c r="C1445" s="1" t="n">
        <v>46118</v>
      </c>
      <c r="D1445" t="inlineStr">
        <is>
          <t>JÄMTLANDS LÄN</t>
        </is>
      </c>
      <c r="E1445" t="inlineStr">
        <is>
          <t>BRÄCKE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18641-2024</t>
        </is>
      </c>
      <c r="B1446" s="1" t="n">
        <v>45425.9666087963</v>
      </c>
      <c r="C1446" s="1" t="n">
        <v>46118</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58848-2024</t>
        </is>
      </c>
      <c r="B1447" s="1" t="n">
        <v>45636.38657407407</v>
      </c>
      <c r="C1447" s="1" t="n">
        <v>46118</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1810-2026</t>
        </is>
      </c>
      <c r="B1448" s="1" t="n">
        <v>46035.33962962963</v>
      </c>
      <c r="C1448" s="1" t="n">
        <v>46118</v>
      </c>
      <c r="D1448" t="inlineStr">
        <is>
          <t>JÄMTLANDS LÄN</t>
        </is>
      </c>
      <c r="E1448" t="inlineStr">
        <is>
          <t>BRÄCKE</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1811-2026</t>
        </is>
      </c>
      <c r="B1449" s="1" t="n">
        <v>46035.34351851852</v>
      </c>
      <c r="C1449" s="1" t="n">
        <v>46118</v>
      </c>
      <c r="D1449" t="inlineStr">
        <is>
          <t>JÄMTLANDS LÄN</t>
        </is>
      </c>
      <c r="E1449" t="inlineStr">
        <is>
          <t>BRÄCKE</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1816-2026</t>
        </is>
      </c>
      <c r="B1450" s="1" t="n">
        <v>46035.34453703704</v>
      </c>
      <c r="C1450" s="1" t="n">
        <v>46118</v>
      </c>
      <c r="D1450" t="inlineStr">
        <is>
          <t>JÄMTLANDS LÄN</t>
        </is>
      </c>
      <c r="E1450" t="inlineStr">
        <is>
          <t>BRÄCKE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2684-2026</t>
        </is>
      </c>
      <c r="B1451" s="1" t="n">
        <v>46037.65673611111</v>
      </c>
      <c r="C1451" s="1" t="n">
        <v>46118</v>
      </c>
      <c r="D1451" t="inlineStr">
        <is>
          <t>JÄMTLANDS LÄN</t>
        </is>
      </c>
      <c r="E1451" t="inlineStr">
        <is>
          <t>BRÄCKE</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50260-2024</t>
        </is>
      </c>
      <c r="B1452" s="1" t="n">
        <v>45600</v>
      </c>
      <c r="C1452" s="1" t="n">
        <v>46118</v>
      </c>
      <c r="D1452" t="inlineStr">
        <is>
          <t>JÄMTLANDS LÄN</t>
        </is>
      </c>
      <c r="E1452" t="inlineStr">
        <is>
          <t>BRÄCKE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35506-2023</t>
        </is>
      </c>
      <c r="B1453" s="1" t="n">
        <v>45146</v>
      </c>
      <c r="C1453" s="1" t="n">
        <v>46118</v>
      </c>
      <c r="D1453" t="inlineStr">
        <is>
          <t>JÄMTLANDS LÄN</t>
        </is>
      </c>
      <c r="E1453" t="inlineStr">
        <is>
          <t>BRÄCKE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15201-2024</t>
        </is>
      </c>
      <c r="B1454" s="1" t="n">
        <v>45400.43778935185</v>
      </c>
      <c r="C1454" s="1" t="n">
        <v>46118</v>
      </c>
      <c r="D1454" t="inlineStr">
        <is>
          <t>JÄMTLANDS LÄN</t>
        </is>
      </c>
      <c r="E1454" t="inlineStr">
        <is>
          <t>BRÄCKE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23444-2022</t>
        </is>
      </c>
      <c r="B1455" s="1" t="n">
        <v>44720.94118055556</v>
      </c>
      <c r="C1455" s="1" t="n">
        <v>46118</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46078.55270833334</v>
      </c>
      <c r="C1456" s="1" t="n">
        <v>46118</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2355-2026</t>
        </is>
      </c>
      <c r="B1457" s="1" t="n">
        <v>46036.6362037037</v>
      </c>
      <c r="C1457" s="1" t="n">
        <v>46118</v>
      </c>
      <c r="D1457" t="inlineStr">
        <is>
          <t>JÄMTLANDS LÄN</t>
        </is>
      </c>
      <c r="E1457" t="inlineStr">
        <is>
          <t>BRÄCKE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29003-2024</t>
        </is>
      </c>
      <c r="B1458" s="1" t="n">
        <v>45481.52758101852</v>
      </c>
      <c r="C1458" s="1" t="n">
        <v>46118</v>
      </c>
      <c r="D1458" t="inlineStr">
        <is>
          <t>JÄMTLANDS LÄN</t>
        </is>
      </c>
      <c r="E1458" t="inlineStr">
        <is>
          <t>BRÄCKE</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54274-2022</t>
        </is>
      </c>
      <c r="B1459" s="1" t="n">
        <v>44879</v>
      </c>
      <c r="C1459" s="1" t="n">
        <v>46118</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2310-2026</t>
        </is>
      </c>
      <c r="B1460" s="1" t="n">
        <v>46036.59472222222</v>
      </c>
      <c r="C1460" s="1" t="n">
        <v>46118</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37239-2023</t>
        </is>
      </c>
      <c r="B1461" s="1" t="n">
        <v>45155.95373842592</v>
      </c>
      <c r="C1461" s="1" t="n">
        <v>46118</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3247-2025</t>
        </is>
      </c>
      <c r="B1462" s="1" t="n">
        <v>45679.5315625</v>
      </c>
      <c r="C1462" s="1" t="n">
        <v>46118</v>
      </c>
      <c r="D1462" t="inlineStr">
        <is>
          <t>JÄMTLANDS LÄN</t>
        </is>
      </c>
      <c r="E1462" t="inlineStr">
        <is>
          <t>BRÄCKE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3249-2025</t>
        </is>
      </c>
      <c r="B1463" s="1" t="n">
        <v>45679.53177083333</v>
      </c>
      <c r="C1463" s="1" t="n">
        <v>46118</v>
      </c>
      <c r="D1463" t="inlineStr">
        <is>
          <t>JÄMTLANDS LÄN</t>
        </is>
      </c>
      <c r="E1463" t="inlineStr">
        <is>
          <t>BRÄCKE</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2170-2026</t>
        </is>
      </c>
      <c r="B1464" s="1" t="n">
        <v>46036.44859953703</v>
      </c>
      <c r="C1464" s="1" t="n">
        <v>46118</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11127-2026</t>
        </is>
      </c>
      <c r="B1465" s="1" t="n">
        <v>46079.69452546296</v>
      </c>
      <c r="C1465" s="1" t="n">
        <v>46118</v>
      </c>
      <c r="D1465" t="inlineStr">
        <is>
          <t>JÄMTLANDS LÄN</t>
        </is>
      </c>
      <c r="E1465" t="inlineStr">
        <is>
          <t>BRÄCKE</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29325-2022</t>
        </is>
      </c>
      <c r="B1466" s="1" t="n">
        <v>44751.94157407407</v>
      </c>
      <c r="C1466" s="1" t="n">
        <v>46118</v>
      </c>
      <c r="D1466" t="inlineStr">
        <is>
          <t>JÄMTLANDS LÄN</t>
        </is>
      </c>
      <c r="E1466" t="inlineStr">
        <is>
          <t>BRÄCKE</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30487-2024</t>
        </is>
      </c>
      <c r="B1467" s="1" t="n">
        <v>45491</v>
      </c>
      <c r="C1467" s="1" t="n">
        <v>46118</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60417-2022</t>
        </is>
      </c>
      <c r="B1468" s="1" t="n">
        <v>44910.97158564815</v>
      </c>
      <c r="C1468" s="1" t="n">
        <v>46118</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29130-2024</t>
        </is>
      </c>
      <c r="B1469" s="1" t="n">
        <v>45482.35856481481</v>
      </c>
      <c r="C1469" s="1" t="n">
        <v>46118</v>
      </c>
      <c r="D1469" t="inlineStr">
        <is>
          <t>JÄMTLANDS LÄN</t>
        </is>
      </c>
      <c r="E1469" t="inlineStr">
        <is>
          <t>BRÄCKE</t>
        </is>
      </c>
      <c r="F1469" t="inlineStr">
        <is>
          <t>Övriga Aktiebolag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11441-2026</t>
        </is>
      </c>
      <c r="B1470" s="1" t="n">
        <v>46083.51152777778</v>
      </c>
      <c r="C1470" s="1" t="n">
        <v>46118</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11161-2026</t>
        </is>
      </c>
      <c r="B1471" s="1" t="n">
        <v>46080.34491898148</v>
      </c>
      <c r="C1471" s="1" t="n">
        <v>46118</v>
      </c>
      <c r="D1471" t="inlineStr">
        <is>
          <t>JÄMTLANDS LÄN</t>
        </is>
      </c>
      <c r="E1471" t="inlineStr">
        <is>
          <t>BRÄCKE</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11165-2026</t>
        </is>
      </c>
      <c r="B1472" s="1" t="n">
        <v>46080.3487962963</v>
      </c>
      <c r="C1472" s="1" t="n">
        <v>46118</v>
      </c>
      <c r="D1472" t="inlineStr">
        <is>
          <t>JÄMTLANDS LÄN</t>
        </is>
      </c>
      <c r="E1472" t="inlineStr">
        <is>
          <t>BRÄCKE</t>
        </is>
      </c>
      <c r="F1472" t="inlineStr">
        <is>
          <t>Kyrkan</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3190-2026</t>
        </is>
      </c>
      <c r="B1473" s="1" t="n">
        <v>46041.46190972222</v>
      </c>
      <c r="C1473" s="1" t="n">
        <v>46118</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3189-2026</t>
        </is>
      </c>
      <c r="B1474" s="1" t="n">
        <v>46041.45987268518</v>
      </c>
      <c r="C1474" s="1" t="n">
        <v>46118</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50609-2023</t>
        </is>
      </c>
      <c r="B1475" s="1" t="n">
        <v>45217</v>
      </c>
      <c r="C1475" s="1" t="n">
        <v>46118</v>
      </c>
      <c r="D1475" t="inlineStr">
        <is>
          <t>JÄMTLANDS LÄN</t>
        </is>
      </c>
      <c r="E1475" t="inlineStr">
        <is>
          <t>BRÄCKE</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3020-2023</t>
        </is>
      </c>
      <c r="B1476" s="1" t="n">
        <v>44945.9396412037</v>
      </c>
      <c r="C1476" s="1" t="n">
        <v>46118</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3032-2023</t>
        </is>
      </c>
      <c r="B1477" s="1" t="n">
        <v>44945.9412962963</v>
      </c>
      <c r="C1477" s="1" t="n">
        <v>46118</v>
      </c>
      <c r="D1477" t="inlineStr">
        <is>
          <t>JÄMTLANDS LÄN</t>
        </is>
      </c>
      <c r="E1477" t="inlineStr">
        <is>
          <t>BRÄCKE</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11155-2026</t>
        </is>
      </c>
      <c r="B1478" s="1" t="n">
        <v>46080.33803240741</v>
      </c>
      <c r="C1478" s="1" t="n">
        <v>46118</v>
      </c>
      <c r="D1478" t="inlineStr">
        <is>
          <t>JÄMTLANDS LÄN</t>
        </is>
      </c>
      <c r="E1478" t="inlineStr">
        <is>
          <t>BRÄCKE</t>
        </is>
      </c>
      <c r="F1478" t="inlineStr">
        <is>
          <t>Kyrkan</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11195-2026</t>
        </is>
      </c>
      <c r="B1479" s="1" t="n">
        <v>46080.42756944444</v>
      </c>
      <c r="C1479" s="1" t="n">
        <v>46118</v>
      </c>
      <c r="D1479" t="inlineStr">
        <is>
          <t>JÄMTLANDS LÄN</t>
        </is>
      </c>
      <c r="E1479" t="inlineStr">
        <is>
          <t>BRÄCKE</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2982-2026</t>
        </is>
      </c>
      <c r="B1480" s="1" t="n">
        <v>46038.62986111111</v>
      </c>
      <c r="C1480" s="1" t="n">
        <v>46118</v>
      </c>
      <c r="D1480" t="inlineStr">
        <is>
          <t>JÄMTLANDS LÄN</t>
        </is>
      </c>
      <c r="E1480" t="inlineStr">
        <is>
          <t>BRÄCKE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45010-2023</t>
        </is>
      </c>
      <c r="B1481" s="1" t="n">
        <v>45190.96116898148</v>
      </c>
      <c r="C1481" s="1" t="n">
        <v>46118</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45013-2023</t>
        </is>
      </c>
      <c r="B1482" s="1" t="n">
        <v>45190.96158564815</v>
      </c>
      <c r="C1482" s="1" t="n">
        <v>46118</v>
      </c>
      <c r="D1482" t="inlineStr">
        <is>
          <t>JÄMTLANDS LÄN</t>
        </is>
      </c>
      <c r="E1482" t="inlineStr">
        <is>
          <t>BRÄCKE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38007-2024</t>
        </is>
      </c>
      <c r="B1483" s="1" t="n">
        <v>45544.62063657407</v>
      </c>
      <c r="C1483" s="1" t="n">
        <v>46118</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57069-2024</t>
        </is>
      </c>
      <c r="B1484" s="1" t="n">
        <v>45629.35391203704</v>
      </c>
      <c r="C1484" s="1" t="n">
        <v>46118</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20803-2021</t>
        </is>
      </c>
      <c r="B1485" s="1" t="n">
        <v>44316</v>
      </c>
      <c r="C1485" s="1" t="n">
        <v>46118</v>
      </c>
      <c r="D1485" t="inlineStr">
        <is>
          <t>JÄMTLANDS LÄN</t>
        </is>
      </c>
      <c r="E1485" t="inlineStr">
        <is>
          <t>BRÄCKE</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10532-2022</t>
        </is>
      </c>
      <c r="B1486" s="1" t="n">
        <v>44623</v>
      </c>
      <c r="C1486" s="1" t="n">
        <v>46118</v>
      </c>
      <c r="D1486" t="inlineStr">
        <is>
          <t>JÄMTLANDS LÄN</t>
        </is>
      </c>
      <c r="E1486" t="inlineStr">
        <is>
          <t>BRÄCKE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58728-2022</t>
        </is>
      </c>
      <c r="B1487" s="1" t="n">
        <v>44902</v>
      </c>
      <c r="C1487" s="1" t="n">
        <v>46118</v>
      </c>
      <c r="D1487" t="inlineStr">
        <is>
          <t>JÄMTLANDS LÄN</t>
        </is>
      </c>
      <c r="E1487" t="inlineStr">
        <is>
          <t>BRÄCKE</t>
        </is>
      </c>
      <c r="G1487" t="n">
        <v>21.5</v>
      </c>
      <c r="H1487" t="n">
        <v>0</v>
      </c>
      <c r="I1487" t="n">
        <v>0</v>
      </c>
      <c r="J1487" t="n">
        <v>0</v>
      </c>
      <c r="K1487" t="n">
        <v>0</v>
      </c>
      <c r="L1487" t="n">
        <v>0</v>
      </c>
      <c r="M1487" t="n">
        <v>0</v>
      </c>
      <c r="N1487" t="n">
        <v>0</v>
      </c>
      <c r="O1487" t="n">
        <v>0</v>
      </c>
      <c r="P1487" t="n">
        <v>0</v>
      </c>
      <c r="Q1487" t="n">
        <v>0</v>
      </c>
      <c r="R1487" s="2" t="inlineStr"/>
    </row>
    <row r="1488" ht="15" customHeight="1">
      <c r="A1488" t="inlineStr">
        <is>
          <t>A 45722-2024</t>
        </is>
      </c>
      <c r="B1488" s="1" t="n">
        <v>45579.59447916667</v>
      </c>
      <c r="C1488" s="1" t="n">
        <v>46118</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17420-2024</t>
        </is>
      </c>
      <c r="B1489" s="1" t="n">
        <v>45414.96395833333</v>
      </c>
      <c r="C1489" s="1" t="n">
        <v>46118</v>
      </c>
      <c r="D1489" t="inlineStr">
        <is>
          <t>JÄMTLANDS LÄN</t>
        </is>
      </c>
      <c r="E1489" t="inlineStr">
        <is>
          <t>BRÄCKE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11897-2026</t>
        </is>
      </c>
      <c r="B1490" s="1" t="n">
        <v>46085.53728009259</v>
      </c>
      <c r="C1490" s="1" t="n">
        <v>46118</v>
      </c>
      <c r="D1490" t="inlineStr">
        <is>
          <t>JÄMTLANDS LÄN</t>
        </is>
      </c>
      <c r="E1490" t="inlineStr">
        <is>
          <t>BRÄCKE</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11900-2026</t>
        </is>
      </c>
      <c r="B1491" s="1" t="n">
        <v>46085.53931712963</v>
      </c>
      <c r="C1491" s="1" t="n">
        <v>46118</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3833-2026</t>
        </is>
      </c>
      <c r="B1492" s="1" t="n">
        <v>46043.58997685185</v>
      </c>
      <c r="C1492" s="1" t="n">
        <v>46118</v>
      </c>
      <c r="D1492" t="inlineStr">
        <is>
          <t>JÄMTLANDS LÄN</t>
        </is>
      </c>
      <c r="E1492" t="inlineStr">
        <is>
          <t>BRÄCKE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26458-2022</t>
        </is>
      </c>
      <c r="B1493" s="1" t="n">
        <v>44739.34201388889</v>
      </c>
      <c r="C1493" s="1" t="n">
        <v>46118</v>
      </c>
      <c r="D1493" t="inlineStr">
        <is>
          <t>JÄMTLANDS LÄN</t>
        </is>
      </c>
      <c r="E1493" t="inlineStr">
        <is>
          <t>BRÄCKE</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11703-2026</t>
        </is>
      </c>
      <c r="B1494" s="1" t="n">
        <v>46084.61517361111</v>
      </c>
      <c r="C1494" s="1" t="n">
        <v>46118</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61973-2024</t>
        </is>
      </c>
      <c r="B1495" s="1" t="n">
        <v>45653.61484953704</v>
      </c>
      <c r="C1495" s="1" t="n">
        <v>46118</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64034-2023</t>
        </is>
      </c>
      <c r="B1496" s="1" t="n">
        <v>45278.94321759259</v>
      </c>
      <c r="C1496" s="1" t="n">
        <v>46118</v>
      </c>
      <c r="D1496" t="inlineStr">
        <is>
          <t>JÄMTLANDS LÄN</t>
        </is>
      </c>
      <c r="E1496" t="inlineStr">
        <is>
          <t>BRÄCKE</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13554-2024</t>
        </is>
      </c>
      <c r="B1497" s="1" t="n">
        <v>45387</v>
      </c>
      <c r="C1497" s="1" t="n">
        <v>46118</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3784-2026</t>
        </is>
      </c>
      <c r="B1498" s="1" t="n">
        <v>46043.57167824074</v>
      </c>
      <c r="C1498" s="1" t="n">
        <v>46118</v>
      </c>
      <c r="D1498" t="inlineStr">
        <is>
          <t>JÄMTLANDS LÄN</t>
        </is>
      </c>
      <c r="E1498" t="inlineStr">
        <is>
          <t>BRÄCKE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12640-2025</t>
        </is>
      </c>
      <c r="B1499" s="1" t="n">
        <v>45733.38606481482</v>
      </c>
      <c r="C1499" s="1" t="n">
        <v>46118</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41552-2024</t>
        </is>
      </c>
      <c r="B1500" s="1" t="n">
        <v>45560.51988425926</v>
      </c>
      <c r="C1500" s="1" t="n">
        <v>46118</v>
      </c>
      <c r="D1500" t="inlineStr">
        <is>
          <t>JÄMTLANDS LÄN</t>
        </is>
      </c>
      <c r="E1500" t="inlineStr">
        <is>
          <t>BRÄCKE</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24718-2022</t>
        </is>
      </c>
      <c r="B1501" s="1" t="n">
        <v>44727.94221064815</v>
      </c>
      <c r="C1501" s="1" t="n">
        <v>46118</v>
      </c>
      <c r="D1501" t="inlineStr">
        <is>
          <t>JÄMTLANDS LÄN</t>
        </is>
      </c>
      <c r="E1501" t="inlineStr">
        <is>
          <t>BRÄCKE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24726-2022</t>
        </is>
      </c>
      <c r="B1502" s="1" t="n">
        <v>44727</v>
      </c>
      <c r="C1502" s="1" t="n">
        <v>46118</v>
      </c>
      <c r="D1502" t="inlineStr">
        <is>
          <t>JÄMTLANDS LÄN</t>
        </is>
      </c>
      <c r="E1502" t="inlineStr">
        <is>
          <t>BRÄCKE</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35244-2021</t>
        </is>
      </c>
      <c r="B1503" s="1" t="n">
        <v>44384.58844907407</v>
      </c>
      <c r="C1503" s="1" t="n">
        <v>46118</v>
      </c>
      <c r="D1503" t="inlineStr">
        <is>
          <t>JÄMTLANDS LÄN</t>
        </is>
      </c>
      <c r="E1503" t="inlineStr">
        <is>
          <t>BRÄCKE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11856-2026</t>
        </is>
      </c>
      <c r="B1504" s="1" t="n">
        <v>46085.46954861111</v>
      </c>
      <c r="C1504" s="1" t="n">
        <v>46118</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53152-2024</t>
        </is>
      </c>
      <c r="B1505" s="1" t="n">
        <v>45611.62123842593</v>
      </c>
      <c r="C1505" s="1" t="n">
        <v>46118</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38336-2024</t>
        </is>
      </c>
      <c r="B1506" s="1" t="n">
        <v>45545.68386574074</v>
      </c>
      <c r="C1506" s="1" t="n">
        <v>46118</v>
      </c>
      <c r="D1506" t="inlineStr">
        <is>
          <t>JÄMTLANDS LÄN</t>
        </is>
      </c>
      <c r="E1506" t="inlineStr">
        <is>
          <t>BRÄCKE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11991-2026</t>
        </is>
      </c>
      <c r="B1507" s="1" t="n">
        <v>46085.65692129629</v>
      </c>
      <c r="C1507" s="1" t="n">
        <v>46118</v>
      </c>
      <c r="D1507" t="inlineStr">
        <is>
          <t>JÄMTLANDS LÄN</t>
        </is>
      </c>
      <c r="E1507" t="inlineStr">
        <is>
          <t>BRÄCKE</t>
        </is>
      </c>
      <c r="F1507" t="inlineStr">
        <is>
          <t>SCA</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3248-2025</t>
        </is>
      </c>
      <c r="B1508" s="1" t="n">
        <v>45679.53173611111</v>
      </c>
      <c r="C1508" s="1" t="n">
        <v>46118</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4365-2023</t>
        </is>
      </c>
      <c r="B1509" s="1" t="n">
        <v>44954</v>
      </c>
      <c r="C1509" s="1" t="n">
        <v>46118</v>
      </c>
      <c r="D1509" t="inlineStr">
        <is>
          <t>JÄMTLANDS LÄN</t>
        </is>
      </c>
      <c r="E1509" t="inlineStr">
        <is>
          <t>BRÄCKE</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51821-2023</t>
        </is>
      </c>
      <c r="B1510" s="1" t="n">
        <v>45222</v>
      </c>
      <c r="C1510" s="1" t="n">
        <v>46118</v>
      </c>
      <c r="D1510" t="inlineStr">
        <is>
          <t>JÄMTLANDS LÄN</t>
        </is>
      </c>
      <c r="E1510" t="inlineStr">
        <is>
          <t>BRÄCKE</t>
        </is>
      </c>
      <c r="F1510" t="inlineStr">
        <is>
          <t>SCA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42480-2024</t>
        </is>
      </c>
      <c r="B1511" s="1" t="n">
        <v>45565.49185185185</v>
      </c>
      <c r="C1511" s="1" t="n">
        <v>46118</v>
      </c>
      <c r="D1511" t="inlineStr">
        <is>
          <t>JÄMTLANDS LÄN</t>
        </is>
      </c>
      <c r="E1511" t="inlineStr">
        <is>
          <t>BRÄCKE</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28796-2023</t>
        </is>
      </c>
      <c r="B1512" s="1" t="n">
        <v>45096</v>
      </c>
      <c r="C1512" s="1" t="n">
        <v>46118</v>
      </c>
      <c r="D1512" t="inlineStr">
        <is>
          <t>JÄMTLANDS LÄN</t>
        </is>
      </c>
      <c r="E1512" t="inlineStr">
        <is>
          <t>BRÄCKE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4144-2026</t>
        </is>
      </c>
      <c r="B1513" s="1" t="n">
        <v>46044.63637731481</v>
      </c>
      <c r="C1513" s="1" t="n">
        <v>46118</v>
      </c>
      <c r="D1513" t="inlineStr">
        <is>
          <t>JÄMTLANDS LÄN</t>
        </is>
      </c>
      <c r="E1513" t="inlineStr">
        <is>
          <t>BRÄCKE</t>
        </is>
      </c>
      <c r="F1513" t="inlineStr">
        <is>
          <t>SCA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4283-2026</t>
        </is>
      </c>
      <c r="B1514" s="1" t="n">
        <v>46045.38994212963</v>
      </c>
      <c r="C1514" s="1" t="n">
        <v>46118</v>
      </c>
      <c r="D1514" t="inlineStr">
        <is>
          <t>JÄMTLANDS LÄN</t>
        </is>
      </c>
      <c r="E1514" t="inlineStr">
        <is>
          <t>BRÄCKE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20513-2024</t>
        </is>
      </c>
      <c r="B1515" s="1" t="n">
        <v>45435.94380787037</v>
      </c>
      <c r="C1515" s="1" t="n">
        <v>46118</v>
      </c>
      <c r="D1515" t="inlineStr">
        <is>
          <t>JÄMTLANDS LÄN</t>
        </is>
      </c>
      <c r="E1515" t="inlineStr">
        <is>
          <t>BRÄCKE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4123-2026</t>
        </is>
      </c>
      <c r="B1516" s="1" t="n">
        <v>46044.61585648148</v>
      </c>
      <c r="C1516" s="1" t="n">
        <v>46118</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51042-2023</t>
        </is>
      </c>
      <c r="B1517" s="1" t="n">
        <v>45218.62233796297</v>
      </c>
      <c r="C1517" s="1" t="n">
        <v>46118</v>
      </c>
      <c r="D1517" t="inlineStr">
        <is>
          <t>JÄMTLANDS LÄN</t>
        </is>
      </c>
      <c r="E1517" t="inlineStr">
        <is>
          <t>BRÄCKE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12047-2026</t>
        </is>
      </c>
      <c r="B1518" s="1" t="n">
        <v>46086.34466435185</v>
      </c>
      <c r="C1518" s="1" t="n">
        <v>46118</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3996-2026</t>
        </is>
      </c>
      <c r="B1519" s="1" t="n">
        <v>46044.38831018518</v>
      </c>
      <c r="C1519" s="1" t="n">
        <v>46118</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4087-2026</t>
        </is>
      </c>
      <c r="B1520" s="1" t="n">
        <v>46044.55247685185</v>
      </c>
      <c r="C1520" s="1" t="n">
        <v>46118</v>
      </c>
      <c r="D1520" t="inlineStr">
        <is>
          <t>JÄMTLANDS LÄN</t>
        </is>
      </c>
      <c r="E1520" t="inlineStr">
        <is>
          <t>BRÄCKE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12050-2026</t>
        </is>
      </c>
      <c r="B1521" s="1" t="n">
        <v>46086.3474074074</v>
      </c>
      <c r="C1521" s="1" t="n">
        <v>46118</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36497-2023</t>
        </is>
      </c>
      <c r="B1522" s="1" t="n">
        <v>45152</v>
      </c>
      <c r="C1522" s="1" t="n">
        <v>46118</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26444-2022</t>
        </is>
      </c>
      <c r="B1523" s="1" t="n">
        <v>44738.93929398148</v>
      </c>
      <c r="C1523" s="1" t="n">
        <v>46118</v>
      </c>
      <c r="D1523" t="inlineStr">
        <is>
          <t>JÄMTLANDS LÄN</t>
        </is>
      </c>
      <c r="E1523" t="inlineStr">
        <is>
          <t>BRÄCKE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4122-2026</t>
        </is>
      </c>
      <c r="B1524" s="1" t="n">
        <v>46044.61547453704</v>
      </c>
      <c r="C1524" s="1" t="n">
        <v>46118</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4126-2026</t>
        </is>
      </c>
      <c r="B1525" s="1" t="n">
        <v>46044.61627314815</v>
      </c>
      <c r="C1525" s="1" t="n">
        <v>46118</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12046-2026</t>
        </is>
      </c>
      <c r="B1526" s="1" t="n">
        <v>46086.34452546296</v>
      </c>
      <c r="C1526" s="1" t="n">
        <v>46118</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4124-2026</t>
        </is>
      </c>
      <c r="B1527" s="1" t="n">
        <v>46044.61603009259</v>
      </c>
      <c r="C1527" s="1" t="n">
        <v>46118</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4409-2026</t>
        </is>
      </c>
      <c r="B1528" s="1" t="n">
        <v>46045.59473379629</v>
      </c>
      <c r="C1528" s="1" t="n">
        <v>46118</v>
      </c>
      <c r="D1528" t="inlineStr">
        <is>
          <t>JÄMTLANDS LÄN</t>
        </is>
      </c>
      <c r="E1528" t="inlineStr">
        <is>
          <t>BRÄCKE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4098-2026</t>
        </is>
      </c>
      <c r="B1529" s="1" t="n">
        <v>46044.5734375</v>
      </c>
      <c r="C1529" s="1" t="n">
        <v>46118</v>
      </c>
      <c r="D1529" t="inlineStr">
        <is>
          <t>JÄMTLANDS LÄN</t>
        </is>
      </c>
      <c r="E1529" t="inlineStr">
        <is>
          <t>BRÄCKE</t>
        </is>
      </c>
      <c r="F1529" t="inlineStr">
        <is>
          <t>SCA</t>
        </is>
      </c>
      <c r="G1529" t="n">
        <v>19.5</v>
      </c>
      <c r="H1529" t="n">
        <v>0</v>
      </c>
      <c r="I1529" t="n">
        <v>0</v>
      </c>
      <c r="J1529" t="n">
        <v>0</v>
      </c>
      <c r="K1529" t="n">
        <v>0</v>
      </c>
      <c r="L1529" t="n">
        <v>0</v>
      </c>
      <c r="M1529" t="n">
        <v>0</v>
      </c>
      <c r="N1529" t="n">
        <v>0</v>
      </c>
      <c r="O1529" t="n">
        <v>0</v>
      </c>
      <c r="P1529" t="n">
        <v>0</v>
      </c>
      <c r="Q1529" t="n">
        <v>0</v>
      </c>
      <c r="R1529" s="2" t="inlineStr"/>
    </row>
    <row r="1530" ht="15" customHeight="1">
      <c r="A1530" t="inlineStr">
        <is>
          <t>A 4100-2026</t>
        </is>
      </c>
      <c r="B1530" s="1" t="n">
        <v>46044.57376157407</v>
      </c>
      <c r="C1530" s="1" t="n">
        <v>46118</v>
      </c>
      <c r="D1530" t="inlineStr">
        <is>
          <t>JÄMTLANDS LÄN</t>
        </is>
      </c>
      <c r="E1530" t="inlineStr">
        <is>
          <t>BRÄCKE</t>
        </is>
      </c>
      <c r="F1530" t="inlineStr">
        <is>
          <t>SCA</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22980-2024</t>
        </is>
      </c>
      <c r="B1531" s="1" t="n">
        <v>45449.90008101852</v>
      </c>
      <c r="C1531" s="1" t="n">
        <v>46118</v>
      </c>
      <c r="D1531" t="inlineStr">
        <is>
          <t>JÄMTLANDS LÄN</t>
        </is>
      </c>
      <c r="E1531" t="inlineStr">
        <is>
          <t>BRÄCKE</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57605-2024</t>
        </is>
      </c>
      <c r="B1532" s="1" t="n">
        <v>45630.53201388889</v>
      </c>
      <c r="C1532" s="1" t="n">
        <v>46118</v>
      </c>
      <c r="D1532" t="inlineStr">
        <is>
          <t>JÄMTLANDS LÄN</t>
        </is>
      </c>
      <c r="E1532" t="inlineStr">
        <is>
          <t>BRÄCKE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60870-2023</t>
        </is>
      </c>
      <c r="B1533" s="1" t="n">
        <v>45260.96667824074</v>
      </c>
      <c r="C1533" s="1" t="n">
        <v>46118</v>
      </c>
      <c r="D1533" t="inlineStr">
        <is>
          <t>JÄMTLANDS LÄN</t>
        </is>
      </c>
      <c r="E1533" t="inlineStr">
        <is>
          <t>BRÄCKE</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38943-2024</t>
        </is>
      </c>
      <c r="B1534" s="1" t="n">
        <v>45548.34490740741</v>
      </c>
      <c r="C1534" s="1" t="n">
        <v>46118</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48080-2023</t>
        </is>
      </c>
      <c r="B1535" s="1" t="n">
        <v>45204.94569444445</v>
      </c>
      <c r="C1535" s="1" t="n">
        <v>46118</v>
      </c>
      <c r="D1535" t="inlineStr">
        <is>
          <t>JÄMTLANDS LÄN</t>
        </is>
      </c>
      <c r="E1535" t="inlineStr">
        <is>
          <t>BRÄCKE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35252-2021</t>
        </is>
      </c>
      <c r="B1536" s="1" t="n">
        <v>44384.59356481482</v>
      </c>
      <c r="C1536" s="1" t="n">
        <v>46118</v>
      </c>
      <c r="D1536" t="inlineStr">
        <is>
          <t>JÄMTLANDS LÄN</t>
        </is>
      </c>
      <c r="E1536" t="inlineStr">
        <is>
          <t>BRÄCKE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25718-2024</t>
        </is>
      </c>
      <c r="B1537" s="1" t="n">
        <v>45463.94467592592</v>
      </c>
      <c r="C1537" s="1" t="n">
        <v>46118</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56493-2024</t>
        </is>
      </c>
      <c r="B1538" s="1" t="n">
        <v>45625.49034722222</v>
      </c>
      <c r="C1538" s="1" t="n">
        <v>46118</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4651-2026</t>
        </is>
      </c>
      <c r="B1539" s="1" t="n">
        <v>46048.40722222222</v>
      </c>
      <c r="C1539" s="1" t="n">
        <v>46118</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31566-2024</t>
        </is>
      </c>
      <c r="B1540" s="1" t="n">
        <v>45505.96675925926</v>
      </c>
      <c r="C1540" s="1" t="n">
        <v>46118</v>
      </c>
      <c r="D1540" t="inlineStr">
        <is>
          <t>JÄMTLANDS LÄN</t>
        </is>
      </c>
      <c r="E1540" t="inlineStr">
        <is>
          <t>BRÄCKE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5144-2026</t>
        </is>
      </c>
      <c r="B1541" s="1" t="n">
        <v>46049.60674768518</v>
      </c>
      <c r="C1541" s="1" t="n">
        <v>46118</v>
      </c>
      <c r="D1541" t="inlineStr">
        <is>
          <t>JÄMTLANDS LÄN</t>
        </is>
      </c>
      <c r="E1541" t="inlineStr">
        <is>
          <t>BRÄCKE</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14510-2025</t>
        </is>
      </c>
      <c r="B1542" s="1" t="n">
        <v>45741.63628472222</v>
      </c>
      <c r="C1542" s="1" t="n">
        <v>46118</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14511-2025</t>
        </is>
      </c>
      <c r="B1543" s="1" t="n">
        <v>45741.63643518519</v>
      </c>
      <c r="C1543" s="1" t="n">
        <v>46118</v>
      </c>
      <c r="D1543" t="inlineStr">
        <is>
          <t>JÄMTLANDS LÄN</t>
        </is>
      </c>
      <c r="E1543" t="inlineStr">
        <is>
          <t>BRÄCKE</t>
        </is>
      </c>
      <c r="F1543" t="inlineStr">
        <is>
          <t>SCA</t>
        </is>
      </c>
      <c r="G1543" t="n">
        <v>19.5</v>
      </c>
      <c r="H1543" t="n">
        <v>0</v>
      </c>
      <c r="I1543" t="n">
        <v>0</v>
      </c>
      <c r="J1543" t="n">
        <v>0</v>
      </c>
      <c r="K1543" t="n">
        <v>0</v>
      </c>
      <c r="L1543" t="n">
        <v>0</v>
      </c>
      <c r="M1543" t="n">
        <v>0</v>
      </c>
      <c r="N1543" t="n">
        <v>0</v>
      </c>
      <c r="O1543" t="n">
        <v>0</v>
      </c>
      <c r="P1543" t="n">
        <v>0</v>
      </c>
      <c r="Q1543" t="n">
        <v>0</v>
      </c>
      <c r="R1543" s="2" t="inlineStr"/>
    </row>
    <row r="1544" ht="15" customHeight="1">
      <c r="A1544" t="inlineStr">
        <is>
          <t>A 4822-2026</t>
        </is>
      </c>
      <c r="B1544" s="1" t="n">
        <v>46048.59443287037</v>
      </c>
      <c r="C1544" s="1" t="n">
        <v>46118</v>
      </c>
      <c r="D1544" t="inlineStr">
        <is>
          <t>JÄMTLANDS LÄN</t>
        </is>
      </c>
      <c r="E1544" t="inlineStr">
        <is>
          <t>BRÄCKE</t>
        </is>
      </c>
      <c r="F1544" t="inlineStr">
        <is>
          <t>SCA</t>
        </is>
      </c>
      <c r="G1544" t="n">
        <v>20.9</v>
      </c>
      <c r="H1544" t="n">
        <v>0</v>
      </c>
      <c r="I1544" t="n">
        <v>0</v>
      </c>
      <c r="J1544" t="n">
        <v>0</v>
      </c>
      <c r="K1544" t="n">
        <v>0</v>
      </c>
      <c r="L1544" t="n">
        <v>0</v>
      </c>
      <c r="M1544" t="n">
        <v>0</v>
      </c>
      <c r="N1544" t="n">
        <v>0</v>
      </c>
      <c r="O1544" t="n">
        <v>0</v>
      </c>
      <c r="P1544" t="n">
        <v>0</v>
      </c>
      <c r="Q1544" t="n">
        <v>0</v>
      </c>
      <c r="R1544" s="2" t="inlineStr"/>
    </row>
    <row r="1545" ht="15" customHeight="1">
      <c r="A1545" t="inlineStr">
        <is>
          <t>A 11830-2024</t>
        </is>
      </c>
      <c r="B1545" s="1" t="n">
        <v>45376.35451388889</v>
      </c>
      <c r="C1545" s="1" t="n">
        <v>46118</v>
      </c>
      <c r="D1545" t="inlineStr">
        <is>
          <t>JÄMTLANDS LÄN</t>
        </is>
      </c>
      <c r="E1545" t="inlineStr">
        <is>
          <t>BRÄCKE</t>
        </is>
      </c>
      <c r="G1545" t="n">
        <v>18.3</v>
      </c>
      <c r="H1545" t="n">
        <v>0</v>
      </c>
      <c r="I1545" t="n">
        <v>0</v>
      </c>
      <c r="J1545" t="n">
        <v>0</v>
      </c>
      <c r="K1545" t="n">
        <v>0</v>
      </c>
      <c r="L1545" t="n">
        <v>0</v>
      </c>
      <c r="M1545" t="n">
        <v>0</v>
      </c>
      <c r="N1545" t="n">
        <v>0</v>
      </c>
      <c r="O1545" t="n">
        <v>0</v>
      </c>
      <c r="P1545" t="n">
        <v>0</v>
      </c>
      <c r="Q1545" t="n">
        <v>0</v>
      </c>
      <c r="R1545" s="2" t="inlineStr"/>
    </row>
    <row r="1546" ht="15" customHeight="1">
      <c r="A1546" t="inlineStr">
        <is>
          <t>A 60325-2021</t>
        </is>
      </c>
      <c r="B1546" s="1" t="n">
        <v>44495.94054398148</v>
      </c>
      <c r="C1546" s="1" t="n">
        <v>46118</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45342-2023</t>
        </is>
      </c>
      <c r="B1547" s="1" t="n">
        <v>45191.93817129629</v>
      </c>
      <c r="C1547" s="1" t="n">
        <v>46118</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47500-2023</t>
        </is>
      </c>
      <c r="B1548" s="1" t="n">
        <v>45202.9425</v>
      </c>
      <c r="C1548" s="1" t="n">
        <v>46118</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61415-2021</t>
        </is>
      </c>
      <c r="B1549" s="1" t="n">
        <v>44500.93565972222</v>
      </c>
      <c r="C1549" s="1" t="n">
        <v>46118</v>
      </c>
      <c r="D1549" t="inlineStr">
        <is>
          <t>JÄMTLANDS LÄN</t>
        </is>
      </c>
      <c r="E1549" t="inlineStr">
        <is>
          <t>BRÄCKE</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48507-2023</t>
        </is>
      </c>
      <c r="B1550" s="1" t="n">
        <v>45207.94034722223</v>
      </c>
      <c r="C1550" s="1" t="n">
        <v>46118</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31713-2024</t>
        </is>
      </c>
      <c r="B1551" s="1" t="n">
        <v>45508.95126157408</v>
      </c>
      <c r="C1551" s="1" t="n">
        <v>46118</v>
      </c>
      <c r="D1551" t="inlineStr">
        <is>
          <t>JÄMTLANDS LÄN</t>
        </is>
      </c>
      <c r="E1551" t="inlineStr">
        <is>
          <t>BRÄCKE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4819-2026</t>
        </is>
      </c>
      <c r="B1552" s="1" t="n">
        <v>46048.5909375</v>
      </c>
      <c r="C1552" s="1" t="n">
        <v>46118</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43789-2022</t>
        </is>
      </c>
      <c r="B1553" s="1" t="n">
        <v>44837</v>
      </c>
      <c r="C1553" s="1" t="n">
        <v>46118</v>
      </c>
      <c r="D1553" t="inlineStr">
        <is>
          <t>JÄMTLANDS LÄN</t>
        </is>
      </c>
      <c r="E1553" t="inlineStr">
        <is>
          <t>BRÄCKE</t>
        </is>
      </c>
      <c r="F1553" t="inlineStr">
        <is>
          <t>SCA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6788-2025</t>
        </is>
      </c>
      <c r="B1554" s="1" t="n">
        <v>45700.65692129629</v>
      </c>
      <c r="C1554" s="1" t="n">
        <v>46118</v>
      </c>
      <c r="D1554" t="inlineStr">
        <is>
          <t>JÄMTLANDS LÄN</t>
        </is>
      </c>
      <c r="E1554" t="inlineStr">
        <is>
          <t>BRÄCKE</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4798-2026</t>
        </is>
      </c>
      <c r="B1555" s="1" t="n">
        <v>46048.57349537037</v>
      </c>
      <c r="C1555" s="1" t="n">
        <v>46118</v>
      </c>
      <c r="D1555" t="inlineStr">
        <is>
          <t>JÄMTLANDS LÄN</t>
        </is>
      </c>
      <c r="E1555" t="inlineStr">
        <is>
          <t>BRÄCKE</t>
        </is>
      </c>
      <c r="F1555" t="inlineStr">
        <is>
          <t>SCA</t>
        </is>
      </c>
      <c r="G1555" t="n">
        <v>15.3</v>
      </c>
      <c r="H1555" t="n">
        <v>0</v>
      </c>
      <c r="I1555" t="n">
        <v>0</v>
      </c>
      <c r="J1555" t="n">
        <v>0</v>
      </c>
      <c r="K1555" t="n">
        <v>0</v>
      </c>
      <c r="L1555" t="n">
        <v>0</v>
      </c>
      <c r="M1555" t="n">
        <v>0</v>
      </c>
      <c r="N1555" t="n">
        <v>0</v>
      </c>
      <c r="O1555" t="n">
        <v>0</v>
      </c>
      <c r="P1555" t="n">
        <v>0</v>
      </c>
      <c r="Q1555" t="n">
        <v>0</v>
      </c>
      <c r="R1555" s="2" t="inlineStr"/>
    </row>
    <row r="1556" ht="15" customHeight="1">
      <c r="A1556" t="inlineStr">
        <is>
          <t>A 51432-2023</t>
        </is>
      </c>
      <c r="B1556" s="1" t="n">
        <v>45219.96431712963</v>
      </c>
      <c r="C1556" s="1" t="n">
        <v>46118</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20532-2025</t>
        </is>
      </c>
      <c r="B1557" s="1" t="n">
        <v>45775.61515046296</v>
      </c>
      <c r="C1557" s="1" t="n">
        <v>46118</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59008-2024</t>
        </is>
      </c>
      <c r="B1558" s="1" t="n">
        <v>45636.65724537037</v>
      </c>
      <c r="C1558" s="1" t="n">
        <v>46118</v>
      </c>
      <c r="D1558" t="inlineStr">
        <is>
          <t>JÄMTLANDS LÄN</t>
        </is>
      </c>
      <c r="E1558" t="inlineStr">
        <is>
          <t>BRÄCKE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11093-2024</t>
        </is>
      </c>
      <c r="B1559" s="1" t="n">
        <v>45370.94986111111</v>
      </c>
      <c r="C1559" s="1" t="n">
        <v>46118</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5772-2026</t>
        </is>
      </c>
      <c r="B1560" s="1" t="n">
        <v>46051.64594907407</v>
      </c>
      <c r="C1560" s="1" t="n">
        <v>46118</v>
      </c>
      <c r="D1560" t="inlineStr">
        <is>
          <t>JÄMTLANDS LÄN</t>
        </is>
      </c>
      <c r="E1560" t="inlineStr">
        <is>
          <t>BRÄCKE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31470-2023</t>
        </is>
      </c>
      <c r="B1561" s="1" t="n">
        <v>45104</v>
      </c>
      <c r="C1561" s="1" t="n">
        <v>46118</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13128-2026</t>
        </is>
      </c>
      <c r="B1562" s="1" t="n">
        <v>46093.46931712963</v>
      </c>
      <c r="C1562" s="1" t="n">
        <v>46118</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13212-2026</t>
        </is>
      </c>
      <c r="B1563" s="1" t="n">
        <v>46093.61533564814</v>
      </c>
      <c r="C1563" s="1" t="n">
        <v>46118</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28135-2024</t>
        </is>
      </c>
      <c r="B1564" s="1" t="n">
        <v>45476</v>
      </c>
      <c r="C1564" s="1" t="n">
        <v>46118</v>
      </c>
      <c r="D1564" t="inlineStr">
        <is>
          <t>JÄMTLANDS LÄN</t>
        </is>
      </c>
      <c r="E1564" t="inlineStr">
        <is>
          <t>BRÄCKE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13171-2026</t>
        </is>
      </c>
      <c r="B1565" s="1" t="n">
        <v>46093.57340277778</v>
      </c>
      <c r="C1565" s="1" t="n">
        <v>46118</v>
      </c>
      <c r="D1565" t="inlineStr">
        <is>
          <t>JÄMTLANDS LÄN</t>
        </is>
      </c>
      <c r="E1565" t="inlineStr">
        <is>
          <t>BRÄCKE</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5406-2026</t>
        </is>
      </c>
      <c r="B1566" s="1" t="n">
        <v>46050.5103125</v>
      </c>
      <c r="C1566" s="1" t="n">
        <v>46118</v>
      </c>
      <c r="D1566" t="inlineStr">
        <is>
          <t>JÄMTLANDS LÄN</t>
        </is>
      </c>
      <c r="E1566" t="inlineStr">
        <is>
          <t>BRÄCKE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62546-2025</t>
        </is>
      </c>
      <c r="B1567" s="1" t="n">
        <v>46007.6616087963</v>
      </c>
      <c r="C1567" s="1" t="n">
        <v>46118</v>
      </c>
      <c r="D1567" t="inlineStr">
        <is>
          <t>JÄMTLANDS LÄN</t>
        </is>
      </c>
      <c r="E1567" t="inlineStr">
        <is>
          <t>BRÄCKE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13147-2026</t>
        </is>
      </c>
      <c r="B1568" s="1" t="n">
        <v>46093.51188657407</v>
      </c>
      <c r="C1568" s="1" t="n">
        <v>46118</v>
      </c>
      <c r="D1568" t="inlineStr">
        <is>
          <t>JÄMTLANDS LÄN</t>
        </is>
      </c>
      <c r="E1568" t="inlineStr">
        <is>
          <t>BRÄCKE</t>
        </is>
      </c>
      <c r="F1568" t="inlineStr">
        <is>
          <t>SCA</t>
        </is>
      </c>
      <c r="G1568" t="n">
        <v>19.4</v>
      </c>
      <c r="H1568" t="n">
        <v>0</v>
      </c>
      <c r="I1568" t="n">
        <v>0</v>
      </c>
      <c r="J1568" t="n">
        <v>0</v>
      </c>
      <c r="K1568" t="n">
        <v>0</v>
      </c>
      <c r="L1568" t="n">
        <v>0</v>
      </c>
      <c r="M1568" t="n">
        <v>0</v>
      </c>
      <c r="N1568" t="n">
        <v>0</v>
      </c>
      <c r="O1568" t="n">
        <v>0</v>
      </c>
      <c r="P1568" t="n">
        <v>0</v>
      </c>
      <c r="Q1568" t="n">
        <v>0</v>
      </c>
      <c r="R1568" s="2" t="inlineStr"/>
    </row>
    <row r="1569" ht="15" customHeight="1">
      <c r="A1569" t="inlineStr">
        <is>
          <t>A 10130-2022</t>
        </is>
      </c>
      <c r="B1569" s="1" t="n">
        <v>44621.94561342592</v>
      </c>
      <c r="C1569" s="1" t="n">
        <v>46118</v>
      </c>
      <c r="D1569" t="inlineStr">
        <is>
          <t>JÄMTLANDS LÄN</t>
        </is>
      </c>
      <c r="E1569" t="inlineStr">
        <is>
          <t>BRÄCKE</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55520-2022</t>
        </is>
      </c>
      <c r="B1570" s="1" t="n">
        <v>44887</v>
      </c>
      <c r="C1570" s="1" t="n">
        <v>46118</v>
      </c>
      <c r="D1570" t="inlineStr">
        <is>
          <t>JÄMTLANDS LÄN</t>
        </is>
      </c>
      <c r="E1570" t="inlineStr">
        <is>
          <t>BRÄCKE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55529-2022</t>
        </is>
      </c>
      <c r="B1571" s="1" t="n">
        <v>44887.95256944445</v>
      </c>
      <c r="C1571" s="1" t="n">
        <v>46118</v>
      </c>
      <c r="D1571" t="inlineStr">
        <is>
          <t>JÄMTLANDS LÄN</t>
        </is>
      </c>
      <c r="E1571" t="inlineStr">
        <is>
          <t>BRÄCKE</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5774-2026</t>
        </is>
      </c>
      <c r="B1572" s="1" t="n">
        <v>46051.64853009259</v>
      </c>
      <c r="C1572" s="1" t="n">
        <v>46118</v>
      </c>
      <c r="D1572" t="inlineStr">
        <is>
          <t>JÄMTLANDS LÄN</t>
        </is>
      </c>
      <c r="E1572" t="inlineStr">
        <is>
          <t>BRÄCKE</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52529-2024</t>
        </is>
      </c>
      <c r="B1573" s="1" t="n">
        <v>45609.61483796296</v>
      </c>
      <c r="C1573" s="1" t="n">
        <v>46118</v>
      </c>
      <c r="D1573" t="inlineStr">
        <is>
          <t>JÄMTLANDS LÄN</t>
        </is>
      </c>
      <c r="E1573" t="inlineStr">
        <is>
          <t>BRÄCKE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44694-2023</t>
        </is>
      </c>
      <c r="B1574" s="1" t="n">
        <v>45189.92251157408</v>
      </c>
      <c r="C1574" s="1" t="n">
        <v>46118</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13250-2026</t>
        </is>
      </c>
      <c r="B1575" s="1" t="n">
        <v>46093.6571412037</v>
      </c>
      <c r="C1575" s="1" t="n">
        <v>46118</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54451-2023</t>
        </is>
      </c>
      <c r="B1576" s="1" t="n">
        <v>45233.44581018519</v>
      </c>
      <c r="C1576" s="1" t="n">
        <v>46118</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13214-2026</t>
        </is>
      </c>
      <c r="B1577" s="1" t="n">
        <v>46093.61574074074</v>
      </c>
      <c r="C1577" s="1" t="n">
        <v>46118</v>
      </c>
      <c r="D1577" t="inlineStr">
        <is>
          <t>JÄMTLANDS LÄN</t>
        </is>
      </c>
      <c r="E1577" t="inlineStr">
        <is>
          <t>BRÄCKE</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13192-2026</t>
        </is>
      </c>
      <c r="B1578" s="1" t="n">
        <v>46093.59509259259</v>
      </c>
      <c r="C1578" s="1" t="n">
        <v>46118</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1881-2024</t>
        </is>
      </c>
      <c r="B1579" s="1" t="n">
        <v>45307.96266203704</v>
      </c>
      <c r="C1579" s="1" t="n">
        <v>46118</v>
      </c>
      <c r="D1579" t="inlineStr">
        <is>
          <t>JÄMTLANDS LÄN</t>
        </is>
      </c>
      <c r="E1579" t="inlineStr">
        <is>
          <t>BRÄCKE</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4122-2025</t>
        </is>
      </c>
      <c r="B1580" s="1" t="n">
        <v>45685.26828703703</v>
      </c>
      <c r="C1580" s="1" t="n">
        <v>46118</v>
      </c>
      <c r="D1580" t="inlineStr">
        <is>
          <t>JÄMTLANDS LÄN</t>
        </is>
      </c>
      <c r="E1580" t="inlineStr">
        <is>
          <t>BRÄCKE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46118</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6346-2026</t>
        </is>
      </c>
      <c r="B1582" s="1" t="n">
        <v>46055.60908564815</v>
      </c>
      <c r="C1582" s="1" t="n">
        <v>46118</v>
      </c>
      <c r="D1582" t="inlineStr">
        <is>
          <t>JÄMTLANDS LÄN</t>
        </is>
      </c>
      <c r="E1582" t="inlineStr">
        <is>
          <t>BRÄCKE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49591-2024</t>
        </is>
      </c>
      <c r="B1583" s="1" t="n">
        <v>45596.5525</v>
      </c>
      <c r="C1583" s="1" t="n">
        <v>46118</v>
      </c>
      <c r="D1583" t="inlineStr">
        <is>
          <t>JÄMTLANDS LÄN</t>
        </is>
      </c>
      <c r="E1583" t="inlineStr">
        <is>
          <t>BRÄCKE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6340-2026</t>
        </is>
      </c>
      <c r="B1584" s="1" t="n">
        <v>46055.60056712963</v>
      </c>
      <c r="C1584" s="1" t="n">
        <v>46118</v>
      </c>
      <c r="D1584" t="inlineStr">
        <is>
          <t>JÄMTLANDS LÄN</t>
        </is>
      </c>
      <c r="E1584" t="inlineStr">
        <is>
          <t>BRÄCKE</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22985-2023</t>
        </is>
      </c>
      <c r="B1585" s="1" t="n">
        <v>45072</v>
      </c>
      <c r="C1585" s="1" t="n">
        <v>46118</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13542-2026</t>
        </is>
      </c>
      <c r="B1586" s="1" t="n">
        <v>46094.67759259259</v>
      </c>
      <c r="C1586" s="1" t="n">
        <v>46118</v>
      </c>
      <c r="D1586" t="inlineStr">
        <is>
          <t>JÄMTLANDS LÄN</t>
        </is>
      </c>
      <c r="E1586" t="inlineStr">
        <is>
          <t>BRÄCKE</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49307-2024</t>
        </is>
      </c>
      <c r="B1587" s="1" t="n">
        <v>45595.55241898148</v>
      </c>
      <c r="C1587" s="1" t="n">
        <v>46118</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8253-2024</t>
        </is>
      </c>
      <c r="B1588" s="1" t="n">
        <v>45350</v>
      </c>
      <c r="C1588" s="1" t="n">
        <v>46118</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6334-2026</t>
        </is>
      </c>
      <c r="B1589" s="1" t="n">
        <v>46055.59474537037</v>
      </c>
      <c r="C1589" s="1" t="n">
        <v>46118</v>
      </c>
      <c r="D1589" t="inlineStr">
        <is>
          <t>JÄMTLANDS LÄN</t>
        </is>
      </c>
      <c r="E1589" t="inlineStr">
        <is>
          <t>BRÄCKE</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5980-2026</t>
        </is>
      </c>
      <c r="B1590" s="1" t="n">
        <v>46052.55277777778</v>
      </c>
      <c r="C1590" s="1" t="n">
        <v>46118</v>
      </c>
      <c r="D1590" t="inlineStr">
        <is>
          <t>JÄMTLANDS LÄN</t>
        </is>
      </c>
      <c r="E1590" t="inlineStr">
        <is>
          <t>BRÄCKE</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23746-2021</t>
        </is>
      </c>
      <c r="B1591" s="1" t="n">
        <v>44334.93716435185</v>
      </c>
      <c r="C1591" s="1" t="n">
        <v>46118</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13425-2026</t>
        </is>
      </c>
      <c r="B1592" s="1" t="n">
        <v>46094.47731481482</v>
      </c>
      <c r="C1592" s="1" t="n">
        <v>46118</v>
      </c>
      <c r="D1592" t="inlineStr">
        <is>
          <t>JÄMTLANDS LÄN</t>
        </is>
      </c>
      <c r="E1592" t="inlineStr">
        <is>
          <t>BRÄCKE</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26665-2021</t>
        </is>
      </c>
      <c r="B1593" s="1" t="n">
        <v>44348</v>
      </c>
      <c r="C1593" s="1" t="n">
        <v>46118</v>
      </c>
      <c r="D1593" t="inlineStr">
        <is>
          <t>JÄMTLANDS LÄN</t>
        </is>
      </c>
      <c r="E1593" t="inlineStr">
        <is>
          <t>BRÄCKE</t>
        </is>
      </c>
      <c r="F1593" t="inlineStr">
        <is>
          <t>SCA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41313-2024</t>
        </is>
      </c>
      <c r="B1594" s="1" t="n">
        <v>45559.6359837963</v>
      </c>
      <c r="C1594" s="1" t="n">
        <v>46118</v>
      </c>
      <c r="D1594" t="inlineStr">
        <is>
          <t>JÄMTLANDS LÄN</t>
        </is>
      </c>
      <c r="E1594" t="inlineStr">
        <is>
          <t>BRÄCKE</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59932-2022</t>
        </is>
      </c>
      <c r="B1595" s="1" t="n">
        <v>44909.36262731482</v>
      </c>
      <c r="C1595" s="1" t="n">
        <v>46118</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13414-2026</t>
        </is>
      </c>
      <c r="B1596" s="1" t="n">
        <v>46094.46974537037</v>
      </c>
      <c r="C1596" s="1" t="n">
        <v>46118</v>
      </c>
      <c r="D1596" t="inlineStr">
        <is>
          <t>JÄMTLANDS LÄN</t>
        </is>
      </c>
      <c r="E1596" t="inlineStr">
        <is>
          <t>BRÄCKE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24049-2023</t>
        </is>
      </c>
      <c r="B1597" s="1" t="n">
        <v>45078.93966435185</v>
      </c>
      <c r="C1597" s="1" t="n">
        <v>46118</v>
      </c>
      <c r="D1597" t="inlineStr">
        <is>
          <t>JÄMTLANDS LÄN</t>
        </is>
      </c>
      <c r="E1597" t="inlineStr">
        <is>
          <t>BRÄCKE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13746-2026</t>
        </is>
      </c>
      <c r="B1598" s="1" t="n">
        <v>46097.63675925926</v>
      </c>
      <c r="C1598" s="1" t="n">
        <v>46118</v>
      </c>
      <c r="D1598" t="inlineStr">
        <is>
          <t>JÄMTLANDS LÄN</t>
        </is>
      </c>
      <c r="E1598" t="inlineStr">
        <is>
          <t>BRÄCKE</t>
        </is>
      </c>
      <c r="F1598" t="inlineStr">
        <is>
          <t>Naturvårdsverket</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13783-2026</t>
        </is>
      </c>
      <c r="B1599" s="1" t="n">
        <v>46097.69842592593</v>
      </c>
      <c r="C1599" s="1" t="n">
        <v>46118</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6200-2026</t>
        </is>
      </c>
      <c r="B1600" s="1" t="n">
        <v>46055.40670138889</v>
      </c>
      <c r="C1600" s="1" t="n">
        <v>46118</v>
      </c>
      <c r="D1600" t="inlineStr">
        <is>
          <t>JÄMTLANDS LÄN</t>
        </is>
      </c>
      <c r="E1600" t="inlineStr">
        <is>
          <t>BRÄCKE</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17313-2025</t>
        </is>
      </c>
      <c r="B1601" s="1" t="n">
        <v>45756.61498842593</v>
      </c>
      <c r="C1601" s="1" t="n">
        <v>46118</v>
      </c>
      <c r="D1601" t="inlineStr">
        <is>
          <t>JÄMTLANDS LÄN</t>
        </is>
      </c>
      <c r="E1601" t="inlineStr">
        <is>
          <t>BRÄCKE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35564-2021</t>
        </is>
      </c>
      <c r="B1602" s="1" t="n">
        <v>44385.93597222222</v>
      </c>
      <c r="C1602" s="1" t="n">
        <v>46118</v>
      </c>
      <c r="D1602" t="inlineStr">
        <is>
          <t>JÄMTLANDS LÄN</t>
        </is>
      </c>
      <c r="E1602" t="inlineStr">
        <is>
          <t>BRÄCKE</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15779-2025</t>
        </is>
      </c>
      <c r="B1603" s="1" t="n">
        <v>45748.60634259259</v>
      </c>
      <c r="C1603" s="1" t="n">
        <v>46118</v>
      </c>
      <c r="D1603" t="inlineStr">
        <is>
          <t>JÄMTLANDS LÄN</t>
        </is>
      </c>
      <c r="E1603" t="inlineStr">
        <is>
          <t>BRÄCKE</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10309-2023</t>
        </is>
      </c>
      <c r="B1604" s="1" t="n">
        <v>44986</v>
      </c>
      <c r="C1604" s="1" t="n">
        <v>46118</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16322-2025</t>
        </is>
      </c>
      <c r="B1605" s="1" t="n">
        <v>45751.34886574074</v>
      </c>
      <c r="C1605" s="1" t="n">
        <v>46118</v>
      </c>
      <c r="D1605" t="inlineStr">
        <is>
          <t>JÄMTLANDS LÄN</t>
        </is>
      </c>
      <c r="E1605" t="inlineStr">
        <is>
          <t>BRÄCKE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30685-2024</t>
        </is>
      </c>
      <c r="B1606" s="1" t="n">
        <v>45495.95159722222</v>
      </c>
      <c r="C1606" s="1" t="n">
        <v>46118</v>
      </c>
      <c r="D1606" t="inlineStr">
        <is>
          <t>JÄMTLANDS LÄN</t>
        </is>
      </c>
      <c r="E1606" t="inlineStr">
        <is>
          <t>BRÄCKE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54571-2021</t>
        </is>
      </c>
      <c r="B1607" s="1" t="n">
        <v>44473</v>
      </c>
      <c r="C1607" s="1" t="n">
        <v>46118</v>
      </c>
      <c r="D1607" t="inlineStr">
        <is>
          <t>JÄMTLANDS LÄN</t>
        </is>
      </c>
      <c r="E1607" t="inlineStr">
        <is>
          <t>BRÄCKE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23640-2024</t>
        </is>
      </c>
      <c r="B1608" s="1" t="n">
        <v>45454.49516203703</v>
      </c>
      <c r="C1608" s="1" t="n">
        <v>46118</v>
      </c>
      <c r="D1608" t="inlineStr">
        <is>
          <t>JÄMTLANDS LÄN</t>
        </is>
      </c>
      <c r="E1608" t="inlineStr">
        <is>
          <t>BRÄCKE</t>
        </is>
      </c>
      <c r="G1608" t="n">
        <v>19.4</v>
      </c>
      <c r="H1608" t="n">
        <v>0</v>
      </c>
      <c r="I1608" t="n">
        <v>0</v>
      </c>
      <c r="J1608" t="n">
        <v>0</v>
      </c>
      <c r="K1608" t="n">
        <v>0</v>
      </c>
      <c r="L1608" t="n">
        <v>0</v>
      </c>
      <c r="M1608" t="n">
        <v>0</v>
      </c>
      <c r="N1608" t="n">
        <v>0</v>
      </c>
      <c r="O1608" t="n">
        <v>0</v>
      </c>
      <c r="P1608" t="n">
        <v>0</v>
      </c>
      <c r="Q1608" t="n">
        <v>0</v>
      </c>
      <c r="R1608" s="2" t="inlineStr"/>
    </row>
    <row r="1609" ht="15" customHeight="1">
      <c r="A1609" t="inlineStr">
        <is>
          <t>A 13903-2026</t>
        </is>
      </c>
      <c r="B1609" s="1" t="n">
        <v>46098.46943287037</v>
      </c>
      <c r="C1609" s="1" t="n">
        <v>46118</v>
      </c>
      <c r="D1609" t="inlineStr">
        <is>
          <t>JÄMTLANDS LÄN</t>
        </is>
      </c>
      <c r="E1609" t="inlineStr">
        <is>
          <t>BRÄCKE</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13835-2026</t>
        </is>
      </c>
      <c r="B1610" s="1" t="n">
        <v>46098.36530092593</v>
      </c>
      <c r="C1610" s="1" t="n">
        <v>46118</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6830-2026</t>
        </is>
      </c>
      <c r="B1611" s="1" t="n">
        <v>46057.40674768519</v>
      </c>
      <c r="C1611" s="1" t="n">
        <v>46118</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6796-2026</t>
        </is>
      </c>
      <c r="B1612" s="1" t="n">
        <v>46057.34446759259</v>
      </c>
      <c r="C1612" s="1" t="n">
        <v>46118</v>
      </c>
      <c r="D1612" t="inlineStr">
        <is>
          <t>JÄMTLANDS LÄN</t>
        </is>
      </c>
      <c r="E1612" t="inlineStr">
        <is>
          <t>BRÄCKE</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45200.12724537037</v>
      </c>
      <c r="C1613" s="1" t="n">
        <v>46118</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13970-2026</t>
        </is>
      </c>
      <c r="B1614" s="1" t="n">
        <v>46098.57824074074</v>
      </c>
      <c r="C1614" s="1" t="n">
        <v>46118</v>
      </c>
      <c r="D1614" t="inlineStr">
        <is>
          <t>JÄMTLANDS LÄN</t>
        </is>
      </c>
      <c r="E1614" t="inlineStr">
        <is>
          <t>BRÄCKE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6980-2026</t>
        </is>
      </c>
      <c r="B1615" s="1" t="n">
        <v>46057.59642361111</v>
      </c>
      <c r="C1615" s="1" t="n">
        <v>46118</v>
      </c>
      <c r="D1615" t="inlineStr">
        <is>
          <t>JÄMTLANDS LÄN</t>
        </is>
      </c>
      <c r="E1615" t="inlineStr">
        <is>
          <t>BRÄCKE</t>
        </is>
      </c>
      <c r="G1615" t="n">
        <v>22.7</v>
      </c>
      <c r="H1615" t="n">
        <v>0</v>
      </c>
      <c r="I1615" t="n">
        <v>0</v>
      </c>
      <c r="J1615" t="n">
        <v>0</v>
      </c>
      <c r="K1615" t="n">
        <v>0</v>
      </c>
      <c r="L1615" t="n">
        <v>0</v>
      </c>
      <c r="M1615" t="n">
        <v>0</v>
      </c>
      <c r="N1615" t="n">
        <v>0</v>
      </c>
      <c r="O1615" t="n">
        <v>0</v>
      </c>
      <c r="P1615" t="n">
        <v>0</v>
      </c>
      <c r="Q1615" t="n">
        <v>0</v>
      </c>
      <c r="R1615" s="2" t="inlineStr"/>
    </row>
    <row r="1616" ht="15" customHeight="1">
      <c r="A1616" t="inlineStr">
        <is>
          <t>A 6986-2026</t>
        </is>
      </c>
      <c r="B1616" s="1" t="n">
        <v>46057.60162037037</v>
      </c>
      <c r="C1616" s="1" t="n">
        <v>46118</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14065-2026</t>
        </is>
      </c>
      <c r="B1617" s="1" t="n">
        <v>46099.34439814815</v>
      </c>
      <c r="C1617" s="1" t="n">
        <v>46118</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13849-2026</t>
        </is>
      </c>
      <c r="B1618" s="1" t="n">
        <v>46098.38708333333</v>
      </c>
      <c r="C1618" s="1" t="n">
        <v>46118</v>
      </c>
      <c r="D1618" t="inlineStr">
        <is>
          <t>JÄMTLANDS LÄN</t>
        </is>
      </c>
      <c r="E1618" t="inlineStr">
        <is>
          <t>BRÄCKE</t>
        </is>
      </c>
      <c r="F1618" t="inlineStr">
        <is>
          <t>Naturvårdsverket</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46118</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61663-2022</t>
        </is>
      </c>
      <c r="B1620" s="1" t="n">
        <v>44916</v>
      </c>
      <c r="C1620" s="1" t="n">
        <v>46118</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58079-2023</t>
        </is>
      </c>
      <c r="B1621" s="1" t="n">
        <v>45247.96510416667</v>
      </c>
      <c r="C1621" s="1" t="n">
        <v>46118</v>
      </c>
      <c r="D1621" t="inlineStr">
        <is>
          <t>JÄMTLANDS LÄN</t>
        </is>
      </c>
      <c r="E1621" t="inlineStr">
        <is>
          <t>BRÄCKE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46952-2021</t>
        </is>
      </c>
      <c r="B1622" s="1" t="n">
        <v>44446</v>
      </c>
      <c r="C1622" s="1" t="n">
        <v>46118</v>
      </c>
      <c r="D1622" t="inlineStr">
        <is>
          <t>JÄMTLANDS LÄN</t>
        </is>
      </c>
      <c r="E1622" t="inlineStr">
        <is>
          <t>BRÄCKE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39122-2024</t>
        </is>
      </c>
      <c r="B1623" s="1" t="n">
        <v>45548.5940162037</v>
      </c>
      <c r="C1623" s="1" t="n">
        <v>46118</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11699-2025</t>
        </is>
      </c>
      <c r="B1624" s="1" t="n">
        <v>45727.57402777778</v>
      </c>
      <c r="C1624" s="1" t="n">
        <v>46118</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6545-2026</t>
        </is>
      </c>
      <c r="B1625" s="1" t="n">
        <v>46056.42810185185</v>
      </c>
      <c r="C1625" s="1" t="n">
        <v>46118</v>
      </c>
      <c r="D1625" t="inlineStr">
        <is>
          <t>JÄMTLANDS LÄN</t>
        </is>
      </c>
      <c r="E1625" t="inlineStr">
        <is>
          <t>BRÄCKE</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24974-2024</t>
        </is>
      </c>
      <c r="B1626" s="1" t="n">
        <v>45461</v>
      </c>
      <c r="C1626" s="1" t="n">
        <v>46118</v>
      </c>
      <c r="D1626" t="inlineStr">
        <is>
          <t>JÄMTLANDS LÄN</t>
        </is>
      </c>
      <c r="E1626" t="inlineStr">
        <is>
          <t>BRÄCKE</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7527-2026</t>
        </is>
      </c>
      <c r="B1627" s="1" t="n">
        <v>46059.61508101852</v>
      </c>
      <c r="C1627" s="1" t="n">
        <v>46118</v>
      </c>
      <c r="D1627" t="inlineStr">
        <is>
          <t>JÄMTLANDS LÄN</t>
        </is>
      </c>
      <c r="E1627" t="inlineStr">
        <is>
          <t>BRÄCKE</t>
        </is>
      </c>
      <c r="F1627" t="inlineStr">
        <is>
          <t>SCA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14548-2026</t>
        </is>
      </c>
      <c r="B1628" s="1" t="n">
        <v>46100.69842592593</v>
      </c>
      <c r="C1628" s="1" t="n">
        <v>46118</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48900-2023</t>
        </is>
      </c>
      <c r="B1629" s="1" t="n">
        <v>45209</v>
      </c>
      <c r="C1629" s="1" t="n">
        <v>46118</v>
      </c>
      <c r="D1629" t="inlineStr">
        <is>
          <t>JÄMTLANDS LÄN</t>
        </is>
      </c>
      <c r="E1629" t="inlineStr">
        <is>
          <t>BRÄCKE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28738-2022</t>
        </is>
      </c>
      <c r="B1630" s="1" t="n">
        <v>44748.94701388889</v>
      </c>
      <c r="C1630" s="1" t="n">
        <v>46118</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26437-2022</t>
        </is>
      </c>
      <c r="B1631" s="1" t="n">
        <v>44736.93912037037</v>
      </c>
      <c r="C1631" s="1" t="n">
        <v>46118</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14672-2026</t>
        </is>
      </c>
      <c r="B1632" s="1" t="n">
        <v>46101.46270833333</v>
      </c>
      <c r="C1632" s="1" t="n">
        <v>46118</v>
      </c>
      <c r="D1632" t="inlineStr">
        <is>
          <t>JÄMTLANDS LÄN</t>
        </is>
      </c>
      <c r="E1632" t="inlineStr">
        <is>
          <t>BRÄCKE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1127-2025</t>
        </is>
      </c>
      <c r="B1633" s="1" t="n">
        <v>45666.67756944444</v>
      </c>
      <c r="C1633" s="1" t="n">
        <v>46118</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14290-2025</t>
        </is>
      </c>
      <c r="B1634" s="1" t="n">
        <v>45740.67755787037</v>
      </c>
      <c r="C1634" s="1" t="n">
        <v>46118</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7305-2026</t>
        </is>
      </c>
      <c r="B1635" s="1" t="n">
        <v>46058.65709490741</v>
      </c>
      <c r="C1635" s="1" t="n">
        <v>46118</v>
      </c>
      <c r="D1635" t="inlineStr">
        <is>
          <t>JÄMTLANDS LÄN</t>
        </is>
      </c>
      <c r="E1635" t="inlineStr">
        <is>
          <t>BRÄCKE</t>
        </is>
      </c>
      <c r="F1635" t="inlineStr">
        <is>
          <t>SCA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5052-2024</t>
        </is>
      </c>
      <c r="B1636" s="1" t="n">
        <v>45329.93077546296</v>
      </c>
      <c r="C1636" s="1" t="n">
        <v>46118</v>
      </c>
      <c r="D1636" t="inlineStr">
        <is>
          <t>JÄMTLANDS LÄN</t>
        </is>
      </c>
      <c r="E1636" t="inlineStr">
        <is>
          <t>BRÄCKE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5053-2024</t>
        </is>
      </c>
      <c r="B1637" s="1" t="n">
        <v>45329.93084490741</v>
      </c>
      <c r="C1637" s="1" t="n">
        <v>46118</v>
      </c>
      <c r="D1637" t="inlineStr">
        <is>
          <t>JÄMTLANDS LÄN</t>
        </is>
      </c>
      <c r="E1637" t="inlineStr">
        <is>
          <t>BRÄCKE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16372-2023</t>
        </is>
      </c>
      <c r="B1638" s="1" t="n">
        <v>45028.94083333333</v>
      </c>
      <c r="C1638" s="1" t="n">
        <v>46118</v>
      </c>
      <c r="D1638" t="inlineStr">
        <is>
          <t>JÄMTLANDS LÄN</t>
        </is>
      </c>
      <c r="E1638" t="inlineStr">
        <is>
          <t>BRÄCKE</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14681-2026</t>
        </is>
      </c>
      <c r="B1639" s="1" t="n">
        <v>46101.48452546296</v>
      </c>
      <c r="C1639" s="1" t="n">
        <v>46118</v>
      </c>
      <c r="D1639" t="inlineStr">
        <is>
          <t>JÄMTLANDS LÄN</t>
        </is>
      </c>
      <c r="E1639" t="inlineStr">
        <is>
          <t>BRÄCKE</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31692-2024</t>
        </is>
      </c>
      <c r="B1640" s="1" t="n">
        <v>45507.95684027778</v>
      </c>
      <c r="C1640" s="1" t="n">
        <v>46118</v>
      </c>
      <c r="D1640" t="inlineStr">
        <is>
          <t>JÄMTLANDS LÄN</t>
        </is>
      </c>
      <c r="E1640" t="inlineStr">
        <is>
          <t>BRÄCKE</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51270-2022</t>
        </is>
      </c>
      <c r="B1641" s="1" t="n">
        <v>44866</v>
      </c>
      <c r="C1641" s="1" t="n">
        <v>46118</v>
      </c>
      <c r="D1641" t="inlineStr">
        <is>
          <t>JÄMTLANDS LÄN</t>
        </is>
      </c>
      <c r="E1641" t="inlineStr">
        <is>
          <t>BRÄCKE</t>
        </is>
      </c>
      <c r="F1641" t="inlineStr">
        <is>
          <t>Kommuner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26351-2023</t>
        </is>
      </c>
      <c r="B1642" s="1" t="n">
        <v>45091</v>
      </c>
      <c r="C1642" s="1" t="n">
        <v>46118</v>
      </c>
      <c r="D1642" t="inlineStr">
        <is>
          <t>JÄMTLANDS LÄN</t>
        </is>
      </c>
      <c r="E1642" t="inlineStr">
        <is>
          <t>BRÄCKE</t>
        </is>
      </c>
      <c r="F1642" t="inlineStr">
        <is>
          <t>SCA</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14626-2026</t>
        </is>
      </c>
      <c r="B1643" s="1" t="n">
        <v>46101.39383101852</v>
      </c>
      <c r="C1643" s="1" t="n">
        <v>46118</v>
      </c>
      <c r="D1643" t="inlineStr">
        <is>
          <t>JÄMTLANDS LÄN</t>
        </is>
      </c>
      <c r="E1643" t="inlineStr">
        <is>
          <t>BRÄCKE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51832-2023</t>
        </is>
      </c>
      <c r="B1644" s="1" t="n">
        <v>45222.96841435185</v>
      </c>
      <c r="C1644" s="1" t="n">
        <v>46118</v>
      </c>
      <c r="D1644" t="inlineStr">
        <is>
          <t>JÄMTLANDS LÄN</t>
        </is>
      </c>
      <c r="E1644" t="inlineStr">
        <is>
          <t>BRÄCKE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22978-2024</t>
        </is>
      </c>
      <c r="B1645" s="1" t="n">
        <v>45449</v>
      </c>
      <c r="C1645" s="1" t="n">
        <v>46118</v>
      </c>
      <c r="D1645" t="inlineStr">
        <is>
          <t>JÄMTLANDS LÄN</t>
        </is>
      </c>
      <c r="E1645" t="inlineStr">
        <is>
          <t>BRÄCKE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15353-2026</t>
        </is>
      </c>
      <c r="B1646" s="1" t="n">
        <v>46105.69934027778</v>
      </c>
      <c r="C1646" s="1" t="n">
        <v>46118</v>
      </c>
      <c r="D1646" t="inlineStr">
        <is>
          <t>JÄMTLANDS LÄN</t>
        </is>
      </c>
      <c r="E1646" t="inlineStr">
        <is>
          <t>BRÄCKE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12601-2022</t>
        </is>
      </c>
      <c r="B1647" s="1" t="n">
        <v>44638</v>
      </c>
      <c r="C1647" s="1" t="n">
        <v>46118</v>
      </c>
      <c r="D1647" t="inlineStr">
        <is>
          <t>JÄMTLANDS LÄN</t>
        </is>
      </c>
      <c r="E1647" t="inlineStr">
        <is>
          <t>BRÄCKE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35903-2024</t>
        </is>
      </c>
      <c r="B1648" s="1" t="n">
        <v>45533.40648148148</v>
      </c>
      <c r="C1648" s="1" t="n">
        <v>46118</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45939-2024</t>
        </is>
      </c>
      <c r="B1649" s="1" t="n">
        <v>45580.53155092592</v>
      </c>
      <c r="C1649" s="1" t="n">
        <v>46118</v>
      </c>
      <c r="D1649" t="inlineStr">
        <is>
          <t>JÄMTLANDS LÄN</t>
        </is>
      </c>
      <c r="E1649" t="inlineStr">
        <is>
          <t>BRÄCKE</t>
        </is>
      </c>
      <c r="F1649" t="inlineStr">
        <is>
          <t>Naturvårdsverket</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7695-2026</t>
        </is>
      </c>
      <c r="B1650" s="1" t="n">
        <v>46062.44865740741</v>
      </c>
      <c r="C1650" s="1" t="n">
        <v>46118</v>
      </c>
      <c r="D1650" t="inlineStr">
        <is>
          <t>JÄMTLANDS LÄN</t>
        </is>
      </c>
      <c r="E1650" t="inlineStr">
        <is>
          <t>BRÄCKE</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25674-2023</t>
        </is>
      </c>
      <c r="B1651" s="1" t="n">
        <v>45089</v>
      </c>
      <c r="C1651" s="1" t="n">
        <v>46118</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15214-2026</t>
        </is>
      </c>
      <c r="B1652" s="1" t="n">
        <v>46105.51083333333</v>
      </c>
      <c r="C1652" s="1" t="n">
        <v>46118</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7799-2026</t>
        </is>
      </c>
      <c r="B1653" s="1" t="n">
        <v>46062.60248842592</v>
      </c>
      <c r="C1653" s="1" t="n">
        <v>46118</v>
      </c>
      <c r="D1653" t="inlineStr">
        <is>
          <t>JÄMTLANDS LÄN</t>
        </is>
      </c>
      <c r="E1653" t="inlineStr">
        <is>
          <t>BRÄCKE</t>
        </is>
      </c>
      <c r="G1653" t="n">
        <v>21.5</v>
      </c>
      <c r="H1653" t="n">
        <v>0</v>
      </c>
      <c r="I1653" t="n">
        <v>0</v>
      </c>
      <c r="J1653" t="n">
        <v>0</v>
      </c>
      <c r="K1653" t="n">
        <v>0</v>
      </c>
      <c r="L1653" t="n">
        <v>0</v>
      </c>
      <c r="M1653" t="n">
        <v>0</v>
      </c>
      <c r="N1653" t="n">
        <v>0</v>
      </c>
      <c r="O1653" t="n">
        <v>0</v>
      </c>
      <c r="P1653" t="n">
        <v>0</v>
      </c>
      <c r="Q1653" t="n">
        <v>0</v>
      </c>
      <c r="R1653" s="2" t="inlineStr"/>
    </row>
    <row r="1654" ht="15" customHeight="1">
      <c r="A1654" t="inlineStr">
        <is>
          <t>A 25413-2024</t>
        </is>
      </c>
      <c r="B1654" s="1" t="n">
        <v>45462</v>
      </c>
      <c r="C1654" s="1" t="n">
        <v>46118</v>
      </c>
      <c r="D1654" t="inlineStr">
        <is>
          <t>JÄMTLANDS LÄN</t>
        </is>
      </c>
      <c r="E1654" t="inlineStr">
        <is>
          <t>BRÄCKE</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7940-2026</t>
        </is>
      </c>
      <c r="B1655" s="1" t="n">
        <v>46063.40670138889</v>
      </c>
      <c r="C1655" s="1" t="n">
        <v>46118</v>
      </c>
      <c r="D1655" t="inlineStr">
        <is>
          <t>JÄMTLANDS LÄN</t>
        </is>
      </c>
      <c r="E1655" t="inlineStr">
        <is>
          <t>BRÄCKE</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18626-2024</t>
        </is>
      </c>
      <c r="B1656" s="1" t="n">
        <v>45425.96429398148</v>
      </c>
      <c r="C1656" s="1" t="n">
        <v>46118</v>
      </c>
      <c r="D1656" t="inlineStr">
        <is>
          <t>JÄMTLANDS LÄN</t>
        </is>
      </c>
      <c r="E1656" t="inlineStr">
        <is>
          <t>BRÄCKE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30592-2021</t>
        </is>
      </c>
      <c r="B1657" s="1" t="n">
        <v>44364.93850694445</v>
      </c>
      <c r="C1657" s="1" t="n">
        <v>46118</v>
      </c>
      <c r="D1657" t="inlineStr">
        <is>
          <t>JÄMTLANDS LÄN</t>
        </is>
      </c>
      <c r="E1657" t="inlineStr">
        <is>
          <t>BRÄCKE</t>
        </is>
      </c>
      <c r="F1657" t="inlineStr">
        <is>
          <t>SCA</t>
        </is>
      </c>
      <c r="G1657" t="n">
        <v>22.4</v>
      </c>
      <c r="H1657" t="n">
        <v>0</v>
      </c>
      <c r="I1657" t="n">
        <v>0</v>
      </c>
      <c r="J1657" t="n">
        <v>0</v>
      </c>
      <c r="K1657" t="n">
        <v>0</v>
      </c>
      <c r="L1657" t="n">
        <v>0</v>
      </c>
      <c r="M1657" t="n">
        <v>0</v>
      </c>
      <c r="N1657" t="n">
        <v>0</v>
      </c>
      <c r="O1657" t="n">
        <v>0</v>
      </c>
      <c r="P1657" t="n">
        <v>0</v>
      </c>
      <c r="Q1657" t="n">
        <v>0</v>
      </c>
      <c r="R1657" s="2" t="inlineStr"/>
    </row>
    <row r="1658" ht="15" customHeight="1">
      <c r="A1658" t="inlineStr">
        <is>
          <t>A 42959-2024</t>
        </is>
      </c>
      <c r="B1658" s="1" t="n">
        <v>45567.37144675926</v>
      </c>
      <c r="C1658" s="1" t="n">
        <v>46118</v>
      </c>
      <c r="D1658" t="inlineStr">
        <is>
          <t>JÄMTLANDS LÄN</t>
        </is>
      </c>
      <c r="E1658" t="inlineStr">
        <is>
          <t>BRÄCKE</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31567-2024</t>
        </is>
      </c>
      <c r="B1659" s="1" t="n">
        <v>45505.96689814814</v>
      </c>
      <c r="C1659" s="1" t="n">
        <v>46118</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7693-2026</t>
        </is>
      </c>
      <c r="B1660" s="1" t="n">
        <v>46062.44844907407</v>
      </c>
      <c r="C1660" s="1" t="n">
        <v>46118</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6345-2023</t>
        </is>
      </c>
      <c r="B1661" s="1" t="n">
        <v>44960</v>
      </c>
      <c r="C1661" s="1" t="n">
        <v>46118</v>
      </c>
      <c r="D1661" t="inlineStr">
        <is>
          <t>JÄMTLANDS LÄN</t>
        </is>
      </c>
      <c r="E1661" t="inlineStr">
        <is>
          <t>BRÄCKE</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59369-2022</t>
        </is>
      </c>
      <c r="B1662" s="1" t="n">
        <v>44904.94859953703</v>
      </c>
      <c r="C1662" s="1" t="n">
        <v>46118</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7922-2026</t>
        </is>
      </c>
      <c r="B1663" s="1" t="n">
        <v>46063.38585648148</v>
      </c>
      <c r="C1663" s="1" t="n">
        <v>46118</v>
      </c>
      <c r="D1663" t="inlineStr">
        <is>
          <t>JÄMTLANDS LÄN</t>
        </is>
      </c>
      <c r="E1663" t="inlineStr">
        <is>
          <t>BRÄCKE</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59846-2024</t>
        </is>
      </c>
      <c r="B1664" s="1" t="n">
        <v>45639.67769675926</v>
      </c>
      <c r="C1664" s="1" t="n">
        <v>46118</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29941-2023</t>
        </is>
      </c>
      <c r="B1665" s="1" t="n">
        <v>45107</v>
      </c>
      <c r="C1665" s="1" t="n">
        <v>46118</v>
      </c>
      <c r="D1665" t="inlineStr">
        <is>
          <t>JÄMTLANDS LÄN</t>
        </is>
      </c>
      <c r="E1665" t="inlineStr">
        <is>
          <t>BRÄCKE</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15910-2026</t>
        </is>
      </c>
      <c r="B1666" s="1" t="n">
        <v>46107.64069444445</v>
      </c>
      <c r="C1666" s="1" t="n">
        <v>46118</v>
      </c>
      <c r="D1666" t="inlineStr">
        <is>
          <t>JÄMTLANDS LÄN</t>
        </is>
      </c>
      <c r="E1666" t="inlineStr">
        <is>
          <t>BRÄCKE</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15927-2026</t>
        </is>
      </c>
      <c r="B1667" s="1" t="n">
        <v>46107.66150462963</v>
      </c>
      <c r="C1667" s="1" t="n">
        <v>46118</v>
      </c>
      <c r="D1667" t="inlineStr">
        <is>
          <t>JÄMTLANDS LÄN</t>
        </is>
      </c>
      <c r="E1667" t="inlineStr">
        <is>
          <t>BRÄCKE</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48284-2021</t>
        </is>
      </c>
      <c r="B1668" s="1" t="n">
        <v>44449.75931712963</v>
      </c>
      <c r="C1668" s="1" t="n">
        <v>46118</v>
      </c>
      <c r="D1668" t="inlineStr">
        <is>
          <t>JÄMTLANDS LÄN</t>
        </is>
      </c>
      <c r="E1668" t="inlineStr">
        <is>
          <t>BRÄCKE</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4170-2024</t>
        </is>
      </c>
      <c r="B1669" s="1" t="n">
        <v>45323.94685185186</v>
      </c>
      <c r="C1669" s="1" t="n">
        <v>46118</v>
      </c>
      <c r="D1669" t="inlineStr">
        <is>
          <t>JÄMTLANDS LÄN</t>
        </is>
      </c>
      <c r="E1669" t="inlineStr">
        <is>
          <t>BRÄCKE</t>
        </is>
      </c>
      <c r="F1669" t="inlineStr">
        <is>
          <t>SCA</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15653-2026</t>
        </is>
      </c>
      <c r="B1670" s="1" t="n">
        <v>46106.65733796296</v>
      </c>
      <c r="C1670" s="1" t="n">
        <v>46118</v>
      </c>
      <c r="D1670" t="inlineStr">
        <is>
          <t>JÄMTLANDS LÄN</t>
        </is>
      </c>
      <c r="E1670" t="inlineStr">
        <is>
          <t>BRÄCKE</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15654-2026</t>
        </is>
      </c>
      <c r="B1671" s="1" t="n">
        <v>46106.65753472222</v>
      </c>
      <c r="C1671" s="1" t="n">
        <v>46118</v>
      </c>
      <c r="D1671" t="inlineStr">
        <is>
          <t>JÄMTLANDS LÄN</t>
        </is>
      </c>
      <c r="E1671" t="inlineStr">
        <is>
          <t>BRÄCKE</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15903-2026</t>
        </is>
      </c>
      <c r="B1672" s="1" t="n">
        <v>46107.63666666667</v>
      </c>
      <c r="C1672" s="1" t="n">
        <v>46118</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45226.96388888889</v>
      </c>
      <c r="C1673" s="1" t="n">
        <v>46118</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18640-2024</t>
        </is>
      </c>
      <c r="B1674" s="1" t="n">
        <v>45425.96644675926</v>
      </c>
      <c r="C1674" s="1" t="n">
        <v>46118</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41418-2024</t>
        </is>
      </c>
      <c r="B1675" s="1" t="n">
        <v>45560.34599537037</v>
      </c>
      <c r="C1675" s="1" t="n">
        <v>46118</v>
      </c>
      <c r="D1675" t="inlineStr">
        <is>
          <t>JÄMTLANDS LÄN</t>
        </is>
      </c>
      <c r="E1675" t="inlineStr">
        <is>
          <t>BRÄCKE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41419-2024</t>
        </is>
      </c>
      <c r="B1676" s="1" t="n">
        <v>45560</v>
      </c>
      <c r="C1676" s="1" t="n">
        <v>46118</v>
      </c>
      <c r="D1676" t="inlineStr">
        <is>
          <t>JÄMTLANDS LÄN</t>
        </is>
      </c>
      <c r="E1676" t="inlineStr">
        <is>
          <t>BRÄCKE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16462-2024</t>
        </is>
      </c>
      <c r="B1677" s="1" t="n">
        <v>45408.05018518519</v>
      </c>
      <c r="C1677" s="1" t="n">
        <v>46118</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41450-2024</t>
        </is>
      </c>
      <c r="B1678" s="1" t="n">
        <v>45560.40653935185</v>
      </c>
      <c r="C1678" s="1" t="n">
        <v>46118</v>
      </c>
      <c r="D1678" t="inlineStr">
        <is>
          <t>JÄMTLANDS LÄN</t>
        </is>
      </c>
      <c r="E1678" t="inlineStr">
        <is>
          <t>BRÄCKE</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15876-2026</t>
        </is>
      </c>
      <c r="B1679" s="1" t="n">
        <v>46107.59454861111</v>
      </c>
      <c r="C1679" s="1" t="n">
        <v>46118</v>
      </c>
      <c r="D1679" t="inlineStr">
        <is>
          <t>JÄMTLANDS LÄN</t>
        </is>
      </c>
      <c r="E1679" t="inlineStr">
        <is>
          <t>BRÄCKE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58547-2022</t>
        </is>
      </c>
      <c r="B1680" s="1" t="n">
        <v>44894</v>
      </c>
      <c r="C1680" s="1" t="n">
        <v>46118</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9114-2026</t>
        </is>
      </c>
      <c r="B1681" s="1" t="n">
        <v>46069.66898148148</v>
      </c>
      <c r="C1681" s="1" t="n">
        <v>46118</v>
      </c>
      <c r="D1681" t="inlineStr">
        <is>
          <t>JÄMTLANDS LÄN</t>
        </is>
      </c>
      <c r="E1681" t="inlineStr">
        <is>
          <t>BRÄCKE</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8980-2026</t>
        </is>
      </c>
      <c r="B1682" s="1" t="n">
        <v>46069.44855324074</v>
      </c>
      <c r="C1682" s="1" t="n">
        <v>46118</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10769-2025</t>
        </is>
      </c>
      <c r="B1683" s="1" t="n">
        <v>45722.4690625</v>
      </c>
      <c r="C1683" s="1" t="n">
        <v>46118</v>
      </c>
      <c r="D1683" t="inlineStr">
        <is>
          <t>JÄMTLANDS LÄN</t>
        </is>
      </c>
      <c r="E1683" t="inlineStr">
        <is>
          <t>BRÄCKE</t>
        </is>
      </c>
      <c r="F1683" t="inlineStr">
        <is>
          <t>SCA</t>
        </is>
      </c>
      <c r="G1683" t="n">
        <v>18.7</v>
      </c>
      <c r="H1683" t="n">
        <v>0</v>
      </c>
      <c r="I1683" t="n">
        <v>0</v>
      </c>
      <c r="J1683" t="n">
        <v>0</v>
      </c>
      <c r="K1683" t="n">
        <v>0</v>
      </c>
      <c r="L1683" t="n">
        <v>0</v>
      </c>
      <c r="M1683" t="n">
        <v>0</v>
      </c>
      <c r="N1683" t="n">
        <v>0</v>
      </c>
      <c r="O1683" t="n">
        <v>0</v>
      </c>
      <c r="P1683" t="n">
        <v>0</v>
      </c>
      <c r="Q1683" t="n">
        <v>0</v>
      </c>
      <c r="R1683" s="2" t="inlineStr"/>
    </row>
    <row r="1684" ht="15" customHeight="1">
      <c r="A1684" t="inlineStr">
        <is>
          <t>A 13083-2025</t>
        </is>
      </c>
      <c r="B1684" s="1" t="n">
        <v>45734</v>
      </c>
      <c r="C1684" s="1" t="n">
        <v>46118</v>
      </c>
      <c r="D1684" t="inlineStr">
        <is>
          <t>JÄMTLANDS LÄN</t>
        </is>
      </c>
      <c r="E1684" t="inlineStr">
        <is>
          <t>BRÄCKE</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9100-2026</t>
        </is>
      </c>
      <c r="B1685" s="1" t="n">
        <v>46069.64517361111</v>
      </c>
      <c r="C1685" s="1" t="n">
        <v>46118</v>
      </c>
      <c r="D1685" t="inlineStr">
        <is>
          <t>JÄMTLANDS LÄN</t>
        </is>
      </c>
      <c r="E1685" t="inlineStr">
        <is>
          <t>BRÄCKE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8981-2026</t>
        </is>
      </c>
      <c r="B1686" s="1" t="n">
        <v>46069.44878472222</v>
      </c>
      <c r="C1686" s="1" t="n">
        <v>46118</v>
      </c>
      <c r="D1686" t="inlineStr">
        <is>
          <t>JÄMTLANDS LÄN</t>
        </is>
      </c>
      <c r="E1686" t="inlineStr">
        <is>
          <t>BRÄCKE</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9117-2026</t>
        </is>
      </c>
      <c r="B1687" s="1" t="n">
        <v>46069.67493055556</v>
      </c>
      <c r="C1687" s="1" t="n">
        <v>46118</v>
      </c>
      <c r="D1687" t="inlineStr">
        <is>
          <t>JÄMTLANDS LÄN</t>
        </is>
      </c>
      <c r="E1687" t="inlineStr">
        <is>
          <t>BRÄCKE</t>
        </is>
      </c>
      <c r="G1687" t="n">
        <v>17.5</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46118</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59910-2022</t>
        </is>
      </c>
      <c r="B1689" s="1" t="n">
        <v>44908</v>
      </c>
      <c r="C1689" s="1" t="n">
        <v>46118</v>
      </c>
      <c r="D1689" t="inlineStr">
        <is>
          <t>JÄMTLANDS LÄN</t>
        </is>
      </c>
      <c r="E1689" t="inlineStr">
        <is>
          <t>BRÄCKE</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59915-2022</t>
        </is>
      </c>
      <c r="B1690" s="1" t="n">
        <v>44908.96019675926</v>
      </c>
      <c r="C1690" s="1" t="n">
        <v>46118</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20276-2023</t>
        </is>
      </c>
      <c r="B1691" s="1" t="n">
        <v>45055.94465277778</v>
      </c>
      <c r="C1691" s="1" t="n">
        <v>46118</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10857-2024</t>
        </is>
      </c>
      <c r="B1692" s="1" t="n">
        <v>45370.01916666667</v>
      </c>
      <c r="C1692" s="1" t="n">
        <v>46118</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17606-2025</t>
        </is>
      </c>
      <c r="B1693" s="1" t="n">
        <v>45757.73796296296</v>
      </c>
      <c r="C1693" s="1" t="n">
        <v>46118</v>
      </c>
      <c r="D1693" t="inlineStr">
        <is>
          <t>JÄMTLANDS LÄN</t>
        </is>
      </c>
      <c r="E1693" t="inlineStr">
        <is>
          <t>BRÄCKE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23534-2024</t>
        </is>
      </c>
      <c r="B1694" s="1" t="n">
        <v>45453.95170138889</v>
      </c>
      <c r="C1694" s="1" t="n">
        <v>46118</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13095-2025</t>
        </is>
      </c>
      <c r="B1695" s="1" t="n">
        <v>45734.65609953704</v>
      </c>
      <c r="C1695" s="1" t="n">
        <v>46118</v>
      </c>
      <c r="D1695" t="inlineStr">
        <is>
          <t>JÄMTLANDS LÄN</t>
        </is>
      </c>
      <c r="E1695" t="inlineStr">
        <is>
          <t>BRÄCKE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56895-2021</t>
        </is>
      </c>
      <c r="B1696" s="1" t="n">
        <v>44481.92086805555</v>
      </c>
      <c r="C1696" s="1" t="n">
        <v>46118</v>
      </c>
      <c r="D1696" t="inlineStr">
        <is>
          <t>JÄMTLANDS LÄN</t>
        </is>
      </c>
      <c r="E1696" t="inlineStr">
        <is>
          <t>BRÄCKE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31517-2024</t>
        </is>
      </c>
      <c r="B1697" s="1" t="n">
        <v>45505</v>
      </c>
      <c r="C1697" s="1" t="n">
        <v>46118</v>
      </c>
      <c r="D1697" t="inlineStr">
        <is>
          <t>JÄMTLANDS LÄN</t>
        </is>
      </c>
      <c r="E1697" t="inlineStr">
        <is>
          <t>BRÄCKE</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38280-2021</t>
        </is>
      </c>
      <c r="B1698" s="1" t="n">
        <v>44405</v>
      </c>
      <c r="C1698" s="1" t="n">
        <v>46118</v>
      </c>
      <c r="D1698" t="inlineStr">
        <is>
          <t>JÄMTLANDS LÄN</t>
        </is>
      </c>
      <c r="E1698" t="inlineStr">
        <is>
          <t>BRÄCKE</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26923-2024</t>
        </is>
      </c>
      <c r="B1699" s="1" t="n">
        <v>45470.93094907407</v>
      </c>
      <c r="C1699" s="1" t="n">
        <v>46118</v>
      </c>
      <c r="D1699" t="inlineStr">
        <is>
          <t>JÄMTLANDS LÄN</t>
        </is>
      </c>
      <c r="E1699" t="inlineStr">
        <is>
          <t>BRÄCKE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4861-2025</t>
        </is>
      </c>
      <c r="B1700" s="1" t="n">
        <v>45688.67481481482</v>
      </c>
      <c r="C1700" s="1" t="n">
        <v>46118</v>
      </c>
      <c r="D1700" t="inlineStr">
        <is>
          <t>JÄMTLANDS LÄN</t>
        </is>
      </c>
      <c r="E1700" t="inlineStr">
        <is>
          <t>BRÄCKE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37238-2023</t>
        </is>
      </c>
      <c r="B1701" s="1" t="n">
        <v>45155.95366898148</v>
      </c>
      <c r="C1701" s="1" t="n">
        <v>46118</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3031-2023</t>
        </is>
      </c>
      <c r="B1702" s="1" t="n">
        <v>44945</v>
      </c>
      <c r="C1702" s="1" t="n">
        <v>46118</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3033-2023</t>
        </is>
      </c>
      <c r="B1703" s="1" t="n">
        <v>44945</v>
      </c>
      <c r="C1703" s="1" t="n">
        <v>46118</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3036-2023</t>
        </is>
      </c>
      <c r="B1704" s="1" t="n">
        <v>44945.94201388889</v>
      </c>
      <c r="C1704" s="1" t="n">
        <v>46118</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20265-2023</t>
        </is>
      </c>
      <c r="B1705" s="1" t="n">
        <v>45055.94337962963</v>
      </c>
      <c r="C1705" s="1" t="n">
        <v>46118</v>
      </c>
      <c r="D1705" t="inlineStr">
        <is>
          <t>JÄMTLANDS LÄN</t>
        </is>
      </c>
      <c r="E1705" t="inlineStr">
        <is>
          <t>BRÄCKE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13069-2025</t>
        </is>
      </c>
      <c r="B1706" s="1" t="n">
        <v>45734.61494212963</v>
      </c>
      <c r="C1706" s="1" t="n">
        <v>46118</v>
      </c>
      <c r="D1706" t="inlineStr">
        <is>
          <t>JÄMTLANDS LÄN</t>
        </is>
      </c>
      <c r="E1706" t="inlineStr">
        <is>
          <t>BRÄCKE</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13165-2025</t>
        </is>
      </c>
      <c r="B1707" s="1" t="n">
        <v>45735.36491898148</v>
      </c>
      <c r="C1707" s="1" t="n">
        <v>46118</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8831-2026</t>
        </is>
      </c>
      <c r="B1708" s="1" t="n">
        <v>46066.63613425926</v>
      </c>
      <c r="C1708" s="1" t="n">
        <v>46118</v>
      </c>
      <c r="D1708" t="inlineStr">
        <is>
          <t>JÄMTLANDS LÄN</t>
        </is>
      </c>
      <c r="E1708" t="inlineStr">
        <is>
          <t>BRÄCKE</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28077-2024</t>
        </is>
      </c>
      <c r="B1709" s="1" t="n">
        <v>45476.58508101852</v>
      </c>
      <c r="C1709" s="1" t="n">
        <v>46118</v>
      </c>
      <c r="D1709" t="inlineStr">
        <is>
          <t>JÄMTLANDS LÄN</t>
        </is>
      </c>
      <c r="E1709" t="inlineStr">
        <is>
          <t>BRÄCKE</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8835-2026</t>
        </is>
      </c>
      <c r="B1710" s="1" t="n">
        <v>46066.63686342593</v>
      </c>
      <c r="C1710" s="1" t="n">
        <v>46118</v>
      </c>
      <c r="D1710" t="inlineStr">
        <is>
          <t>JÄMTLANDS LÄN</t>
        </is>
      </c>
      <c r="E1710" t="inlineStr">
        <is>
          <t>BRÄCKE</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8956-2026</t>
        </is>
      </c>
      <c r="B1711" s="1" t="n">
        <v>46069.40670138889</v>
      </c>
      <c r="C1711" s="1" t="n">
        <v>46118</v>
      </c>
      <c r="D1711" t="inlineStr">
        <is>
          <t>JÄMTLANDS LÄN</t>
        </is>
      </c>
      <c r="E1711" t="inlineStr">
        <is>
          <t>BRÄCKE</t>
        </is>
      </c>
      <c r="F1711" t="inlineStr">
        <is>
          <t>SCA</t>
        </is>
      </c>
      <c r="G1711" t="n">
        <v>16.3</v>
      </c>
      <c r="H1711" t="n">
        <v>0</v>
      </c>
      <c r="I1711" t="n">
        <v>0</v>
      </c>
      <c r="J1711" t="n">
        <v>0</v>
      </c>
      <c r="K1711" t="n">
        <v>0</v>
      </c>
      <c r="L1711" t="n">
        <v>0</v>
      </c>
      <c r="M1711" t="n">
        <v>0</v>
      </c>
      <c r="N1711" t="n">
        <v>0</v>
      </c>
      <c r="O1711" t="n">
        <v>0</v>
      </c>
      <c r="P1711" t="n">
        <v>0</v>
      </c>
      <c r="Q1711" t="n">
        <v>0</v>
      </c>
      <c r="R1711" s="2" t="inlineStr"/>
    </row>
    <row r="1712" ht="15" customHeight="1">
      <c r="A1712" t="inlineStr">
        <is>
          <t>A 9111-2026</t>
        </is>
      </c>
      <c r="B1712" s="1" t="n">
        <v>46069.66473379629</v>
      </c>
      <c r="C1712" s="1" t="n">
        <v>46118</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16089-2026</t>
        </is>
      </c>
      <c r="B1713" s="1" t="n">
        <v>46108.57347222222</v>
      </c>
      <c r="C1713" s="1" t="n">
        <v>46118</v>
      </c>
      <c r="D1713" t="inlineStr">
        <is>
          <t>JÄMTLANDS LÄN</t>
        </is>
      </c>
      <c r="E1713" t="inlineStr">
        <is>
          <t>BRÄCKE</t>
        </is>
      </c>
      <c r="F1713" t="inlineStr">
        <is>
          <t>SCA</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16904-2026</t>
        </is>
      </c>
      <c r="B1714" s="1" t="n">
        <v>46113.63594907407</v>
      </c>
      <c r="C1714" s="1" t="n">
        <v>46118</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16914-2026</t>
        </is>
      </c>
      <c r="B1715" s="1" t="n">
        <v>46113.65857638889</v>
      </c>
      <c r="C1715" s="1" t="n">
        <v>46118</v>
      </c>
      <c r="D1715" t="inlineStr">
        <is>
          <t>JÄMTLANDS LÄN</t>
        </is>
      </c>
      <c r="E1715" t="inlineStr">
        <is>
          <t>BRÄCKE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16923-2026</t>
        </is>
      </c>
      <c r="B1716" s="1" t="n">
        <v>46113.67765046296</v>
      </c>
      <c r="C1716" s="1" t="n">
        <v>46118</v>
      </c>
      <c r="D1716" t="inlineStr">
        <is>
          <t>JÄMTLANDS LÄN</t>
        </is>
      </c>
      <c r="E1716" t="inlineStr">
        <is>
          <t>BRÄCKE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16917-2026</t>
        </is>
      </c>
      <c r="B1717" s="1" t="n">
        <v>46113.66721064815</v>
      </c>
      <c r="C1717" s="1" t="n">
        <v>46118</v>
      </c>
      <c r="D1717" t="inlineStr">
        <is>
          <t>JÄMTLANDS LÄN</t>
        </is>
      </c>
      <c r="E1717" t="inlineStr">
        <is>
          <t>BRÄCKE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16921-2026</t>
        </is>
      </c>
      <c r="B1718" s="1" t="n">
        <v>46113.67576388889</v>
      </c>
      <c r="C1718" s="1" t="n">
        <v>46118</v>
      </c>
      <c r="D1718" t="inlineStr">
        <is>
          <t>JÄMTLANDS LÄN</t>
        </is>
      </c>
      <c r="E1718" t="inlineStr">
        <is>
          <t>BRÄCKE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16457-2026</t>
        </is>
      </c>
      <c r="B1719" s="1" t="n">
        <v>46112.34491898148</v>
      </c>
      <c r="C1719" s="1" t="n">
        <v>46118</v>
      </c>
      <c r="D1719" t="inlineStr">
        <is>
          <t>JÄMTLANDS LÄN</t>
        </is>
      </c>
      <c r="E1719" t="inlineStr">
        <is>
          <t>BRÄCKE</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9576-2026</t>
        </is>
      </c>
      <c r="B1720" s="1" t="n">
        <v>46071.67259259259</v>
      </c>
      <c r="C1720" s="1" t="n">
        <v>46118</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9406-2026</t>
        </is>
      </c>
      <c r="B1721" s="1" t="n">
        <v>46071.40701388889</v>
      </c>
      <c r="C1721" s="1" t="n">
        <v>46118</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46118</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61226-2025</t>
        </is>
      </c>
      <c r="B1723" s="1" t="n">
        <v>46000.63048611111</v>
      </c>
      <c r="C1723" s="1" t="n">
        <v>46118</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4381-2023</t>
        </is>
      </c>
      <c r="B1724" s="1" t="n">
        <v>44955</v>
      </c>
      <c r="C1724" s="1" t="n">
        <v>46118</v>
      </c>
      <c r="D1724" t="inlineStr">
        <is>
          <t>JÄMTLANDS LÄN</t>
        </is>
      </c>
      <c r="E1724" t="inlineStr">
        <is>
          <t>BRÄCKE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24874-2024</t>
        </is>
      </c>
      <c r="B1725" s="1" t="n">
        <v>45461.52280092592</v>
      </c>
      <c r="C1725" s="1" t="n">
        <v>46118</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24878-2024</t>
        </is>
      </c>
      <c r="B1726" s="1" t="n">
        <v>45461.55193287037</v>
      </c>
      <c r="C1726" s="1" t="n">
        <v>46118</v>
      </c>
      <c r="D1726" t="inlineStr">
        <is>
          <t>JÄMTLANDS LÄN</t>
        </is>
      </c>
      <c r="E1726" t="inlineStr">
        <is>
          <t>BRÄCKE</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16927-2026</t>
        </is>
      </c>
      <c r="B1727" s="1" t="n">
        <v>46113.67857638889</v>
      </c>
      <c r="C1727" s="1" t="n">
        <v>46118</v>
      </c>
      <c r="D1727" t="inlineStr">
        <is>
          <t>JÄMTLANDS LÄN</t>
        </is>
      </c>
      <c r="E1727" t="inlineStr">
        <is>
          <t>BRÄCKE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42290-2022</t>
        </is>
      </c>
      <c r="B1728" s="1" t="n">
        <v>44830</v>
      </c>
      <c r="C1728" s="1" t="n">
        <v>46118</v>
      </c>
      <c r="D1728" t="inlineStr">
        <is>
          <t>JÄMTLANDS LÄN</t>
        </is>
      </c>
      <c r="E1728" t="inlineStr">
        <is>
          <t>BRÄCKE</t>
        </is>
      </c>
      <c r="F1728" t="inlineStr">
        <is>
          <t>SCA</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49707-2024</t>
        </is>
      </c>
      <c r="B1729" s="1" t="n">
        <v>45596.69832175926</v>
      </c>
      <c r="C1729" s="1" t="n">
        <v>46118</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45247.965</v>
      </c>
      <c r="C1730" s="1" t="n">
        <v>46118</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16838-2026</t>
        </is>
      </c>
      <c r="B1731" s="1" t="n">
        <v>46113.53184027778</v>
      </c>
      <c r="C1731" s="1" t="n">
        <v>46118</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18047-2025</t>
        </is>
      </c>
      <c r="B1732" s="1" t="n">
        <v>45761.46606481481</v>
      </c>
      <c r="C1732" s="1" t="n">
        <v>46118</v>
      </c>
      <c r="D1732" t="inlineStr">
        <is>
          <t>JÄMTLANDS LÄN</t>
        </is>
      </c>
      <c r="E1732" t="inlineStr">
        <is>
          <t>BRÄCKE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16645-2026</t>
        </is>
      </c>
      <c r="B1733" s="1" t="n">
        <v>46112.63631944444</v>
      </c>
      <c r="C1733" s="1" t="n">
        <v>46118</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33112-2024</t>
        </is>
      </c>
      <c r="B1734" s="1" t="n">
        <v>45517.92994212963</v>
      </c>
      <c r="C1734" s="1" t="n">
        <v>46118</v>
      </c>
      <c r="D1734" t="inlineStr">
        <is>
          <t>JÄMTLANDS LÄN</t>
        </is>
      </c>
      <c r="E1734" t="inlineStr">
        <is>
          <t>BRÄCKE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9984-2026</t>
        </is>
      </c>
      <c r="B1735" s="1" t="n">
        <v>46073</v>
      </c>
      <c r="C1735" s="1" t="n">
        <v>46118</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16946-2026</t>
        </is>
      </c>
      <c r="B1736" s="1" t="n">
        <v>46113.94822916666</v>
      </c>
      <c r="C1736" s="1" t="n">
        <v>46118</v>
      </c>
      <c r="D1736" t="inlineStr">
        <is>
          <t>JÄMTLANDS LÄN</t>
        </is>
      </c>
      <c r="E1736" t="inlineStr">
        <is>
          <t>BRÄCKE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16987-2026</t>
        </is>
      </c>
      <c r="B1737" s="1" t="n">
        <v>46114.40760416666</v>
      </c>
      <c r="C1737" s="1" t="n">
        <v>46118</v>
      </c>
      <c r="D1737" t="inlineStr">
        <is>
          <t>JÄMTLANDS LÄN</t>
        </is>
      </c>
      <c r="E1737" t="inlineStr">
        <is>
          <t>BRÄCKE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9913-2026</t>
        </is>
      </c>
      <c r="B1738" s="1" t="n">
        <v>46073.42787037037</v>
      </c>
      <c r="C1738" s="1" t="n">
        <v>46118</v>
      </c>
      <c r="D1738" t="inlineStr">
        <is>
          <t>JÄMTLANDS LÄN</t>
        </is>
      </c>
      <c r="E1738" t="inlineStr">
        <is>
          <t>BRÄCKE</t>
        </is>
      </c>
      <c r="F1738" t="inlineStr">
        <is>
          <t>SCA</t>
        </is>
      </c>
      <c r="G1738" t="n">
        <v>34.2</v>
      </c>
      <c r="H1738" t="n">
        <v>0</v>
      </c>
      <c r="I1738" t="n">
        <v>0</v>
      </c>
      <c r="J1738" t="n">
        <v>0</v>
      </c>
      <c r="K1738" t="n">
        <v>0</v>
      </c>
      <c r="L1738" t="n">
        <v>0</v>
      </c>
      <c r="M1738" t="n">
        <v>0</v>
      </c>
      <c r="N1738" t="n">
        <v>0</v>
      </c>
      <c r="O1738" t="n">
        <v>0</v>
      </c>
      <c r="P1738" t="n">
        <v>0</v>
      </c>
      <c r="Q1738" t="n">
        <v>0</v>
      </c>
      <c r="R1738" s="2" t="inlineStr"/>
    </row>
    <row r="1739" ht="15" customHeight="1">
      <c r="A1739" t="inlineStr">
        <is>
          <t>A 17053-2026</t>
        </is>
      </c>
      <c r="B1739" s="1" t="n">
        <v>46114.49021990741</v>
      </c>
      <c r="C1739" s="1" t="n">
        <v>46118</v>
      </c>
      <c r="D1739" t="inlineStr">
        <is>
          <t>JÄMTLANDS LÄN</t>
        </is>
      </c>
      <c r="E1739" t="inlineStr">
        <is>
          <t>BRÄCKE</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16945-2026</t>
        </is>
      </c>
      <c r="B1740" s="1" t="n">
        <v>46113.94234953704</v>
      </c>
      <c r="C1740" s="1" t="n">
        <v>46118</v>
      </c>
      <c r="D1740" t="inlineStr">
        <is>
          <t>JÄMTLANDS LÄN</t>
        </is>
      </c>
      <c r="E1740" t="inlineStr">
        <is>
          <t>BRÄCKE</t>
        </is>
      </c>
      <c r="G1740" t="n">
        <v>15.8</v>
      </c>
      <c r="H1740" t="n">
        <v>0</v>
      </c>
      <c r="I1740" t="n">
        <v>0</v>
      </c>
      <c r="J1740" t="n">
        <v>0</v>
      </c>
      <c r="K1740" t="n">
        <v>0</v>
      </c>
      <c r="L1740" t="n">
        <v>0</v>
      </c>
      <c r="M1740" t="n">
        <v>0</v>
      </c>
      <c r="N1740" t="n">
        <v>0</v>
      </c>
      <c r="O1740" t="n">
        <v>0</v>
      </c>
      <c r="P1740" t="n">
        <v>0</v>
      </c>
      <c r="Q1740" t="n">
        <v>0</v>
      </c>
      <c r="R1740" s="2" t="inlineStr"/>
    </row>
    <row r="1741" ht="15" customHeight="1">
      <c r="A1741" t="inlineStr">
        <is>
          <t>A 17016-2024</t>
        </is>
      </c>
      <c r="B1741" s="1" t="n">
        <v>45411</v>
      </c>
      <c r="C1741" s="1" t="n">
        <v>46118</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17005-2026</t>
        </is>
      </c>
      <c r="B1742" s="1" t="n">
        <v>46114.42814814814</v>
      </c>
      <c r="C1742" s="1" t="n">
        <v>46118</v>
      </c>
      <c r="D1742" t="inlineStr">
        <is>
          <t>JÄMTLANDS LÄN</t>
        </is>
      </c>
      <c r="E1742" t="inlineStr">
        <is>
          <t>BRÄCKE</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17252-2025</t>
        </is>
      </c>
      <c r="B1743" s="1" t="n">
        <v>45756.5109837963</v>
      </c>
      <c r="C1743" s="1" t="n">
        <v>46118</v>
      </c>
      <c r="D1743" t="inlineStr">
        <is>
          <t>JÄMTLANDS LÄN</t>
        </is>
      </c>
      <c r="E1743" t="inlineStr">
        <is>
          <t>BRÄCKE</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9631-2026</t>
        </is>
      </c>
      <c r="B1744" s="1" t="n">
        <v>46072.34469907408</v>
      </c>
      <c r="C1744" s="1" t="n">
        <v>46118</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17066-2026</t>
        </is>
      </c>
      <c r="B1745" s="1" t="n">
        <v>46114.53185185185</v>
      </c>
      <c r="C1745" s="1" t="n">
        <v>46118</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37960-2024</t>
        </is>
      </c>
      <c r="B1746" s="1" t="n">
        <v>45544.53925925926</v>
      </c>
      <c r="C1746" s="1" t="n">
        <v>46118</v>
      </c>
      <c r="D1746" t="inlineStr">
        <is>
          <t>JÄMTLANDS LÄN</t>
        </is>
      </c>
      <c r="E1746" t="inlineStr">
        <is>
          <t>BRÄCKE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43551-2023</t>
        </is>
      </c>
      <c r="B1747" s="1" t="n">
        <v>45181</v>
      </c>
      <c r="C1747" s="1" t="n">
        <v>46118</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49526-2024</t>
        </is>
      </c>
      <c r="B1748" s="1" t="n">
        <v>45596.40731481482</v>
      </c>
      <c r="C1748" s="1" t="n">
        <v>46118</v>
      </c>
      <c r="D1748" t="inlineStr">
        <is>
          <t>JÄMTLANDS LÄN</t>
        </is>
      </c>
      <c r="E1748" t="inlineStr">
        <is>
          <t>BRÄCKE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16988-2026</t>
        </is>
      </c>
      <c r="B1749" s="1" t="n">
        <v>46114.40762731482</v>
      </c>
      <c r="C1749" s="1" t="n">
        <v>46118</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55976-2024</t>
        </is>
      </c>
      <c r="B1750" s="1" t="n">
        <v>45623.65659722222</v>
      </c>
      <c r="C1750" s="1" t="n">
        <v>46118</v>
      </c>
      <c r="D1750" t="inlineStr">
        <is>
          <t>JÄMTLANDS LÄN</t>
        </is>
      </c>
      <c r="E1750" t="inlineStr">
        <is>
          <t>BRÄCKE</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47560-2021</t>
        </is>
      </c>
      <c r="B1751" s="1" t="n">
        <v>44447.94313657407</v>
      </c>
      <c r="C1751" s="1" t="n">
        <v>46118</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6213-2025</t>
        </is>
      </c>
      <c r="B1752" s="1" t="n">
        <v>45698.51072916666</v>
      </c>
      <c r="C1752" s="1" t="n">
        <v>46118</v>
      </c>
      <c r="D1752" t="inlineStr">
        <is>
          <t>JÄMTLANDS LÄN</t>
        </is>
      </c>
      <c r="E1752" t="inlineStr">
        <is>
          <t>BRÄCKE</t>
        </is>
      </c>
      <c r="F1752" t="inlineStr">
        <is>
          <t>SCA</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27354-2023</t>
        </is>
      </c>
      <c r="B1753" s="1" t="n">
        <v>45096</v>
      </c>
      <c r="C1753" s="1" t="n">
        <v>46118</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19485-2023</t>
        </is>
      </c>
      <c r="B1754" s="1" t="n">
        <v>45049</v>
      </c>
      <c r="C1754" s="1" t="n">
        <v>46118</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20798-2024</t>
        </is>
      </c>
      <c r="B1755" s="1" t="n">
        <v>45438.94798611111</v>
      </c>
      <c r="C1755" s="1" t="n">
        <v>46118</v>
      </c>
      <c r="D1755" t="inlineStr">
        <is>
          <t>JÄMTLANDS LÄN</t>
        </is>
      </c>
      <c r="E1755" t="inlineStr">
        <is>
          <t>BRÄCKE</t>
        </is>
      </c>
      <c r="F1755" t="inlineStr">
        <is>
          <t>SCA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46601-2022</t>
        </is>
      </c>
      <c r="B1756" s="1" t="n">
        <v>44848</v>
      </c>
      <c r="C1756" s="1" t="n">
        <v>46118</v>
      </c>
      <c r="D1756" t="inlineStr">
        <is>
          <t>JÄMTLANDS LÄN</t>
        </is>
      </c>
      <c r="E1756" t="inlineStr">
        <is>
          <t>BRÄCKE</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12732-2025</t>
        </is>
      </c>
      <c r="B1757" s="1" t="n">
        <v>45733.51090277778</v>
      </c>
      <c r="C1757" s="1" t="n">
        <v>46118</v>
      </c>
      <c r="D1757" t="inlineStr">
        <is>
          <t>JÄMTLANDS LÄN</t>
        </is>
      </c>
      <c r="E1757" t="inlineStr">
        <is>
          <t>BRÄCKE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11371-2025</t>
        </is>
      </c>
      <c r="B1758" s="1" t="n">
        <v>45726.55258101852</v>
      </c>
      <c r="C1758" s="1" t="n">
        <v>46118</v>
      </c>
      <c r="D1758" t="inlineStr">
        <is>
          <t>JÄMTLANDS LÄN</t>
        </is>
      </c>
      <c r="E1758" t="inlineStr">
        <is>
          <t>BRÄCKE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41722-2023</t>
        </is>
      </c>
      <c r="B1759" s="1" t="n">
        <v>45176.4012037037</v>
      </c>
      <c r="C1759" s="1" t="n">
        <v>46118</v>
      </c>
      <c r="D1759" t="inlineStr">
        <is>
          <t>JÄMTLANDS LÄN</t>
        </is>
      </c>
      <c r="E1759" t="inlineStr">
        <is>
          <t>BRÄCKE</t>
        </is>
      </c>
      <c r="G1759" t="n">
        <v>21.3</v>
      </c>
      <c r="H1759" t="n">
        <v>0</v>
      </c>
      <c r="I1759" t="n">
        <v>0</v>
      </c>
      <c r="J1759" t="n">
        <v>0</v>
      </c>
      <c r="K1759" t="n">
        <v>0</v>
      </c>
      <c r="L1759" t="n">
        <v>0</v>
      </c>
      <c r="M1759" t="n">
        <v>0</v>
      </c>
      <c r="N1759" t="n">
        <v>0</v>
      </c>
      <c r="O1759" t="n">
        <v>0</v>
      </c>
      <c r="P1759" t="n">
        <v>0</v>
      </c>
      <c r="Q1759" t="n">
        <v>0</v>
      </c>
      <c r="R1759" s="2" t="inlineStr"/>
    </row>
    <row r="1760" ht="15" customHeight="1">
      <c r="A1760" t="inlineStr">
        <is>
          <t>A 30478-2022</t>
        </is>
      </c>
      <c r="B1760" s="1" t="n">
        <v>44761</v>
      </c>
      <c r="C1760" s="1" t="n">
        <v>46118</v>
      </c>
      <c r="D1760" t="inlineStr">
        <is>
          <t>JÄMTLANDS LÄN</t>
        </is>
      </c>
      <c r="E1760" t="inlineStr">
        <is>
          <t>BRÄCKE</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29572-2024</t>
        </is>
      </c>
      <c r="B1761" s="1" t="n">
        <v>45484.55929398148</v>
      </c>
      <c r="C1761" s="1" t="n">
        <v>46118</v>
      </c>
      <c r="D1761" t="inlineStr">
        <is>
          <t>JÄMTLANDS LÄN</t>
        </is>
      </c>
      <c r="E1761" t="inlineStr">
        <is>
          <t>BRÄCKE</t>
        </is>
      </c>
      <c r="F1761" t="inlineStr">
        <is>
          <t>Övriga Aktiebolag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52714-2022</t>
        </is>
      </c>
      <c r="B1762" s="1" t="n">
        <v>44874.95511574074</v>
      </c>
      <c r="C1762" s="1" t="n">
        <v>46118</v>
      </c>
      <c r="D1762" t="inlineStr">
        <is>
          <t>JÄMTLANDS LÄN</t>
        </is>
      </c>
      <c r="E1762" t="inlineStr">
        <is>
          <t>BRÄCKE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37504-2023</t>
        </is>
      </c>
      <c r="B1763" s="1" t="n">
        <v>45157.59725694444</v>
      </c>
      <c r="C1763" s="1" t="n">
        <v>46118</v>
      </c>
      <c r="D1763" t="inlineStr">
        <is>
          <t>JÄMTLANDS LÄN</t>
        </is>
      </c>
      <c r="E1763" t="inlineStr">
        <is>
          <t>BRÄCKE</t>
        </is>
      </c>
      <c r="F1763" t="inlineStr">
        <is>
          <t>Sveaskog</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7123-2025</t>
        </is>
      </c>
      <c r="B1764" s="1" t="n">
        <v>45702.34427083333</v>
      </c>
      <c r="C1764" s="1" t="n">
        <v>46118</v>
      </c>
      <c r="D1764" t="inlineStr">
        <is>
          <t>JÄMTLANDS LÄN</t>
        </is>
      </c>
      <c r="E1764" t="inlineStr">
        <is>
          <t>BRÄCKE</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48342-2024</t>
        </is>
      </c>
      <c r="B1765" s="1" t="n">
        <v>45590.55238425926</v>
      </c>
      <c r="C1765" s="1" t="n">
        <v>46118</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68763-2021</t>
        </is>
      </c>
      <c r="B1766" s="1" t="n">
        <v>44529</v>
      </c>
      <c r="C1766" s="1" t="n">
        <v>46118</v>
      </c>
      <c r="D1766" t="inlineStr">
        <is>
          <t>JÄMTLANDS LÄN</t>
        </is>
      </c>
      <c r="E1766" t="inlineStr">
        <is>
          <t>BRÄCKE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56047-2024</t>
        </is>
      </c>
      <c r="B1767" s="1" t="n">
        <v>45624.34450231482</v>
      </c>
      <c r="C1767" s="1" t="n">
        <v>46118</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24307-2024</t>
        </is>
      </c>
      <c r="B1768" s="1" t="n">
        <v>45457.49471064815</v>
      </c>
      <c r="C1768" s="1" t="n">
        <v>46118</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59586-2023</t>
        </is>
      </c>
      <c r="B1769" s="1" t="n">
        <v>45254.61172453704</v>
      </c>
      <c r="C1769" s="1" t="n">
        <v>46118</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58449-2024</t>
        </is>
      </c>
      <c r="B1770" s="1" t="n">
        <v>45635.34413194445</v>
      </c>
      <c r="C1770" s="1" t="n">
        <v>46118</v>
      </c>
      <c r="D1770" t="inlineStr">
        <is>
          <t>JÄMTLANDS LÄN</t>
        </is>
      </c>
      <c r="E1770" t="inlineStr">
        <is>
          <t>BRÄCKE</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4635-2022</t>
        </is>
      </c>
      <c r="B1771" s="1" t="n">
        <v>44592.41413194445</v>
      </c>
      <c r="C1771" s="1" t="n">
        <v>46118</v>
      </c>
      <c r="D1771" t="inlineStr">
        <is>
          <t>JÄMTLANDS LÄN</t>
        </is>
      </c>
      <c r="E1771" t="inlineStr">
        <is>
          <t>BRÄCKE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58491-2024</t>
        </is>
      </c>
      <c r="B1772" s="1" t="n">
        <v>45635.40408564815</v>
      </c>
      <c r="C1772" s="1" t="n">
        <v>46118</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48419-2023</t>
        </is>
      </c>
      <c r="B1773" s="1" t="n">
        <v>45205</v>
      </c>
      <c r="C1773" s="1" t="n">
        <v>46118</v>
      </c>
      <c r="D1773" t="inlineStr">
        <is>
          <t>JÄMTLANDS LÄN</t>
        </is>
      </c>
      <c r="E1773" t="inlineStr">
        <is>
          <t>BRÄCKE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73102-2021</t>
        </is>
      </c>
      <c r="B1774" s="1" t="n">
        <v>44550.45236111111</v>
      </c>
      <c r="C1774" s="1" t="n">
        <v>46118</v>
      </c>
      <c r="D1774" t="inlineStr">
        <is>
          <t>JÄMTLANDS LÄN</t>
        </is>
      </c>
      <c r="E1774" t="inlineStr">
        <is>
          <t>BRÄCKE</t>
        </is>
      </c>
      <c r="F1774" t="inlineStr">
        <is>
          <t>Sveaskog</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16512-2024</t>
        </is>
      </c>
      <c r="B1775" s="1" t="n">
        <v>45408.39922453704</v>
      </c>
      <c r="C1775" s="1" t="n">
        <v>46118</v>
      </c>
      <c r="D1775" t="inlineStr">
        <is>
          <t>JÄMTLANDS LÄN</t>
        </is>
      </c>
      <c r="E1775" t="inlineStr">
        <is>
          <t>BRÄCKE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53696-2024</t>
        </is>
      </c>
      <c r="B1776" s="1" t="n">
        <v>45615.3857175926</v>
      </c>
      <c r="C1776" s="1" t="n">
        <v>46118</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18267-2025</t>
        </is>
      </c>
      <c r="B1777" s="1" t="n">
        <v>45762.36527777778</v>
      </c>
      <c r="C1777" s="1" t="n">
        <v>46118</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49330-2023</t>
        </is>
      </c>
      <c r="B1778" s="1" t="n">
        <v>45210.94927083333</v>
      </c>
      <c r="C1778" s="1" t="n">
        <v>46118</v>
      </c>
      <c r="D1778" t="inlineStr">
        <is>
          <t>JÄMTLANDS LÄN</t>
        </is>
      </c>
      <c r="E1778" t="inlineStr">
        <is>
          <t>BRÄCKE</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19088-2021</t>
        </is>
      </c>
      <c r="B1779" s="1" t="n">
        <v>44308</v>
      </c>
      <c r="C1779" s="1" t="n">
        <v>46118</v>
      </c>
      <c r="D1779" t="inlineStr">
        <is>
          <t>JÄMTLANDS LÄN</t>
        </is>
      </c>
      <c r="E1779" t="inlineStr">
        <is>
          <t>BRÄCKE</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22001-2024</t>
        </is>
      </c>
      <c r="B1780" s="1" t="n">
        <v>45443.56649305556</v>
      </c>
      <c r="C1780" s="1" t="n">
        <v>46118</v>
      </c>
      <c r="D1780" t="inlineStr">
        <is>
          <t>JÄMTLANDS LÄN</t>
        </is>
      </c>
      <c r="E1780" t="inlineStr">
        <is>
          <t>BRÄCKE</t>
        </is>
      </c>
      <c r="F1780" t="inlineStr">
        <is>
          <t>Övriga Aktiebolag</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3180-2024</t>
        </is>
      </c>
      <c r="B1781" s="1" t="n">
        <v>45316.64880787037</v>
      </c>
      <c r="C1781" s="1" t="n">
        <v>46118</v>
      </c>
      <c r="D1781" t="inlineStr">
        <is>
          <t>JÄMTLANDS LÄN</t>
        </is>
      </c>
      <c r="E1781" t="inlineStr">
        <is>
          <t>BRÄCKE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3182-2024</t>
        </is>
      </c>
      <c r="B1782" s="1" t="n">
        <v>45316.65004629629</v>
      </c>
      <c r="C1782" s="1" t="n">
        <v>46118</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10815-2022</t>
        </is>
      </c>
      <c r="B1783" s="1" t="n">
        <v>44627</v>
      </c>
      <c r="C1783" s="1" t="n">
        <v>46118</v>
      </c>
      <c r="D1783" t="inlineStr">
        <is>
          <t>JÄMTLANDS LÄN</t>
        </is>
      </c>
      <c r="E1783" t="inlineStr">
        <is>
          <t>BRÄCKE</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52723-2023</t>
        </is>
      </c>
      <c r="B1784" s="1" t="n">
        <v>45225</v>
      </c>
      <c r="C1784" s="1" t="n">
        <v>46118</v>
      </c>
      <c r="D1784" t="inlineStr">
        <is>
          <t>JÄMTLANDS LÄN</t>
        </is>
      </c>
      <c r="E1784" t="inlineStr">
        <is>
          <t>BRÄCKE</t>
        </is>
      </c>
      <c r="G1784" t="n">
        <v>9.699999999999999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34807-2024</t>
        </is>
      </c>
      <c r="B1785" s="1" t="n">
        <v>45526.69046296296</v>
      </c>
      <c r="C1785" s="1" t="n">
        <v>46118</v>
      </c>
      <c r="D1785" t="inlineStr">
        <is>
          <t>JÄMTLANDS LÄN</t>
        </is>
      </c>
      <c r="E1785" t="inlineStr">
        <is>
          <t>BRÄCKE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17907-2025</t>
        </is>
      </c>
      <c r="B1786" s="1" t="n">
        <v>45758.73046296297</v>
      </c>
      <c r="C1786" s="1" t="n">
        <v>46118</v>
      </c>
      <c r="D1786" t="inlineStr">
        <is>
          <t>JÄMTLANDS LÄN</t>
        </is>
      </c>
      <c r="E1786" t="inlineStr">
        <is>
          <t>BRÄCKE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39326-2024</t>
        </is>
      </c>
      <c r="B1787" s="1" t="n">
        <v>45551.42741898148</v>
      </c>
      <c r="C1787" s="1" t="n">
        <v>46118</v>
      </c>
      <c r="D1787" t="inlineStr">
        <is>
          <t>JÄMTLANDS LÄN</t>
        </is>
      </c>
      <c r="E1787" t="inlineStr">
        <is>
          <t>BRÄCKE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60666-2024</t>
        </is>
      </c>
      <c r="B1788" s="1" t="n">
        <v>45644.44833333333</v>
      </c>
      <c r="C1788" s="1" t="n">
        <v>46118</v>
      </c>
      <c r="D1788" t="inlineStr">
        <is>
          <t>JÄMTLANDS LÄN</t>
        </is>
      </c>
      <c r="E1788" t="inlineStr">
        <is>
          <t>BRÄCKE</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65096-2023</t>
        </is>
      </c>
      <c r="B1789" s="1" t="n">
        <v>45288</v>
      </c>
      <c r="C1789" s="1" t="n">
        <v>46118</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20625-2023</t>
        </is>
      </c>
      <c r="B1790" s="1" t="n">
        <v>45057.94351851852</v>
      </c>
      <c r="C1790" s="1" t="n">
        <v>46118</v>
      </c>
      <c r="D1790" t="inlineStr">
        <is>
          <t>JÄMTLANDS LÄN</t>
        </is>
      </c>
      <c r="E1790" t="inlineStr">
        <is>
          <t>BRÄCKE</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9996-2025</t>
        </is>
      </c>
      <c r="B1791" s="1" t="n">
        <v>45719.44133101852</v>
      </c>
      <c r="C1791" s="1" t="n">
        <v>46118</v>
      </c>
      <c r="D1791" t="inlineStr">
        <is>
          <t>JÄMTLANDS LÄN</t>
        </is>
      </c>
      <c r="E1791" t="inlineStr">
        <is>
          <t>BRÄCKE</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51558-2022</t>
        </is>
      </c>
      <c r="B1792" s="1" t="n">
        <v>44869.9497337963</v>
      </c>
      <c r="C1792" s="1" t="n">
        <v>46118</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30685-2023</t>
        </is>
      </c>
      <c r="B1793" s="1" t="n">
        <v>45112.56471064815</v>
      </c>
      <c r="C1793" s="1" t="n">
        <v>46118</v>
      </c>
      <c r="D1793" t="inlineStr">
        <is>
          <t>JÄMTLANDS LÄN</t>
        </is>
      </c>
      <c r="E1793" t="inlineStr">
        <is>
          <t>BRÄCKE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36549-2024</t>
        </is>
      </c>
      <c r="B1794" s="1" t="n">
        <v>45537.46791666667</v>
      </c>
      <c r="C1794" s="1" t="n">
        <v>46118</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39004-2023</t>
        </is>
      </c>
      <c r="B1795" s="1" t="n">
        <v>45162</v>
      </c>
      <c r="C1795" s="1" t="n">
        <v>46118</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14474-2025</t>
        </is>
      </c>
      <c r="B1796" s="1" t="n">
        <v>45741.57782407408</v>
      </c>
      <c r="C1796" s="1" t="n">
        <v>46118</v>
      </c>
      <c r="D1796" t="inlineStr">
        <is>
          <t>JÄMTLANDS LÄN</t>
        </is>
      </c>
      <c r="E1796" t="inlineStr">
        <is>
          <t>BRÄCKE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5167-2025</t>
        </is>
      </c>
      <c r="B1797" s="1" t="n">
        <v>45691.61539351852</v>
      </c>
      <c r="C1797" s="1" t="n">
        <v>46118</v>
      </c>
      <c r="D1797" t="inlineStr">
        <is>
          <t>JÄMTLANDS LÄN</t>
        </is>
      </c>
      <c r="E1797" t="inlineStr">
        <is>
          <t>BRÄCKE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56640-2021</t>
        </is>
      </c>
      <c r="B1798" s="1" t="n">
        <v>44480</v>
      </c>
      <c r="C1798" s="1" t="n">
        <v>46118</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33538-2021</t>
        </is>
      </c>
      <c r="B1799" s="1" t="n">
        <v>44377</v>
      </c>
      <c r="C1799" s="1" t="n">
        <v>46118</v>
      </c>
      <c r="D1799" t="inlineStr">
        <is>
          <t>JÄMTLANDS LÄN</t>
        </is>
      </c>
      <c r="E1799" t="inlineStr">
        <is>
          <t>BRÄCKE</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57420-2023</t>
        </is>
      </c>
      <c r="B1800" s="1" t="n">
        <v>45245.96990740741</v>
      </c>
      <c r="C1800" s="1" t="n">
        <v>46118</v>
      </c>
      <c r="D1800" t="inlineStr">
        <is>
          <t>JÄMTLANDS LÄN</t>
        </is>
      </c>
      <c r="E1800" t="inlineStr">
        <is>
          <t>BRÄCKE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59650-2024</t>
        </is>
      </c>
      <c r="B1801" s="1" t="n">
        <v>45639.34488425926</v>
      </c>
      <c r="C1801" s="1" t="n">
        <v>46118</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46798-2023</t>
        </is>
      </c>
      <c r="B1802" s="1" t="n">
        <v>45198</v>
      </c>
      <c r="C1802" s="1" t="n">
        <v>46118</v>
      </c>
      <c r="D1802" t="inlineStr">
        <is>
          <t>JÄMTLANDS LÄN</t>
        </is>
      </c>
      <c r="E1802" t="inlineStr">
        <is>
          <t>BRÄCKE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2179-2025</t>
        </is>
      </c>
      <c r="B1803" s="1" t="n">
        <v>45673.34421296296</v>
      </c>
      <c r="C1803" s="1" t="n">
        <v>46118</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1080-2025</t>
        </is>
      </c>
      <c r="B1804" s="1" t="n">
        <v>45666.61513888889</v>
      </c>
      <c r="C1804" s="1" t="n">
        <v>46118</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57096-2024</t>
        </is>
      </c>
      <c r="B1805" s="1" t="n">
        <v>45629.35810185185</v>
      </c>
      <c r="C1805" s="1" t="n">
        <v>46118</v>
      </c>
      <c r="D1805" t="inlineStr">
        <is>
          <t>JÄMTLANDS LÄN</t>
        </is>
      </c>
      <c r="E1805" t="inlineStr">
        <is>
          <t>BRÄCKE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57473-2024</t>
        </is>
      </c>
      <c r="B1806" s="1" t="n">
        <v>45630.34438657408</v>
      </c>
      <c r="C1806" s="1" t="n">
        <v>46118</v>
      </c>
      <c r="D1806" t="inlineStr">
        <is>
          <t>JÄMTLANDS LÄN</t>
        </is>
      </c>
      <c r="E1806" t="inlineStr">
        <is>
          <t>BRÄCKE</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18984-2022</t>
        </is>
      </c>
      <c r="B1807" s="1" t="n">
        <v>44690</v>
      </c>
      <c r="C1807" s="1" t="n">
        <v>46118</v>
      </c>
      <c r="D1807" t="inlineStr">
        <is>
          <t>JÄMTLANDS LÄN</t>
        </is>
      </c>
      <c r="E1807" t="inlineStr">
        <is>
          <t>BRÄCKE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28765-2024</t>
        </is>
      </c>
      <c r="B1808" s="1" t="n">
        <v>45478.59344907408</v>
      </c>
      <c r="C1808" s="1" t="n">
        <v>46118</v>
      </c>
      <c r="D1808" t="inlineStr">
        <is>
          <t>JÄMTLANDS LÄN</t>
        </is>
      </c>
      <c r="E1808" t="inlineStr">
        <is>
          <t>BRÄCKE</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20778-2025</t>
        </is>
      </c>
      <c r="B1809" s="1" t="n">
        <v>45776.59439814815</v>
      </c>
      <c r="C1809" s="1" t="n">
        <v>46118</v>
      </c>
      <c r="D1809" t="inlineStr">
        <is>
          <t>JÄMTLANDS LÄN</t>
        </is>
      </c>
      <c r="E1809" t="inlineStr">
        <is>
          <t>BRÄCKE</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20870-2025</t>
        </is>
      </c>
      <c r="B1810" s="1" t="n">
        <v>45777.34517361111</v>
      </c>
      <c r="C1810" s="1" t="n">
        <v>46118</v>
      </c>
      <c r="D1810" t="inlineStr">
        <is>
          <t>JÄMTLANDS LÄN</t>
        </is>
      </c>
      <c r="E1810" t="inlineStr">
        <is>
          <t>BRÄCKE</t>
        </is>
      </c>
      <c r="F1810" t="inlineStr">
        <is>
          <t>SCA</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20756-2025</t>
        </is>
      </c>
      <c r="B1811" s="1" t="n">
        <v>45776.57333333333</v>
      </c>
      <c r="C1811" s="1" t="n">
        <v>46118</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20909-2025</t>
        </is>
      </c>
      <c r="B1812" s="1" t="n">
        <v>45777.40672453704</v>
      </c>
      <c r="C1812" s="1" t="n">
        <v>46118</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29409-2024</t>
        </is>
      </c>
      <c r="B1813" s="1" t="n">
        <v>45483.67341435186</v>
      </c>
      <c r="C1813" s="1" t="n">
        <v>46118</v>
      </c>
      <c r="D1813" t="inlineStr">
        <is>
          <t>JÄMTLANDS LÄN</t>
        </is>
      </c>
      <c r="E1813" t="inlineStr">
        <is>
          <t>BRÄCKE</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46118</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34646-2024</t>
        </is>
      </c>
      <c r="B1815" s="1" t="n">
        <v>45526.4784375</v>
      </c>
      <c r="C1815" s="1" t="n">
        <v>46118</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26919-2024</t>
        </is>
      </c>
      <c r="B1816" s="1" t="n">
        <v>45470.93050925926</v>
      </c>
      <c r="C1816" s="1" t="n">
        <v>46118</v>
      </c>
      <c r="D1816" t="inlineStr">
        <is>
          <t>JÄMTLANDS LÄN</t>
        </is>
      </c>
      <c r="E1816" t="inlineStr">
        <is>
          <t>BRÄCKE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9438-2025</t>
        </is>
      </c>
      <c r="B1817" s="1" t="n">
        <v>45715.41347222222</v>
      </c>
      <c r="C1817" s="1" t="n">
        <v>46118</v>
      </c>
      <c r="D1817" t="inlineStr">
        <is>
          <t>JÄMTLANDS LÄN</t>
        </is>
      </c>
      <c r="E1817" t="inlineStr">
        <is>
          <t>BRÄCKE</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21634-2025</t>
        </is>
      </c>
      <c r="B1818" s="1" t="n">
        <v>45783.42775462963</v>
      </c>
      <c r="C1818" s="1" t="n">
        <v>46118</v>
      </c>
      <c r="D1818" t="inlineStr">
        <is>
          <t>JÄMTLANDS LÄN</t>
        </is>
      </c>
      <c r="E1818" t="inlineStr">
        <is>
          <t>BRÄCKE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21368-2025</t>
        </is>
      </c>
      <c r="B1819" s="1" t="n">
        <v>45782.44824074074</v>
      </c>
      <c r="C1819" s="1" t="n">
        <v>46118</v>
      </c>
      <c r="D1819" t="inlineStr">
        <is>
          <t>JÄMTLANDS LÄN</t>
        </is>
      </c>
      <c r="E1819" t="inlineStr">
        <is>
          <t>BRÄCKE</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21449-2025</t>
        </is>
      </c>
      <c r="B1820" s="1" t="n">
        <v>45782.55255787037</v>
      </c>
      <c r="C1820" s="1" t="n">
        <v>46118</v>
      </c>
      <c r="D1820" t="inlineStr">
        <is>
          <t>JÄMTLANDS LÄN</t>
        </is>
      </c>
      <c r="E1820" t="inlineStr">
        <is>
          <t>BRÄCKE</t>
        </is>
      </c>
      <c r="F1820" t="inlineStr">
        <is>
          <t>SCA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21450-2025</t>
        </is>
      </c>
      <c r="B1821" s="1" t="n">
        <v>45782.55275462963</v>
      </c>
      <c r="C1821" s="1" t="n">
        <v>46118</v>
      </c>
      <c r="D1821" t="inlineStr">
        <is>
          <t>JÄMTLANDS LÄN</t>
        </is>
      </c>
      <c r="E1821" t="inlineStr">
        <is>
          <t>BRÄCKE</t>
        </is>
      </c>
      <c r="F1821" t="inlineStr">
        <is>
          <t>SCA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21486-2025</t>
        </is>
      </c>
      <c r="B1822" s="1" t="n">
        <v>45782.59521990741</v>
      </c>
      <c r="C1822" s="1" t="n">
        <v>46118</v>
      </c>
      <c r="D1822" t="inlineStr">
        <is>
          <t>JÄMTLANDS LÄN</t>
        </is>
      </c>
      <c r="E1822" t="inlineStr">
        <is>
          <t>BRÄCKE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46118</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21551-2025</t>
        </is>
      </c>
      <c r="B1824" s="1" t="n">
        <v>45782.67771990741</v>
      </c>
      <c r="C1824" s="1" t="n">
        <v>46118</v>
      </c>
      <c r="D1824" t="inlineStr">
        <is>
          <t>JÄMTLANDS LÄN</t>
        </is>
      </c>
      <c r="E1824" t="inlineStr">
        <is>
          <t>BRÄCKE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21549-2025</t>
        </is>
      </c>
      <c r="B1825" s="1" t="n">
        <v>45782.67743055556</v>
      </c>
      <c r="C1825" s="1" t="n">
        <v>46118</v>
      </c>
      <c r="D1825" t="inlineStr">
        <is>
          <t>JÄMTLANDS LÄN</t>
        </is>
      </c>
      <c r="E1825" t="inlineStr">
        <is>
          <t>BRÄCKE</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34647-2024</t>
        </is>
      </c>
      <c r="B1826" s="1" t="n">
        <v>45526.47844907407</v>
      </c>
      <c r="C1826" s="1" t="n">
        <v>46118</v>
      </c>
      <c r="D1826" t="inlineStr">
        <is>
          <t>JÄMTLANDS LÄN</t>
        </is>
      </c>
      <c r="E1826" t="inlineStr">
        <is>
          <t>BRÄCKE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21305-2025</t>
        </is>
      </c>
      <c r="B1827" s="1" t="n">
        <v>45781.40665509259</v>
      </c>
      <c r="C1827" s="1" t="n">
        <v>46118</v>
      </c>
      <c r="D1827" t="inlineStr">
        <is>
          <t>JÄMTLANDS LÄN</t>
        </is>
      </c>
      <c r="E1827" t="inlineStr">
        <is>
          <t>BRÄCKE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22164-2025</t>
        </is>
      </c>
      <c r="B1828" s="1" t="n">
        <v>45785.59428240741</v>
      </c>
      <c r="C1828" s="1" t="n">
        <v>46118</v>
      </c>
      <c r="D1828" t="inlineStr">
        <is>
          <t>JÄMTLANDS LÄN</t>
        </is>
      </c>
      <c r="E1828" t="inlineStr">
        <is>
          <t>BRÄCKE</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21961-2025</t>
        </is>
      </c>
      <c r="B1829" s="1" t="n">
        <v>45784.61517361111</v>
      </c>
      <c r="C1829" s="1" t="n">
        <v>46118</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22936-2024</t>
        </is>
      </c>
      <c r="B1830" s="1" t="n">
        <v>45448.94478009259</v>
      </c>
      <c r="C1830" s="1" t="n">
        <v>46118</v>
      </c>
      <c r="D1830" t="inlineStr">
        <is>
          <t>JÄMTLANDS LÄN</t>
        </is>
      </c>
      <c r="E1830" t="inlineStr">
        <is>
          <t>BRÄCKE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48482-2023</t>
        </is>
      </c>
      <c r="B1831" s="1" t="n">
        <v>45206.95846064815</v>
      </c>
      <c r="C1831" s="1" t="n">
        <v>46118</v>
      </c>
      <c r="D1831" t="inlineStr">
        <is>
          <t>JÄMTLANDS LÄN</t>
        </is>
      </c>
      <c r="E1831" t="inlineStr">
        <is>
          <t>BRÄCKE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22167-2025</t>
        </is>
      </c>
      <c r="B1832" s="1" t="n">
        <v>45785.59498842592</v>
      </c>
      <c r="C1832" s="1" t="n">
        <v>46118</v>
      </c>
      <c r="D1832" t="inlineStr">
        <is>
          <t>JÄMTLANDS LÄN</t>
        </is>
      </c>
      <c r="E1832" t="inlineStr">
        <is>
          <t>BRÄCKE</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22000-2025</t>
        </is>
      </c>
      <c r="B1833" s="1" t="n">
        <v>45784.69851851852</v>
      </c>
      <c r="C1833" s="1" t="n">
        <v>46118</v>
      </c>
      <c r="D1833" t="inlineStr">
        <is>
          <t>JÄMTLANDS LÄN</t>
        </is>
      </c>
      <c r="E1833" t="inlineStr">
        <is>
          <t>BRÄCKE</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22652-2025</t>
        </is>
      </c>
      <c r="B1834" s="1" t="n">
        <v>45789.46920138889</v>
      </c>
      <c r="C1834" s="1" t="n">
        <v>46118</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22772-2025</t>
        </is>
      </c>
      <c r="B1835" s="1" t="n">
        <v>45789.63618055556</v>
      </c>
      <c r="C1835" s="1" t="n">
        <v>46118</v>
      </c>
      <c r="D1835" t="inlineStr">
        <is>
          <t>JÄMTLANDS LÄN</t>
        </is>
      </c>
      <c r="E1835" t="inlineStr">
        <is>
          <t>BRÄCKE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50591-2024</t>
        </is>
      </c>
      <c r="B1836" s="1" t="n">
        <v>45601.6190625</v>
      </c>
      <c r="C1836" s="1" t="n">
        <v>46118</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22313-2025</t>
        </is>
      </c>
      <c r="B1837" s="1" t="n">
        <v>45786.38583333333</v>
      </c>
      <c r="C1837" s="1" t="n">
        <v>46118</v>
      </c>
      <c r="D1837" t="inlineStr">
        <is>
          <t>JÄMTLANDS LÄN</t>
        </is>
      </c>
      <c r="E1837" t="inlineStr">
        <is>
          <t>BRÄCKE</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4491-2024</t>
        </is>
      </c>
      <c r="B1838" s="1" t="n">
        <v>45327</v>
      </c>
      <c r="C1838" s="1" t="n">
        <v>46118</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22792-2025</t>
        </is>
      </c>
      <c r="B1839" s="1" t="n">
        <v>45789.65681712963</v>
      </c>
      <c r="C1839" s="1" t="n">
        <v>46118</v>
      </c>
      <c r="D1839" t="inlineStr">
        <is>
          <t>JÄMTLANDS LÄN</t>
        </is>
      </c>
      <c r="E1839" t="inlineStr">
        <is>
          <t>BRÄCKE</t>
        </is>
      </c>
      <c r="F1839" t="inlineStr">
        <is>
          <t>SCA</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22816-2025</t>
        </is>
      </c>
      <c r="B1840" s="1" t="n">
        <v>45789.69841435185</v>
      </c>
      <c r="C1840" s="1" t="n">
        <v>46118</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22670-2025</t>
        </is>
      </c>
      <c r="B1841" s="1" t="n">
        <v>45789.49024305555</v>
      </c>
      <c r="C1841" s="1" t="n">
        <v>46118</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23363-2025</t>
        </is>
      </c>
      <c r="B1842" s="1" t="n">
        <v>45791.67775462963</v>
      </c>
      <c r="C1842" s="1" t="n">
        <v>46118</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22940-2025</t>
        </is>
      </c>
      <c r="B1843" s="1" t="n">
        <v>45790.46918981482</v>
      </c>
      <c r="C1843" s="1" t="n">
        <v>46118</v>
      </c>
      <c r="D1843" t="inlineStr">
        <is>
          <t>JÄMTLANDS LÄN</t>
        </is>
      </c>
      <c r="E1843" t="inlineStr">
        <is>
          <t>BRÄCKE</t>
        </is>
      </c>
      <c r="F1843" t="inlineStr">
        <is>
          <t>SCA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23211-2025</t>
        </is>
      </c>
      <c r="B1844" s="1" t="n">
        <v>45791.46956018519</v>
      </c>
      <c r="C1844" s="1" t="n">
        <v>46118</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22958-2025</t>
        </is>
      </c>
      <c r="B1845" s="1" t="n">
        <v>45790.53184027778</v>
      </c>
      <c r="C1845" s="1" t="n">
        <v>46118</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22957-2025</t>
        </is>
      </c>
      <c r="B1846" s="1" t="n">
        <v>45790.53179398148</v>
      </c>
      <c r="C1846" s="1" t="n">
        <v>46118</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23344-2025</t>
        </is>
      </c>
      <c r="B1847" s="1" t="n">
        <v>45791.65712962963</v>
      </c>
      <c r="C1847" s="1" t="n">
        <v>46118</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52249-2023</t>
        </is>
      </c>
      <c r="B1848" s="1" t="n">
        <v>45217</v>
      </c>
      <c r="C1848" s="1" t="n">
        <v>46118</v>
      </c>
      <c r="D1848" t="inlineStr">
        <is>
          <t>JÄMTLANDS LÄN</t>
        </is>
      </c>
      <c r="E1848" t="inlineStr">
        <is>
          <t>BRÄCKE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23320-2025</t>
        </is>
      </c>
      <c r="B1849" s="1" t="n">
        <v>45791.61528935185</v>
      </c>
      <c r="C1849" s="1" t="n">
        <v>46118</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23298-2025</t>
        </is>
      </c>
      <c r="B1850" s="1" t="n">
        <v>45791.59456018519</v>
      </c>
      <c r="C1850" s="1" t="n">
        <v>46118</v>
      </c>
      <c r="D1850" t="inlineStr">
        <is>
          <t>JÄMTLANDS LÄN</t>
        </is>
      </c>
      <c r="E1850" t="inlineStr">
        <is>
          <t>BRÄCKE</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11093-2022</t>
        </is>
      </c>
      <c r="B1851" s="1" t="n">
        <v>44628</v>
      </c>
      <c r="C1851" s="1" t="n">
        <v>46118</v>
      </c>
      <c r="D1851" t="inlineStr">
        <is>
          <t>JÄMTLANDS LÄN</t>
        </is>
      </c>
      <c r="E1851" t="inlineStr">
        <is>
          <t>BRÄCKE</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23583-2025</t>
        </is>
      </c>
      <c r="B1852" s="1" t="n">
        <v>45792.63043981481</v>
      </c>
      <c r="C1852" s="1" t="n">
        <v>46118</v>
      </c>
      <c r="D1852" t="inlineStr">
        <is>
          <t>JÄMTLANDS LÄN</t>
        </is>
      </c>
      <c r="E1852" t="inlineStr">
        <is>
          <t>BRÄCKE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23842-2025</t>
        </is>
      </c>
      <c r="B1853" s="1" t="n">
        <v>45793.61534722222</v>
      </c>
      <c r="C1853" s="1" t="n">
        <v>46118</v>
      </c>
      <c r="D1853" t="inlineStr">
        <is>
          <t>JÄMTLANDS LÄN</t>
        </is>
      </c>
      <c r="E1853" t="inlineStr">
        <is>
          <t>BRÄCKE</t>
        </is>
      </c>
      <c r="F1853" t="inlineStr">
        <is>
          <t>SCA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23458-2025</t>
        </is>
      </c>
      <c r="B1854" s="1" t="n">
        <v>45792.42756944444</v>
      </c>
      <c r="C1854" s="1" t="n">
        <v>46118</v>
      </c>
      <c r="D1854" t="inlineStr">
        <is>
          <t>JÄMTLANDS LÄN</t>
        </is>
      </c>
      <c r="E1854" t="inlineStr">
        <is>
          <t>BRÄCKE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27460-2024</t>
        </is>
      </c>
      <c r="B1855" s="1" t="n">
        <v>45474.44785879629</v>
      </c>
      <c r="C1855" s="1" t="n">
        <v>46118</v>
      </c>
      <c r="D1855" t="inlineStr">
        <is>
          <t>JÄMTLANDS LÄN</t>
        </is>
      </c>
      <c r="E1855" t="inlineStr">
        <is>
          <t>BRÄCKE</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27455-2024</t>
        </is>
      </c>
      <c r="B1856" s="1" t="n">
        <v>45474.43834490741</v>
      </c>
      <c r="C1856" s="1" t="n">
        <v>46118</v>
      </c>
      <c r="D1856" t="inlineStr">
        <is>
          <t>JÄMTLANDS LÄN</t>
        </is>
      </c>
      <c r="E1856" t="inlineStr">
        <is>
          <t>BRÄCKE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32671-2024</t>
        </is>
      </c>
      <c r="B1857" s="1" t="n">
        <v>45514.59587962963</v>
      </c>
      <c r="C1857" s="1" t="n">
        <v>46118</v>
      </c>
      <c r="D1857" t="inlineStr">
        <is>
          <t>JÄMTLANDS LÄN</t>
        </is>
      </c>
      <c r="E1857" t="inlineStr">
        <is>
          <t>BRÄCKE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13762-2024</t>
        </is>
      </c>
      <c r="B1858" s="1" t="n">
        <v>45390</v>
      </c>
      <c r="C1858" s="1" t="n">
        <v>46118</v>
      </c>
      <c r="D1858" t="inlineStr">
        <is>
          <t>JÄMTLANDS LÄN</t>
        </is>
      </c>
      <c r="E1858" t="inlineStr">
        <is>
          <t>BRÄCKE</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24154-2025</t>
        </is>
      </c>
      <c r="B1859" s="1" t="n">
        <v>45796.65685185185</v>
      </c>
      <c r="C1859" s="1" t="n">
        <v>46118</v>
      </c>
      <c r="D1859" t="inlineStr">
        <is>
          <t>JÄMTLANDS LÄN</t>
        </is>
      </c>
      <c r="E1859" t="inlineStr">
        <is>
          <t>BRÄCKE</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29873-2024</t>
        </is>
      </c>
      <c r="B1860" s="1" t="n">
        <v>45485.94542824074</v>
      </c>
      <c r="C1860" s="1" t="n">
        <v>46118</v>
      </c>
      <c r="D1860" t="inlineStr">
        <is>
          <t>JÄMTLANDS LÄN</t>
        </is>
      </c>
      <c r="E1860" t="inlineStr">
        <is>
          <t>BRÄCKE</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9434-2025</t>
        </is>
      </c>
      <c r="B1861" s="1" t="n">
        <v>45715.41209490741</v>
      </c>
      <c r="C1861" s="1" t="n">
        <v>46118</v>
      </c>
      <c r="D1861" t="inlineStr">
        <is>
          <t>JÄMTLANDS LÄN</t>
        </is>
      </c>
      <c r="E1861" t="inlineStr">
        <is>
          <t>BRÄCKE</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24236-2025</t>
        </is>
      </c>
      <c r="B1862" s="1" t="n">
        <v>45797.38586805556</v>
      </c>
      <c r="C1862" s="1" t="n">
        <v>46118</v>
      </c>
      <c r="D1862" t="inlineStr">
        <is>
          <t>JÄMTLANDS LÄN</t>
        </is>
      </c>
      <c r="E1862" t="inlineStr">
        <is>
          <t>BRÄCKE</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23539-2025</t>
        </is>
      </c>
      <c r="B1863" s="1" t="n">
        <v>45792</v>
      </c>
      <c r="C1863" s="1" t="n">
        <v>46118</v>
      </c>
      <c r="D1863" t="inlineStr">
        <is>
          <t>JÄMTLANDS LÄN</t>
        </is>
      </c>
      <c r="E1863" t="inlineStr">
        <is>
          <t>BRÄCKE</t>
        </is>
      </c>
      <c r="G1863" t="n">
        <v>14.9</v>
      </c>
      <c r="H1863" t="n">
        <v>0</v>
      </c>
      <c r="I1863" t="n">
        <v>0</v>
      </c>
      <c r="J1863" t="n">
        <v>0</v>
      </c>
      <c r="K1863" t="n">
        <v>0</v>
      </c>
      <c r="L1863" t="n">
        <v>0</v>
      </c>
      <c r="M1863" t="n">
        <v>0</v>
      </c>
      <c r="N1863" t="n">
        <v>0</v>
      </c>
      <c r="O1863" t="n">
        <v>0</v>
      </c>
      <c r="P1863" t="n">
        <v>0</v>
      </c>
      <c r="Q1863" t="n">
        <v>0</v>
      </c>
      <c r="R1863" s="2" t="inlineStr"/>
    </row>
    <row r="1864" ht="15" customHeight="1">
      <c r="A1864" t="inlineStr">
        <is>
          <t>A 1174-2025</t>
        </is>
      </c>
      <c r="B1864" s="1" t="n">
        <v>45667.34418981482</v>
      </c>
      <c r="C1864" s="1" t="n">
        <v>46118</v>
      </c>
      <c r="D1864" t="inlineStr">
        <is>
          <t>JÄMTLANDS LÄN</t>
        </is>
      </c>
      <c r="E1864" t="inlineStr">
        <is>
          <t>BRÄCKE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24043-2025</t>
        </is>
      </c>
      <c r="B1865" s="1" t="n">
        <v>45796.49002314815</v>
      </c>
      <c r="C1865" s="1" t="n">
        <v>46118</v>
      </c>
      <c r="D1865" t="inlineStr">
        <is>
          <t>JÄMTLANDS LÄN</t>
        </is>
      </c>
      <c r="E1865" t="inlineStr">
        <is>
          <t>BRÄCKE</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24077-2025</t>
        </is>
      </c>
      <c r="B1866" s="1" t="n">
        <v>45796.55240740741</v>
      </c>
      <c r="C1866" s="1" t="n">
        <v>46118</v>
      </c>
      <c r="D1866" t="inlineStr">
        <is>
          <t>JÄMTLANDS LÄN</t>
        </is>
      </c>
      <c r="E1866" t="inlineStr">
        <is>
          <t>BRÄCKE</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23303-2025</t>
        </is>
      </c>
      <c r="B1867" s="1" t="n">
        <v>45791</v>
      </c>
      <c r="C1867" s="1" t="n">
        <v>46118</v>
      </c>
      <c r="D1867" t="inlineStr">
        <is>
          <t>JÄMTLANDS LÄN</t>
        </is>
      </c>
      <c r="E1867" t="inlineStr">
        <is>
          <t>BRÄCKE</t>
        </is>
      </c>
      <c r="G1867" t="n">
        <v>22.2</v>
      </c>
      <c r="H1867" t="n">
        <v>0</v>
      </c>
      <c r="I1867" t="n">
        <v>0</v>
      </c>
      <c r="J1867" t="n">
        <v>0</v>
      </c>
      <c r="K1867" t="n">
        <v>0</v>
      </c>
      <c r="L1867" t="n">
        <v>0</v>
      </c>
      <c r="M1867" t="n">
        <v>0</v>
      </c>
      <c r="N1867" t="n">
        <v>0</v>
      </c>
      <c r="O1867" t="n">
        <v>0</v>
      </c>
      <c r="P1867" t="n">
        <v>0</v>
      </c>
      <c r="Q1867" t="n">
        <v>0</v>
      </c>
      <c r="R1867" s="2" t="inlineStr"/>
    </row>
    <row r="1868" ht="15" customHeight="1">
      <c r="A1868" t="inlineStr">
        <is>
          <t>A 15144-2024</t>
        </is>
      </c>
      <c r="B1868" s="1" t="n">
        <v>45399.94340277778</v>
      </c>
      <c r="C1868" s="1" t="n">
        <v>46118</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24427-2025</t>
        </is>
      </c>
      <c r="B1869" s="1" t="n">
        <v>45797.69851851852</v>
      </c>
      <c r="C1869" s="1" t="n">
        <v>46118</v>
      </c>
      <c r="D1869" t="inlineStr">
        <is>
          <t>JÄMTLANDS LÄN</t>
        </is>
      </c>
      <c r="E1869" t="inlineStr">
        <is>
          <t>BRÄCKE</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24647-2025</t>
        </is>
      </c>
      <c r="B1870" s="1" t="n">
        <v>45798.63575231482</v>
      </c>
      <c r="C1870" s="1" t="n">
        <v>46118</v>
      </c>
      <c r="D1870" t="inlineStr">
        <is>
          <t>JÄMTLANDS LÄN</t>
        </is>
      </c>
      <c r="E1870" t="inlineStr">
        <is>
          <t>BRÄCKE</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24550-2025</t>
        </is>
      </c>
      <c r="B1871" s="1" t="n">
        <v>45798.44836805556</v>
      </c>
      <c r="C1871" s="1" t="n">
        <v>46118</v>
      </c>
      <c r="D1871" t="inlineStr">
        <is>
          <t>JÄMTLANDS LÄN</t>
        </is>
      </c>
      <c r="E1871" t="inlineStr">
        <is>
          <t>BRÄCKE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24456-2025</t>
        </is>
      </c>
      <c r="B1872" s="1" t="n">
        <v>45798.34450231482</v>
      </c>
      <c r="C1872" s="1" t="n">
        <v>46118</v>
      </c>
      <c r="D1872" t="inlineStr">
        <is>
          <t>JÄMTLANDS LÄN</t>
        </is>
      </c>
      <c r="E1872" t="inlineStr">
        <is>
          <t>BRÄCKE</t>
        </is>
      </c>
      <c r="F1872" t="inlineStr">
        <is>
          <t>SCA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24502-2025</t>
        </is>
      </c>
      <c r="B1873" s="1" t="n">
        <v>45798.39761574074</v>
      </c>
      <c r="C1873" s="1" t="n">
        <v>46118</v>
      </c>
      <c r="D1873" t="inlineStr">
        <is>
          <t>JÄMTLANDS LÄN</t>
        </is>
      </c>
      <c r="E1873" t="inlineStr">
        <is>
          <t>BRÄCKE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24437-2025</t>
        </is>
      </c>
      <c r="B1874" s="1" t="n">
        <v>45797.79256944444</v>
      </c>
      <c r="C1874" s="1" t="n">
        <v>46118</v>
      </c>
      <c r="D1874" t="inlineStr">
        <is>
          <t>JÄMTLANDS LÄN</t>
        </is>
      </c>
      <c r="E1874" t="inlineStr">
        <is>
          <t>BRÄCKE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24604-2025</t>
        </is>
      </c>
      <c r="B1875" s="1" t="n">
        <v>45798.5734375</v>
      </c>
      <c r="C1875" s="1" t="n">
        <v>46118</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24850-2025</t>
        </is>
      </c>
      <c r="B1876" s="1" t="n">
        <v>45799.46958333333</v>
      </c>
      <c r="C1876" s="1" t="n">
        <v>46118</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24436-2025</t>
        </is>
      </c>
      <c r="B1877" s="1" t="n">
        <v>45797.7922337963</v>
      </c>
      <c r="C1877" s="1" t="n">
        <v>46118</v>
      </c>
      <c r="D1877" t="inlineStr">
        <is>
          <t>JÄMTLANDS LÄN</t>
        </is>
      </c>
      <c r="E1877" t="inlineStr">
        <is>
          <t>BRÄCKE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24433-2025</t>
        </is>
      </c>
      <c r="B1878" s="1" t="n">
        <v>45797.75547453704</v>
      </c>
      <c r="C1878" s="1" t="n">
        <v>46118</v>
      </c>
      <c r="D1878" t="inlineStr">
        <is>
          <t>JÄMTLANDS LÄN</t>
        </is>
      </c>
      <c r="E1878" t="inlineStr">
        <is>
          <t>BRÄCKE</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24636-2025</t>
        </is>
      </c>
      <c r="B1879" s="1" t="n">
        <v>45798.61528935185</v>
      </c>
      <c r="C1879" s="1" t="n">
        <v>46118</v>
      </c>
      <c r="D1879" t="inlineStr">
        <is>
          <t>JÄMTLANDS LÄN</t>
        </is>
      </c>
      <c r="E1879" t="inlineStr">
        <is>
          <t>BRÄCKE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58741-2023</t>
        </is>
      </c>
      <c r="B1880" s="1" t="n">
        <v>45251.92894675926</v>
      </c>
      <c r="C1880" s="1" t="n">
        <v>46118</v>
      </c>
      <c r="D1880" t="inlineStr">
        <is>
          <t>JÄMTLANDS LÄN</t>
        </is>
      </c>
      <c r="E1880" t="inlineStr">
        <is>
          <t>BRÄCKE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24784-2025</t>
        </is>
      </c>
      <c r="B1881" s="1" t="n">
        <v>45799.42741898148</v>
      </c>
      <c r="C1881" s="1" t="n">
        <v>46118</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24454-2025</t>
        </is>
      </c>
      <c r="B1882" s="1" t="n">
        <v>45798.34436342592</v>
      </c>
      <c r="C1882" s="1" t="n">
        <v>46118</v>
      </c>
      <c r="D1882" t="inlineStr">
        <is>
          <t>JÄMTLANDS LÄN</t>
        </is>
      </c>
      <c r="E1882" t="inlineStr">
        <is>
          <t>BRÄCKE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25102-2025</t>
        </is>
      </c>
      <c r="B1883" s="1" t="n">
        <v>45800.34445601852</v>
      </c>
      <c r="C1883" s="1" t="n">
        <v>46118</v>
      </c>
      <c r="D1883" t="inlineStr">
        <is>
          <t>JÄMTLANDS LÄN</t>
        </is>
      </c>
      <c r="E1883" t="inlineStr">
        <is>
          <t>BRÄCKE</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25159-2025</t>
        </is>
      </c>
      <c r="B1884" s="1" t="n">
        <v>45800.42804398148</v>
      </c>
      <c r="C1884" s="1" t="n">
        <v>46118</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25101-2025</t>
        </is>
      </c>
      <c r="B1885" s="1" t="n">
        <v>45800.34444444445</v>
      </c>
      <c r="C1885" s="1" t="n">
        <v>46118</v>
      </c>
      <c r="D1885" t="inlineStr">
        <is>
          <t>JÄMTLANDS LÄN</t>
        </is>
      </c>
      <c r="E1885" t="inlineStr">
        <is>
          <t>BRÄCKE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25821-2025</t>
        </is>
      </c>
      <c r="B1886" s="1" t="n">
        <v>45804.43686342592</v>
      </c>
      <c r="C1886" s="1" t="n">
        <v>46118</v>
      </c>
      <c r="D1886" t="inlineStr">
        <is>
          <t>JÄMTLANDS LÄN</t>
        </is>
      </c>
      <c r="E1886" t="inlineStr">
        <is>
          <t>BRÄCKE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18265-2025</t>
        </is>
      </c>
      <c r="B1887" s="1" t="n">
        <v>45762.36525462963</v>
      </c>
      <c r="C1887" s="1" t="n">
        <v>46118</v>
      </c>
      <c r="D1887" t="inlineStr">
        <is>
          <t>JÄMTLANDS LÄN</t>
        </is>
      </c>
      <c r="E1887" t="inlineStr">
        <is>
          <t>BRÄCKE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26298-2025</t>
        </is>
      </c>
      <c r="B1888" s="1" t="n">
        <v>45805.63619212963</v>
      </c>
      <c r="C1888" s="1" t="n">
        <v>46118</v>
      </c>
      <c r="D1888" t="inlineStr">
        <is>
          <t>JÄMTLANDS LÄN</t>
        </is>
      </c>
      <c r="E1888" t="inlineStr">
        <is>
          <t>BRÄCKE</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25734-2025</t>
        </is>
      </c>
      <c r="B1889" s="1" t="n">
        <v>45803.76541666667</v>
      </c>
      <c r="C1889" s="1" t="n">
        <v>46118</v>
      </c>
      <c r="D1889" t="inlineStr">
        <is>
          <t>JÄMTLANDS LÄN</t>
        </is>
      </c>
      <c r="E1889" t="inlineStr">
        <is>
          <t>BRÄCKE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4132-2025</t>
        </is>
      </c>
      <c r="B1890" s="1" t="n">
        <v>45685.34538194445</v>
      </c>
      <c r="C1890" s="1" t="n">
        <v>46118</v>
      </c>
      <c r="D1890" t="inlineStr">
        <is>
          <t>JÄMTLANDS LÄN</t>
        </is>
      </c>
      <c r="E1890" t="inlineStr">
        <is>
          <t>BRÄCKE</t>
        </is>
      </c>
      <c r="F1890" t="inlineStr">
        <is>
          <t>SCA</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26379-2025</t>
        </is>
      </c>
      <c r="B1891" s="1" t="n">
        <v>45806.48998842593</v>
      </c>
      <c r="C1891" s="1" t="n">
        <v>46118</v>
      </c>
      <c r="D1891" t="inlineStr">
        <is>
          <t>JÄMTLANDS LÄN</t>
        </is>
      </c>
      <c r="E1891" t="inlineStr">
        <is>
          <t>BRÄCKE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26818-2025</t>
        </is>
      </c>
      <c r="B1892" s="1" t="n">
        <v>45810.63622685185</v>
      </c>
      <c r="C1892" s="1" t="n">
        <v>46118</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26736-2025</t>
        </is>
      </c>
      <c r="B1893" s="1" t="n">
        <v>45810.51644675926</v>
      </c>
      <c r="C1893" s="1" t="n">
        <v>46118</v>
      </c>
      <c r="D1893" t="inlineStr">
        <is>
          <t>JÄMTLANDS LÄN</t>
        </is>
      </c>
      <c r="E1893" t="inlineStr">
        <is>
          <t>BRÄCKE</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59245-2024</t>
        </is>
      </c>
      <c r="B1894" s="1" t="n">
        <v>45637.59230324074</v>
      </c>
      <c r="C1894" s="1" t="n">
        <v>46118</v>
      </c>
      <c r="D1894" t="inlineStr">
        <is>
          <t>JÄMTLANDS LÄN</t>
        </is>
      </c>
      <c r="E1894" t="inlineStr">
        <is>
          <t>BRÄCKE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27041-2025</t>
        </is>
      </c>
      <c r="B1895" s="1" t="n">
        <v>45811.60465277778</v>
      </c>
      <c r="C1895" s="1" t="n">
        <v>46118</v>
      </c>
      <c r="D1895" t="inlineStr">
        <is>
          <t>JÄMTLANDS LÄN</t>
        </is>
      </c>
      <c r="E1895" t="inlineStr">
        <is>
          <t>BRÄCKE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14607-2025</t>
        </is>
      </c>
      <c r="B1896" s="1" t="n">
        <v>45742.37540509259</v>
      </c>
      <c r="C1896" s="1" t="n">
        <v>46118</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27511-2025</t>
        </is>
      </c>
      <c r="B1897" s="1" t="n">
        <v>45813.42799768518</v>
      </c>
      <c r="C1897" s="1" t="n">
        <v>46118</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27516-2025</t>
        </is>
      </c>
      <c r="B1898" s="1" t="n">
        <v>45813.43526620371</v>
      </c>
      <c r="C1898" s="1" t="n">
        <v>46118</v>
      </c>
      <c r="D1898" t="inlineStr">
        <is>
          <t>JÄMTLANDS LÄN</t>
        </is>
      </c>
      <c r="E1898" t="inlineStr">
        <is>
          <t>BRÄCKE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27453-2025</t>
        </is>
      </c>
      <c r="B1899" s="1" t="n">
        <v>45813.34454861111</v>
      </c>
      <c r="C1899" s="1" t="n">
        <v>46118</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24489-2025</t>
        </is>
      </c>
      <c r="B1900" s="1" t="n">
        <v>45798.3859375</v>
      </c>
      <c r="C1900" s="1" t="n">
        <v>46118</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52229-2024</t>
        </is>
      </c>
      <c r="B1901" s="1" t="n">
        <v>45608.60803240741</v>
      </c>
      <c r="C1901" s="1" t="n">
        <v>46118</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27546-2025</t>
        </is>
      </c>
      <c r="B1902" s="1" t="n">
        <v>45813.46957175926</v>
      </c>
      <c r="C1902" s="1" t="n">
        <v>46118</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58498-2022</t>
        </is>
      </c>
      <c r="B1903" s="1" t="n">
        <v>44902.37547453704</v>
      </c>
      <c r="C1903" s="1" t="n">
        <v>46118</v>
      </c>
      <c r="D1903" t="inlineStr">
        <is>
          <t>JÄMTLANDS LÄN</t>
        </is>
      </c>
      <c r="E1903" t="inlineStr">
        <is>
          <t>BRÄCKE</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7301-2025</t>
        </is>
      </c>
      <c r="B1904" s="1" t="n">
        <v>45702.65668981482</v>
      </c>
      <c r="C1904" s="1" t="n">
        <v>46118</v>
      </c>
      <c r="D1904" t="inlineStr">
        <is>
          <t>JÄMTLANDS LÄN</t>
        </is>
      </c>
      <c r="E1904" t="inlineStr">
        <is>
          <t>BRÄCKE</t>
        </is>
      </c>
      <c r="F1904" t="inlineStr">
        <is>
          <t>SCA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24492-2025</t>
        </is>
      </c>
      <c r="B1905" s="1" t="n">
        <v>45798.38611111111</v>
      </c>
      <c r="C1905" s="1" t="n">
        <v>46118</v>
      </c>
      <c r="D1905" t="inlineStr">
        <is>
          <t>JÄMTLANDS LÄN</t>
        </is>
      </c>
      <c r="E1905" t="inlineStr">
        <is>
          <t>BRÄCKE</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28173-2025</t>
        </is>
      </c>
      <c r="B1906" s="1" t="n">
        <v>45818.38231481481</v>
      </c>
      <c r="C1906" s="1" t="n">
        <v>46118</v>
      </c>
      <c r="D1906" t="inlineStr">
        <is>
          <t>JÄMTLANDS LÄN</t>
        </is>
      </c>
      <c r="E1906" t="inlineStr">
        <is>
          <t>BRÄCKE</t>
        </is>
      </c>
      <c r="F1906" t="inlineStr">
        <is>
          <t>Övriga Aktiebolag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28198-2025</t>
        </is>
      </c>
      <c r="B1907" s="1" t="n">
        <v>45818.43175925926</v>
      </c>
      <c r="C1907" s="1" t="n">
        <v>46118</v>
      </c>
      <c r="D1907" t="inlineStr">
        <is>
          <t>JÄMTLANDS LÄN</t>
        </is>
      </c>
      <c r="E1907" t="inlineStr">
        <is>
          <t>BRÄCKE</t>
        </is>
      </c>
      <c r="F1907" t="inlineStr">
        <is>
          <t>Övriga Aktiebolag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28675-2025</t>
        </is>
      </c>
      <c r="B1908" s="1" t="n">
        <v>45819.67756944444</v>
      </c>
      <c r="C1908" s="1" t="n">
        <v>46118</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28323-2025</t>
        </is>
      </c>
      <c r="B1909" s="1" t="n">
        <v>45818.64758101852</v>
      </c>
      <c r="C1909" s="1" t="n">
        <v>46118</v>
      </c>
      <c r="D1909" t="inlineStr">
        <is>
          <t>JÄMTLANDS LÄN</t>
        </is>
      </c>
      <c r="E1909" t="inlineStr">
        <is>
          <t>BRÄCKE</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10369-2025</t>
        </is>
      </c>
      <c r="B1910" s="1" t="n">
        <v>45720.55243055556</v>
      </c>
      <c r="C1910" s="1" t="n">
        <v>46118</v>
      </c>
      <c r="D1910" t="inlineStr">
        <is>
          <t>JÄMTLANDS LÄN</t>
        </is>
      </c>
      <c r="E1910" t="inlineStr">
        <is>
          <t>BRÄCKE</t>
        </is>
      </c>
      <c r="F1910" t="inlineStr">
        <is>
          <t>SCA</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28636-2025</t>
        </is>
      </c>
      <c r="B1911" s="1" t="n">
        <v>45819.63576388889</v>
      </c>
      <c r="C1911" s="1" t="n">
        <v>46118</v>
      </c>
      <c r="D1911" t="inlineStr">
        <is>
          <t>JÄMTLANDS LÄN</t>
        </is>
      </c>
      <c r="E1911" t="inlineStr">
        <is>
          <t>BRÄCKE</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28656-2025</t>
        </is>
      </c>
      <c r="B1912" s="1" t="n">
        <v>45819.65671296296</v>
      </c>
      <c r="C1912" s="1" t="n">
        <v>46118</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28210-2025</t>
        </is>
      </c>
      <c r="B1913" s="1" t="n">
        <v>45818.45143518518</v>
      </c>
      <c r="C1913" s="1" t="n">
        <v>46118</v>
      </c>
      <c r="D1913" t="inlineStr">
        <is>
          <t>JÄMTLANDS LÄN</t>
        </is>
      </c>
      <c r="E1913" t="inlineStr">
        <is>
          <t>BRÄCKE</t>
        </is>
      </c>
      <c r="F1913" t="inlineStr">
        <is>
          <t>Övriga Aktiebolag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24490-2025</t>
        </is>
      </c>
      <c r="B1914" s="1" t="n">
        <v>45798.38594907407</v>
      </c>
      <c r="C1914" s="1" t="n">
        <v>46118</v>
      </c>
      <c r="D1914" t="inlineStr">
        <is>
          <t>JÄMTLANDS LÄN</t>
        </is>
      </c>
      <c r="E1914" t="inlineStr">
        <is>
          <t>BRÄCKE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29091-2025</t>
        </is>
      </c>
      <c r="B1915" s="1" t="n">
        <v>45821.55241898148</v>
      </c>
      <c r="C1915" s="1" t="n">
        <v>46118</v>
      </c>
      <c r="D1915" t="inlineStr">
        <is>
          <t>JÄMTLANDS LÄN</t>
        </is>
      </c>
      <c r="E1915" t="inlineStr">
        <is>
          <t>BRÄCKE</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29038-2025</t>
        </is>
      </c>
      <c r="B1916" s="1" t="n">
        <v>45821.44832175926</v>
      </c>
      <c r="C1916" s="1" t="n">
        <v>46118</v>
      </c>
      <c r="D1916" t="inlineStr">
        <is>
          <t>JÄMTLANDS LÄN</t>
        </is>
      </c>
      <c r="E1916" t="inlineStr">
        <is>
          <t>BRÄCKE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28928-2025</t>
        </is>
      </c>
      <c r="B1917" s="1" t="n">
        <v>45820.67738425926</v>
      </c>
      <c r="C1917" s="1" t="n">
        <v>46118</v>
      </c>
      <c r="D1917" t="inlineStr">
        <is>
          <t>JÄMTLANDS LÄN</t>
        </is>
      </c>
      <c r="E1917" t="inlineStr">
        <is>
          <t>BRÄCKE</t>
        </is>
      </c>
      <c r="F1917" t="inlineStr">
        <is>
          <t>SCA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28972-2025</t>
        </is>
      </c>
      <c r="B1918" s="1" t="n">
        <v>45821.34505787037</v>
      </c>
      <c r="C1918" s="1" t="n">
        <v>46118</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28937-2025</t>
        </is>
      </c>
      <c r="B1919" s="1" t="n">
        <v>45820.69825231482</v>
      </c>
      <c r="C1919" s="1" t="n">
        <v>46118</v>
      </c>
      <c r="D1919" t="inlineStr">
        <is>
          <t>JÄMTLANDS LÄN</t>
        </is>
      </c>
      <c r="E1919" t="inlineStr">
        <is>
          <t>BRÄCKE</t>
        </is>
      </c>
      <c r="F1919" t="inlineStr">
        <is>
          <t>SCA</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29124-2025</t>
        </is>
      </c>
      <c r="B1920" s="1" t="n">
        <v>45821.59456018519</v>
      </c>
      <c r="C1920" s="1" t="n">
        <v>46118</v>
      </c>
      <c r="D1920" t="inlineStr">
        <is>
          <t>JÄMTLANDS LÄN</t>
        </is>
      </c>
      <c r="E1920" t="inlineStr">
        <is>
          <t>BRÄCKE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29534-2025</t>
        </is>
      </c>
      <c r="B1921" s="1" t="n">
        <v>45825.34476851852</v>
      </c>
      <c r="C1921" s="1" t="n">
        <v>46118</v>
      </c>
      <c r="D1921" t="inlineStr">
        <is>
          <t>JÄMTLANDS LÄN</t>
        </is>
      </c>
      <c r="E1921" t="inlineStr">
        <is>
          <t>BRÄCKE</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29021-2025</t>
        </is>
      </c>
      <c r="B1922" s="1" t="n">
        <v>45821.42736111111</v>
      </c>
      <c r="C1922" s="1" t="n">
        <v>46118</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29763-2025</t>
        </is>
      </c>
      <c r="B1923" s="1" t="n">
        <v>45825.61837962963</v>
      </c>
      <c r="C1923" s="1" t="n">
        <v>46118</v>
      </c>
      <c r="D1923" t="inlineStr">
        <is>
          <t>JÄMTLANDS LÄN</t>
        </is>
      </c>
      <c r="E1923" t="inlineStr">
        <is>
          <t>BRÄCKE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29431-2025</t>
        </is>
      </c>
      <c r="B1924" s="1" t="n">
        <v>45824.65053240741</v>
      </c>
      <c r="C1924" s="1" t="n">
        <v>46118</v>
      </c>
      <c r="D1924" t="inlineStr">
        <is>
          <t>JÄMTLANDS LÄN</t>
        </is>
      </c>
      <c r="E1924" t="inlineStr">
        <is>
          <t>BRÄCKE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30393-2025</t>
        </is>
      </c>
      <c r="B1925" s="1" t="n">
        <v>45827.57416666667</v>
      </c>
      <c r="C1925" s="1" t="n">
        <v>46118</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30424-2025</t>
        </is>
      </c>
      <c r="B1926" s="1" t="n">
        <v>45827.61495370371</v>
      </c>
      <c r="C1926" s="1" t="n">
        <v>46118</v>
      </c>
      <c r="D1926" t="inlineStr">
        <is>
          <t>JÄMTLANDS LÄN</t>
        </is>
      </c>
      <c r="E1926" t="inlineStr">
        <is>
          <t>BRÄCKE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29909-2025</t>
        </is>
      </c>
      <c r="B1927" s="1" t="n">
        <v>45826.40671296296</v>
      </c>
      <c r="C1927" s="1" t="n">
        <v>46118</v>
      </c>
      <c r="D1927" t="inlineStr">
        <is>
          <t>JÄMTLANDS LÄN</t>
        </is>
      </c>
      <c r="E1927" t="inlineStr">
        <is>
          <t>BRÄCKE</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30317-2025</t>
        </is>
      </c>
      <c r="B1928" s="1" t="n">
        <v>45827.49087962963</v>
      </c>
      <c r="C1928" s="1" t="n">
        <v>46118</v>
      </c>
      <c r="D1928" t="inlineStr">
        <is>
          <t>JÄMTLANDS LÄN</t>
        </is>
      </c>
      <c r="E1928" t="inlineStr">
        <is>
          <t>BRÄCKE</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30391-2025</t>
        </is>
      </c>
      <c r="B1929" s="1" t="n">
        <v>45827.57387731481</v>
      </c>
      <c r="C1929" s="1" t="n">
        <v>46118</v>
      </c>
      <c r="D1929" t="inlineStr">
        <is>
          <t>JÄMTLANDS LÄN</t>
        </is>
      </c>
      <c r="E1929" t="inlineStr">
        <is>
          <t>BRÄCKE</t>
        </is>
      </c>
      <c r="F1929" t="inlineStr">
        <is>
          <t>SCA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30425-2025</t>
        </is>
      </c>
      <c r="B1930" s="1" t="n">
        <v>45827.61511574074</v>
      </c>
      <c r="C1930" s="1" t="n">
        <v>46118</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29996-2025</t>
        </is>
      </c>
      <c r="B1931" s="1" t="n">
        <v>45826.51090277778</v>
      </c>
      <c r="C1931" s="1" t="n">
        <v>46118</v>
      </c>
      <c r="D1931" t="inlineStr">
        <is>
          <t>JÄMTLANDS LÄN</t>
        </is>
      </c>
      <c r="E1931" t="inlineStr">
        <is>
          <t>BRÄCKE</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30016-2025</t>
        </is>
      </c>
      <c r="B1932" s="1" t="n">
        <v>45826.55288194444</v>
      </c>
      <c r="C1932" s="1" t="n">
        <v>46118</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30310-2025</t>
        </is>
      </c>
      <c r="B1933" s="1" t="n">
        <v>45827.48996527777</v>
      </c>
      <c r="C1933" s="1" t="n">
        <v>46118</v>
      </c>
      <c r="D1933" t="inlineStr">
        <is>
          <t>JÄMTLANDS LÄN</t>
        </is>
      </c>
      <c r="E1933" t="inlineStr">
        <is>
          <t>BRÄCKE</t>
        </is>
      </c>
      <c r="F1933" t="inlineStr">
        <is>
          <t>SCA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30392-2025</t>
        </is>
      </c>
      <c r="B1934" s="1" t="n">
        <v>45827.5740162037</v>
      </c>
      <c r="C1934" s="1" t="n">
        <v>46118</v>
      </c>
      <c r="D1934" t="inlineStr">
        <is>
          <t>JÄMTLANDS LÄN</t>
        </is>
      </c>
      <c r="E1934" t="inlineStr">
        <is>
          <t>BRÄCKE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30014-2025</t>
        </is>
      </c>
      <c r="B1935" s="1" t="n">
        <v>45826.55246527777</v>
      </c>
      <c r="C1935" s="1" t="n">
        <v>46118</v>
      </c>
      <c r="D1935" t="inlineStr">
        <is>
          <t>JÄMTLANDS LÄN</t>
        </is>
      </c>
      <c r="E1935" t="inlineStr">
        <is>
          <t>BRÄCKE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30313-2025</t>
        </is>
      </c>
      <c r="B1936" s="1" t="n">
        <v>45827.49033564814</v>
      </c>
      <c r="C1936" s="1" t="n">
        <v>46118</v>
      </c>
      <c r="D1936" t="inlineStr">
        <is>
          <t>JÄMTLANDS LÄN</t>
        </is>
      </c>
      <c r="E1936" t="inlineStr">
        <is>
          <t>BRÄCKE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30714-2025</t>
        </is>
      </c>
      <c r="B1937" s="1" t="n">
        <v>45831.55284722222</v>
      </c>
      <c r="C1937" s="1" t="n">
        <v>46118</v>
      </c>
      <c r="D1937" t="inlineStr">
        <is>
          <t>JÄMTLANDS LÄN</t>
        </is>
      </c>
      <c r="E1937" t="inlineStr">
        <is>
          <t>BRÄCKE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30732-2025</t>
        </is>
      </c>
      <c r="B1938" s="1" t="n">
        <v>45831.57324074074</v>
      </c>
      <c r="C1938" s="1" t="n">
        <v>46118</v>
      </c>
      <c r="D1938" t="inlineStr">
        <is>
          <t>JÄMTLANDS LÄN</t>
        </is>
      </c>
      <c r="E1938" t="inlineStr">
        <is>
          <t>BRÄCKE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30619-2025</t>
        </is>
      </c>
      <c r="B1939" s="1" t="n">
        <v>45831.46922453704</v>
      </c>
      <c r="C1939" s="1" t="n">
        <v>46118</v>
      </c>
      <c r="D1939" t="inlineStr">
        <is>
          <t>JÄMTLANDS LÄN</t>
        </is>
      </c>
      <c r="E1939" t="inlineStr">
        <is>
          <t>BRÄCKE</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31425-2025</t>
        </is>
      </c>
      <c r="B1940" s="1" t="n">
        <v>45833.49023148148</v>
      </c>
      <c r="C1940" s="1" t="n">
        <v>46118</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31274-2025</t>
        </is>
      </c>
      <c r="B1941" s="1" t="n">
        <v>45833.34435185185</v>
      </c>
      <c r="C1941" s="1" t="n">
        <v>46118</v>
      </c>
      <c r="D1941" t="inlineStr">
        <is>
          <t>JÄMTLANDS LÄN</t>
        </is>
      </c>
      <c r="E1941" t="inlineStr">
        <is>
          <t>BRÄCKE</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31138-2025</t>
        </is>
      </c>
      <c r="B1942" s="1" t="n">
        <v>45832.63618055556</v>
      </c>
      <c r="C1942" s="1" t="n">
        <v>46118</v>
      </c>
      <c r="D1942" t="inlineStr">
        <is>
          <t>JÄMTLANDS LÄN</t>
        </is>
      </c>
      <c r="E1942" t="inlineStr">
        <is>
          <t>BRÄCKE</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31059-2025</t>
        </is>
      </c>
      <c r="B1943" s="1" t="n">
        <v>45832.5734837963</v>
      </c>
      <c r="C1943" s="1" t="n">
        <v>46118</v>
      </c>
      <c r="D1943" t="inlineStr">
        <is>
          <t>JÄMTLANDS LÄN</t>
        </is>
      </c>
      <c r="E1943" t="inlineStr">
        <is>
          <t>BRÄCKE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31379-2025</t>
        </is>
      </c>
      <c r="B1944" s="1" t="n">
        <v>45833.44856481482</v>
      </c>
      <c r="C1944" s="1" t="n">
        <v>46118</v>
      </c>
      <c r="D1944" t="inlineStr">
        <is>
          <t>JÄMTLANDS LÄN</t>
        </is>
      </c>
      <c r="E1944" t="inlineStr">
        <is>
          <t>BRÄCKE</t>
        </is>
      </c>
      <c r="F1944" t="inlineStr">
        <is>
          <t>SCA</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31482-2025</t>
        </is>
      </c>
      <c r="B1945" s="1" t="n">
        <v>45833.57390046296</v>
      </c>
      <c r="C1945" s="1" t="n">
        <v>46118</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31794-2025</t>
        </is>
      </c>
      <c r="B1946" s="1" t="n">
        <v>45834.54390046297</v>
      </c>
      <c r="C1946" s="1" t="n">
        <v>46118</v>
      </c>
      <c r="D1946" t="inlineStr">
        <is>
          <t>JÄMTLANDS LÄN</t>
        </is>
      </c>
      <c r="E1946" t="inlineStr">
        <is>
          <t>BRÄCKE</t>
        </is>
      </c>
      <c r="F1946" t="inlineStr">
        <is>
          <t>Övriga Aktiebolag</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31819-2025</t>
        </is>
      </c>
      <c r="B1947" s="1" t="n">
        <v>45834.57891203704</v>
      </c>
      <c r="C1947" s="1" t="n">
        <v>46118</v>
      </c>
      <c r="D1947" t="inlineStr">
        <is>
          <t>JÄMTLANDS LÄN</t>
        </is>
      </c>
      <c r="E1947" t="inlineStr">
        <is>
          <t>BRÄCKE</t>
        </is>
      </c>
      <c r="F1947" t="inlineStr">
        <is>
          <t>Övriga Aktiebolag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31832-2025</t>
        </is>
      </c>
      <c r="B1948" s="1" t="n">
        <v>45834.59207175926</v>
      </c>
      <c r="C1948" s="1" t="n">
        <v>46118</v>
      </c>
      <c r="D1948" t="inlineStr">
        <is>
          <t>JÄMTLANDS LÄN</t>
        </is>
      </c>
      <c r="E1948" t="inlineStr">
        <is>
          <t>BRÄCKE</t>
        </is>
      </c>
      <c r="F1948" t="inlineStr">
        <is>
          <t>Övriga Aktiebolag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32281-2025</t>
        </is>
      </c>
      <c r="B1949" s="1" t="n">
        <v>45835.67778935185</v>
      </c>
      <c r="C1949" s="1" t="n">
        <v>46118</v>
      </c>
      <c r="D1949" t="inlineStr">
        <is>
          <t>JÄMTLANDS LÄN</t>
        </is>
      </c>
      <c r="E1949" t="inlineStr">
        <is>
          <t>BRÄCKE</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31668-2025</t>
        </is>
      </c>
      <c r="B1950" s="1" t="n">
        <v>45834.36533564814</v>
      </c>
      <c r="C1950" s="1" t="n">
        <v>46118</v>
      </c>
      <c r="D1950" t="inlineStr">
        <is>
          <t>JÄMTLANDS LÄN</t>
        </is>
      </c>
      <c r="E1950" t="inlineStr">
        <is>
          <t>BRÄCKE</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32149-2025</t>
        </is>
      </c>
      <c r="B1951" s="1" t="n">
        <v>45835.53086805555</v>
      </c>
      <c r="C1951" s="1" t="n">
        <v>46118</v>
      </c>
      <c r="D1951" t="inlineStr">
        <is>
          <t>JÄMTLANDS LÄN</t>
        </is>
      </c>
      <c r="E1951" t="inlineStr">
        <is>
          <t>BRÄCKE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50514-2023</t>
        </is>
      </c>
      <c r="B1952" s="1" t="n">
        <v>45216</v>
      </c>
      <c r="C1952" s="1" t="n">
        <v>46118</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32146-2025</t>
        </is>
      </c>
      <c r="B1953" s="1" t="n">
        <v>45835.52730324074</v>
      </c>
      <c r="C1953" s="1" t="n">
        <v>46118</v>
      </c>
      <c r="D1953" t="inlineStr">
        <is>
          <t>JÄMTLANDS LÄN</t>
        </is>
      </c>
      <c r="E1953" t="inlineStr">
        <is>
          <t>BRÄCKE</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31806-2025</t>
        </is>
      </c>
      <c r="B1954" s="1" t="n">
        <v>45834.55449074074</v>
      </c>
      <c r="C1954" s="1" t="n">
        <v>46118</v>
      </c>
      <c r="D1954" t="inlineStr">
        <is>
          <t>JÄMTLANDS LÄN</t>
        </is>
      </c>
      <c r="E1954" t="inlineStr">
        <is>
          <t>BRÄCKE</t>
        </is>
      </c>
      <c r="F1954" t="inlineStr">
        <is>
          <t>Övriga Aktiebolag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50515-2023</t>
        </is>
      </c>
      <c r="B1955" s="1" t="n">
        <v>45216</v>
      </c>
      <c r="C1955" s="1" t="n">
        <v>46118</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31728-2025</t>
        </is>
      </c>
      <c r="B1956" s="1" t="n">
        <v>45834.46925925926</v>
      </c>
      <c r="C1956" s="1" t="n">
        <v>46118</v>
      </c>
      <c r="D1956" t="inlineStr">
        <is>
          <t>JÄMTLANDS LÄN</t>
        </is>
      </c>
      <c r="E1956" t="inlineStr">
        <is>
          <t>BRÄCKE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31962-2025</t>
        </is>
      </c>
      <c r="B1957" s="1" t="n">
        <v>45835.34466435185</v>
      </c>
      <c r="C1957" s="1" t="n">
        <v>46118</v>
      </c>
      <c r="D1957" t="inlineStr">
        <is>
          <t>JÄMTLANDS LÄN</t>
        </is>
      </c>
      <c r="E1957" t="inlineStr">
        <is>
          <t>BRÄCKE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31749-2025</t>
        </is>
      </c>
      <c r="B1958" s="1" t="n">
        <v>45834.48164351852</v>
      </c>
      <c r="C1958" s="1" t="n">
        <v>46118</v>
      </c>
      <c r="D1958" t="inlineStr">
        <is>
          <t>JÄMTLANDS LÄN</t>
        </is>
      </c>
      <c r="E1958" t="inlineStr">
        <is>
          <t>BRÄCKE</t>
        </is>
      </c>
      <c r="F1958" t="inlineStr">
        <is>
          <t>Övriga Aktiebolag</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32272-2025</t>
        </is>
      </c>
      <c r="B1959" s="1" t="n">
        <v>45835.6568287037</v>
      </c>
      <c r="C1959" s="1" t="n">
        <v>46118</v>
      </c>
      <c r="D1959" t="inlineStr">
        <is>
          <t>JÄMTLANDS LÄN</t>
        </is>
      </c>
      <c r="E1959" t="inlineStr">
        <is>
          <t>BRÄCKE</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31696-2025</t>
        </is>
      </c>
      <c r="B1960" s="1" t="n">
        <v>45834.40726851852</v>
      </c>
      <c r="C1960" s="1" t="n">
        <v>46118</v>
      </c>
      <c r="D1960" t="inlineStr">
        <is>
          <t>JÄMTLANDS LÄN</t>
        </is>
      </c>
      <c r="E1960" t="inlineStr">
        <is>
          <t>BRÄCKE</t>
        </is>
      </c>
      <c r="F1960" t="inlineStr">
        <is>
          <t>SCA</t>
        </is>
      </c>
      <c r="G1960" t="n">
        <v>15.8</v>
      </c>
      <c r="H1960" t="n">
        <v>0</v>
      </c>
      <c r="I1960" t="n">
        <v>0</v>
      </c>
      <c r="J1960" t="n">
        <v>0</v>
      </c>
      <c r="K1960" t="n">
        <v>0</v>
      </c>
      <c r="L1960" t="n">
        <v>0</v>
      </c>
      <c r="M1960" t="n">
        <v>0</v>
      </c>
      <c r="N1960" t="n">
        <v>0</v>
      </c>
      <c r="O1960" t="n">
        <v>0</v>
      </c>
      <c r="P1960" t="n">
        <v>0</v>
      </c>
      <c r="Q1960" t="n">
        <v>0</v>
      </c>
      <c r="R1960" s="2" t="inlineStr"/>
    </row>
    <row r="1961" ht="15" customHeight="1">
      <c r="A1961" t="inlineStr">
        <is>
          <t>A 32697-2025</t>
        </is>
      </c>
      <c r="B1961" s="1" t="n">
        <v>45839.34427083333</v>
      </c>
      <c r="C1961" s="1" t="n">
        <v>46118</v>
      </c>
      <c r="D1961" t="inlineStr">
        <is>
          <t>JÄMTLANDS LÄN</t>
        </is>
      </c>
      <c r="E1961" t="inlineStr">
        <is>
          <t>BRÄCKE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32851-2025</t>
        </is>
      </c>
      <c r="B1962" s="1" t="n">
        <v>45839.57388888889</v>
      </c>
      <c r="C1962" s="1" t="n">
        <v>46118</v>
      </c>
      <c r="D1962" t="inlineStr">
        <is>
          <t>JÄMTLANDS LÄN</t>
        </is>
      </c>
      <c r="E1962" t="inlineStr">
        <is>
          <t>BRÄCKE</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32443-2025</t>
        </is>
      </c>
      <c r="B1963" s="1" t="n">
        <v>45838.38613425926</v>
      </c>
      <c r="C1963" s="1" t="n">
        <v>46118</v>
      </c>
      <c r="D1963" t="inlineStr">
        <is>
          <t>JÄMTLANDS LÄN</t>
        </is>
      </c>
      <c r="E1963" t="inlineStr">
        <is>
          <t>BRÄCKE</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32659-2025</t>
        </is>
      </c>
      <c r="B1964" s="1" t="n">
        <v>45838.67873842592</v>
      </c>
      <c r="C1964" s="1" t="n">
        <v>46118</v>
      </c>
      <c r="D1964" t="inlineStr">
        <is>
          <t>JÄMTLANDS LÄN</t>
        </is>
      </c>
      <c r="E1964" t="inlineStr">
        <is>
          <t>BRÄCKE</t>
        </is>
      </c>
      <c r="F1964" t="inlineStr">
        <is>
          <t>SCA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32913-2025</t>
        </is>
      </c>
      <c r="B1965" s="1" t="n">
        <v>45839.63605324074</v>
      </c>
      <c r="C1965" s="1" t="n">
        <v>46118</v>
      </c>
      <c r="D1965" t="inlineStr">
        <is>
          <t>JÄMTLANDS LÄN</t>
        </is>
      </c>
      <c r="E1965" t="inlineStr">
        <is>
          <t>BRÄCKE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32596-2025</t>
        </is>
      </c>
      <c r="B1966" s="1" t="n">
        <v>45838.61584490741</v>
      </c>
      <c r="C1966" s="1" t="n">
        <v>46118</v>
      </c>
      <c r="D1966" t="inlineStr">
        <is>
          <t>JÄMTLANDS LÄN</t>
        </is>
      </c>
      <c r="E1966" t="inlineStr">
        <is>
          <t>BRÄCKE</t>
        </is>
      </c>
      <c r="F1966" t="inlineStr">
        <is>
          <t>SCA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33133-2025</t>
        </is>
      </c>
      <c r="B1967" s="1" t="n">
        <v>45840.5050462963</v>
      </c>
      <c r="C1967" s="1" t="n">
        <v>46118</v>
      </c>
      <c r="D1967" t="inlineStr">
        <is>
          <t>JÄMTLANDS LÄN</t>
        </is>
      </c>
      <c r="E1967" t="inlineStr">
        <is>
          <t>BRÄCKE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33275-2025</t>
        </is>
      </c>
      <c r="B1968" s="1" t="n">
        <v>45840.69829861111</v>
      </c>
      <c r="C1968" s="1" t="n">
        <v>46118</v>
      </c>
      <c r="D1968" t="inlineStr">
        <is>
          <t>JÄMTLANDS LÄN</t>
        </is>
      </c>
      <c r="E1968" t="inlineStr">
        <is>
          <t>BRÄCKE</t>
        </is>
      </c>
      <c r="F1968" t="inlineStr">
        <is>
          <t>SCA</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33648-2025</t>
        </is>
      </c>
      <c r="B1969" s="1" t="n">
        <v>45841.65681712963</v>
      </c>
      <c r="C1969" s="1" t="n">
        <v>46118</v>
      </c>
      <c r="D1969" t="inlineStr">
        <is>
          <t>JÄMTLANDS LÄN</t>
        </is>
      </c>
      <c r="E1969" t="inlineStr">
        <is>
          <t>BRÄCKE</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33854-2025</t>
        </is>
      </c>
      <c r="B1970" s="1" t="n">
        <v>45842.51112268519</v>
      </c>
      <c r="C1970" s="1" t="n">
        <v>46118</v>
      </c>
      <c r="D1970" t="inlineStr">
        <is>
          <t>JÄMTLANDS LÄN</t>
        </is>
      </c>
      <c r="E1970" t="inlineStr">
        <is>
          <t>BRÄCKE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33868-2025</t>
        </is>
      </c>
      <c r="B1971" s="1" t="n">
        <v>45842.53967592592</v>
      </c>
      <c r="C1971" s="1" t="n">
        <v>46118</v>
      </c>
      <c r="D1971" t="inlineStr">
        <is>
          <t>JÄMTLANDS LÄN</t>
        </is>
      </c>
      <c r="E1971" t="inlineStr">
        <is>
          <t>BRÄCKE</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33900-2025</t>
        </is>
      </c>
      <c r="B1972" s="1" t="n">
        <v>45842.59454861111</v>
      </c>
      <c r="C1972" s="1" t="n">
        <v>46118</v>
      </c>
      <c r="D1972" t="inlineStr">
        <is>
          <t>JÄMTLANDS LÄN</t>
        </is>
      </c>
      <c r="E1972" t="inlineStr">
        <is>
          <t>BRÄCKE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34189-2025</t>
        </is>
      </c>
      <c r="B1973" s="1" t="n">
        <v>45845.61555555555</v>
      </c>
      <c r="C1973" s="1" t="n">
        <v>46118</v>
      </c>
      <c r="D1973" t="inlineStr">
        <is>
          <t>JÄMTLANDS LÄN</t>
        </is>
      </c>
      <c r="E1973" t="inlineStr">
        <is>
          <t>BRÄCKE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33937-2025</t>
        </is>
      </c>
      <c r="B1974" s="1" t="n">
        <v>45842.63650462963</v>
      </c>
      <c r="C1974" s="1" t="n">
        <v>46118</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8780-2025</t>
        </is>
      </c>
      <c r="B1975" s="1" t="n">
        <v>45712.615625</v>
      </c>
      <c r="C1975" s="1" t="n">
        <v>46118</v>
      </c>
      <c r="D1975" t="inlineStr">
        <is>
          <t>JÄMTLANDS LÄN</t>
        </is>
      </c>
      <c r="E1975" t="inlineStr">
        <is>
          <t>BRÄCKE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33776-2025</t>
        </is>
      </c>
      <c r="B1976" s="1" t="n">
        <v>45842.39412037037</v>
      </c>
      <c r="C1976" s="1" t="n">
        <v>46118</v>
      </c>
      <c r="D1976" t="inlineStr">
        <is>
          <t>JÄMTLANDS LÄN</t>
        </is>
      </c>
      <c r="E1976" t="inlineStr">
        <is>
          <t>BRÄCKE</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33956-2025</t>
        </is>
      </c>
      <c r="B1977" s="1" t="n">
        <v>45842.67746527777</v>
      </c>
      <c r="C1977" s="1" t="n">
        <v>46118</v>
      </c>
      <c r="D1977" t="inlineStr">
        <is>
          <t>JÄMTLANDS LÄN</t>
        </is>
      </c>
      <c r="E1977" t="inlineStr">
        <is>
          <t>BRÄCKE</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34087-2025</t>
        </is>
      </c>
      <c r="B1978" s="1" t="n">
        <v>45845.46913194445</v>
      </c>
      <c r="C1978" s="1" t="n">
        <v>46118</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33873-2025</t>
        </is>
      </c>
      <c r="B1979" s="1" t="n">
        <v>45842.54912037037</v>
      </c>
      <c r="C1979" s="1" t="n">
        <v>46118</v>
      </c>
      <c r="D1979" t="inlineStr">
        <is>
          <t>JÄMTLANDS LÄN</t>
        </is>
      </c>
      <c r="E1979" t="inlineStr">
        <is>
          <t>BRÄCKE</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33902-2025</t>
        </is>
      </c>
      <c r="B1980" s="1" t="n">
        <v>45842.59513888889</v>
      </c>
      <c r="C1980" s="1" t="n">
        <v>46118</v>
      </c>
      <c r="D1980" t="inlineStr">
        <is>
          <t>JÄMTLANDS LÄN</t>
        </is>
      </c>
      <c r="E1980" t="inlineStr">
        <is>
          <t>BRÄCKE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33796-2025</t>
        </is>
      </c>
      <c r="B1981" s="1" t="n">
        <v>45842.43670138889</v>
      </c>
      <c r="C1981" s="1" t="n">
        <v>46118</v>
      </c>
      <c r="D1981" t="inlineStr">
        <is>
          <t>JÄMTLANDS LÄN</t>
        </is>
      </c>
      <c r="E1981" t="inlineStr">
        <is>
          <t>BRÄCKE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34155-2025</t>
        </is>
      </c>
      <c r="B1982" s="1" t="n">
        <v>45845.57334490741</v>
      </c>
      <c r="C1982" s="1" t="n">
        <v>46118</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34460-2025</t>
        </is>
      </c>
      <c r="B1983" s="1" t="n">
        <v>45847.34458333333</v>
      </c>
      <c r="C1983" s="1" t="n">
        <v>46118</v>
      </c>
      <c r="D1983" t="inlineStr">
        <is>
          <t>JÄMTLANDS LÄN</t>
        </is>
      </c>
      <c r="E1983" t="inlineStr">
        <is>
          <t>BRÄCKE</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34338-2025</t>
        </is>
      </c>
      <c r="B1984" s="1" t="n">
        <v>45846.45711805556</v>
      </c>
      <c r="C1984" s="1" t="n">
        <v>46118</v>
      </c>
      <c r="D1984" t="inlineStr">
        <is>
          <t>JÄMTLANDS LÄN</t>
        </is>
      </c>
      <c r="E1984" t="inlineStr">
        <is>
          <t>BRÄCKE</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34294-2025</t>
        </is>
      </c>
      <c r="B1985" s="1" t="n">
        <v>45846.34422453704</v>
      </c>
      <c r="C1985" s="1" t="n">
        <v>46118</v>
      </c>
      <c r="D1985" t="inlineStr">
        <is>
          <t>JÄMTLANDS LÄN</t>
        </is>
      </c>
      <c r="E1985" t="inlineStr">
        <is>
          <t>BRÄCKE</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34469-2025</t>
        </is>
      </c>
      <c r="B1986" s="1" t="n">
        <v>45847.34608796296</v>
      </c>
      <c r="C1986" s="1" t="n">
        <v>46118</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34322-2025</t>
        </is>
      </c>
      <c r="B1987" s="1" t="n">
        <v>45846.42747685185</v>
      </c>
      <c r="C1987" s="1" t="n">
        <v>46118</v>
      </c>
      <c r="D1987" t="inlineStr">
        <is>
          <t>JÄMTLANDS LÄN</t>
        </is>
      </c>
      <c r="E1987" t="inlineStr">
        <is>
          <t>BRÄCKE</t>
        </is>
      </c>
      <c r="F1987" t="inlineStr">
        <is>
          <t>SCA</t>
        </is>
      </c>
      <c r="G1987" t="n">
        <v>32.6</v>
      </c>
      <c r="H1987" t="n">
        <v>0</v>
      </c>
      <c r="I1987" t="n">
        <v>0</v>
      </c>
      <c r="J1987" t="n">
        <v>0</v>
      </c>
      <c r="K1987" t="n">
        <v>0</v>
      </c>
      <c r="L1987" t="n">
        <v>0</v>
      </c>
      <c r="M1987" t="n">
        <v>0</v>
      </c>
      <c r="N1987" t="n">
        <v>0</v>
      </c>
      <c r="O1987" t="n">
        <v>0</v>
      </c>
      <c r="P1987" t="n">
        <v>0</v>
      </c>
      <c r="Q1987" t="n">
        <v>0</v>
      </c>
      <c r="R1987" s="2" t="inlineStr"/>
    </row>
    <row r="1988" ht="15" customHeight="1">
      <c r="A1988" t="inlineStr">
        <is>
          <t>A 34613-2025</t>
        </is>
      </c>
      <c r="B1988" s="1" t="n">
        <v>45847.67751157407</v>
      </c>
      <c r="C1988" s="1" t="n">
        <v>46118</v>
      </c>
      <c r="D1988" t="inlineStr">
        <is>
          <t>JÄMTLANDS LÄN</t>
        </is>
      </c>
      <c r="E1988" t="inlineStr">
        <is>
          <t>BRÄCKE</t>
        </is>
      </c>
      <c r="F1988" t="inlineStr">
        <is>
          <t>SCA</t>
        </is>
      </c>
      <c r="G1988" t="n">
        <v>3.9</v>
      </c>
      <c r="H1988" t="n">
        <v>0</v>
      </c>
      <c r="I1988" t="n">
        <v>0</v>
      </c>
      <c r="J1988" t="n">
        <v>0</v>
      </c>
      <c r="K1988" t="n">
        <v>0</v>
      </c>
      <c r="L1988" t="n">
        <v>0</v>
      </c>
      <c r="M1988" t="n">
        <v>0</v>
      </c>
      <c r="N1988" t="n">
        <v>0</v>
      </c>
      <c r="O1988" t="n">
        <v>0</v>
      </c>
      <c r="P1988" t="n">
        <v>0</v>
      </c>
      <c r="Q1988" t="n">
        <v>0</v>
      </c>
      <c r="R1988" s="2" t="inlineStr"/>
    </row>
    <row r="1989">
      <c r="A1989" t="inlineStr">
        <is>
          <t>A 34614-2025</t>
        </is>
      </c>
      <c r="B1989" s="1" t="n">
        <v>45847.67768518518</v>
      </c>
      <c r="C1989" s="1" t="n">
        <v>46118</v>
      </c>
      <c r="D1989" t="inlineStr">
        <is>
          <t>JÄMTLANDS LÄN</t>
        </is>
      </c>
      <c r="E1989" t="inlineStr">
        <is>
          <t>BRÄCKE</t>
        </is>
      </c>
      <c r="F1989" t="inlineStr">
        <is>
          <t>SCA</t>
        </is>
      </c>
      <c r="G1989" t="n">
        <v>3.8</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2026-04-06T10:41:45Z</dcterms:created>
  <dcterms:modified xmlns:dcterms="http://purl.org/dc/terms/" xmlns:xsi="http://www.w3.org/2001/XMLSchema-instance" xsi:type="dcterms:W3CDTF">2026-04-06T10:41:46Z</dcterms:modified>
</cp:coreProperties>
</file>