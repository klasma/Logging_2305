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45648</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45648</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45648</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45648</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45648</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45648</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45648</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45648</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45648</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45648</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45648</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45648</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45648</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45648</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45648</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45648</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45648</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45648</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45648</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45648</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45648</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45648</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45648</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45648</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45648</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45648</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45648</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45648</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45648</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45648</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45648</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45648</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45648</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45648</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45648</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45648</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45648</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45648</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45648</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45648</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45648</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45648</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45648</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45648</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45648</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45648</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45648</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45648</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45648</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45648</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45648</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45648</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45648</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45648</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45648</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45648</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45648</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45648</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45648</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45648</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45648</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45648</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45648</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45648</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45648</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45648</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45648</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45648</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45648</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45648</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45648</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45648</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45648</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45648</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45648</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45648</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45648</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45648</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45648</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45648</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45648</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29272-2024</t>
        </is>
      </c>
      <c r="B126" s="1" t="n">
        <v>45483</v>
      </c>
      <c r="C126" s="1" t="n">
        <v>45648</v>
      </c>
      <c r="D126" t="inlineStr">
        <is>
          <t>JÄMTLANDS LÄN</t>
        </is>
      </c>
      <c r="E126" t="inlineStr">
        <is>
          <t>BRÄCKE</t>
        </is>
      </c>
      <c r="F126" t="inlineStr">
        <is>
          <t>SCA</t>
        </is>
      </c>
      <c r="G126" t="n">
        <v>1.6</v>
      </c>
      <c r="H126" t="n">
        <v>1</v>
      </c>
      <c r="I126" t="n">
        <v>0</v>
      </c>
      <c r="J126" t="n">
        <v>4</v>
      </c>
      <c r="K126" t="n">
        <v>0</v>
      </c>
      <c r="L126" t="n">
        <v>0</v>
      </c>
      <c r="M126" t="n">
        <v>0</v>
      </c>
      <c r="N126" t="n">
        <v>0</v>
      </c>
      <c r="O126" t="n">
        <v>4</v>
      </c>
      <c r="P126" t="n">
        <v>0</v>
      </c>
      <c r="Q126" t="n">
        <v>4</v>
      </c>
      <c r="R126" s="2" t="inlineStr">
        <is>
          <t>Garnlav
Lunglav
Skogshare
Spillkråka</t>
        </is>
      </c>
      <c r="S126">
        <f>HYPERLINK("https://klasma.github.io/Logging_2305/artfynd/A 29272-2024 artfynd.xlsx", "A 29272-2024")</f>
        <v/>
      </c>
      <c r="T126">
        <f>HYPERLINK("https://klasma.github.io/Logging_2305/kartor/A 29272-2024 karta.png", "A 29272-2024")</f>
        <v/>
      </c>
      <c r="V126">
        <f>HYPERLINK("https://klasma.github.io/Logging_2305/klagomål/A 29272-2024 FSC-klagomål.docx", "A 29272-2024")</f>
        <v/>
      </c>
      <c r="W126">
        <f>HYPERLINK("https://klasma.github.io/Logging_2305/klagomålsmail/A 29272-2024 FSC-klagomål mail.docx", "A 29272-2024")</f>
        <v/>
      </c>
      <c r="X126">
        <f>HYPERLINK("https://klasma.github.io/Logging_2305/tillsyn/A 29272-2024 tillsynsbegäran.docx", "A 29272-2024")</f>
        <v/>
      </c>
      <c r="Y126">
        <f>HYPERLINK("https://klasma.github.io/Logging_2305/tillsynsmail/A 29272-2024 tillsynsbegäran mail.docx", "A 29272-2024")</f>
        <v/>
      </c>
      <c r="Z126">
        <f>HYPERLINK("https://klasma.github.io/Logging_2305/fåglar/A 29272-2024 prioriterade fågelarter.docx", "A 29272-2024")</f>
        <v/>
      </c>
    </row>
    <row r="127" ht="15" customHeight="1">
      <c r="A127" t="inlineStr">
        <is>
          <t>A 32260-2024</t>
        </is>
      </c>
      <c r="B127" s="1" t="n">
        <v>45512</v>
      </c>
      <c r="C127" s="1" t="n">
        <v>45648</v>
      </c>
      <c r="D127" t="inlineStr">
        <is>
          <t>JÄMTLANDS LÄN</t>
        </is>
      </c>
      <c r="E127" t="inlineStr">
        <is>
          <t>BRÄCKE</t>
        </is>
      </c>
      <c r="F127" t="inlineStr">
        <is>
          <t>SCA</t>
        </is>
      </c>
      <c r="G127" t="n">
        <v>3.7</v>
      </c>
      <c r="H127" t="n">
        <v>0</v>
      </c>
      <c r="I127" t="n">
        <v>1</v>
      </c>
      <c r="J127" t="n">
        <v>3</v>
      </c>
      <c r="K127" t="n">
        <v>0</v>
      </c>
      <c r="L127" t="n">
        <v>0</v>
      </c>
      <c r="M127" t="n">
        <v>0</v>
      </c>
      <c r="N127" t="n">
        <v>0</v>
      </c>
      <c r="O127" t="n">
        <v>3</v>
      </c>
      <c r="P127" t="n">
        <v>0</v>
      </c>
      <c r="Q127" t="n">
        <v>4</v>
      </c>
      <c r="R127" s="2" t="inlineStr">
        <is>
          <t>Garnlav
Lunglav
Skrovellav
Luddlav</t>
        </is>
      </c>
      <c r="S127">
        <f>HYPERLINK("https://klasma.github.io/Logging_2305/artfynd/A 32260-2024 artfynd.xlsx", "A 32260-2024")</f>
        <v/>
      </c>
      <c r="T127">
        <f>HYPERLINK("https://klasma.github.io/Logging_2305/kartor/A 32260-2024 karta.png", "A 32260-2024")</f>
        <v/>
      </c>
      <c r="V127">
        <f>HYPERLINK("https://klasma.github.io/Logging_2305/klagomål/A 32260-2024 FSC-klagomål.docx", "A 32260-2024")</f>
        <v/>
      </c>
      <c r="W127">
        <f>HYPERLINK("https://klasma.github.io/Logging_2305/klagomålsmail/A 32260-2024 FSC-klagomål mail.docx", "A 32260-2024")</f>
        <v/>
      </c>
      <c r="X127">
        <f>HYPERLINK("https://klasma.github.io/Logging_2305/tillsyn/A 32260-2024 tillsynsbegäran.docx", "A 32260-2024")</f>
        <v/>
      </c>
      <c r="Y127">
        <f>HYPERLINK("https://klasma.github.io/Logging_2305/tillsynsmail/A 32260-2024 tillsynsbegäran mail.docx", "A 32260-2024")</f>
        <v/>
      </c>
    </row>
    <row r="128" ht="15" customHeight="1">
      <c r="A128" t="inlineStr">
        <is>
          <t>A 32654-2024</t>
        </is>
      </c>
      <c r="B128" s="1" t="n">
        <v>45514</v>
      </c>
      <c r="C128" s="1" t="n">
        <v>45648</v>
      </c>
      <c r="D128" t="inlineStr">
        <is>
          <t>JÄMTLANDS LÄN</t>
        </is>
      </c>
      <c r="E128" t="inlineStr">
        <is>
          <t>BRÄCKE</t>
        </is>
      </c>
      <c r="F128" t="inlineStr">
        <is>
          <t>SCA</t>
        </is>
      </c>
      <c r="G128" t="n">
        <v>4.2</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HYPERLINK("https://klasma.github.io/Logging_2305/artfynd/A 32654-2024 artfynd.xlsx", "A 32654-2024")</f>
        <v/>
      </c>
      <c r="T128">
        <f>HYPERLINK("https://klasma.github.io/Logging_2305/kartor/A 32654-2024 karta.png", "A 32654-2024")</f>
        <v/>
      </c>
      <c r="V128">
        <f>HYPERLINK("https://klasma.github.io/Logging_2305/klagomål/A 32654-2024 FSC-klagomål.docx", "A 32654-2024")</f>
        <v/>
      </c>
      <c r="W128">
        <f>HYPERLINK("https://klasma.github.io/Logging_2305/klagomålsmail/A 32654-2024 FSC-klagomål mail.docx", "A 32654-2024")</f>
        <v/>
      </c>
      <c r="X128">
        <f>HYPERLINK("https://klasma.github.io/Logging_2305/tillsyn/A 32654-2024 tillsynsbegäran.docx", "A 32654-2024")</f>
        <v/>
      </c>
      <c r="Y128">
        <f>HYPERLINK("https://klasma.github.io/Logging_2305/tillsynsmail/A 32654-2024 tillsynsbegäran mail.docx", "A 32654-2024")</f>
        <v/>
      </c>
    </row>
    <row r="129" ht="15" customHeight="1">
      <c r="A129" t="inlineStr">
        <is>
          <t>A 37218-2024</t>
        </is>
      </c>
      <c r="B129" s="1" t="n">
        <v>45539</v>
      </c>
      <c r="C129" s="1" t="n">
        <v>45648</v>
      </c>
      <c r="D129" t="inlineStr">
        <is>
          <t>JÄMTLANDS LÄN</t>
        </is>
      </c>
      <c r="E129" t="inlineStr">
        <is>
          <t>BRÄCKE</t>
        </is>
      </c>
      <c r="F129" t="inlineStr">
        <is>
          <t>SCA</t>
        </is>
      </c>
      <c r="G129" t="n">
        <v>8.1</v>
      </c>
      <c r="H129" t="n">
        <v>1</v>
      </c>
      <c r="I129" t="n">
        <v>2</v>
      </c>
      <c r="J129" t="n">
        <v>2</v>
      </c>
      <c r="K129" t="n">
        <v>0</v>
      </c>
      <c r="L129" t="n">
        <v>0</v>
      </c>
      <c r="M129" t="n">
        <v>0</v>
      </c>
      <c r="N129" t="n">
        <v>0</v>
      </c>
      <c r="O129" t="n">
        <v>2</v>
      </c>
      <c r="P129" t="n">
        <v>0</v>
      </c>
      <c r="Q129" t="n">
        <v>4</v>
      </c>
      <c r="R129" s="2" t="inlineStr">
        <is>
          <t>Lunglav
Spillkråka
Svart trolldruva
Underviol</t>
        </is>
      </c>
      <c r="S129">
        <f>HYPERLINK("https://klasma.github.io/Logging_2305/artfynd/A 37218-2024 artfynd.xlsx", "A 37218-2024")</f>
        <v/>
      </c>
      <c r="T129">
        <f>HYPERLINK("https://klasma.github.io/Logging_2305/kartor/A 37218-2024 karta.png", "A 37218-2024")</f>
        <v/>
      </c>
      <c r="V129">
        <f>HYPERLINK("https://klasma.github.io/Logging_2305/klagomål/A 37218-2024 FSC-klagomål.docx", "A 37218-2024")</f>
        <v/>
      </c>
      <c r="W129">
        <f>HYPERLINK("https://klasma.github.io/Logging_2305/klagomålsmail/A 37218-2024 FSC-klagomål mail.docx", "A 37218-2024")</f>
        <v/>
      </c>
      <c r="X129">
        <f>HYPERLINK("https://klasma.github.io/Logging_2305/tillsyn/A 37218-2024 tillsynsbegäran.docx", "A 37218-2024")</f>
        <v/>
      </c>
      <c r="Y129">
        <f>HYPERLINK("https://klasma.github.io/Logging_2305/tillsynsmail/A 37218-2024 tillsynsbegäran mail.docx", "A 37218-2024")</f>
        <v/>
      </c>
      <c r="Z129">
        <f>HYPERLINK("https://klasma.github.io/Logging_2305/fåglar/A 37218-2024 prioriterade fågelarter.docx", "A 37218-2024")</f>
        <v/>
      </c>
    </row>
    <row r="130" ht="15" customHeight="1">
      <c r="A130" t="inlineStr">
        <is>
          <t>A 42105-2024</t>
        </is>
      </c>
      <c r="B130" s="1" t="n">
        <v>45562</v>
      </c>
      <c r="C130" s="1" t="n">
        <v>45648</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44132-2024</t>
        </is>
      </c>
      <c r="B131" s="1" t="n">
        <v>45572</v>
      </c>
      <c r="C131" s="1" t="n">
        <v>45648</v>
      </c>
      <c r="D131" t="inlineStr">
        <is>
          <t>JÄMTLANDS LÄN</t>
        </is>
      </c>
      <c r="E131" t="inlineStr">
        <is>
          <t>BRÄCKE</t>
        </is>
      </c>
      <c r="G131" t="n">
        <v>10.2</v>
      </c>
      <c r="H131" t="n">
        <v>2</v>
      </c>
      <c r="I131" t="n">
        <v>1</v>
      </c>
      <c r="J131" t="n">
        <v>2</v>
      </c>
      <c r="K131" t="n">
        <v>1</v>
      </c>
      <c r="L131" t="n">
        <v>0</v>
      </c>
      <c r="M131" t="n">
        <v>0</v>
      </c>
      <c r="N131" t="n">
        <v>0</v>
      </c>
      <c r="O131" t="n">
        <v>3</v>
      </c>
      <c r="P131" t="n">
        <v>1</v>
      </c>
      <c r="Q131" t="n">
        <v>4</v>
      </c>
      <c r="R131" s="2" t="inlineStr">
        <is>
          <t>Knärot
Lunglav
Vitgrynig nållav
Spindelblomster</t>
        </is>
      </c>
      <c r="S131">
        <f>HYPERLINK("https://klasma.github.io/Logging_2305/artfynd/A 44132-2024 artfynd.xlsx", "A 44132-2024")</f>
        <v/>
      </c>
      <c r="T131">
        <f>HYPERLINK("https://klasma.github.io/Logging_2305/kartor/A 44132-2024 karta.png", "A 44132-2024")</f>
        <v/>
      </c>
      <c r="U131">
        <f>HYPERLINK("https://klasma.github.io/Logging_2305/knärot/A 44132-2024 karta knärot.png", "A 44132-2024")</f>
        <v/>
      </c>
      <c r="V131">
        <f>HYPERLINK("https://klasma.github.io/Logging_2305/klagomål/A 44132-2024 FSC-klagomål.docx", "A 44132-2024")</f>
        <v/>
      </c>
      <c r="W131">
        <f>HYPERLINK("https://klasma.github.io/Logging_2305/klagomålsmail/A 44132-2024 FSC-klagomål mail.docx", "A 44132-2024")</f>
        <v/>
      </c>
      <c r="X131">
        <f>HYPERLINK("https://klasma.github.io/Logging_2305/tillsyn/A 44132-2024 tillsynsbegäran.docx", "A 44132-2024")</f>
        <v/>
      </c>
      <c r="Y131">
        <f>HYPERLINK("https://klasma.github.io/Logging_2305/tillsynsmail/A 44132-2024 tillsynsbegäran mail.docx", "A 44132-2024")</f>
        <v/>
      </c>
    </row>
    <row r="132" ht="15" customHeight="1">
      <c r="A132" t="inlineStr">
        <is>
          <t>A 46594-2024</t>
        </is>
      </c>
      <c r="B132" s="1" t="n">
        <v>45582</v>
      </c>
      <c r="C132" s="1" t="n">
        <v>45648</v>
      </c>
      <c r="D132" t="inlineStr">
        <is>
          <t>JÄMTLANDS LÄN</t>
        </is>
      </c>
      <c r="E132" t="inlineStr">
        <is>
          <t>BRÄCKE</t>
        </is>
      </c>
      <c r="G132" t="n">
        <v>2.8</v>
      </c>
      <c r="H132" t="n">
        <v>1</v>
      </c>
      <c r="I132" t="n">
        <v>0</v>
      </c>
      <c r="J132" t="n">
        <v>3</v>
      </c>
      <c r="K132" t="n">
        <v>1</v>
      </c>
      <c r="L132" t="n">
        <v>0</v>
      </c>
      <c r="M132" t="n">
        <v>0</v>
      </c>
      <c r="N132" t="n">
        <v>0</v>
      </c>
      <c r="O132" t="n">
        <v>4</v>
      </c>
      <c r="P132" t="n">
        <v>1</v>
      </c>
      <c r="Q132" t="n">
        <v>4</v>
      </c>
      <c r="R132" s="2" t="inlineStr">
        <is>
          <t>Knärot
Garnlav
Granticka
Knottrig blåslav</t>
        </is>
      </c>
      <c r="S132">
        <f>HYPERLINK("https://klasma.github.io/Logging_2305/artfynd/A 46594-2024 artfynd.xlsx", "A 46594-2024")</f>
        <v/>
      </c>
      <c r="T132">
        <f>HYPERLINK("https://klasma.github.io/Logging_2305/kartor/A 46594-2024 karta.png", "A 46594-2024")</f>
        <v/>
      </c>
      <c r="U132">
        <f>HYPERLINK("https://klasma.github.io/Logging_2305/knärot/A 46594-2024 karta knärot.png", "A 46594-2024")</f>
        <v/>
      </c>
      <c r="V132">
        <f>HYPERLINK("https://klasma.github.io/Logging_2305/klagomål/A 46594-2024 FSC-klagomål.docx", "A 46594-2024")</f>
        <v/>
      </c>
      <c r="W132">
        <f>HYPERLINK("https://klasma.github.io/Logging_2305/klagomålsmail/A 46594-2024 FSC-klagomål mail.docx", "A 46594-2024")</f>
        <v/>
      </c>
      <c r="X132">
        <f>HYPERLINK("https://klasma.github.io/Logging_2305/tillsyn/A 46594-2024 tillsynsbegäran.docx", "A 46594-2024")</f>
        <v/>
      </c>
      <c r="Y132">
        <f>HYPERLINK("https://klasma.github.io/Logging_2305/tillsynsmail/A 46594-2024 tillsynsbegäran mail.docx", "A 46594-2024")</f>
        <v/>
      </c>
    </row>
    <row r="133" ht="15" customHeight="1">
      <c r="A133" t="inlineStr">
        <is>
          <t>A 49375-2024</t>
        </is>
      </c>
      <c r="B133" s="1" t="n">
        <v>45595</v>
      </c>
      <c r="C133" s="1" t="n">
        <v>45648</v>
      </c>
      <c r="D133" t="inlineStr">
        <is>
          <t>JÄMTLANDS LÄN</t>
        </is>
      </c>
      <c r="E133" t="inlineStr">
        <is>
          <t>BRÄCKE</t>
        </is>
      </c>
      <c r="F133" t="inlineStr">
        <is>
          <t>SCA</t>
        </is>
      </c>
      <c r="G133" t="n">
        <v>8.5</v>
      </c>
      <c r="H133" t="n">
        <v>0</v>
      </c>
      <c r="I133" t="n">
        <v>0</v>
      </c>
      <c r="J133" t="n">
        <v>4</v>
      </c>
      <c r="K133" t="n">
        <v>0</v>
      </c>
      <c r="L133" t="n">
        <v>0</v>
      </c>
      <c r="M133" t="n">
        <v>0</v>
      </c>
      <c r="N133" t="n">
        <v>0</v>
      </c>
      <c r="O133" t="n">
        <v>4</v>
      </c>
      <c r="P133" t="n">
        <v>0</v>
      </c>
      <c r="Q133" t="n">
        <v>4</v>
      </c>
      <c r="R133" s="2" t="inlineStr">
        <is>
          <t>Doftskinn
Granticka
Lunglav
Skrovellav</t>
        </is>
      </c>
      <c r="S133">
        <f>HYPERLINK("https://klasma.github.io/Logging_2305/artfynd/A 49375-2024 artfynd.xlsx", "A 49375-2024")</f>
        <v/>
      </c>
      <c r="T133">
        <f>HYPERLINK("https://klasma.github.io/Logging_2305/kartor/A 49375-2024 karta.png", "A 49375-2024")</f>
        <v/>
      </c>
      <c r="V133">
        <f>HYPERLINK("https://klasma.github.io/Logging_2305/klagomål/A 49375-2024 FSC-klagomål.docx", "A 49375-2024")</f>
        <v/>
      </c>
      <c r="W133">
        <f>HYPERLINK("https://klasma.github.io/Logging_2305/klagomålsmail/A 49375-2024 FSC-klagomål mail.docx", "A 49375-2024")</f>
        <v/>
      </c>
      <c r="X133">
        <f>HYPERLINK("https://klasma.github.io/Logging_2305/tillsyn/A 49375-2024 tillsynsbegäran.docx", "A 49375-2024")</f>
        <v/>
      </c>
      <c r="Y133">
        <f>HYPERLINK("https://klasma.github.io/Logging_2305/tillsynsmail/A 49375-2024 tillsynsbegäran mail.docx", "A 49375-2024")</f>
        <v/>
      </c>
    </row>
    <row r="134" ht="15" customHeight="1">
      <c r="A134" t="inlineStr">
        <is>
          <t>A 51421-2024</t>
        </is>
      </c>
      <c r="B134" s="1" t="n">
        <v>45604</v>
      </c>
      <c r="C134" s="1" t="n">
        <v>45648</v>
      </c>
      <c r="D134" t="inlineStr">
        <is>
          <t>JÄMTLANDS LÄN</t>
        </is>
      </c>
      <c r="E134" t="inlineStr">
        <is>
          <t>BRÄCKE</t>
        </is>
      </c>
      <c r="G134" t="n">
        <v>4.2</v>
      </c>
      <c r="H134" t="n">
        <v>1</v>
      </c>
      <c r="I134" t="n">
        <v>0</v>
      </c>
      <c r="J134" t="n">
        <v>3</v>
      </c>
      <c r="K134" t="n">
        <v>1</v>
      </c>
      <c r="L134" t="n">
        <v>0</v>
      </c>
      <c r="M134" t="n">
        <v>0</v>
      </c>
      <c r="N134" t="n">
        <v>0</v>
      </c>
      <c r="O134" t="n">
        <v>4</v>
      </c>
      <c r="P134" t="n">
        <v>1</v>
      </c>
      <c r="Q134" t="n">
        <v>4</v>
      </c>
      <c r="R134" s="2" t="inlineStr">
        <is>
          <t>Knärot
Garnlav
Lunglav
Ullticka</t>
        </is>
      </c>
      <c r="S134">
        <f>HYPERLINK("https://klasma.github.io/Logging_2305/artfynd/A 51421-2024 artfynd.xlsx", "A 51421-2024")</f>
        <v/>
      </c>
      <c r="T134">
        <f>HYPERLINK("https://klasma.github.io/Logging_2305/kartor/A 51421-2024 karta.png", "A 51421-2024")</f>
        <v/>
      </c>
      <c r="U134">
        <f>HYPERLINK("https://klasma.github.io/Logging_2305/knärot/A 51421-2024 karta knärot.png", "A 51421-2024")</f>
        <v/>
      </c>
      <c r="V134">
        <f>HYPERLINK("https://klasma.github.io/Logging_2305/klagomål/A 51421-2024 FSC-klagomål.docx", "A 51421-2024")</f>
        <v/>
      </c>
      <c r="W134">
        <f>HYPERLINK("https://klasma.github.io/Logging_2305/klagomålsmail/A 51421-2024 FSC-klagomål mail.docx", "A 51421-2024")</f>
        <v/>
      </c>
      <c r="X134">
        <f>HYPERLINK("https://klasma.github.io/Logging_2305/tillsyn/A 51421-2024 tillsynsbegäran.docx", "A 51421-2024")</f>
        <v/>
      </c>
      <c r="Y134">
        <f>HYPERLINK("https://klasma.github.io/Logging_2305/tillsynsmail/A 51421-2024 tillsynsbegäran mail.docx", "A 51421-2024")</f>
        <v/>
      </c>
    </row>
    <row r="135" ht="15" customHeight="1">
      <c r="A135" t="inlineStr">
        <is>
          <t>A 54133-2024</t>
        </is>
      </c>
      <c r="B135" s="1" t="n">
        <v>45616</v>
      </c>
      <c r="C135" s="1" t="n">
        <v>45648</v>
      </c>
      <c r="D135" t="inlineStr">
        <is>
          <t>JÄMTLANDS LÄN</t>
        </is>
      </c>
      <c r="E135" t="inlineStr">
        <is>
          <t>BRÄCKE</t>
        </is>
      </c>
      <c r="G135" t="n">
        <v>2.3</v>
      </c>
      <c r="H135" t="n">
        <v>0</v>
      </c>
      <c r="I135" t="n">
        <v>0</v>
      </c>
      <c r="J135" t="n">
        <v>4</v>
      </c>
      <c r="K135" t="n">
        <v>0</v>
      </c>
      <c r="L135" t="n">
        <v>0</v>
      </c>
      <c r="M135" t="n">
        <v>0</v>
      </c>
      <c r="N135" t="n">
        <v>0</v>
      </c>
      <c r="O135" t="n">
        <v>4</v>
      </c>
      <c r="P135" t="n">
        <v>0</v>
      </c>
      <c r="Q135" t="n">
        <v>4</v>
      </c>
      <c r="R135" s="2" t="inlineStr">
        <is>
          <t>Garnlav
Lunglav
Rosenticka
Ullticka</t>
        </is>
      </c>
      <c r="S135">
        <f>HYPERLINK("https://klasma.github.io/Logging_2305/artfynd/A 54133-2024 artfynd.xlsx", "A 54133-2024")</f>
        <v/>
      </c>
      <c r="T135">
        <f>HYPERLINK("https://klasma.github.io/Logging_2305/kartor/A 54133-2024 karta.png", "A 54133-2024")</f>
        <v/>
      </c>
      <c r="V135">
        <f>HYPERLINK("https://klasma.github.io/Logging_2305/klagomål/A 54133-2024 FSC-klagomål.docx", "A 54133-2024")</f>
        <v/>
      </c>
      <c r="W135">
        <f>HYPERLINK("https://klasma.github.io/Logging_2305/klagomålsmail/A 54133-2024 FSC-klagomål mail.docx", "A 54133-2024")</f>
        <v/>
      </c>
      <c r="X135">
        <f>HYPERLINK("https://klasma.github.io/Logging_2305/tillsyn/A 54133-2024 tillsynsbegäran.docx", "A 54133-2024")</f>
        <v/>
      </c>
      <c r="Y135">
        <f>HYPERLINK("https://klasma.github.io/Logging_2305/tillsynsmail/A 54133-2024 tillsynsbegäran mail.docx", "A 54133-2024")</f>
        <v/>
      </c>
    </row>
    <row r="136" ht="15" customHeight="1">
      <c r="A136" t="inlineStr">
        <is>
          <t>A 57076-2024</t>
        </is>
      </c>
      <c r="B136" s="1" t="n">
        <v>45629</v>
      </c>
      <c r="C136" s="1" t="n">
        <v>45648</v>
      </c>
      <c r="D136" t="inlineStr">
        <is>
          <t>JÄMTLANDS LÄN</t>
        </is>
      </c>
      <c r="E136" t="inlineStr">
        <is>
          <t>BRÄCKE</t>
        </is>
      </c>
      <c r="F136" t="inlineStr">
        <is>
          <t>SCA</t>
        </is>
      </c>
      <c r="G136" t="n">
        <v>1.3</v>
      </c>
      <c r="H136" t="n">
        <v>1</v>
      </c>
      <c r="I136" t="n">
        <v>2</v>
      </c>
      <c r="J136" t="n">
        <v>1</v>
      </c>
      <c r="K136" t="n">
        <v>1</v>
      </c>
      <c r="L136" t="n">
        <v>0</v>
      </c>
      <c r="M136" t="n">
        <v>0</v>
      </c>
      <c r="N136" t="n">
        <v>0</v>
      </c>
      <c r="O136" t="n">
        <v>2</v>
      </c>
      <c r="P136" t="n">
        <v>1</v>
      </c>
      <c r="Q136" t="n">
        <v>4</v>
      </c>
      <c r="R136" s="2" t="inlineStr">
        <is>
          <t>Knärot
Lunglav
Luddlav
Vedticka</t>
        </is>
      </c>
      <c r="S136">
        <f>HYPERLINK("https://klasma.github.io/Logging_2305/artfynd/A 57076-2024 artfynd.xlsx", "A 57076-2024")</f>
        <v/>
      </c>
      <c r="T136">
        <f>HYPERLINK("https://klasma.github.io/Logging_2305/kartor/A 57076-2024 karta.png", "A 57076-2024")</f>
        <v/>
      </c>
      <c r="U136">
        <f>HYPERLINK("https://klasma.github.io/Logging_2305/knärot/A 57076-2024 karta knärot.png", "A 57076-2024")</f>
        <v/>
      </c>
      <c r="V136">
        <f>HYPERLINK("https://klasma.github.io/Logging_2305/klagomål/A 57076-2024 FSC-klagomål.docx", "A 57076-2024")</f>
        <v/>
      </c>
      <c r="W136">
        <f>HYPERLINK("https://klasma.github.io/Logging_2305/klagomålsmail/A 57076-2024 FSC-klagomål mail.docx", "A 57076-2024")</f>
        <v/>
      </c>
      <c r="X136">
        <f>HYPERLINK("https://klasma.github.io/Logging_2305/tillsyn/A 57076-2024 tillsynsbegäran.docx", "A 57076-2024")</f>
        <v/>
      </c>
      <c r="Y136">
        <f>HYPERLINK("https://klasma.github.io/Logging_2305/tillsynsmail/A 57076-2024 tillsynsbegäran mail.docx", "A 57076-2024")</f>
        <v/>
      </c>
    </row>
    <row r="137" ht="15" customHeight="1">
      <c r="A137" t="inlineStr">
        <is>
          <t>A 57606-2024</t>
        </is>
      </c>
      <c r="B137" s="1" t="n">
        <v>45630</v>
      </c>
      <c r="C137" s="1" t="n">
        <v>45648</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57606-2024 artfynd.xlsx", "A 57606-2024")</f>
        <v/>
      </c>
      <c r="T137">
        <f>HYPERLINK("https://klasma.github.io/Logging_2305/kartor/A 57606-2024 karta.png", "A 57606-2024")</f>
        <v/>
      </c>
      <c r="U137">
        <f>HYPERLINK("https://klasma.github.io/Logging_2305/knärot/A 57606-2024 karta knärot.png", "A 57606-2024")</f>
        <v/>
      </c>
      <c r="V137">
        <f>HYPERLINK("https://klasma.github.io/Logging_2305/klagomål/A 57606-2024 FSC-klagomål.docx", "A 57606-2024")</f>
        <v/>
      </c>
      <c r="W137">
        <f>HYPERLINK("https://klasma.github.io/Logging_2305/klagomålsmail/A 57606-2024 FSC-klagomål mail.docx", "A 57606-2024")</f>
        <v/>
      </c>
      <c r="X137">
        <f>HYPERLINK("https://klasma.github.io/Logging_2305/tillsyn/A 57606-2024 tillsynsbegäran.docx", "A 57606-2024")</f>
        <v/>
      </c>
      <c r="Y137">
        <f>HYPERLINK("https://klasma.github.io/Logging_2305/tillsynsmail/A 57606-2024 tillsynsbegäran mail.docx", "A 57606-2024")</f>
        <v/>
      </c>
      <c r="Z137">
        <f>HYPERLINK("https://klasma.github.io/Logging_2305/fåglar/A 57606-2024 prioriterade fågelarter.docx", "A 57606-2024")</f>
        <v/>
      </c>
    </row>
    <row r="138" ht="15" customHeight="1">
      <c r="A138" t="inlineStr">
        <is>
          <t>A 35801-2020</t>
        </is>
      </c>
      <c r="B138" s="1" t="n">
        <v>44046</v>
      </c>
      <c r="C138" s="1" t="n">
        <v>45648</v>
      </c>
      <c r="D138" t="inlineStr">
        <is>
          <t>JÄMTLANDS LÄN</t>
        </is>
      </c>
      <c r="E138" t="inlineStr">
        <is>
          <t>BRÄCKE</t>
        </is>
      </c>
      <c r="F138" t="inlineStr">
        <is>
          <t>SCA</t>
        </is>
      </c>
      <c r="G138" t="n">
        <v>0.9</v>
      </c>
      <c r="H138" t="n">
        <v>0</v>
      </c>
      <c r="I138" t="n">
        <v>0</v>
      </c>
      <c r="J138" t="n">
        <v>2</v>
      </c>
      <c r="K138" t="n">
        <v>1</v>
      </c>
      <c r="L138" t="n">
        <v>0</v>
      </c>
      <c r="M138" t="n">
        <v>0</v>
      </c>
      <c r="N138" t="n">
        <v>0</v>
      </c>
      <c r="O138" t="n">
        <v>3</v>
      </c>
      <c r="P138" t="n">
        <v>1</v>
      </c>
      <c r="Q138" t="n">
        <v>3</v>
      </c>
      <c r="R138" s="2" t="inlineStr">
        <is>
          <t>Goliatmusseron
Orange taggsvamp
Svart taggsvamp</t>
        </is>
      </c>
      <c r="S138">
        <f>HYPERLINK("https://klasma.github.io/Logging_2305/artfynd/A 35801-2020 artfynd.xlsx", "A 35801-2020")</f>
        <v/>
      </c>
      <c r="T138">
        <f>HYPERLINK("https://klasma.github.io/Logging_2305/kartor/A 35801-2020 karta.png", "A 35801-2020")</f>
        <v/>
      </c>
      <c r="V138">
        <f>HYPERLINK("https://klasma.github.io/Logging_2305/klagomål/A 35801-2020 FSC-klagomål.docx", "A 35801-2020")</f>
        <v/>
      </c>
      <c r="W138">
        <f>HYPERLINK("https://klasma.github.io/Logging_2305/klagomålsmail/A 35801-2020 FSC-klagomål mail.docx", "A 35801-2020")</f>
        <v/>
      </c>
      <c r="X138">
        <f>HYPERLINK("https://klasma.github.io/Logging_2305/tillsyn/A 35801-2020 tillsynsbegäran.docx", "A 35801-2020")</f>
        <v/>
      </c>
      <c r="Y138">
        <f>HYPERLINK("https://klasma.github.io/Logging_2305/tillsynsmail/A 35801-2020 tillsynsbegäran mail.docx", "A 35801-2020")</f>
        <v/>
      </c>
    </row>
    <row r="139" ht="15" customHeight="1">
      <c r="A139" t="inlineStr">
        <is>
          <t>A 40405-2020</t>
        </is>
      </c>
      <c r="B139" s="1" t="n">
        <v>44068</v>
      </c>
      <c r="C139" s="1" t="n">
        <v>45648</v>
      </c>
      <c r="D139" t="inlineStr">
        <is>
          <t>JÄMTLANDS LÄN</t>
        </is>
      </c>
      <c r="E139" t="inlineStr">
        <is>
          <t>BRÄCKE</t>
        </is>
      </c>
      <c r="F139" t="inlineStr">
        <is>
          <t>SCA</t>
        </is>
      </c>
      <c r="G139" t="n">
        <v>1</v>
      </c>
      <c r="H139" t="n">
        <v>0</v>
      </c>
      <c r="I139" t="n">
        <v>0</v>
      </c>
      <c r="J139" t="n">
        <v>2</v>
      </c>
      <c r="K139" t="n">
        <v>1</v>
      </c>
      <c r="L139" t="n">
        <v>0</v>
      </c>
      <c r="M139" t="n">
        <v>0</v>
      </c>
      <c r="N139" t="n">
        <v>0</v>
      </c>
      <c r="O139" t="n">
        <v>3</v>
      </c>
      <c r="P139" t="n">
        <v>1</v>
      </c>
      <c r="Q139" t="n">
        <v>3</v>
      </c>
      <c r="R139" s="2" t="inlineStr">
        <is>
          <t>Tvillingspindling
Flattoppad klubbsvamp
Persiljespindling</t>
        </is>
      </c>
      <c r="S139">
        <f>HYPERLINK("https://klasma.github.io/Logging_2305/artfynd/A 40405-2020 artfynd.xlsx", "A 40405-2020")</f>
        <v/>
      </c>
      <c r="T139">
        <f>HYPERLINK("https://klasma.github.io/Logging_2305/kartor/A 40405-2020 karta.png", "A 40405-2020")</f>
        <v/>
      </c>
      <c r="V139">
        <f>HYPERLINK("https://klasma.github.io/Logging_2305/klagomål/A 40405-2020 FSC-klagomål.docx", "A 40405-2020")</f>
        <v/>
      </c>
      <c r="W139">
        <f>HYPERLINK("https://klasma.github.io/Logging_2305/klagomålsmail/A 40405-2020 FSC-klagomål mail.docx", "A 40405-2020")</f>
        <v/>
      </c>
      <c r="X139">
        <f>HYPERLINK("https://klasma.github.io/Logging_2305/tillsyn/A 40405-2020 tillsynsbegäran.docx", "A 40405-2020")</f>
        <v/>
      </c>
      <c r="Y139">
        <f>HYPERLINK("https://klasma.github.io/Logging_2305/tillsynsmail/A 40405-2020 tillsynsbegäran mail.docx", "A 40405-2020")</f>
        <v/>
      </c>
    </row>
    <row r="140" ht="15" customHeight="1">
      <c r="A140" t="inlineStr">
        <is>
          <t>A 26102-2021</t>
        </is>
      </c>
      <c r="B140" s="1" t="n">
        <v>44344</v>
      </c>
      <c r="C140" s="1" t="n">
        <v>45648</v>
      </c>
      <c r="D140" t="inlineStr">
        <is>
          <t>JÄMTLANDS LÄN</t>
        </is>
      </c>
      <c r="E140" t="inlineStr">
        <is>
          <t>BRÄCKE</t>
        </is>
      </c>
      <c r="F140" t="inlineStr">
        <is>
          <t>SCA</t>
        </is>
      </c>
      <c r="G140" t="n">
        <v>21.3</v>
      </c>
      <c r="H140" t="n">
        <v>1</v>
      </c>
      <c r="I140" t="n">
        <v>1</v>
      </c>
      <c r="J140" t="n">
        <v>1</v>
      </c>
      <c r="K140" t="n">
        <v>0</v>
      </c>
      <c r="L140" t="n">
        <v>0</v>
      </c>
      <c r="M140" t="n">
        <v>0</v>
      </c>
      <c r="N140" t="n">
        <v>0</v>
      </c>
      <c r="O140" t="n">
        <v>1</v>
      </c>
      <c r="P140" t="n">
        <v>0</v>
      </c>
      <c r="Q140" t="n">
        <v>3</v>
      </c>
      <c r="R140" s="2" t="inlineStr">
        <is>
          <t>Lunglav
Ögonpyrola
Revlummer</t>
        </is>
      </c>
      <c r="S140">
        <f>HYPERLINK("https://klasma.github.io/Logging_2305/artfynd/A 26102-2021 artfynd.xlsx", "A 26102-2021")</f>
        <v/>
      </c>
      <c r="T140">
        <f>HYPERLINK("https://klasma.github.io/Logging_2305/kartor/A 26102-2021 karta.png", "A 26102-2021")</f>
        <v/>
      </c>
      <c r="V140">
        <f>HYPERLINK("https://klasma.github.io/Logging_2305/klagomål/A 26102-2021 FSC-klagomål.docx", "A 26102-2021")</f>
        <v/>
      </c>
      <c r="W140">
        <f>HYPERLINK("https://klasma.github.io/Logging_2305/klagomålsmail/A 26102-2021 FSC-klagomål mail.docx", "A 26102-2021")</f>
        <v/>
      </c>
      <c r="X140">
        <f>HYPERLINK("https://klasma.github.io/Logging_2305/tillsyn/A 26102-2021 tillsynsbegäran.docx", "A 26102-2021")</f>
        <v/>
      </c>
      <c r="Y140">
        <f>HYPERLINK("https://klasma.github.io/Logging_2305/tillsynsmail/A 26102-2021 tillsynsbegäran mail.docx", "A 26102-2021")</f>
        <v/>
      </c>
    </row>
    <row r="141" ht="15" customHeight="1">
      <c r="A141" t="inlineStr">
        <is>
          <t>A 37061-2021</t>
        </is>
      </c>
      <c r="B141" s="1" t="n">
        <v>44393</v>
      </c>
      <c r="C141" s="1" t="n">
        <v>45648</v>
      </c>
      <c r="D141" t="inlineStr">
        <is>
          <t>JÄMTLANDS LÄN</t>
        </is>
      </c>
      <c r="E141" t="inlineStr">
        <is>
          <t>BRÄCKE</t>
        </is>
      </c>
      <c r="F141" t="inlineStr">
        <is>
          <t>SCA</t>
        </is>
      </c>
      <c r="G141" t="n">
        <v>3.4</v>
      </c>
      <c r="H141" t="n">
        <v>1</v>
      </c>
      <c r="I141" t="n">
        <v>1</v>
      </c>
      <c r="J141" t="n">
        <v>1</v>
      </c>
      <c r="K141" t="n">
        <v>1</v>
      </c>
      <c r="L141" t="n">
        <v>0</v>
      </c>
      <c r="M141" t="n">
        <v>0</v>
      </c>
      <c r="N141" t="n">
        <v>0</v>
      </c>
      <c r="O141" t="n">
        <v>2</v>
      </c>
      <c r="P141" t="n">
        <v>1</v>
      </c>
      <c r="Q141" t="n">
        <v>3</v>
      </c>
      <c r="R141" s="2" t="inlineStr">
        <is>
          <t>Knärot
Lunglav
Stuplav</t>
        </is>
      </c>
      <c r="S141">
        <f>HYPERLINK("https://klasma.github.io/Logging_2305/artfynd/A 37061-2021 artfynd.xlsx", "A 37061-2021")</f>
        <v/>
      </c>
      <c r="T141">
        <f>HYPERLINK("https://klasma.github.io/Logging_2305/kartor/A 37061-2021 karta.png", "A 37061-2021")</f>
        <v/>
      </c>
      <c r="U141">
        <f>HYPERLINK("https://klasma.github.io/Logging_2305/knärot/A 37061-2021 karta knärot.png", "A 37061-2021")</f>
        <v/>
      </c>
      <c r="V141">
        <f>HYPERLINK("https://klasma.github.io/Logging_2305/klagomål/A 37061-2021 FSC-klagomål.docx", "A 37061-2021")</f>
        <v/>
      </c>
      <c r="W141">
        <f>HYPERLINK("https://klasma.github.io/Logging_2305/klagomålsmail/A 37061-2021 FSC-klagomål mail.docx", "A 37061-2021")</f>
        <v/>
      </c>
      <c r="X141">
        <f>HYPERLINK("https://klasma.github.io/Logging_2305/tillsyn/A 37061-2021 tillsynsbegäran.docx", "A 37061-2021")</f>
        <v/>
      </c>
      <c r="Y141">
        <f>HYPERLINK("https://klasma.github.io/Logging_2305/tillsynsmail/A 37061-2021 tillsynsbegäran mail.docx", "A 37061-2021")</f>
        <v/>
      </c>
    </row>
    <row r="142" ht="15" customHeight="1">
      <c r="A142" t="inlineStr">
        <is>
          <t>A 38279-2021</t>
        </is>
      </c>
      <c r="B142" s="1" t="n">
        <v>44406</v>
      </c>
      <c r="C142" s="1" t="n">
        <v>45648</v>
      </c>
      <c r="D142" t="inlineStr">
        <is>
          <t>JÄMTLANDS LÄN</t>
        </is>
      </c>
      <c r="E142" t="inlineStr">
        <is>
          <t>BRÄCKE</t>
        </is>
      </c>
      <c r="F142" t="inlineStr">
        <is>
          <t>SCA</t>
        </is>
      </c>
      <c r="G142" t="n">
        <v>2.2</v>
      </c>
      <c r="H142" t="n">
        <v>0</v>
      </c>
      <c r="I142" t="n">
        <v>1</v>
      </c>
      <c r="J142" t="n">
        <v>1</v>
      </c>
      <c r="K142" t="n">
        <v>1</v>
      </c>
      <c r="L142" t="n">
        <v>0</v>
      </c>
      <c r="M142" t="n">
        <v>0</v>
      </c>
      <c r="N142" t="n">
        <v>0</v>
      </c>
      <c r="O142" t="n">
        <v>2</v>
      </c>
      <c r="P142" t="n">
        <v>1</v>
      </c>
      <c r="Q142" t="n">
        <v>3</v>
      </c>
      <c r="R142" s="2" t="inlineStr">
        <is>
          <t>Goliatmusseron
Lunglav
Dropptaggsvamp</t>
        </is>
      </c>
      <c r="S142">
        <f>HYPERLINK("https://klasma.github.io/Logging_2305/artfynd/A 38279-2021 artfynd.xlsx", "A 38279-2021")</f>
        <v/>
      </c>
      <c r="T142">
        <f>HYPERLINK("https://klasma.github.io/Logging_2305/kartor/A 38279-2021 karta.png", "A 38279-2021")</f>
        <v/>
      </c>
      <c r="V142">
        <f>HYPERLINK("https://klasma.github.io/Logging_2305/klagomål/A 38279-2021 FSC-klagomål.docx", "A 38279-2021")</f>
        <v/>
      </c>
      <c r="W142">
        <f>HYPERLINK("https://klasma.github.io/Logging_2305/klagomålsmail/A 38279-2021 FSC-klagomål mail.docx", "A 38279-2021")</f>
        <v/>
      </c>
      <c r="X142">
        <f>HYPERLINK("https://klasma.github.io/Logging_2305/tillsyn/A 38279-2021 tillsynsbegäran.docx", "A 38279-2021")</f>
        <v/>
      </c>
      <c r="Y142">
        <f>HYPERLINK("https://klasma.github.io/Logging_2305/tillsynsmail/A 38279-2021 tillsynsbegäran mail.docx", "A 38279-2021")</f>
        <v/>
      </c>
    </row>
    <row r="143" ht="15" customHeight="1">
      <c r="A143" t="inlineStr">
        <is>
          <t>A 56222-2021</t>
        </is>
      </c>
      <c r="B143" s="1" t="n">
        <v>44477</v>
      </c>
      <c r="C143" s="1" t="n">
        <v>45648</v>
      </c>
      <c r="D143" t="inlineStr">
        <is>
          <t>JÄMTLANDS LÄN</t>
        </is>
      </c>
      <c r="E143" t="inlineStr">
        <is>
          <t>BRÄCKE</t>
        </is>
      </c>
      <c r="F143" t="inlineStr">
        <is>
          <t>SCA</t>
        </is>
      </c>
      <c r="G143" t="n">
        <v>1.8</v>
      </c>
      <c r="H143" t="n">
        <v>0</v>
      </c>
      <c r="I143" t="n">
        <v>0</v>
      </c>
      <c r="J143" t="n">
        <v>3</v>
      </c>
      <c r="K143" t="n">
        <v>0</v>
      </c>
      <c r="L143" t="n">
        <v>0</v>
      </c>
      <c r="M143" t="n">
        <v>0</v>
      </c>
      <c r="N143" t="n">
        <v>0</v>
      </c>
      <c r="O143" t="n">
        <v>3</v>
      </c>
      <c r="P143" t="n">
        <v>0</v>
      </c>
      <c r="Q143" t="n">
        <v>3</v>
      </c>
      <c r="R143" s="2" t="inlineStr">
        <is>
          <t>Gammelgransskål
Granticka
Ullticka</t>
        </is>
      </c>
      <c r="S143">
        <f>HYPERLINK("https://klasma.github.io/Logging_2305/artfynd/A 56222-2021 artfynd.xlsx", "A 56222-2021")</f>
        <v/>
      </c>
      <c r="T143">
        <f>HYPERLINK("https://klasma.github.io/Logging_2305/kartor/A 56222-2021 karta.png", "A 56222-2021")</f>
        <v/>
      </c>
      <c r="V143">
        <f>HYPERLINK("https://klasma.github.io/Logging_2305/klagomål/A 56222-2021 FSC-klagomål.docx", "A 56222-2021")</f>
        <v/>
      </c>
      <c r="W143">
        <f>HYPERLINK("https://klasma.github.io/Logging_2305/klagomålsmail/A 56222-2021 FSC-klagomål mail.docx", "A 56222-2021")</f>
        <v/>
      </c>
      <c r="X143">
        <f>HYPERLINK("https://klasma.github.io/Logging_2305/tillsyn/A 56222-2021 tillsynsbegäran.docx", "A 56222-2021")</f>
        <v/>
      </c>
      <c r="Y143">
        <f>HYPERLINK("https://klasma.github.io/Logging_2305/tillsynsmail/A 56222-2021 tillsynsbegäran mail.docx", "A 56222-2021")</f>
        <v/>
      </c>
    </row>
    <row r="144" ht="15" customHeight="1">
      <c r="A144" t="inlineStr">
        <is>
          <t>A 4180-2022</t>
        </is>
      </c>
      <c r="B144" s="1" t="n">
        <v>44588</v>
      </c>
      <c r="C144" s="1" t="n">
        <v>45648</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11002-2022</t>
        </is>
      </c>
      <c r="B145" s="1" t="n">
        <v>44628</v>
      </c>
      <c r="C145" s="1" t="n">
        <v>45648</v>
      </c>
      <c r="D145" t="inlineStr">
        <is>
          <t>JÄMTLANDS LÄN</t>
        </is>
      </c>
      <c r="E145" t="inlineStr">
        <is>
          <t>BRÄCKE</t>
        </is>
      </c>
      <c r="G145" t="n">
        <v>8.5</v>
      </c>
      <c r="H145" t="n">
        <v>0</v>
      </c>
      <c r="I145" t="n">
        <v>1</v>
      </c>
      <c r="J145" t="n">
        <v>1</v>
      </c>
      <c r="K145" t="n">
        <v>1</v>
      </c>
      <c r="L145" t="n">
        <v>0</v>
      </c>
      <c r="M145" t="n">
        <v>0</v>
      </c>
      <c r="N145" t="n">
        <v>0</v>
      </c>
      <c r="O145" t="n">
        <v>2</v>
      </c>
      <c r="P145" t="n">
        <v>1</v>
      </c>
      <c r="Q145" t="n">
        <v>3</v>
      </c>
      <c r="R145" s="2" t="inlineStr">
        <is>
          <t>Rynkskinn
Vitgrynig nållav
Svavelriska</t>
        </is>
      </c>
      <c r="S145">
        <f>HYPERLINK("https://klasma.github.io/Logging_2305/artfynd/A 11002-2022 artfynd.xlsx", "A 11002-2022")</f>
        <v/>
      </c>
      <c r="T145">
        <f>HYPERLINK("https://klasma.github.io/Logging_2305/kartor/A 11002-2022 karta.png", "A 11002-2022")</f>
        <v/>
      </c>
      <c r="V145">
        <f>HYPERLINK("https://klasma.github.io/Logging_2305/klagomål/A 11002-2022 FSC-klagomål.docx", "A 11002-2022")</f>
        <v/>
      </c>
      <c r="W145">
        <f>HYPERLINK("https://klasma.github.io/Logging_2305/klagomålsmail/A 11002-2022 FSC-klagomål mail.docx", "A 11002-2022")</f>
        <v/>
      </c>
      <c r="X145">
        <f>HYPERLINK("https://klasma.github.io/Logging_2305/tillsyn/A 11002-2022 tillsynsbegäran.docx", "A 11002-2022")</f>
        <v/>
      </c>
      <c r="Y145">
        <f>HYPERLINK("https://klasma.github.io/Logging_2305/tillsynsmail/A 11002-2022 tillsynsbegäran mail.docx", "A 11002-2022")</f>
        <v/>
      </c>
    </row>
    <row r="146" ht="15" customHeight="1">
      <c r="A146" t="inlineStr">
        <is>
          <t>A 44428-2022</t>
        </is>
      </c>
      <c r="B146" s="1" t="n">
        <v>44839</v>
      </c>
      <c r="C146" s="1" t="n">
        <v>45648</v>
      </c>
      <c r="D146" t="inlineStr">
        <is>
          <t>JÄMTLANDS LÄN</t>
        </is>
      </c>
      <c r="E146" t="inlineStr">
        <is>
          <t>BRÄCKE</t>
        </is>
      </c>
      <c r="F146" t="inlineStr">
        <is>
          <t>SCA</t>
        </is>
      </c>
      <c r="G146" t="n">
        <v>4.3</v>
      </c>
      <c r="H146" t="n">
        <v>0</v>
      </c>
      <c r="I146" t="n">
        <v>2</v>
      </c>
      <c r="J146" t="n">
        <v>1</v>
      </c>
      <c r="K146" t="n">
        <v>0</v>
      </c>
      <c r="L146" t="n">
        <v>0</v>
      </c>
      <c r="M146" t="n">
        <v>0</v>
      </c>
      <c r="N146" t="n">
        <v>0</v>
      </c>
      <c r="O146" t="n">
        <v>1</v>
      </c>
      <c r="P146" t="n">
        <v>0</v>
      </c>
      <c r="Q146" t="n">
        <v>3</v>
      </c>
      <c r="R146" s="2" t="inlineStr">
        <is>
          <t>Motaggsvamp
Dropptaggsvamp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53284-2022</t>
        </is>
      </c>
      <c r="B147" s="1" t="n">
        <v>44876</v>
      </c>
      <c r="C147" s="1" t="n">
        <v>45648</v>
      </c>
      <c r="D147" t="inlineStr">
        <is>
          <t>JÄMTLANDS LÄN</t>
        </is>
      </c>
      <c r="E147" t="inlineStr">
        <is>
          <t>BRÄCKE</t>
        </is>
      </c>
      <c r="F147" t="inlineStr">
        <is>
          <t>SCA</t>
        </is>
      </c>
      <c r="G147" t="n">
        <v>10.3</v>
      </c>
      <c r="H147" t="n">
        <v>0</v>
      </c>
      <c r="I147" t="n">
        <v>0</v>
      </c>
      <c r="J147" t="n">
        <v>3</v>
      </c>
      <c r="K147" t="n">
        <v>0</v>
      </c>
      <c r="L147" t="n">
        <v>0</v>
      </c>
      <c r="M147" t="n">
        <v>0</v>
      </c>
      <c r="N147" t="n">
        <v>0</v>
      </c>
      <c r="O147" t="n">
        <v>3</v>
      </c>
      <c r="P147" t="n">
        <v>0</v>
      </c>
      <c r="Q147" t="n">
        <v>3</v>
      </c>
      <c r="R147" s="2" t="inlineStr">
        <is>
          <t>Blanksvart spiklav
Dvärgbägarlav
Kolflarnlav</t>
        </is>
      </c>
      <c r="S147">
        <f>HYPERLINK("https://klasma.github.io/Logging_2305/artfynd/A 53284-2022 artfynd.xlsx", "A 53284-2022")</f>
        <v/>
      </c>
      <c r="T147">
        <f>HYPERLINK("https://klasma.github.io/Logging_2305/kartor/A 53284-2022 karta.png", "A 53284-2022")</f>
        <v/>
      </c>
      <c r="V147">
        <f>HYPERLINK("https://klasma.github.io/Logging_2305/klagomål/A 53284-2022 FSC-klagomål.docx", "A 53284-2022")</f>
        <v/>
      </c>
      <c r="W147">
        <f>HYPERLINK("https://klasma.github.io/Logging_2305/klagomålsmail/A 53284-2022 FSC-klagomål mail.docx", "A 53284-2022")</f>
        <v/>
      </c>
      <c r="X147">
        <f>HYPERLINK("https://klasma.github.io/Logging_2305/tillsyn/A 53284-2022 tillsynsbegäran.docx", "A 53284-2022")</f>
        <v/>
      </c>
      <c r="Y147">
        <f>HYPERLINK("https://klasma.github.io/Logging_2305/tillsynsmail/A 53284-2022 tillsynsbegäran mail.docx", "A 53284-2022")</f>
        <v/>
      </c>
    </row>
    <row r="148" ht="15" customHeight="1">
      <c r="A148" t="inlineStr">
        <is>
          <t>A 32725-2023</t>
        </is>
      </c>
      <c r="B148" s="1" t="n">
        <v>45121</v>
      </c>
      <c r="C148" s="1" t="n">
        <v>45648</v>
      </c>
      <c r="D148" t="inlineStr">
        <is>
          <t>JÄMTLANDS LÄN</t>
        </is>
      </c>
      <c r="E148" t="inlineStr">
        <is>
          <t>BRÄCKE</t>
        </is>
      </c>
      <c r="F148" t="inlineStr">
        <is>
          <t>SCA</t>
        </is>
      </c>
      <c r="G148" t="n">
        <v>10.9</v>
      </c>
      <c r="H148" t="n">
        <v>1</v>
      </c>
      <c r="I148" t="n">
        <v>0</v>
      </c>
      <c r="J148" t="n">
        <v>3</v>
      </c>
      <c r="K148" t="n">
        <v>0</v>
      </c>
      <c r="L148" t="n">
        <v>0</v>
      </c>
      <c r="M148" t="n">
        <v>0</v>
      </c>
      <c r="N148" t="n">
        <v>0</v>
      </c>
      <c r="O148" t="n">
        <v>3</v>
      </c>
      <c r="P148" t="n">
        <v>0</v>
      </c>
      <c r="Q148" t="n">
        <v>3</v>
      </c>
      <c r="R148" s="2" t="inlineStr">
        <is>
          <t>Doftskinn
Garnlav
Tretåig hackspett</t>
        </is>
      </c>
      <c r="S148">
        <f>HYPERLINK("https://klasma.github.io/Logging_2305/artfynd/A 32725-2023 artfynd.xlsx", "A 32725-2023")</f>
        <v/>
      </c>
      <c r="T148">
        <f>HYPERLINK("https://klasma.github.io/Logging_2305/kartor/A 32725-2023 karta.png", "A 32725-2023")</f>
        <v/>
      </c>
      <c r="V148">
        <f>HYPERLINK("https://klasma.github.io/Logging_2305/klagomål/A 32725-2023 FSC-klagomål.docx", "A 32725-2023")</f>
        <v/>
      </c>
      <c r="W148">
        <f>HYPERLINK("https://klasma.github.io/Logging_2305/klagomålsmail/A 32725-2023 FSC-klagomål mail.docx", "A 32725-2023")</f>
        <v/>
      </c>
      <c r="X148">
        <f>HYPERLINK("https://klasma.github.io/Logging_2305/tillsyn/A 32725-2023 tillsynsbegäran.docx", "A 32725-2023")</f>
        <v/>
      </c>
      <c r="Y148">
        <f>HYPERLINK("https://klasma.github.io/Logging_2305/tillsynsmail/A 32725-2023 tillsynsbegäran mail.docx", "A 32725-2023")</f>
        <v/>
      </c>
      <c r="Z148">
        <f>HYPERLINK("https://klasma.github.io/Logging_2305/fåglar/A 32725-2023 prioriterade fågelarter.docx", "A 32725-2023")</f>
        <v/>
      </c>
    </row>
    <row r="149" ht="15" customHeight="1">
      <c r="A149" t="inlineStr">
        <is>
          <t>A 40406-2023</t>
        </is>
      </c>
      <c r="B149" s="1" t="n">
        <v>45169</v>
      </c>
      <c r="C149" s="1" t="n">
        <v>45648</v>
      </c>
      <c r="D149" t="inlineStr">
        <is>
          <t>JÄMTLANDS LÄN</t>
        </is>
      </c>
      <c r="E149" t="inlineStr">
        <is>
          <t>BRÄCKE</t>
        </is>
      </c>
      <c r="G149" t="n">
        <v>8.1</v>
      </c>
      <c r="H149" t="n">
        <v>0</v>
      </c>
      <c r="I149" t="n">
        <v>2</v>
      </c>
      <c r="J149" t="n">
        <v>0</v>
      </c>
      <c r="K149" t="n">
        <v>1</v>
      </c>
      <c r="L149" t="n">
        <v>0</v>
      </c>
      <c r="M149" t="n">
        <v>0</v>
      </c>
      <c r="N149" t="n">
        <v>0</v>
      </c>
      <c r="O149" t="n">
        <v>1</v>
      </c>
      <c r="P149" t="n">
        <v>1</v>
      </c>
      <c r="Q149" t="n">
        <v>3</v>
      </c>
      <c r="R149" s="2" t="inlineStr">
        <is>
          <t>Gräddporing
Dropptaggsvamp
Gräsull</t>
        </is>
      </c>
      <c r="S149">
        <f>HYPERLINK("https://klasma.github.io/Logging_2305/artfynd/A 40406-2023 artfynd.xlsx", "A 40406-2023")</f>
        <v/>
      </c>
      <c r="T149">
        <f>HYPERLINK("https://klasma.github.io/Logging_2305/kartor/A 40406-2023 karta.png", "A 40406-2023")</f>
        <v/>
      </c>
      <c r="V149">
        <f>HYPERLINK("https://klasma.github.io/Logging_2305/klagomål/A 40406-2023 FSC-klagomål.docx", "A 40406-2023")</f>
        <v/>
      </c>
      <c r="W149">
        <f>HYPERLINK("https://klasma.github.io/Logging_2305/klagomålsmail/A 40406-2023 FSC-klagomål mail.docx", "A 40406-2023")</f>
        <v/>
      </c>
      <c r="X149">
        <f>HYPERLINK("https://klasma.github.io/Logging_2305/tillsyn/A 40406-2023 tillsynsbegäran.docx", "A 40406-2023")</f>
        <v/>
      </c>
      <c r="Y149">
        <f>HYPERLINK("https://klasma.github.io/Logging_2305/tillsynsmail/A 40406-2023 tillsynsbegäran mail.docx", "A 40406-2023")</f>
        <v/>
      </c>
    </row>
    <row r="150" ht="15" customHeight="1">
      <c r="A150" t="inlineStr">
        <is>
          <t>A 40827-2023</t>
        </is>
      </c>
      <c r="B150" s="1" t="n">
        <v>45171</v>
      </c>
      <c r="C150" s="1" t="n">
        <v>45648</v>
      </c>
      <c r="D150" t="inlineStr">
        <is>
          <t>JÄMTLANDS LÄN</t>
        </is>
      </c>
      <c r="E150" t="inlineStr">
        <is>
          <t>BRÄCKE</t>
        </is>
      </c>
      <c r="G150" t="n">
        <v>16.7</v>
      </c>
      <c r="H150" t="n">
        <v>2</v>
      </c>
      <c r="I150" t="n">
        <v>1</v>
      </c>
      <c r="J150" t="n">
        <v>1</v>
      </c>
      <c r="K150" t="n">
        <v>0</v>
      </c>
      <c r="L150" t="n">
        <v>0</v>
      </c>
      <c r="M150" t="n">
        <v>0</v>
      </c>
      <c r="N150" t="n">
        <v>0</v>
      </c>
      <c r="O150" t="n">
        <v>1</v>
      </c>
      <c r="P150" t="n">
        <v>0</v>
      </c>
      <c r="Q150" t="n">
        <v>3</v>
      </c>
      <c r="R150" s="2" t="inlineStr">
        <is>
          <t>Brunklöver
Plattlummer
Revlummer</t>
        </is>
      </c>
      <c r="S150">
        <f>HYPERLINK("https://klasma.github.io/Logging_2305/artfynd/A 40827-2023 artfynd.xlsx", "A 40827-2023")</f>
        <v/>
      </c>
      <c r="T150">
        <f>HYPERLINK("https://klasma.github.io/Logging_2305/kartor/A 40827-2023 karta.png", "A 40827-2023")</f>
        <v/>
      </c>
      <c r="V150">
        <f>HYPERLINK("https://klasma.github.io/Logging_2305/klagomål/A 40827-2023 FSC-klagomål.docx", "A 40827-2023")</f>
        <v/>
      </c>
      <c r="W150">
        <f>HYPERLINK("https://klasma.github.io/Logging_2305/klagomålsmail/A 40827-2023 FSC-klagomål mail.docx", "A 40827-2023")</f>
        <v/>
      </c>
      <c r="X150">
        <f>HYPERLINK("https://klasma.github.io/Logging_2305/tillsyn/A 40827-2023 tillsynsbegäran.docx", "A 40827-2023")</f>
        <v/>
      </c>
      <c r="Y150">
        <f>HYPERLINK("https://klasma.github.io/Logging_2305/tillsynsmail/A 40827-2023 tillsynsbegäran mail.docx", "A 40827-2023")</f>
        <v/>
      </c>
    </row>
    <row r="151" ht="15" customHeight="1">
      <c r="A151" t="inlineStr">
        <is>
          <t>A 41648-2023</t>
        </is>
      </c>
      <c r="B151" s="1" t="n">
        <v>45175</v>
      </c>
      <c r="C151" s="1" t="n">
        <v>45648</v>
      </c>
      <c r="D151" t="inlineStr">
        <is>
          <t>JÄMTLANDS LÄN</t>
        </is>
      </c>
      <c r="E151" t="inlineStr">
        <is>
          <t>BRÄCKE</t>
        </is>
      </c>
      <c r="F151" t="inlineStr">
        <is>
          <t>SCA</t>
        </is>
      </c>
      <c r="G151" t="n">
        <v>6.7</v>
      </c>
      <c r="H151" t="n">
        <v>2</v>
      </c>
      <c r="I151" t="n">
        <v>1</v>
      </c>
      <c r="J151" t="n">
        <v>1</v>
      </c>
      <c r="K151" t="n">
        <v>1</v>
      </c>
      <c r="L151" t="n">
        <v>0</v>
      </c>
      <c r="M151" t="n">
        <v>0</v>
      </c>
      <c r="N151" t="n">
        <v>0</v>
      </c>
      <c r="O151" t="n">
        <v>2</v>
      </c>
      <c r="P151" t="n">
        <v>1</v>
      </c>
      <c r="Q151" t="n">
        <v>3</v>
      </c>
      <c r="R151" s="2" t="inlineStr">
        <is>
          <t>Knärot
Flattoppad klubbsvamp
Spindelblomster</t>
        </is>
      </c>
      <c r="S151">
        <f>HYPERLINK("https://klasma.github.io/Logging_2305/artfynd/A 41648-2023 artfynd.xlsx", "A 41648-2023")</f>
        <v/>
      </c>
      <c r="T151">
        <f>HYPERLINK("https://klasma.github.io/Logging_2305/kartor/A 41648-2023 karta.png", "A 41648-2023")</f>
        <v/>
      </c>
      <c r="U151">
        <f>HYPERLINK("https://klasma.github.io/Logging_2305/knärot/A 41648-2023 karta knärot.png", "A 41648-2023")</f>
        <v/>
      </c>
      <c r="V151">
        <f>HYPERLINK("https://klasma.github.io/Logging_2305/klagomål/A 41648-2023 FSC-klagomål.docx", "A 41648-2023")</f>
        <v/>
      </c>
      <c r="W151">
        <f>HYPERLINK("https://klasma.github.io/Logging_2305/klagomålsmail/A 41648-2023 FSC-klagomål mail.docx", "A 41648-2023")</f>
        <v/>
      </c>
      <c r="X151">
        <f>HYPERLINK("https://klasma.github.io/Logging_2305/tillsyn/A 41648-2023 tillsynsbegäran.docx", "A 41648-2023")</f>
        <v/>
      </c>
      <c r="Y151">
        <f>HYPERLINK("https://klasma.github.io/Logging_2305/tillsynsmail/A 41648-2023 tillsynsbegäran mail.docx", "A 41648-2023")</f>
        <v/>
      </c>
    </row>
    <row r="152" ht="15" customHeight="1">
      <c r="A152" t="inlineStr">
        <is>
          <t>A 48067-2023</t>
        </is>
      </c>
      <c r="B152" s="1" t="n">
        <v>45204</v>
      </c>
      <c r="C152" s="1" t="n">
        <v>45648</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Lunglav
Gytterlav
Korallblylav</t>
        </is>
      </c>
      <c r="S152">
        <f>HYPERLINK("https://klasma.github.io/Logging_2305/artfynd/A 48067-2023 artfynd.xlsx", "A 48067-2023")</f>
        <v/>
      </c>
      <c r="T152">
        <f>HYPERLINK("https://klasma.github.io/Logging_2305/kartor/A 48067-2023 karta.png", "A 48067-2023")</f>
        <v/>
      </c>
      <c r="V152">
        <f>HYPERLINK("https://klasma.github.io/Logging_2305/klagomål/A 48067-2023 FSC-klagomål.docx", "A 48067-2023")</f>
        <v/>
      </c>
      <c r="W152">
        <f>HYPERLINK("https://klasma.github.io/Logging_2305/klagomålsmail/A 48067-2023 FSC-klagomål mail.docx", "A 48067-2023")</f>
        <v/>
      </c>
      <c r="X152">
        <f>HYPERLINK("https://klasma.github.io/Logging_2305/tillsyn/A 48067-2023 tillsynsbegäran.docx", "A 48067-2023")</f>
        <v/>
      </c>
      <c r="Y152">
        <f>HYPERLINK("https://klasma.github.io/Logging_2305/tillsynsmail/A 48067-2023 tillsynsbegäran mail.docx", "A 48067-2023")</f>
        <v/>
      </c>
    </row>
    <row r="153" ht="15" customHeight="1">
      <c r="A153" t="inlineStr">
        <is>
          <t>A 1279-2024</t>
        </is>
      </c>
      <c r="B153" s="1" t="n">
        <v>45302</v>
      </c>
      <c r="C153" s="1" t="n">
        <v>45648</v>
      </c>
      <c r="D153" t="inlineStr">
        <is>
          <t>JÄMTLANDS LÄN</t>
        </is>
      </c>
      <c r="E153" t="inlineStr">
        <is>
          <t>BRÄCKE</t>
        </is>
      </c>
      <c r="F153" t="inlineStr">
        <is>
          <t>SCA</t>
        </is>
      </c>
      <c r="G153" t="n">
        <v>16.1</v>
      </c>
      <c r="H153" t="n">
        <v>1</v>
      </c>
      <c r="I153" t="n">
        <v>0</v>
      </c>
      <c r="J153" t="n">
        <v>2</v>
      </c>
      <c r="K153" t="n">
        <v>1</v>
      </c>
      <c r="L153" t="n">
        <v>0</v>
      </c>
      <c r="M153" t="n">
        <v>0</v>
      </c>
      <c r="N153" t="n">
        <v>0</v>
      </c>
      <c r="O153" t="n">
        <v>3</v>
      </c>
      <c r="P153" t="n">
        <v>1</v>
      </c>
      <c r="Q153" t="n">
        <v>3</v>
      </c>
      <c r="R153" s="2" t="inlineStr">
        <is>
          <t>Åsstarr
Månlåsbräken
Smålom</t>
        </is>
      </c>
      <c r="S153">
        <f>HYPERLINK("https://klasma.github.io/Logging_2305/artfynd/A 1279-2024 artfynd.xlsx", "A 1279-2024")</f>
        <v/>
      </c>
      <c r="T153">
        <f>HYPERLINK("https://klasma.github.io/Logging_2305/kartor/A 1279-2024 karta.png", "A 1279-2024")</f>
        <v/>
      </c>
      <c r="V153">
        <f>HYPERLINK("https://klasma.github.io/Logging_2305/klagomål/A 1279-2024 FSC-klagomål.docx", "A 1279-2024")</f>
        <v/>
      </c>
      <c r="W153">
        <f>HYPERLINK("https://klasma.github.io/Logging_2305/klagomålsmail/A 1279-2024 FSC-klagomål mail.docx", "A 1279-2024")</f>
        <v/>
      </c>
      <c r="X153">
        <f>HYPERLINK("https://klasma.github.io/Logging_2305/tillsyn/A 1279-2024 tillsynsbegäran.docx", "A 1279-2024")</f>
        <v/>
      </c>
      <c r="Y153">
        <f>HYPERLINK("https://klasma.github.io/Logging_2305/tillsynsmail/A 1279-2024 tillsynsbegäran mail.docx", "A 1279-2024")</f>
        <v/>
      </c>
      <c r="Z153">
        <f>HYPERLINK("https://klasma.github.io/Logging_2305/fåglar/A 1279-2024 prioriterade fågelarter.docx", "A 1279-2024")</f>
        <v/>
      </c>
    </row>
    <row r="154" ht="15" customHeight="1">
      <c r="A154" t="inlineStr">
        <is>
          <t>A 2061-2024</t>
        </is>
      </c>
      <c r="B154" s="1" t="n">
        <v>45308</v>
      </c>
      <c r="C154" s="1" t="n">
        <v>45648</v>
      </c>
      <c r="D154" t="inlineStr">
        <is>
          <t>JÄMTLANDS LÄN</t>
        </is>
      </c>
      <c r="E154" t="inlineStr">
        <is>
          <t>BRÄCKE</t>
        </is>
      </c>
      <c r="F154" t="inlineStr">
        <is>
          <t>SCA</t>
        </is>
      </c>
      <c r="G154" t="n">
        <v>3.5</v>
      </c>
      <c r="H154" t="n">
        <v>0</v>
      </c>
      <c r="I154" t="n">
        <v>1</v>
      </c>
      <c r="J154" t="n">
        <v>2</v>
      </c>
      <c r="K154" t="n">
        <v>0</v>
      </c>
      <c r="L154" t="n">
        <v>0</v>
      </c>
      <c r="M154" t="n">
        <v>0</v>
      </c>
      <c r="N154" t="n">
        <v>0</v>
      </c>
      <c r="O154" t="n">
        <v>2</v>
      </c>
      <c r="P154" t="n">
        <v>0</v>
      </c>
      <c r="Q154" t="n">
        <v>3</v>
      </c>
      <c r="R154" s="2" t="inlineStr">
        <is>
          <t>Lunglav
Stiftgelélav
Skinnlav</t>
        </is>
      </c>
      <c r="S154">
        <f>HYPERLINK("https://klasma.github.io/Logging_2305/artfynd/A 2061-2024 artfynd.xlsx", "A 2061-2024")</f>
        <v/>
      </c>
      <c r="T154">
        <f>HYPERLINK("https://klasma.github.io/Logging_2305/kartor/A 2061-2024 karta.png", "A 2061-2024")</f>
        <v/>
      </c>
      <c r="V154">
        <f>HYPERLINK("https://klasma.github.io/Logging_2305/klagomål/A 2061-2024 FSC-klagomål.docx", "A 2061-2024")</f>
        <v/>
      </c>
      <c r="W154">
        <f>HYPERLINK("https://klasma.github.io/Logging_2305/klagomålsmail/A 2061-2024 FSC-klagomål mail.docx", "A 2061-2024")</f>
        <v/>
      </c>
      <c r="X154">
        <f>HYPERLINK("https://klasma.github.io/Logging_2305/tillsyn/A 2061-2024 tillsynsbegäran.docx", "A 2061-2024")</f>
        <v/>
      </c>
      <c r="Y154">
        <f>HYPERLINK("https://klasma.github.io/Logging_2305/tillsynsmail/A 2061-2024 tillsynsbegäran mail.docx", "A 2061-2024")</f>
        <v/>
      </c>
    </row>
    <row r="155" ht="15" customHeight="1">
      <c r="A155" t="inlineStr">
        <is>
          <t>A 19336-2024</t>
        </is>
      </c>
      <c r="B155" s="1" t="n">
        <v>45429</v>
      </c>
      <c r="C155" s="1" t="n">
        <v>45648</v>
      </c>
      <c r="D155" t="inlineStr">
        <is>
          <t>JÄMTLANDS LÄN</t>
        </is>
      </c>
      <c r="E155" t="inlineStr">
        <is>
          <t>BRÄCKE</t>
        </is>
      </c>
      <c r="F155" t="inlineStr">
        <is>
          <t>SCA</t>
        </is>
      </c>
      <c r="G155" t="n">
        <v>5.8</v>
      </c>
      <c r="H155" t="n">
        <v>1</v>
      </c>
      <c r="I155" t="n">
        <v>0</v>
      </c>
      <c r="J155" t="n">
        <v>3</v>
      </c>
      <c r="K155" t="n">
        <v>0</v>
      </c>
      <c r="L155" t="n">
        <v>0</v>
      </c>
      <c r="M155" t="n">
        <v>0</v>
      </c>
      <c r="N155" t="n">
        <v>0</v>
      </c>
      <c r="O155" t="n">
        <v>3</v>
      </c>
      <c r="P155" t="n">
        <v>0</v>
      </c>
      <c r="Q155" t="n">
        <v>3</v>
      </c>
      <c r="R155" s="2" t="inlineStr">
        <is>
          <t>Granticka
Lunglav
Spillkråka</t>
        </is>
      </c>
      <c r="S155">
        <f>HYPERLINK("https://klasma.github.io/Logging_2305/artfynd/A 19336-2024 artfynd.xlsx", "A 19336-2024")</f>
        <v/>
      </c>
      <c r="T155">
        <f>HYPERLINK("https://klasma.github.io/Logging_2305/kartor/A 19336-2024 karta.png", "A 19336-2024")</f>
        <v/>
      </c>
      <c r="V155">
        <f>HYPERLINK("https://klasma.github.io/Logging_2305/klagomål/A 19336-2024 FSC-klagomål.docx", "A 19336-2024")</f>
        <v/>
      </c>
      <c r="W155">
        <f>HYPERLINK("https://klasma.github.io/Logging_2305/klagomålsmail/A 19336-2024 FSC-klagomål mail.docx", "A 19336-2024")</f>
        <v/>
      </c>
      <c r="X155">
        <f>HYPERLINK("https://klasma.github.io/Logging_2305/tillsyn/A 19336-2024 tillsynsbegäran.docx", "A 19336-2024")</f>
        <v/>
      </c>
      <c r="Y155">
        <f>HYPERLINK("https://klasma.github.io/Logging_2305/tillsynsmail/A 19336-2024 tillsynsbegäran mail.docx", "A 19336-2024")</f>
        <v/>
      </c>
      <c r="Z155">
        <f>HYPERLINK("https://klasma.github.io/Logging_2305/fåglar/A 19336-2024 prioriterade fågelarter.docx", "A 19336-2024")</f>
        <v/>
      </c>
    </row>
    <row r="156" ht="15" customHeight="1">
      <c r="A156" t="inlineStr">
        <is>
          <t>A 21851-2024</t>
        </is>
      </c>
      <c r="B156" s="1" t="n">
        <v>45443</v>
      </c>
      <c r="C156" s="1" t="n">
        <v>45648</v>
      </c>
      <c r="D156" t="inlineStr">
        <is>
          <t>JÄMTLANDS LÄN</t>
        </is>
      </c>
      <c r="E156" t="inlineStr">
        <is>
          <t>BRÄCKE</t>
        </is>
      </c>
      <c r="F156" t="inlineStr">
        <is>
          <t>SCA</t>
        </is>
      </c>
      <c r="G156" t="n">
        <v>5</v>
      </c>
      <c r="H156" t="n">
        <v>0</v>
      </c>
      <c r="I156" t="n">
        <v>0</v>
      </c>
      <c r="J156" t="n">
        <v>2</v>
      </c>
      <c r="K156" t="n">
        <v>1</v>
      </c>
      <c r="L156" t="n">
        <v>0</v>
      </c>
      <c r="M156" t="n">
        <v>0</v>
      </c>
      <c r="N156" t="n">
        <v>0</v>
      </c>
      <c r="O156" t="n">
        <v>3</v>
      </c>
      <c r="P156" t="n">
        <v>1</v>
      </c>
      <c r="Q156" t="n">
        <v>3</v>
      </c>
      <c r="R156" s="2" t="inlineStr">
        <is>
          <t>Gräddporing
Dvärgbägarlav
Vaddporing</t>
        </is>
      </c>
      <c r="S156">
        <f>HYPERLINK("https://klasma.github.io/Logging_2305/artfynd/A 21851-2024 artfynd.xlsx", "A 21851-2024")</f>
        <v/>
      </c>
      <c r="T156">
        <f>HYPERLINK("https://klasma.github.io/Logging_2305/kartor/A 21851-2024 karta.png", "A 21851-2024")</f>
        <v/>
      </c>
      <c r="V156">
        <f>HYPERLINK("https://klasma.github.io/Logging_2305/klagomål/A 21851-2024 FSC-klagomål.docx", "A 21851-2024")</f>
        <v/>
      </c>
      <c r="W156">
        <f>HYPERLINK("https://klasma.github.io/Logging_2305/klagomålsmail/A 21851-2024 FSC-klagomål mail.docx", "A 21851-2024")</f>
        <v/>
      </c>
      <c r="X156">
        <f>HYPERLINK("https://klasma.github.io/Logging_2305/tillsyn/A 21851-2024 tillsynsbegäran.docx", "A 21851-2024")</f>
        <v/>
      </c>
      <c r="Y156">
        <f>HYPERLINK("https://klasma.github.io/Logging_2305/tillsynsmail/A 21851-2024 tillsynsbegäran mail.docx", "A 21851-2024")</f>
        <v/>
      </c>
    </row>
    <row r="157" ht="15" customHeight="1">
      <c r="A157" t="inlineStr">
        <is>
          <t>A 25717-2024</t>
        </is>
      </c>
      <c r="B157" s="1" t="n">
        <v>45464</v>
      </c>
      <c r="C157" s="1" t="n">
        <v>45648</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29455-2024</t>
        </is>
      </c>
      <c r="B158" s="1" t="n">
        <v>45484</v>
      </c>
      <c r="C158" s="1" t="n">
        <v>45648</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29690-2024</t>
        </is>
      </c>
      <c r="B159" s="1" t="n">
        <v>45485</v>
      </c>
      <c r="C159" s="1" t="n">
        <v>45648</v>
      </c>
      <c r="D159" t="inlineStr">
        <is>
          <t>JÄMTLANDS LÄN</t>
        </is>
      </c>
      <c r="E159" t="inlineStr">
        <is>
          <t>BRÄCKE</t>
        </is>
      </c>
      <c r="F159" t="inlineStr">
        <is>
          <t>SCA</t>
        </is>
      </c>
      <c r="G159" t="n">
        <v>12.7</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29690-2024 artfynd.xlsx", "A 29690-2024")</f>
        <v/>
      </c>
      <c r="T159">
        <f>HYPERLINK("https://klasma.github.io/Logging_2305/kartor/A 29690-2024 karta.png", "A 29690-2024")</f>
        <v/>
      </c>
      <c r="V159">
        <f>HYPERLINK("https://klasma.github.io/Logging_2305/klagomål/A 29690-2024 FSC-klagomål.docx", "A 29690-2024")</f>
        <v/>
      </c>
      <c r="W159">
        <f>HYPERLINK("https://klasma.github.io/Logging_2305/klagomålsmail/A 29690-2024 FSC-klagomål mail.docx", "A 29690-2024")</f>
        <v/>
      </c>
      <c r="X159">
        <f>HYPERLINK("https://klasma.github.io/Logging_2305/tillsyn/A 29690-2024 tillsynsbegäran.docx", "A 29690-2024")</f>
        <v/>
      </c>
      <c r="Y159">
        <f>HYPERLINK("https://klasma.github.io/Logging_2305/tillsynsmail/A 29690-2024 tillsynsbegäran mail.docx", "A 29690-2024")</f>
        <v/>
      </c>
    </row>
    <row r="160" ht="15" customHeight="1">
      <c r="A160" t="inlineStr">
        <is>
          <t>A 29689-2024</t>
        </is>
      </c>
      <c r="B160" s="1" t="n">
        <v>45485</v>
      </c>
      <c r="C160" s="1" t="n">
        <v>45648</v>
      </c>
      <c r="D160" t="inlineStr">
        <is>
          <t>JÄMTLANDS LÄN</t>
        </is>
      </c>
      <c r="E160" t="inlineStr">
        <is>
          <t>BRÄCKE</t>
        </is>
      </c>
      <c r="F160" t="inlineStr">
        <is>
          <t>SCA</t>
        </is>
      </c>
      <c r="G160" t="n">
        <v>6.3</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29689-2024 artfynd.xlsx", "A 29689-2024")</f>
        <v/>
      </c>
      <c r="T160">
        <f>HYPERLINK("https://klasma.github.io/Logging_2305/kartor/A 29689-2024 karta.png", "A 29689-2024")</f>
        <v/>
      </c>
      <c r="V160">
        <f>HYPERLINK("https://klasma.github.io/Logging_2305/klagomål/A 29689-2024 FSC-klagomål.docx", "A 29689-2024")</f>
        <v/>
      </c>
      <c r="W160">
        <f>HYPERLINK("https://klasma.github.io/Logging_2305/klagomålsmail/A 29689-2024 FSC-klagomål mail.docx", "A 29689-2024")</f>
        <v/>
      </c>
      <c r="X160">
        <f>HYPERLINK("https://klasma.github.io/Logging_2305/tillsyn/A 29689-2024 tillsynsbegäran.docx", "A 29689-2024")</f>
        <v/>
      </c>
      <c r="Y160">
        <f>HYPERLINK("https://klasma.github.io/Logging_2305/tillsynsmail/A 29689-2024 tillsynsbegäran mail.docx", "A 29689-2024")</f>
        <v/>
      </c>
    </row>
    <row r="161" ht="15" customHeight="1">
      <c r="A161" t="inlineStr">
        <is>
          <t>A 30989-2024</t>
        </is>
      </c>
      <c r="B161" s="1" t="n">
        <v>45499</v>
      </c>
      <c r="C161" s="1" t="n">
        <v>45648</v>
      </c>
      <c r="D161" t="inlineStr">
        <is>
          <t>JÄMTLANDS LÄN</t>
        </is>
      </c>
      <c r="E161" t="inlineStr">
        <is>
          <t>BRÄCKE</t>
        </is>
      </c>
      <c r="F161" t="inlineStr">
        <is>
          <t>Sveaskog</t>
        </is>
      </c>
      <c r="G161" t="n">
        <v>2.5</v>
      </c>
      <c r="H161" t="n">
        <v>1</v>
      </c>
      <c r="I161" t="n">
        <v>1</v>
      </c>
      <c r="J161" t="n">
        <v>2</v>
      </c>
      <c r="K161" t="n">
        <v>0</v>
      </c>
      <c r="L161" t="n">
        <v>0</v>
      </c>
      <c r="M161" t="n">
        <v>0</v>
      </c>
      <c r="N161" t="n">
        <v>0</v>
      </c>
      <c r="O161" t="n">
        <v>2</v>
      </c>
      <c r="P161" t="n">
        <v>0</v>
      </c>
      <c r="Q161" t="n">
        <v>3</v>
      </c>
      <c r="R161" s="2" t="inlineStr">
        <is>
          <t>Lunglav
Skrovellav
Tvåblad</t>
        </is>
      </c>
      <c r="S161">
        <f>HYPERLINK("https://klasma.github.io/Logging_2305/artfynd/A 30989-2024 artfynd.xlsx", "A 30989-2024")</f>
        <v/>
      </c>
      <c r="T161">
        <f>HYPERLINK("https://klasma.github.io/Logging_2305/kartor/A 30989-2024 karta.png", "A 30989-2024")</f>
        <v/>
      </c>
      <c r="V161">
        <f>HYPERLINK("https://klasma.github.io/Logging_2305/klagomål/A 30989-2024 FSC-klagomål.docx", "A 30989-2024")</f>
        <v/>
      </c>
      <c r="W161">
        <f>HYPERLINK("https://klasma.github.io/Logging_2305/klagomålsmail/A 30989-2024 FSC-klagomål mail.docx", "A 30989-2024")</f>
        <v/>
      </c>
      <c r="X161">
        <f>HYPERLINK("https://klasma.github.io/Logging_2305/tillsyn/A 30989-2024 tillsynsbegäran.docx", "A 30989-2024")</f>
        <v/>
      </c>
      <c r="Y161">
        <f>HYPERLINK("https://klasma.github.io/Logging_2305/tillsynsmail/A 30989-2024 tillsynsbegäran mail.docx", "A 30989-2024")</f>
        <v/>
      </c>
    </row>
    <row r="162" ht="15" customHeight="1">
      <c r="A162" t="inlineStr">
        <is>
          <t>A 33938-2024</t>
        </is>
      </c>
      <c r="B162" s="1" t="n">
        <v>45523</v>
      </c>
      <c r="C162" s="1" t="n">
        <v>45648</v>
      </c>
      <c r="D162" t="inlineStr">
        <is>
          <t>JÄMTLANDS LÄN</t>
        </is>
      </c>
      <c r="E162" t="inlineStr">
        <is>
          <t>BRÄCKE</t>
        </is>
      </c>
      <c r="F162" t="inlineStr">
        <is>
          <t>Kommuner</t>
        </is>
      </c>
      <c r="G162" t="n">
        <v>11</v>
      </c>
      <c r="H162" t="n">
        <v>0</v>
      </c>
      <c r="I162" t="n">
        <v>3</v>
      </c>
      <c r="J162" t="n">
        <v>0</v>
      </c>
      <c r="K162" t="n">
        <v>0</v>
      </c>
      <c r="L162" t="n">
        <v>0</v>
      </c>
      <c r="M162" t="n">
        <v>0</v>
      </c>
      <c r="N162" t="n">
        <v>0</v>
      </c>
      <c r="O162" t="n">
        <v>0</v>
      </c>
      <c r="P162" t="n">
        <v>0</v>
      </c>
      <c r="Q162" t="n">
        <v>3</v>
      </c>
      <c r="R162" s="2" t="inlineStr">
        <is>
          <t>Dropptaggsvamp
Skarp dropptaggsvamp
Zontaggsvamp</t>
        </is>
      </c>
      <c r="S162">
        <f>HYPERLINK("https://klasma.github.io/Logging_2305/artfynd/A 33938-2024 artfynd.xlsx", "A 33938-2024")</f>
        <v/>
      </c>
      <c r="T162">
        <f>HYPERLINK("https://klasma.github.io/Logging_2305/kartor/A 33938-2024 karta.png", "A 33938-2024")</f>
        <v/>
      </c>
      <c r="V162">
        <f>HYPERLINK("https://klasma.github.io/Logging_2305/klagomål/A 33938-2024 FSC-klagomål.docx", "A 33938-2024")</f>
        <v/>
      </c>
      <c r="W162">
        <f>HYPERLINK("https://klasma.github.io/Logging_2305/klagomålsmail/A 33938-2024 FSC-klagomål mail.docx", "A 33938-2024")</f>
        <v/>
      </c>
      <c r="X162">
        <f>HYPERLINK("https://klasma.github.io/Logging_2305/tillsyn/A 33938-2024 tillsynsbegäran.docx", "A 33938-2024")</f>
        <v/>
      </c>
      <c r="Y162">
        <f>HYPERLINK("https://klasma.github.io/Logging_2305/tillsynsmail/A 33938-2024 tillsynsbegäran mail.docx", "A 33938-2024")</f>
        <v/>
      </c>
    </row>
    <row r="163" ht="15" customHeight="1">
      <c r="A163" t="inlineStr">
        <is>
          <t>A 45991-2024</t>
        </is>
      </c>
      <c r="B163" s="1" t="n">
        <v>45580</v>
      </c>
      <c r="C163" s="1" t="n">
        <v>45648</v>
      </c>
      <c r="D163" t="inlineStr">
        <is>
          <t>JÄMTLANDS LÄN</t>
        </is>
      </c>
      <c r="E163" t="inlineStr">
        <is>
          <t>BRÄCKE</t>
        </is>
      </c>
      <c r="F163" t="inlineStr">
        <is>
          <t>SCA</t>
        </is>
      </c>
      <c r="G163" t="n">
        <v>8.6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HYPERLINK("https://klasma.github.io/Logging_2305/artfynd/A 45991-2024 artfynd.xlsx", "A 45991-2024")</f>
        <v/>
      </c>
      <c r="T163">
        <f>HYPERLINK("https://klasma.github.io/Logging_2305/kartor/A 45991-2024 karta.png", "A 45991-2024")</f>
        <v/>
      </c>
      <c r="V163">
        <f>HYPERLINK("https://klasma.github.io/Logging_2305/klagomål/A 45991-2024 FSC-klagomål.docx", "A 45991-2024")</f>
        <v/>
      </c>
      <c r="W163">
        <f>HYPERLINK("https://klasma.github.io/Logging_2305/klagomålsmail/A 45991-2024 FSC-klagomål mail.docx", "A 45991-2024")</f>
        <v/>
      </c>
      <c r="X163">
        <f>HYPERLINK("https://klasma.github.io/Logging_2305/tillsyn/A 45991-2024 tillsynsbegäran.docx", "A 45991-2024")</f>
        <v/>
      </c>
      <c r="Y163">
        <f>HYPERLINK("https://klasma.github.io/Logging_2305/tillsynsmail/A 45991-2024 tillsynsbegäran mail.docx", "A 45991-2024")</f>
        <v/>
      </c>
    </row>
    <row r="164" ht="15" customHeight="1">
      <c r="A164" t="inlineStr">
        <is>
          <t>A 49371-2024</t>
        </is>
      </c>
      <c r="B164" s="1" t="n">
        <v>45595</v>
      </c>
      <c r="C164" s="1" t="n">
        <v>45648</v>
      </c>
      <c r="D164" t="inlineStr">
        <is>
          <t>JÄMTLANDS LÄN</t>
        </is>
      </c>
      <c r="E164" t="inlineStr">
        <is>
          <t>BRÄCKE</t>
        </is>
      </c>
      <c r="F164" t="inlineStr">
        <is>
          <t>SCA</t>
        </is>
      </c>
      <c r="G164" t="n">
        <v>8.1</v>
      </c>
      <c r="H164" t="n">
        <v>0</v>
      </c>
      <c r="I164" t="n">
        <v>0</v>
      </c>
      <c r="J164" t="n">
        <v>3</v>
      </c>
      <c r="K164" t="n">
        <v>0</v>
      </c>
      <c r="L164" t="n">
        <v>0</v>
      </c>
      <c r="M164" t="n">
        <v>0</v>
      </c>
      <c r="N164" t="n">
        <v>0</v>
      </c>
      <c r="O164" t="n">
        <v>3</v>
      </c>
      <c r="P164" t="n">
        <v>0</v>
      </c>
      <c r="Q164" t="n">
        <v>3</v>
      </c>
      <c r="R164" s="2" t="inlineStr">
        <is>
          <t>Gränsticka
Lunglav
Ullticka</t>
        </is>
      </c>
      <c r="S164">
        <f>HYPERLINK("https://klasma.github.io/Logging_2305/artfynd/A 49371-2024 artfynd.xlsx", "A 49371-2024")</f>
        <v/>
      </c>
      <c r="T164">
        <f>HYPERLINK("https://klasma.github.io/Logging_2305/kartor/A 49371-2024 karta.png", "A 49371-2024")</f>
        <v/>
      </c>
      <c r="V164">
        <f>HYPERLINK("https://klasma.github.io/Logging_2305/klagomål/A 49371-2024 FSC-klagomål.docx", "A 49371-2024")</f>
        <v/>
      </c>
      <c r="W164">
        <f>HYPERLINK("https://klasma.github.io/Logging_2305/klagomålsmail/A 49371-2024 FSC-klagomål mail.docx", "A 49371-2024")</f>
        <v/>
      </c>
      <c r="X164">
        <f>HYPERLINK("https://klasma.github.io/Logging_2305/tillsyn/A 49371-2024 tillsynsbegäran.docx", "A 49371-2024")</f>
        <v/>
      </c>
      <c r="Y164">
        <f>HYPERLINK("https://klasma.github.io/Logging_2305/tillsynsmail/A 49371-2024 tillsynsbegäran mail.docx", "A 49371-2024")</f>
        <v/>
      </c>
    </row>
    <row r="165" ht="15" customHeight="1">
      <c r="A165" t="inlineStr">
        <is>
          <t>A 49560-2024</t>
        </is>
      </c>
      <c r="B165" s="1" t="n">
        <v>45596</v>
      </c>
      <c r="C165" s="1" t="n">
        <v>45648</v>
      </c>
      <c r="D165" t="inlineStr">
        <is>
          <t>JÄMTLANDS LÄN</t>
        </is>
      </c>
      <c r="E165" t="inlineStr">
        <is>
          <t>BRÄCKE</t>
        </is>
      </c>
      <c r="G165" t="n">
        <v>4.6</v>
      </c>
      <c r="H165" t="n">
        <v>1</v>
      </c>
      <c r="I165" t="n">
        <v>0</v>
      </c>
      <c r="J165" t="n">
        <v>2</v>
      </c>
      <c r="K165" t="n">
        <v>1</v>
      </c>
      <c r="L165" t="n">
        <v>0</v>
      </c>
      <c r="M165" t="n">
        <v>0</v>
      </c>
      <c r="N165" t="n">
        <v>0</v>
      </c>
      <c r="O165" t="n">
        <v>3</v>
      </c>
      <c r="P165" t="n">
        <v>1</v>
      </c>
      <c r="Q165" t="n">
        <v>3</v>
      </c>
      <c r="R165" s="2" t="inlineStr">
        <is>
          <t>Knärot
Garnlav
Lunglav</t>
        </is>
      </c>
      <c r="S165">
        <f>HYPERLINK("https://klasma.github.io/Logging_2305/artfynd/A 49560-2024 artfynd.xlsx", "A 49560-2024")</f>
        <v/>
      </c>
      <c r="T165">
        <f>HYPERLINK("https://klasma.github.io/Logging_2305/kartor/A 49560-2024 karta.png", "A 49560-2024")</f>
        <v/>
      </c>
      <c r="U165">
        <f>HYPERLINK("https://klasma.github.io/Logging_2305/knärot/A 49560-2024 karta knärot.png", "A 49560-2024")</f>
        <v/>
      </c>
      <c r="V165">
        <f>HYPERLINK("https://klasma.github.io/Logging_2305/klagomål/A 49560-2024 FSC-klagomål.docx", "A 49560-2024")</f>
        <v/>
      </c>
      <c r="W165">
        <f>HYPERLINK("https://klasma.github.io/Logging_2305/klagomålsmail/A 49560-2024 FSC-klagomål mail.docx", "A 49560-2024")</f>
        <v/>
      </c>
      <c r="X165">
        <f>HYPERLINK("https://klasma.github.io/Logging_2305/tillsyn/A 49560-2024 tillsynsbegäran.docx", "A 49560-2024")</f>
        <v/>
      </c>
      <c r="Y165">
        <f>HYPERLINK("https://klasma.github.io/Logging_2305/tillsynsmail/A 49560-2024 tillsynsbegäran mail.docx", "A 49560-2024")</f>
        <v/>
      </c>
    </row>
    <row r="166" ht="15" customHeight="1">
      <c r="A166" t="inlineStr">
        <is>
          <t>A 50616-2024</t>
        </is>
      </c>
      <c r="B166" s="1" t="n">
        <v>45601</v>
      </c>
      <c r="C166" s="1" t="n">
        <v>45648</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54967-2024</t>
        </is>
      </c>
      <c r="B167" s="1" t="n">
        <v>45620</v>
      </c>
      <c r="C167" s="1" t="n">
        <v>45648</v>
      </c>
      <c r="D167" t="inlineStr">
        <is>
          <t>JÄMTLANDS LÄN</t>
        </is>
      </c>
      <c r="E167" t="inlineStr">
        <is>
          <t>BRÄCKE</t>
        </is>
      </c>
      <c r="G167" t="n">
        <v>3.8</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54967-2024 artfynd.xlsx", "A 54967-2024")</f>
        <v/>
      </c>
      <c r="T167">
        <f>HYPERLINK("https://klasma.github.io/Logging_2305/kartor/A 54967-2024 karta.png", "A 54967-2024")</f>
        <v/>
      </c>
      <c r="V167">
        <f>HYPERLINK("https://klasma.github.io/Logging_2305/klagomål/A 54967-2024 FSC-klagomål.docx", "A 54967-2024")</f>
        <v/>
      </c>
      <c r="W167">
        <f>HYPERLINK("https://klasma.github.io/Logging_2305/klagomålsmail/A 54967-2024 FSC-klagomål mail.docx", "A 54967-2024")</f>
        <v/>
      </c>
      <c r="X167">
        <f>HYPERLINK("https://klasma.github.io/Logging_2305/tillsyn/A 54967-2024 tillsynsbegäran.docx", "A 54967-2024")</f>
        <v/>
      </c>
      <c r="Y167">
        <f>HYPERLINK("https://klasma.github.io/Logging_2305/tillsynsmail/A 54967-2024 tillsynsbegäran mail.docx", "A 54967-2024")</f>
        <v/>
      </c>
    </row>
    <row r="168" ht="15" customHeight="1">
      <c r="A168" t="inlineStr">
        <is>
          <t>A 57105-2024</t>
        </is>
      </c>
      <c r="B168" s="1" t="n">
        <v>45629</v>
      </c>
      <c r="C168" s="1" t="n">
        <v>45648</v>
      </c>
      <c r="D168" t="inlineStr">
        <is>
          <t>JÄMTLANDS LÄN</t>
        </is>
      </c>
      <c r="E168" t="inlineStr">
        <is>
          <t>BRÄCKE</t>
        </is>
      </c>
      <c r="G168" t="n">
        <v>1.7</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57105-2024 artfynd.xlsx", "A 57105-2024")</f>
        <v/>
      </c>
      <c r="T168">
        <f>HYPERLINK("https://klasma.github.io/Logging_2305/kartor/A 57105-2024 karta.png", "A 57105-2024")</f>
        <v/>
      </c>
      <c r="V168">
        <f>HYPERLINK("https://klasma.github.io/Logging_2305/klagomål/A 57105-2024 FSC-klagomål.docx", "A 57105-2024")</f>
        <v/>
      </c>
      <c r="W168">
        <f>HYPERLINK("https://klasma.github.io/Logging_2305/klagomålsmail/A 57105-2024 FSC-klagomål mail.docx", "A 57105-2024")</f>
        <v/>
      </c>
      <c r="X168">
        <f>HYPERLINK("https://klasma.github.io/Logging_2305/tillsyn/A 57105-2024 tillsynsbegäran.docx", "A 57105-2024")</f>
        <v/>
      </c>
      <c r="Y168">
        <f>HYPERLINK("https://klasma.github.io/Logging_2305/tillsynsmail/A 57105-2024 tillsynsbegäran mail.docx", "A 57105-2024")</f>
        <v/>
      </c>
    </row>
    <row r="169" ht="15" customHeight="1">
      <c r="A169" t="inlineStr">
        <is>
          <t>A 60613-2024</t>
        </is>
      </c>
      <c r="B169" s="1" t="n">
        <v>45644</v>
      </c>
      <c r="C169" s="1" t="n">
        <v>45648</v>
      </c>
      <c r="D169" t="inlineStr">
        <is>
          <t>JÄMTLANDS LÄN</t>
        </is>
      </c>
      <c r="E169" t="inlineStr">
        <is>
          <t>BRÄCKE</t>
        </is>
      </c>
      <c r="F169" t="inlineStr">
        <is>
          <t>SCA</t>
        </is>
      </c>
      <c r="G169" t="n">
        <v>16.3</v>
      </c>
      <c r="H169" t="n">
        <v>0</v>
      </c>
      <c r="I169" t="n">
        <v>1</v>
      </c>
      <c r="J169" t="n">
        <v>2</v>
      </c>
      <c r="K169" t="n">
        <v>0</v>
      </c>
      <c r="L169" t="n">
        <v>0</v>
      </c>
      <c r="M169" t="n">
        <v>0</v>
      </c>
      <c r="N169" t="n">
        <v>0</v>
      </c>
      <c r="O169" t="n">
        <v>2</v>
      </c>
      <c r="P169" t="n">
        <v>0</v>
      </c>
      <c r="Q169" t="n">
        <v>3</v>
      </c>
      <c r="R169" s="2" t="inlineStr">
        <is>
          <t>Dvärgbägarlav
Mörk kolflarnlav
Stor aspticka</t>
        </is>
      </c>
      <c r="S169">
        <f>HYPERLINK("https://klasma.github.io/Logging_2305/artfynd/A 60613-2024 artfynd.xlsx", "A 60613-2024")</f>
        <v/>
      </c>
      <c r="T169">
        <f>HYPERLINK("https://klasma.github.io/Logging_2305/kartor/A 60613-2024 karta.png", "A 60613-2024")</f>
        <v/>
      </c>
      <c r="U169">
        <f>HYPERLINK("https://klasma.github.io/Logging_2305/knärot/A 60613-2024 karta knärot.png", "A 60613-2024")</f>
        <v/>
      </c>
      <c r="V169">
        <f>HYPERLINK("https://klasma.github.io/Logging_2305/klagomål/A 60613-2024 FSC-klagomål.docx", "A 60613-2024")</f>
        <v/>
      </c>
      <c r="W169">
        <f>HYPERLINK("https://klasma.github.io/Logging_2305/klagomålsmail/A 60613-2024 FSC-klagomål mail.docx", "A 60613-2024")</f>
        <v/>
      </c>
      <c r="X169">
        <f>HYPERLINK("https://klasma.github.io/Logging_2305/tillsyn/A 60613-2024 tillsynsbegäran.docx", "A 60613-2024")</f>
        <v/>
      </c>
      <c r="Y169">
        <f>HYPERLINK("https://klasma.github.io/Logging_2305/tillsynsmail/A 60613-2024 tillsynsbegäran mail.docx", "A 60613-2024")</f>
        <v/>
      </c>
    </row>
    <row r="170" ht="15" customHeight="1">
      <c r="A170" t="inlineStr">
        <is>
          <t>A 60610-2024</t>
        </is>
      </c>
      <c r="B170" s="1" t="n">
        <v>45644</v>
      </c>
      <c r="C170" s="1" t="n">
        <v>45648</v>
      </c>
      <c r="D170" t="inlineStr">
        <is>
          <t>JÄMTLANDS LÄN</t>
        </is>
      </c>
      <c r="E170" t="inlineStr">
        <is>
          <t>BRÄCKE</t>
        </is>
      </c>
      <c r="F170" t="inlineStr">
        <is>
          <t>SCA</t>
        </is>
      </c>
      <c r="G170" t="n">
        <v>1.1</v>
      </c>
      <c r="H170" t="n">
        <v>0</v>
      </c>
      <c r="I170" t="n">
        <v>0</v>
      </c>
      <c r="J170" t="n">
        <v>3</v>
      </c>
      <c r="K170" t="n">
        <v>0</v>
      </c>
      <c r="L170" t="n">
        <v>0</v>
      </c>
      <c r="M170" t="n">
        <v>0</v>
      </c>
      <c r="N170" t="n">
        <v>0</v>
      </c>
      <c r="O170" t="n">
        <v>3</v>
      </c>
      <c r="P170" t="n">
        <v>0</v>
      </c>
      <c r="Q170" t="n">
        <v>3</v>
      </c>
      <c r="R170" s="2" t="inlineStr">
        <is>
          <t>Garnlav
Lunglav
Skrovellav</t>
        </is>
      </c>
      <c r="S170">
        <f>HYPERLINK("https://klasma.github.io/Logging_2305/artfynd/A 60610-2024 artfynd.xlsx", "A 60610-2024")</f>
        <v/>
      </c>
      <c r="T170">
        <f>HYPERLINK("https://klasma.github.io/Logging_2305/kartor/A 60610-2024 karta.png", "A 60610-2024")</f>
        <v/>
      </c>
      <c r="V170">
        <f>HYPERLINK("https://klasma.github.io/Logging_2305/klagomål/A 60610-2024 FSC-klagomål.docx", "A 60610-2024")</f>
        <v/>
      </c>
      <c r="W170">
        <f>HYPERLINK("https://klasma.github.io/Logging_2305/klagomålsmail/A 60610-2024 FSC-klagomål mail.docx", "A 60610-2024")</f>
        <v/>
      </c>
      <c r="X170">
        <f>HYPERLINK("https://klasma.github.io/Logging_2305/tillsyn/A 60610-2024 tillsynsbegäran.docx", "A 60610-2024")</f>
        <v/>
      </c>
      <c r="Y170">
        <f>HYPERLINK("https://klasma.github.io/Logging_2305/tillsynsmail/A 60610-2024 tillsynsbegäran mail.docx", "A 60610-2024")</f>
        <v/>
      </c>
    </row>
    <row r="171" ht="15" customHeight="1">
      <c r="A171" t="inlineStr">
        <is>
          <t>A 28341-2019</t>
        </is>
      </c>
      <c r="B171" s="1" t="n">
        <v>43623</v>
      </c>
      <c r="C171" s="1" t="n">
        <v>45648</v>
      </c>
      <c r="D171" t="inlineStr">
        <is>
          <t>JÄMTLANDS LÄN</t>
        </is>
      </c>
      <c r="E171" t="inlineStr">
        <is>
          <t>BRÄCKE</t>
        </is>
      </c>
      <c r="F171" t="inlineStr">
        <is>
          <t>SCA</t>
        </is>
      </c>
      <c r="G171" t="n">
        <v>5.4</v>
      </c>
      <c r="H171" t="n">
        <v>0</v>
      </c>
      <c r="I171" t="n">
        <v>1</v>
      </c>
      <c r="J171" t="n">
        <v>0</v>
      </c>
      <c r="K171" t="n">
        <v>1</v>
      </c>
      <c r="L171" t="n">
        <v>0</v>
      </c>
      <c r="M171" t="n">
        <v>0</v>
      </c>
      <c r="N171" t="n">
        <v>0</v>
      </c>
      <c r="O171" t="n">
        <v>1</v>
      </c>
      <c r="P171" t="n">
        <v>1</v>
      </c>
      <c r="Q171" t="n">
        <v>2</v>
      </c>
      <c r="R171" s="2" t="inlineStr">
        <is>
          <t>Liten hornflikmossa
Stor aspticka</t>
        </is>
      </c>
      <c r="S171">
        <f>HYPERLINK("https://klasma.github.io/Logging_2305/artfynd/A 28341-2019 artfynd.xlsx", "A 28341-2019")</f>
        <v/>
      </c>
      <c r="T171">
        <f>HYPERLINK("https://klasma.github.io/Logging_2305/kartor/A 28341-2019 karta.png", "A 28341-2019")</f>
        <v/>
      </c>
      <c r="V171">
        <f>HYPERLINK("https://klasma.github.io/Logging_2305/klagomål/A 28341-2019 FSC-klagomål.docx", "A 28341-2019")</f>
        <v/>
      </c>
      <c r="W171">
        <f>HYPERLINK("https://klasma.github.io/Logging_2305/klagomålsmail/A 28341-2019 FSC-klagomål mail.docx", "A 28341-2019")</f>
        <v/>
      </c>
      <c r="X171">
        <f>HYPERLINK("https://klasma.github.io/Logging_2305/tillsyn/A 28341-2019 tillsynsbegäran.docx", "A 28341-2019")</f>
        <v/>
      </c>
      <c r="Y171">
        <f>HYPERLINK("https://klasma.github.io/Logging_2305/tillsynsmail/A 28341-2019 tillsynsbegäran mail.docx", "A 28341-2019")</f>
        <v/>
      </c>
    </row>
    <row r="172" ht="15" customHeight="1">
      <c r="A172" t="inlineStr">
        <is>
          <t>A 48992-2019</t>
        </is>
      </c>
      <c r="B172" s="1" t="n">
        <v>43729</v>
      </c>
      <c r="C172" s="1" t="n">
        <v>45648</v>
      </c>
      <c r="D172" t="inlineStr">
        <is>
          <t>JÄMTLANDS LÄN</t>
        </is>
      </c>
      <c r="E172" t="inlineStr">
        <is>
          <t>BRÄCKE</t>
        </is>
      </c>
      <c r="F172" t="inlineStr">
        <is>
          <t>SCA</t>
        </is>
      </c>
      <c r="G172" t="n">
        <v>7.2</v>
      </c>
      <c r="H172" t="n">
        <v>0</v>
      </c>
      <c r="I172" t="n">
        <v>1</v>
      </c>
      <c r="J172" t="n">
        <v>0</v>
      </c>
      <c r="K172" t="n">
        <v>0</v>
      </c>
      <c r="L172" t="n">
        <v>1</v>
      </c>
      <c r="M172" t="n">
        <v>0</v>
      </c>
      <c r="N172" t="n">
        <v>0</v>
      </c>
      <c r="O172" t="n">
        <v>1</v>
      </c>
      <c r="P172" t="n">
        <v>1</v>
      </c>
      <c r="Q172" t="n">
        <v>2</v>
      </c>
      <c r="R172" s="2" t="inlineStr">
        <is>
          <t>Trolldruvemätare
Svart trolldruva</t>
        </is>
      </c>
      <c r="S172">
        <f>HYPERLINK("https://klasma.github.io/Logging_2305/artfynd/A 48992-2019 artfynd.xlsx", "A 48992-2019")</f>
        <v/>
      </c>
      <c r="T172">
        <f>HYPERLINK("https://klasma.github.io/Logging_2305/kartor/A 48992-2019 karta.png", "A 48992-2019")</f>
        <v/>
      </c>
      <c r="V172">
        <f>HYPERLINK("https://klasma.github.io/Logging_2305/klagomål/A 48992-2019 FSC-klagomål.docx", "A 48992-2019")</f>
        <v/>
      </c>
      <c r="W172">
        <f>HYPERLINK("https://klasma.github.io/Logging_2305/klagomålsmail/A 48992-2019 FSC-klagomål mail.docx", "A 48992-2019")</f>
        <v/>
      </c>
      <c r="X172">
        <f>HYPERLINK("https://klasma.github.io/Logging_2305/tillsyn/A 48992-2019 tillsynsbegäran.docx", "A 48992-2019")</f>
        <v/>
      </c>
      <c r="Y172">
        <f>HYPERLINK("https://klasma.github.io/Logging_2305/tillsynsmail/A 48992-2019 tillsynsbegäran mail.docx", "A 48992-2019")</f>
        <v/>
      </c>
    </row>
    <row r="173" ht="15" customHeight="1">
      <c r="A173" t="inlineStr">
        <is>
          <t>A 59325-2019</t>
        </is>
      </c>
      <c r="B173" s="1" t="n">
        <v>43775</v>
      </c>
      <c r="C173" s="1" t="n">
        <v>45648</v>
      </c>
      <c r="D173" t="inlineStr">
        <is>
          <t>JÄMTLANDS LÄN</t>
        </is>
      </c>
      <c r="E173" t="inlineStr">
        <is>
          <t>BRÄCKE</t>
        </is>
      </c>
      <c r="G173" t="n">
        <v>2.3</v>
      </c>
      <c r="H173" t="n">
        <v>0</v>
      </c>
      <c r="I173" t="n">
        <v>0</v>
      </c>
      <c r="J173" t="n">
        <v>2</v>
      </c>
      <c r="K173" t="n">
        <v>0</v>
      </c>
      <c r="L173" t="n">
        <v>0</v>
      </c>
      <c r="M173" t="n">
        <v>0</v>
      </c>
      <c r="N173" t="n">
        <v>0</v>
      </c>
      <c r="O173" t="n">
        <v>2</v>
      </c>
      <c r="P173" t="n">
        <v>0</v>
      </c>
      <c r="Q173" t="n">
        <v>2</v>
      </c>
      <c r="R173" s="2" t="inlineStr">
        <is>
          <t>Dvärgbägarlav
Vedskivlav</t>
        </is>
      </c>
      <c r="S173">
        <f>HYPERLINK("https://klasma.github.io/Logging_2305/artfynd/A 59325-2019 artfynd.xlsx", "A 59325-2019")</f>
        <v/>
      </c>
      <c r="T173">
        <f>HYPERLINK("https://klasma.github.io/Logging_2305/kartor/A 59325-2019 karta.png", "A 59325-2019")</f>
        <v/>
      </c>
      <c r="V173">
        <f>HYPERLINK("https://klasma.github.io/Logging_2305/klagomål/A 59325-2019 FSC-klagomål.docx", "A 59325-2019")</f>
        <v/>
      </c>
      <c r="W173">
        <f>HYPERLINK("https://klasma.github.io/Logging_2305/klagomålsmail/A 59325-2019 FSC-klagomål mail.docx", "A 59325-2019")</f>
        <v/>
      </c>
      <c r="X173">
        <f>HYPERLINK("https://klasma.github.io/Logging_2305/tillsyn/A 59325-2019 tillsynsbegäran.docx", "A 59325-2019")</f>
        <v/>
      </c>
      <c r="Y173">
        <f>HYPERLINK("https://klasma.github.io/Logging_2305/tillsynsmail/A 59325-2019 tillsynsbegäran mail.docx", "A 59325-2019")</f>
        <v/>
      </c>
    </row>
    <row r="174" ht="15" customHeight="1">
      <c r="A174" t="inlineStr">
        <is>
          <t>A 64471-2019</t>
        </is>
      </c>
      <c r="B174" s="1" t="n">
        <v>43797</v>
      </c>
      <c r="C174" s="1" t="n">
        <v>45648</v>
      </c>
      <c r="D174" t="inlineStr">
        <is>
          <t>JÄMTLANDS LÄN</t>
        </is>
      </c>
      <c r="E174" t="inlineStr">
        <is>
          <t>BRÄCKE</t>
        </is>
      </c>
      <c r="F174" t="inlineStr">
        <is>
          <t>SCA</t>
        </is>
      </c>
      <c r="G174" t="n">
        <v>6.4</v>
      </c>
      <c r="H174" t="n">
        <v>1</v>
      </c>
      <c r="I174" t="n">
        <v>1</v>
      </c>
      <c r="J174" t="n">
        <v>1</v>
      </c>
      <c r="K174" t="n">
        <v>0</v>
      </c>
      <c r="L174" t="n">
        <v>0</v>
      </c>
      <c r="M174" t="n">
        <v>0</v>
      </c>
      <c r="N174" t="n">
        <v>0</v>
      </c>
      <c r="O174" t="n">
        <v>1</v>
      </c>
      <c r="P174" t="n">
        <v>0</v>
      </c>
      <c r="Q174" t="n">
        <v>2</v>
      </c>
      <c r="R174" s="2" t="inlineStr">
        <is>
          <t>Garnlav
Korallrot</t>
        </is>
      </c>
      <c r="S174">
        <f>HYPERLINK("https://klasma.github.io/Logging_2305/artfynd/A 64471-2019 artfynd.xlsx", "A 64471-2019")</f>
        <v/>
      </c>
      <c r="T174">
        <f>HYPERLINK("https://klasma.github.io/Logging_2305/kartor/A 64471-2019 karta.png", "A 64471-2019")</f>
        <v/>
      </c>
      <c r="V174">
        <f>HYPERLINK("https://klasma.github.io/Logging_2305/klagomål/A 64471-2019 FSC-klagomål.docx", "A 64471-2019")</f>
        <v/>
      </c>
      <c r="W174">
        <f>HYPERLINK("https://klasma.github.io/Logging_2305/klagomålsmail/A 64471-2019 FSC-klagomål mail.docx", "A 64471-2019")</f>
        <v/>
      </c>
      <c r="X174">
        <f>HYPERLINK("https://klasma.github.io/Logging_2305/tillsyn/A 64471-2019 tillsynsbegäran.docx", "A 64471-2019")</f>
        <v/>
      </c>
      <c r="Y174">
        <f>HYPERLINK("https://klasma.github.io/Logging_2305/tillsynsmail/A 64471-2019 tillsynsbegäran mail.docx", "A 64471-2019")</f>
        <v/>
      </c>
    </row>
    <row r="175" ht="15" customHeight="1">
      <c r="A175" t="inlineStr">
        <is>
          <t>A 33664-2020</t>
        </is>
      </c>
      <c r="B175" s="1" t="n">
        <v>44026</v>
      </c>
      <c r="C175" s="1" t="n">
        <v>45648</v>
      </c>
      <c r="D175" t="inlineStr">
        <is>
          <t>JÄMTLANDS LÄN</t>
        </is>
      </c>
      <c r="E175" t="inlineStr">
        <is>
          <t>BRÄCKE</t>
        </is>
      </c>
      <c r="G175" t="n">
        <v>6.3</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33664-2020 artfynd.xlsx", "A 33664-2020")</f>
        <v/>
      </c>
      <c r="T175">
        <f>HYPERLINK("https://klasma.github.io/Logging_2305/kartor/A 33664-2020 karta.png", "A 33664-2020")</f>
        <v/>
      </c>
      <c r="U175">
        <f>HYPERLINK("https://klasma.github.io/Logging_2305/knärot/A 33664-2020 karta knärot.png", "A 33664-2020")</f>
        <v/>
      </c>
      <c r="V175">
        <f>HYPERLINK("https://klasma.github.io/Logging_2305/klagomål/A 33664-2020 FSC-klagomål.docx", "A 33664-2020")</f>
        <v/>
      </c>
      <c r="W175">
        <f>HYPERLINK("https://klasma.github.io/Logging_2305/klagomålsmail/A 33664-2020 FSC-klagomål mail.docx", "A 33664-2020")</f>
        <v/>
      </c>
      <c r="X175">
        <f>HYPERLINK("https://klasma.github.io/Logging_2305/tillsyn/A 33664-2020 tillsynsbegäran.docx", "A 33664-2020")</f>
        <v/>
      </c>
      <c r="Y175">
        <f>HYPERLINK("https://klasma.github.io/Logging_2305/tillsynsmail/A 33664-2020 tillsynsbegäran mail.docx", "A 33664-2020")</f>
        <v/>
      </c>
    </row>
    <row r="176" ht="15" customHeight="1">
      <c r="A176" t="inlineStr">
        <is>
          <t>A 38458-2020</t>
        </is>
      </c>
      <c r="B176" s="1" t="n">
        <v>44060</v>
      </c>
      <c r="C176" s="1" t="n">
        <v>45648</v>
      </c>
      <c r="D176" t="inlineStr">
        <is>
          <t>JÄMTLANDS LÄN</t>
        </is>
      </c>
      <c r="E176" t="inlineStr">
        <is>
          <t>BRÄCKE</t>
        </is>
      </c>
      <c r="G176" t="n">
        <v>5.4</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38458-2020 artfynd.xlsx", "A 38458-2020")</f>
        <v/>
      </c>
      <c r="T176">
        <f>HYPERLINK("https://klasma.github.io/Logging_2305/kartor/A 38458-2020 karta.png", "A 38458-2020")</f>
        <v/>
      </c>
      <c r="V176">
        <f>HYPERLINK("https://klasma.github.io/Logging_2305/klagomål/A 38458-2020 FSC-klagomål.docx", "A 38458-2020")</f>
        <v/>
      </c>
      <c r="W176">
        <f>HYPERLINK("https://klasma.github.io/Logging_2305/klagomålsmail/A 38458-2020 FSC-klagomål mail.docx", "A 38458-2020")</f>
        <v/>
      </c>
      <c r="X176">
        <f>HYPERLINK("https://klasma.github.io/Logging_2305/tillsyn/A 38458-2020 tillsynsbegäran.docx", "A 38458-2020")</f>
        <v/>
      </c>
      <c r="Y176">
        <f>HYPERLINK("https://klasma.github.io/Logging_2305/tillsynsmail/A 38458-2020 tillsynsbegäran mail.docx", "A 38458-2020")</f>
        <v/>
      </c>
    </row>
    <row r="177" ht="15" customHeight="1">
      <c r="A177" t="inlineStr">
        <is>
          <t>A 25696-2021</t>
        </is>
      </c>
      <c r="B177" s="1" t="n">
        <v>44343</v>
      </c>
      <c r="C177" s="1" t="n">
        <v>45648</v>
      </c>
      <c r="D177" t="inlineStr">
        <is>
          <t>JÄMTLANDS LÄN</t>
        </is>
      </c>
      <c r="E177" t="inlineStr">
        <is>
          <t>BRÄCKE</t>
        </is>
      </c>
      <c r="G177" t="n">
        <v>13.4</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25696-2021 artfynd.xlsx", "A 25696-2021")</f>
        <v/>
      </c>
      <c r="T177">
        <f>HYPERLINK("https://klasma.github.io/Logging_2305/kartor/A 25696-2021 karta.png", "A 25696-2021")</f>
        <v/>
      </c>
      <c r="V177">
        <f>HYPERLINK("https://klasma.github.io/Logging_2305/klagomål/A 25696-2021 FSC-klagomål.docx", "A 25696-2021")</f>
        <v/>
      </c>
      <c r="W177">
        <f>HYPERLINK("https://klasma.github.io/Logging_2305/klagomålsmail/A 25696-2021 FSC-klagomål mail.docx", "A 25696-2021")</f>
        <v/>
      </c>
      <c r="X177">
        <f>HYPERLINK("https://klasma.github.io/Logging_2305/tillsyn/A 25696-2021 tillsynsbegäran.docx", "A 25696-2021")</f>
        <v/>
      </c>
      <c r="Y177">
        <f>HYPERLINK("https://klasma.github.io/Logging_2305/tillsynsmail/A 25696-2021 tillsynsbegäran mail.docx", "A 25696-2021")</f>
        <v/>
      </c>
    </row>
    <row r="178" ht="15" customHeight="1">
      <c r="A178" t="inlineStr">
        <is>
          <t>A 36456-2021</t>
        </is>
      </c>
      <c r="B178" s="1" t="n">
        <v>44390</v>
      </c>
      <c r="C178" s="1" t="n">
        <v>45648</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Garnlav
Kolflarnlav</t>
        </is>
      </c>
      <c r="S178">
        <f>HYPERLINK("https://klasma.github.io/Logging_2305/artfynd/A 36456-2021 artfynd.xlsx", "A 36456-2021")</f>
        <v/>
      </c>
      <c r="T178">
        <f>HYPERLINK("https://klasma.github.io/Logging_2305/kartor/A 36456-2021 karta.png", "A 36456-2021")</f>
        <v/>
      </c>
      <c r="V178">
        <f>HYPERLINK("https://klasma.github.io/Logging_2305/klagomål/A 36456-2021 FSC-klagomål.docx", "A 36456-2021")</f>
        <v/>
      </c>
      <c r="W178">
        <f>HYPERLINK("https://klasma.github.io/Logging_2305/klagomålsmail/A 36456-2021 FSC-klagomål mail.docx", "A 36456-2021")</f>
        <v/>
      </c>
      <c r="X178">
        <f>HYPERLINK("https://klasma.github.io/Logging_2305/tillsyn/A 36456-2021 tillsynsbegäran.docx", "A 36456-2021")</f>
        <v/>
      </c>
      <c r="Y178">
        <f>HYPERLINK("https://klasma.github.io/Logging_2305/tillsynsmail/A 36456-2021 tillsynsbegäran mail.docx", "A 36456-2021")</f>
        <v/>
      </c>
    </row>
    <row r="179" ht="15" customHeight="1">
      <c r="A179" t="inlineStr">
        <is>
          <t>A 39172-2021</t>
        </is>
      </c>
      <c r="B179" s="1" t="n">
        <v>44412</v>
      </c>
      <c r="C179" s="1" t="n">
        <v>45648</v>
      </c>
      <c r="D179" t="inlineStr">
        <is>
          <t>JÄMTLANDS LÄN</t>
        </is>
      </c>
      <c r="E179" t="inlineStr">
        <is>
          <t>BRÄCKE</t>
        </is>
      </c>
      <c r="F179" t="inlineStr">
        <is>
          <t>SCA</t>
        </is>
      </c>
      <c r="G179" t="n">
        <v>9</v>
      </c>
      <c r="H179" t="n">
        <v>0</v>
      </c>
      <c r="I179" t="n">
        <v>1</v>
      </c>
      <c r="J179" t="n">
        <v>1</v>
      </c>
      <c r="K179" t="n">
        <v>0</v>
      </c>
      <c r="L179" t="n">
        <v>0</v>
      </c>
      <c r="M179" t="n">
        <v>0</v>
      </c>
      <c r="N179" t="n">
        <v>0</v>
      </c>
      <c r="O179" t="n">
        <v>1</v>
      </c>
      <c r="P179" t="n">
        <v>0</v>
      </c>
      <c r="Q179" t="n">
        <v>2</v>
      </c>
      <c r="R179" s="2" t="inlineStr">
        <is>
          <t>Lunglav
Bårdlav</t>
        </is>
      </c>
      <c r="S179">
        <f>HYPERLINK("https://klasma.github.io/Logging_2305/artfynd/A 39172-2021 artfynd.xlsx", "A 39172-2021")</f>
        <v/>
      </c>
      <c r="T179">
        <f>HYPERLINK("https://klasma.github.io/Logging_2305/kartor/A 39172-2021 karta.png", "A 39172-2021")</f>
        <v/>
      </c>
      <c r="V179">
        <f>HYPERLINK("https://klasma.github.io/Logging_2305/klagomål/A 39172-2021 FSC-klagomål.docx", "A 39172-2021")</f>
        <v/>
      </c>
      <c r="W179">
        <f>HYPERLINK("https://klasma.github.io/Logging_2305/klagomålsmail/A 39172-2021 FSC-klagomål mail.docx", "A 39172-2021")</f>
        <v/>
      </c>
      <c r="X179">
        <f>HYPERLINK("https://klasma.github.io/Logging_2305/tillsyn/A 39172-2021 tillsynsbegäran.docx", "A 39172-2021")</f>
        <v/>
      </c>
      <c r="Y179">
        <f>HYPERLINK("https://klasma.github.io/Logging_2305/tillsynsmail/A 39172-2021 tillsynsbegäran mail.docx", "A 39172-2021")</f>
        <v/>
      </c>
    </row>
    <row r="180" ht="15" customHeight="1">
      <c r="A180" t="inlineStr">
        <is>
          <t>A 59324-2021</t>
        </is>
      </c>
      <c r="B180" s="1" t="n">
        <v>44490</v>
      </c>
      <c r="C180" s="1" t="n">
        <v>45648</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61465-2021</t>
        </is>
      </c>
      <c r="B181" s="1" t="n">
        <v>44500</v>
      </c>
      <c r="C181" s="1" t="n">
        <v>45648</v>
      </c>
      <c r="D181" t="inlineStr">
        <is>
          <t>JÄMTLANDS LÄN</t>
        </is>
      </c>
      <c r="E181" t="inlineStr">
        <is>
          <t>BRÄCKE</t>
        </is>
      </c>
      <c r="F181" t="inlineStr">
        <is>
          <t>SCA</t>
        </is>
      </c>
      <c r="G181" t="n">
        <v>2.8</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61465-2021 artfynd.xlsx", "A 61465-2021")</f>
        <v/>
      </c>
      <c r="T181">
        <f>HYPERLINK("https://klasma.github.io/Logging_2305/kartor/A 61465-2021 karta.png", "A 61465-2021")</f>
        <v/>
      </c>
      <c r="V181">
        <f>HYPERLINK("https://klasma.github.io/Logging_2305/klagomål/A 61465-2021 FSC-klagomål.docx", "A 61465-2021")</f>
        <v/>
      </c>
      <c r="W181">
        <f>HYPERLINK("https://klasma.github.io/Logging_2305/klagomålsmail/A 61465-2021 FSC-klagomål mail.docx", "A 61465-2021")</f>
        <v/>
      </c>
      <c r="X181">
        <f>HYPERLINK("https://klasma.github.io/Logging_2305/tillsyn/A 61465-2021 tillsynsbegäran.docx", "A 61465-2021")</f>
        <v/>
      </c>
      <c r="Y181">
        <f>HYPERLINK("https://klasma.github.io/Logging_2305/tillsynsmail/A 61465-2021 tillsynsbegäran mail.docx", "A 61465-2021")</f>
        <v/>
      </c>
    </row>
    <row r="182" ht="15" customHeight="1">
      <c r="A182" t="inlineStr">
        <is>
          <t>A 3913-2022</t>
        </is>
      </c>
      <c r="B182" s="1" t="n">
        <v>44587</v>
      </c>
      <c r="C182" s="1" t="n">
        <v>45648</v>
      </c>
      <c r="D182" t="inlineStr">
        <is>
          <t>JÄMTLANDS LÄN</t>
        </is>
      </c>
      <c r="E182" t="inlineStr">
        <is>
          <t>BRÄCKE</t>
        </is>
      </c>
      <c r="G182" t="n">
        <v>0.9</v>
      </c>
      <c r="H182" t="n">
        <v>1</v>
      </c>
      <c r="I182" t="n">
        <v>1</v>
      </c>
      <c r="J182" t="n">
        <v>1</v>
      </c>
      <c r="K182" t="n">
        <v>0</v>
      </c>
      <c r="L182" t="n">
        <v>0</v>
      </c>
      <c r="M182" t="n">
        <v>0</v>
      </c>
      <c r="N182" t="n">
        <v>0</v>
      </c>
      <c r="O182" t="n">
        <v>1</v>
      </c>
      <c r="P182" t="n">
        <v>0</v>
      </c>
      <c r="Q182" t="n">
        <v>2</v>
      </c>
      <c r="R182" s="2" t="inlineStr">
        <is>
          <t>Skogsfru
Ögonpyrola</t>
        </is>
      </c>
      <c r="S182">
        <f>HYPERLINK("https://klasma.github.io/Logging_2305/artfynd/A 3913-2022 artfynd.xlsx", "A 3913-2022")</f>
        <v/>
      </c>
      <c r="T182">
        <f>HYPERLINK("https://klasma.github.io/Logging_2305/kartor/A 3913-2022 karta.png", "A 3913-2022")</f>
        <v/>
      </c>
      <c r="U182">
        <f>HYPERLINK("https://klasma.github.io/Logging_2305/knärot/A 3913-2022 karta knärot.png", "A 3913-2022")</f>
        <v/>
      </c>
      <c r="V182">
        <f>HYPERLINK("https://klasma.github.io/Logging_2305/klagomål/A 3913-2022 FSC-klagomål.docx", "A 3913-2022")</f>
        <v/>
      </c>
      <c r="W182">
        <f>HYPERLINK("https://klasma.github.io/Logging_2305/klagomålsmail/A 3913-2022 FSC-klagomål mail.docx", "A 3913-2022")</f>
        <v/>
      </c>
      <c r="X182">
        <f>HYPERLINK("https://klasma.github.io/Logging_2305/tillsyn/A 3913-2022 tillsynsbegäran.docx", "A 3913-2022")</f>
        <v/>
      </c>
      <c r="Y182">
        <f>HYPERLINK("https://klasma.github.io/Logging_2305/tillsynsmail/A 3913-2022 tillsynsbegäran mail.docx", "A 3913-2022")</f>
        <v/>
      </c>
    </row>
    <row r="183" ht="15" customHeight="1">
      <c r="A183" t="inlineStr">
        <is>
          <t>A 27944-2022</t>
        </is>
      </c>
      <c r="B183" s="1" t="n">
        <v>44743</v>
      </c>
      <c r="C183" s="1" t="n">
        <v>45648</v>
      </c>
      <c r="D183" t="inlineStr">
        <is>
          <t>JÄMTLANDS LÄN</t>
        </is>
      </c>
      <c r="E183" t="inlineStr">
        <is>
          <t>BRÄCKE</t>
        </is>
      </c>
      <c r="F183" t="inlineStr">
        <is>
          <t>SCA</t>
        </is>
      </c>
      <c r="G183" t="n">
        <v>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27944-2022 artfynd.xlsx", "A 27944-2022")</f>
        <v/>
      </c>
      <c r="T183">
        <f>HYPERLINK("https://klasma.github.io/Logging_2305/kartor/A 27944-2022 karta.png", "A 27944-2022")</f>
        <v/>
      </c>
      <c r="V183">
        <f>HYPERLINK("https://klasma.github.io/Logging_2305/klagomål/A 27944-2022 FSC-klagomål.docx", "A 27944-2022")</f>
        <v/>
      </c>
      <c r="W183">
        <f>HYPERLINK("https://klasma.github.io/Logging_2305/klagomålsmail/A 27944-2022 FSC-klagomål mail.docx", "A 27944-2022")</f>
        <v/>
      </c>
      <c r="X183">
        <f>HYPERLINK("https://klasma.github.io/Logging_2305/tillsyn/A 27944-2022 tillsynsbegäran.docx", "A 27944-2022")</f>
        <v/>
      </c>
      <c r="Y183">
        <f>HYPERLINK("https://klasma.github.io/Logging_2305/tillsynsmail/A 27944-2022 tillsynsbegäran mail.docx", "A 27944-2022")</f>
        <v/>
      </c>
    </row>
    <row r="184" ht="15" customHeight="1">
      <c r="A184" t="inlineStr">
        <is>
          <t>A 30607-2022</t>
        </is>
      </c>
      <c r="B184" s="1" t="n">
        <v>44762</v>
      </c>
      <c r="C184" s="1" t="n">
        <v>45648</v>
      </c>
      <c r="D184" t="inlineStr">
        <is>
          <t>JÄMTLANDS LÄN</t>
        </is>
      </c>
      <c r="E184" t="inlineStr">
        <is>
          <t>BRÄCKE</t>
        </is>
      </c>
      <c r="F184" t="inlineStr">
        <is>
          <t>SCA</t>
        </is>
      </c>
      <c r="G184" t="n">
        <v>1</v>
      </c>
      <c r="H184" t="n">
        <v>0</v>
      </c>
      <c r="I184" t="n">
        <v>0</v>
      </c>
      <c r="J184" t="n">
        <v>2</v>
      </c>
      <c r="K184" t="n">
        <v>0</v>
      </c>
      <c r="L184" t="n">
        <v>0</v>
      </c>
      <c r="M184" t="n">
        <v>0</v>
      </c>
      <c r="N184" t="n">
        <v>0</v>
      </c>
      <c r="O184" t="n">
        <v>2</v>
      </c>
      <c r="P184" t="n">
        <v>0</v>
      </c>
      <c r="Q184" t="n">
        <v>2</v>
      </c>
      <c r="R184" s="2" t="inlineStr">
        <is>
          <t>Bredbrämad bastardsvärmare
Brunklöver</t>
        </is>
      </c>
      <c r="S184">
        <f>HYPERLINK("https://klasma.github.io/Logging_2305/artfynd/A 30607-2022 artfynd.xlsx", "A 30607-2022")</f>
        <v/>
      </c>
      <c r="T184">
        <f>HYPERLINK("https://klasma.github.io/Logging_2305/kartor/A 30607-2022 karta.png", "A 30607-2022")</f>
        <v/>
      </c>
      <c r="V184">
        <f>HYPERLINK("https://klasma.github.io/Logging_2305/klagomål/A 30607-2022 FSC-klagomål.docx", "A 30607-2022")</f>
        <v/>
      </c>
      <c r="W184">
        <f>HYPERLINK("https://klasma.github.io/Logging_2305/klagomålsmail/A 30607-2022 FSC-klagomål mail.docx", "A 30607-2022")</f>
        <v/>
      </c>
      <c r="X184">
        <f>HYPERLINK("https://klasma.github.io/Logging_2305/tillsyn/A 30607-2022 tillsynsbegäran.docx", "A 30607-2022")</f>
        <v/>
      </c>
      <c r="Y184">
        <f>HYPERLINK("https://klasma.github.io/Logging_2305/tillsynsmail/A 30607-2022 tillsynsbegäran mail.docx", "A 30607-2022")</f>
        <v/>
      </c>
    </row>
    <row r="185" ht="15" customHeight="1">
      <c r="A185" t="inlineStr">
        <is>
          <t>A 31455-2022</t>
        </is>
      </c>
      <c r="B185" s="1" t="n">
        <v>44774</v>
      </c>
      <c r="C185" s="1" t="n">
        <v>45648</v>
      </c>
      <c r="D185" t="inlineStr">
        <is>
          <t>JÄMTLANDS LÄN</t>
        </is>
      </c>
      <c r="E185" t="inlineStr">
        <is>
          <t>BRÄCKE</t>
        </is>
      </c>
      <c r="F185" t="inlineStr">
        <is>
          <t>SCA</t>
        </is>
      </c>
      <c r="G185" t="n">
        <v>5.5</v>
      </c>
      <c r="H185" t="n">
        <v>1</v>
      </c>
      <c r="I185" t="n">
        <v>0</v>
      </c>
      <c r="J185" t="n">
        <v>1</v>
      </c>
      <c r="K185" t="n">
        <v>0</v>
      </c>
      <c r="L185" t="n">
        <v>0</v>
      </c>
      <c r="M185" t="n">
        <v>0</v>
      </c>
      <c r="N185" t="n">
        <v>0</v>
      </c>
      <c r="O185" t="n">
        <v>1</v>
      </c>
      <c r="P185" t="n">
        <v>0</v>
      </c>
      <c r="Q185" t="n">
        <v>2</v>
      </c>
      <c r="R185" s="2" t="inlineStr">
        <is>
          <t>Lunglav
Revlummer</t>
        </is>
      </c>
      <c r="S185">
        <f>HYPERLINK("https://klasma.github.io/Logging_2305/artfynd/A 31455-2022 artfynd.xlsx", "A 31455-2022")</f>
        <v/>
      </c>
      <c r="T185">
        <f>HYPERLINK("https://klasma.github.io/Logging_2305/kartor/A 31455-2022 karta.png", "A 31455-2022")</f>
        <v/>
      </c>
      <c r="V185">
        <f>HYPERLINK("https://klasma.github.io/Logging_2305/klagomål/A 31455-2022 FSC-klagomål.docx", "A 31455-2022")</f>
        <v/>
      </c>
      <c r="W185">
        <f>HYPERLINK("https://klasma.github.io/Logging_2305/klagomålsmail/A 31455-2022 FSC-klagomål mail.docx", "A 31455-2022")</f>
        <v/>
      </c>
      <c r="X185">
        <f>HYPERLINK("https://klasma.github.io/Logging_2305/tillsyn/A 31455-2022 tillsynsbegäran.docx", "A 31455-2022")</f>
        <v/>
      </c>
      <c r="Y185">
        <f>HYPERLINK("https://klasma.github.io/Logging_2305/tillsynsmail/A 31455-2022 tillsynsbegäran mail.docx", "A 31455-2022")</f>
        <v/>
      </c>
    </row>
    <row r="186" ht="15" customHeight="1">
      <c r="A186" t="inlineStr">
        <is>
          <t>A 32507-2022</t>
        </is>
      </c>
      <c r="B186" s="1" t="n">
        <v>44782</v>
      </c>
      <c r="C186" s="1" t="n">
        <v>45648</v>
      </c>
      <c r="D186" t="inlineStr">
        <is>
          <t>JÄMTLANDS LÄN</t>
        </is>
      </c>
      <c r="E186" t="inlineStr">
        <is>
          <t>BRÄCKE</t>
        </is>
      </c>
      <c r="G186" t="n">
        <v>5.8</v>
      </c>
      <c r="H186" t="n">
        <v>1</v>
      </c>
      <c r="I186" t="n">
        <v>0</v>
      </c>
      <c r="J186" t="n">
        <v>1</v>
      </c>
      <c r="K186" t="n">
        <v>1</v>
      </c>
      <c r="L186" t="n">
        <v>0</v>
      </c>
      <c r="M186" t="n">
        <v>0</v>
      </c>
      <c r="N186" t="n">
        <v>0</v>
      </c>
      <c r="O186" t="n">
        <v>2</v>
      </c>
      <c r="P186" t="n">
        <v>1</v>
      </c>
      <c r="Q186" t="n">
        <v>2</v>
      </c>
      <c r="R186" s="2" t="inlineStr">
        <is>
          <t>Knärot
Ullticka</t>
        </is>
      </c>
      <c r="S186">
        <f>HYPERLINK("https://klasma.github.io/Logging_2305/artfynd/A 32507-2022 artfynd.xlsx", "A 32507-2022")</f>
        <v/>
      </c>
      <c r="T186">
        <f>HYPERLINK("https://klasma.github.io/Logging_2305/kartor/A 32507-2022 karta.png", "A 32507-2022")</f>
        <v/>
      </c>
      <c r="U186">
        <f>HYPERLINK("https://klasma.github.io/Logging_2305/knärot/A 32507-2022 karta knärot.png", "A 32507-2022")</f>
        <v/>
      </c>
      <c r="V186">
        <f>HYPERLINK("https://klasma.github.io/Logging_2305/klagomål/A 32507-2022 FSC-klagomål.docx", "A 32507-2022")</f>
        <v/>
      </c>
      <c r="W186">
        <f>HYPERLINK("https://klasma.github.io/Logging_2305/klagomålsmail/A 32507-2022 FSC-klagomål mail.docx", "A 32507-2022")</f>
        <v/>
      </c>
      <c r="X186">
        <f>HYPERLINK("https://klasma.github.io/Logging_2305/tillsyn/A 32507-2022 tillsynsbegäran.docx", "A 32507-2022")</f>
        <v/>
      </c>
      <c r="Y186">
        <f>HYPERLINK("https://klasma.github.io/Logging_2305/tillsynsmail/A 32507-2022 tillsynsbegäran mail.docx", "A 32507-2022")</f>
        <v/>
      </c>
    </row>
    <row r="187" ht="15" customHeight="1">
      <c r="A187" t="inlineStr">
        <is>
          <t>A 42291-2022</t>
        </is>
      </c>
      <c r="B187" s="1" t="n">
        <v>44830</v>
      </c>
      <c r="C187" s="1" t="n">
        <v>45648</v>
      </c>
      <c r="D187" t="inlineStr">
        <is>
          <t>JÄMTLANDS LÄN</t>
        </is>
      </c>
      <c r="E187" t="inlineStr">
        <is>
          <t>BRÄCKE</t>
        </is>
      </c>
      <c r="F187" t="inlineStr">
        <is>
          <t>SCA</t>
        </is>
      </c>
      <c r="G187" t="n">
        <v>4</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42291-2022 artfynd.xlsx", "A 42291-2022")</f>
        <v/>
      </c>
      <c r="T187">
        <f>HYPERLINK("https://klasma.github.io/Logging_2305/kartor/A 42291-2022 karta.png", "A 42291-2022")</f>
        <v/>
      </c>
      <c r="V187">
        <f>HYPERLINK("https://klasma.github.io/Logging_2305/klagomål/A 42291-2022 FSC-klagomål.docx", "A 42291-2022")</f>
        <v/>
      </c>
      <c r="W187">
        <f>HYPERLINK("https://klasma.github.io/Logging_2305/klagomålsmail/A 42291-2022 FSC-klagomål mail.docx", "A 42291-2022")</f>
        <v/>
      </c>
      <c r="X187">
        <f>HYPERLINK("https://klasma.github.io/Logging_2305/tillsyn/A 42291-2022 tillsynsbegäran.docx", "A 42291-2022")</f>
        <v/>
      </c>
      <c r="Y187">
        <f>HYPERLINK("https://klasma.github.io/Logging_2305/tillsynsmail/A 42291-2022 tillsynsbegäran mail.docx", "A 42291-2022")</f>
        <v/>
      </c>
    </row>
    <row r="188" ht="15" customHeight="1">
      <c r="A188" t="inlineStr">
        <is>
          <t>A 43141-2022</t>
        </is>
      </c>
      <c r="B188" s="1" t="n">
        <v>44833</v>
      </c>
      <c r="C188" s="1" t="n">
        <v>45648</v>
      </c>
      <c r="D188" t="inlineStr">
        <is>
          <t>JÄMTLANDS LÄN</t>
        </is>
      </c>
      <c r="E188" t="inlineStr">
        <is>
          <t>BRÄCKE</t>
        </is>
      </c>
      <c r="F188" t="inlineStr">
        <is>
          <t>SCA</t>
        </is>
      </c>
      <c r="G188" t="n">
        <v>2</v>
      </c>
      <c r="H188" t="n">
        <v>1</v>
      </c>
      <c r="I188" t="n">
        <v>0</v>
      </c>
      <c r="J188" t="n">
        <v>0</v>
      </c>
      <c r="K188" t="n">
        <v>2</v>
      </c>
      <c r="L188" t="n">
        <v>0</v>
      </c>
      <c r="M188" t="n">
        <v>0</v>
      </c>
      <c r="N188" t="n">
        <v>0</v>
      </c>
      <c r="O188" t="n">
        <v>2</v>
      </c>
      <c r="P188" t="n">
        <v>2</v>
      </c>
      <c r="Q188" t="n">
        <v>2</v>
      </c>
      <c r="R188" s="2" t="inlineStr">
        <is>
          <t>Frösöstarr
Knärot</t>
        </is>
      </c>
      <c r="S188">
        <f>HYPERLINK("https://klasma.github.io/Logging_2305/artfynd/A 43141-2022 artfynd.xlsx", "A 43141-2022")</f>
        <v/>
      </c>
      <c r="T188">
        <f>HYPERLINK("https://klasma.github.io/Logging_2305/kartor/A 43141-2022 karta.png", "A 43141-2022")</f>
        <v/>
      </c>
      <c r="U188">
        <f>HYPERLINK("https://klasma.github.io/Logging_2305/knärot/A 43141-2022 karta knärot.png", "A 43141-2022")</f>
        <v/>
      </c>
      <c r="V188">
        <f>HYPERLINK("https://klasma.github.io/Logging_2305/klagomål/A 43141-2022 FSC-klagomål.docx", "A 43141-2022")</f>
        <v/>
      </c>
      <c r="W188">
        <f>HYPERLINK("https://klasma.github.io/Logging_2305/klagomålsmail/A 43141-2022 FSC-klagomål mail.docx", "A 43141-2022")</f>
        <v/>
      </c>
      <c r="X188">
        <f>HYPERLINK("https://klasma.github.io/Logging_2305/tillsyn/A 43141-2022 tillsynsbegäran.docx", "A 43141-2022")</f>
        <v/>
      </c>
      <c r="Y188">
        <f>HYPERLINK("https://klasma.github.io/Logging_2305/tillsynsmail/A 43141-2022 tillsynsbegäran mail.docx", "A 43141-2022")</f>
        <v/>
      </c>
    </row>
    <row r="189" ht="15" customHeight="1">
      <c r="A189" t="inlineStr">
        <is>
          <t>A 48930-2022</t>
        </is>
      </c>
      <c r="B189" s="1" t="n">
        <v>44859</v>
      </c>
      <c r="C189" s="1" t="n">
        <v>45648</v>
      </c>
      <c r="D189" t="inlineStr">
        <is>
          <t>JÄMTLANDS LÄN</t>
        </is>
      </c>
      <c r="E189" t="inlineStr">
        <is>
          <t>BRÄCKE</t>
        </is>
      </c>
      <c r="F189" t="inlineStr">
        <is>
          <t>SCA</t>
        </is>
      </c>
      <c r="G189" t="n">
        <v>1.2</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48930-2022 artfynd.xlsx", "A 48930-2022")</f>
        <v/>
      </c>
      <c r="T189">
        <f>HYPERLINK("https://klasma.github.io/Logging_2305/kartor/A 48930-2022 karta.png", "A 48930-2022")</f>
        <v/>
      </c>
      <c r="V189">
        <f>HYPERLINK("https://klasma.github.io/Logging_2305/klagomål/A 48930-2022 FSC-klagomål.docx", "A 48930-2022")</f>
        <v/>
      </c>
      <c r="W189">
        <f>HYPERLINK("https://klasma.github.io/Logging_2305/klagomålsmail/A 48930-2022 FSC-klagomål mail.docx", "A 48930-2022")</f>
        <v/>
      </c>
      <c r="X189">
        <f>HYPERLINK("https://klasma.github.io/Logging_2305/tillsyn/A 48930-2022 tillsynsbegäran.docx", "A 48930-2022")</f>
        <v/>
      </c>
      <c r="Y189">
        <f>HYPERLINK("https://klasma.github.io/Logging_2305/tillsynsmail/A 48930-2022 tillsynsbegäran mail.docx", "A 48930-2022")</f>
        <v/>
      </c>
    </row>
    <row r="190" ht="15" customHeight="1">
      <c r="A190" t="inlineStr">
        <is>
          <t>A 50328-2022</t>
        </is>
      </c>
      <c r="B190" s="1" t="n">
        <v>44865</v>
      </c>
      <c r="C190" s="1" t="n">
        <v>45648</v>
      </c>
      <c r="D190" t="inlineStr">
        <is>
          <t>JÄMTLANDS LÄN</t>
        </is>
      </c>
      <c r="E190" t="inlineStr">
        <is>
          <t>BRÄCKE</t>
        </is>
      </c>
      <c r="F190" t="inlineStr">
        <is>
          <t>SCA</t>
        </is>
      </c>
      <c r="G190" t="n">
        <v>1.6</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HYPERLINK("https://klasma.github.io/Logging_2305/artfynd/A 50328-2022 artfynd.xlsx", "A 50328-2022")</f>
        <v/>
      </c>
      <c r="T190">
        <f>HYPERLINK("https://klasma.github.io/Logging_2305/kartor/A 50328-2022 karta.png", "A 50328-2022")</f>
        <v/>
      </c>
      <c r="V190">
        <f>HYPERLINK("https://klasma.github.io/Logging_2305/klagomål/A 50328-2022 FSC-klagomål.docx", "A 50328-2022")</f>
        <v/>
      </c>
      <c r="W190">
        <f>HYPERLINK("https://klasma.github.io/Logging_2305/klagomålsmail/A 50328-2022 FSC-klagomål mail.docx", "A 50328-2022")</f>
        <v/>
      </c>
      <c r="X190">
        <f>HYPERLINK("https://klasma.github.io/Logging_2305/tillsyn/A 50328-2022 tillsynsbegäran.docx", "A 50328-2022")</f>
        <v/>
      </c>
      <c r="Y190">
        <f>HYPERLINK("https://klasma.github.io/Logging_2305/tillsynsmail/A 50328-2022 tillsynsbegäran mail.docx", "A 50328-2022")</f>
        <v/>
      </c>
    </row>
    <row r="191" ht="15" customHeight="1">
      <c r="A191" t="inlineStr">
        <is>
          <t>A 50336-2022</t>
        </is>
      </c>
      <c r="B191" s="1" t="n">
        <v>44865</v>
      </c>
      <c r="C191" s="1" t="n">
        <v>45648</v>
      </c>
      <c r="D191" t="inlineStr">
        <is>
          <t>JÄMTLANDS LÄN</t>
        </is>
      </c>
      <c r="E191" t="inlineStr">
        <is>
          <t>BRÄCKE</t>
        </is>
      </c>
      <c r="F191" t="inlineStr">
        <is>
          <t>SCA</t>
        </is>
      </c>
      <c r="G191" t="n">
        <v>1.8</v>
      </c>
      <c r="H191" t="n">
        <v>1</v>
      </c>
      <c r="I191" t="n">
        <v>0</v>
      </c>
      <c r="J191" t="n">
        <v>0</v>
      </c>
      <c r="K191" t="n">
        <v>2</v>
      </c>
      <c r="L191" t="n">
        <v>0</v>
      </c>
      <c r="M191" t="n">
        <v>0</v>
      </c>
      <c r="N191" t="n">
        <v>0</v>
      </c>
      <c r="O191" t="n">
        <v>2</v>
      </c>
      <c r="P191" t="n">
        <v>2</v>
      </c>
      <c r="Q191" t="n">
        <v>2</v>
      </c>
      <c r="R191" s="2" t="inlineStr">
        <is>
          <t>Gräddporing
Knärot</t>
        </is>
      </c>
      <c r="S191">
        <f>HYPERLINK("https://klasma.github.io/Logging_2305/artfynd/A 50336-2022 artfynd.xlsx", "A 50336-2022")</f>
        <v/>
      </c>
      <c r="T191">
        <f>HYPERLINK("https://klasma.github.io/Logging_2305/kartor/A 50336-2022 karta.png", "A 50336-2022")</f>
        <v/>
      </c>
      <c r="U191">
        <f>HYPERLINK("https://klasma.github.io/Logging_2305/knärot/A 50336-2022 karta knärot.png", "A 50336-2022")</f>
        <v/>
      </c>
      <c r="V191">
        <f>HYPERLINK("https://klasma.github.io/Logging_2305/klagomål/A 50336-2022 FSC-klagomål.docx", "A 50336-2022")</f>
        <v/>
      </c>
      <c r="W191">
        <f>HYPERLINK("https://klasma.github.io/Logging_2305/klagomålsmail/A 50336-2022 FSC-klagomål mail.docx", "A 50336-2022")</f>
        <v/>
      </c>
      <c r="X191">
        <f>HYPERLINK("https://klasma.github.io/Logging_2305/tillsyn/A 50336-2022 tillsynsbegäran.docx", "A 50336-2022")</f>
        <v/>
      </c>
      <c r="Y191">
        <f>HYPERLINK("https://klasma.github.io/Logging_2305/tillsynsmail/A 50336-2022 tillsynsbegäran mail.docx", "A 50336-2022")</f>
        <v/>
      </c>
    </row>
    <row r="192" ht="15" customHeight="1">
      <c r="A192" t="inlineStr">
        <is>
          <t>A 54624-2022</t>
        </is>
      </c>
      <c r="B192" s="1" t="n">
        <v>44883</v>
      </c>
      <c r="C192" s="1" t="n">
        <v>45648</v>
      </c>
      <c r="D192" t="inlineStr">
        <is>
          <t>JÄMTLANDS LÄN</t>
        </is>
      </c>
      <c r="E192" t="inlineStr">
        <is>
          <t>BRÄCKE</t>
        </is>
      </c>
      <c r="G192" t="n">
        <v>3.9</v>
      </c>
      <c r="H192" t="n">
        <v>0</v>
      </c>
      <c r="I192" t="n">
        <v>0</v>
      </c>
      <c r="J192" t="n">
        <v>2</v>
      </c>
      <c r="K192" t="n">
        <v>0</v>
      </c>
      <c r="L192" t="n">
        <v>0</v>
      </c>
      <c r="M192" t="n">
        <v>0</v>
      </c>
      <c r="N192" t="n">
        <v>0</v>
      </c>
      <c r="O192" t="n">
        <v>2</v>
      </c>
      <c r="P192" t="n">
        <v>0</v>
      </c>
      <c r="Q192" t="n">
        <v>2</v>
      </c>
      <c r="R192" s="2" t="inlineStr">
        <is>
          <t>Granticka
Lunglav</t>
        </is>
      </c>
      <c r="S192">
        <f>HYPERLINK("https://klasma.github.io/Logging_2305/artfynd/A 54624-2022 artfynd.xlsx", "A 54624-2022")</f>
        <v/>
      </c>
      <c r="T192">
        <f>HYPERLINK("https://klasma.github.io/Logging_2305/kartor/A 54624-2022 karta.png", "A 54624-2022")</f>
        <v/>
      </c>
      <c r="V192">
        <f>HYPERLINK("https://klasma.github.io/Logging_2305/klagomål/A 54624-2022 FSC-klagomål.docx", "A 54624-2022")</f>
        <v/>
      </c>
      <c r="W192">
        <f>HYPERLINK("https://klasma.github.io/Logging_2305/klagomålsmail/A 54624-2022 FSC-klagomål mail.docx", "A 54624-2022")</f>
        <v/>
      </c>
      <c r="X192">
        <f>HYPERLINK("https://klasma.github.io/Logging_2305/tillsyn/A 54624-2022 tillsynsbegäran.docx", "A 54624-2022")</f>
        <v/>
      </c>
      <c r="Y192">
        <f>HYPERLINK("https://klasma.github.io/Logging_2305/tillsynsmail/A 54624-2022 tillsynsbegäran mail.docx", "A 54624-2022")</f>
        <v/>
      </c>
    </row>
    <row r="193" ht="15" customHeight="1">
      <c r="A193" t="inlineStr">
        <is>
          <t>A 58169-2022</t>
        </is>
      </c>
      <c r="B193" s="1" t="n">
        <v>44900</v>
      </c>
      <c r="C193" s="1" t="n">
        <v>45648</v>
      </c>
      <c r="D193" t="inlineStr">
        <is>
          <t>JÄMTLANDS LÄN</t>
        </is>
      </c>
      <c r="E193" t="inlineStr">
        <is>
          <t>BRÄCKE</t>
        </is>
      </c>
      <c r="F193" t="inlineStr">
        <is>
          <t>SCA</t>
        </is>
      </c>
      <c r="G193" t="n">
        <v>9.300000000000001</v>
      </c>
      <c r="H193" t="n">
        <v>1</v>
      </c>
      <c r="I193" t="n">
        <v>0</v>
      </c>
      <c r="J193" t="n">
        <v>2</v>
      </c>
      <c r="K193" t="n">
        <v>0</v>
      </c>
      <c r="L193" t="n">
        <v>0</v>
      </c>
      <c r="M193" t="n">
        <v>0</v>
      </c>
      <c r="N193" t="n">
        <v>0</v>
      </c>
      <c r="O193" t="n">
        <v>2</v>
      </c>
      <c r="P193" t="n">
        <v>0</v>
      </c>
      <c r="Q193" t="n">
        <v>2</v>
      </c>
      <c r="R193" s="2" t="inlineStr">
        <is>
          <t>Garnlav
Talltita</t>
        </is>
      </c>
      <c r="S193">
        <f>HYPERLINK("https://klasma.github.io/Logging_2305/artfynd/A 58169-2022 artfynd.xlsx", "A 58169-2022")</f>
        <v/>
      </c>
      <c r="T193">
        <f>HYPERLINK("https://klasma.github.io/Logging_2305/kartor/A 58169-2022 karta.png", "A 58169-2022")</f>
        <v/>
      </c>
      <c r="V193">
        <f>HYPERLINK("https://klasma.github.io/Logging_2305/klagomål/A 58169-2022 FSC-klagomål.docx", "A 58169-2022")</f>
        <v/>
      </c>
      <c r="W193">
        <f>HYPERLINK("https://klasma.github.io/Logging_2305/klagomålsmail/A 58169-2022 FSC-klagomål mail.docx", "A 58169-2022")</f>
        <v/>
      </c>
      <c r="X193">
        <f>HYPERLINK("https://klasma.github.io/Logging_2305/tillsyn/A 58169-2022 tillsynsbegäran.docx", "A 58169-2022")</f>
        <v/>
      </c>
      <c r="Y193">
        <f>HYPERLINK("https://klasma.github.io/Logging_2305/tillsynsmail/A 58169-2022 tillsynsbegäran mail.docx", "A 58169-2022")</f>
        <v/>
      </c>
      <c r="Z193">
        <f>HYPERLINK("https://klasma.github.io/Logging_2305/fåglar/A 58169-2022 prioriterade fågelarter.docx", "A 58169-2022")</f>
        <v/>
      </c>
    </row>
    <row r="194" ht="15" customHeight="1">
      <c r="A194" t="inlineStr">
        <is>
          <t>A 3029-2023</t>
        </is>
      </c>
      <c r="B194" s="1" t="n">
        <v>44945</v>
      </c>
      <c r="C194" s="1" t="n">
        <v>45648</v>
      </c>
      <c r="D194" t="inlineStr">
        <is>
          <t>JÄMTLANDS LÄN</t>
        </is>
      </c>
      <c r="E194" t="inlineStr">
        <is>
          <t>BRÄCKE</t>
        </is>
      </c>
      <c r="F194" t="inlineStr">
        <is>
          <t>SCA</t>
        </is>
      </c>
      <c r="G194" t="n">
        <v>2.3</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3029-2023 artfynd.xlsx", "A 3029-2023")</f>
        <v/>
      </c>
      <c r="T194">
        <f>HYPERLINK("https://klasma.github.io/Logging_2305/kartor/A 3029-2023 karta.png", "A 3029-2023")</f>
        <v/>
      </c>
      <c r="V194">
        <f>HYPERLINK("https://klasma.github.io/Logging_2305/klagomål/A 3029-2023 FSC-klagomål.docx", "A 3029-2023")</f>
        <v/>
      </c>
      <c r="W194">
        <f>HYPERLINK("https://klasma.github.io/Logging_2305/klagomålsmail/A 3029-2023 FSC-klagomål mail.docx", "A 3029-2023")</f>
        <v/>
      </c>
      <c r="X194">
        <f>HYPERLINK("https://klasma.github.io/Logging_2305/tillsyn/A 3029-2023 tillsynsbegäran.docx", "A 3029-2023")</f>
        <v/>
      </c>
      <c r="Y194">
        <f>HYPERLINK("https://klasma.github.io/Logging_2305/tillsynsmail/A 3029-2023 tillsynsbegäran mail.docx", "A 3029-2023")</f>
        <v/>
      </c>
    </row>
    <row r="195" ht="15" customHeight="1">
      <c r="A195" t="inlineStr">
        <is>
          <t>A 8673-2023</t>
        </is>
      </c>
      <c r="B195" s="1" t="n">
        <v>44977</v>
      </c>
      <c r="C195" s="1" t="n">
        <v>45648</v>
      </c>
      <c r="D195" t="inlineStr">
        <is>
          <t>JÄMTLANDS LÄN</t>
        </is>
      </c>
      <c r="E195" t="inlineStr">
        <is>
          <t>BRÄCKE</t>
        </is>
      </c>
      <c r="G195" t="n">
        <v>11.6</v>
      </c>
      <c r="H195" t="n">
        <v>0</v>
      </c>
      <c r="I195" t="n">
        <v>1</v>
      </c>
      <c r="J195" t="n">
        <v>1</v>
      </c>
      <c r="K195" t="n">
        <v>0</v>
      </c>
      <c r="L195" t="n">
        <v>0</v>
      </c>
      <c r="M195" t="n">
        <v>0</v>
      </c>
      <c r="N195" t="n">
        <v>0</v>
      </c>
      <c r="O195" t="n">
        <v>1</v>
      </c>
      <c r="P195" t="n">
        <v>0</v>
      </c>
      <c r="Q195" t="n">
        <v>2</v>
      </c>
      <c r="R195" s="2" t="inlineStr">
        <is>
          <t>Ullticka
Dropptaggsvamp</t>
        </is>
      </c>
      <c r="S195">
        <f>HYPERLINK("https://klasma.github.io/Logging_2305/artfynd/A 8673-2023 artfynd.xlsx", "A 8673-2023")</f>
        <v/>
      </c>
      <c r="T195">
        <f>HYPERLINK("https://klasma.github.io/Logging_2305/kartor/A 8673-2023 karta.png", "A 8673-2023")</f>
        <v/>
      </c>
      <c r="V195">
        <f>HYPERLINK("https://klasma.github.io/Logging_2305/klagomål/A 8673-2023 FSC-klagomål.docx", "A 8673-2023")</f>
        <v/>
      </c>
      <c r="W195">
        <f>HYPERLINK("https://klasma.github.io/Logging_2305/klagomålsmail/A 8673-2023 FSC-klagomål mail.docx", "A 8673-2023")</f>
        <v/>
      </c>
      <c r="X195">
        <f>HYPERLINK("https://klasma.github.io/Logging_2305/tillsyn/A 8673-2023 tillsynsbegäran.docx", "A 8673-2023")</f>
        <v/>
      </c>
      <c r="Y195">
        <f>HYPERLINK("https://klasma.github.io/Logging_2305/tillsynsmail/A 8673-2023 tillsynsbegäran mail.docx", "A 8673-2023")</f>
        <v/>
      </c>
    </row>
    <row r="196" ht="15" customHeight="1">
      <c r="A196" t="inlineStr">
        <is>
          <t>A 18165-2023</t>
        </is>
      </c>
      <c r="B196" s="1" t="n">
        <v>45041</v>
      </c>
      <c r="C196" s="1" t="n">
        <v>45648</v>
      </c>
      <c r="D196" t="inlineStr">
        <is>
          <t>JÄMTLANDS LÄN</t>
        </is>
      </c>
      <c r="E196" t="inlineStr">
        <is>
          <t>BRÄCKE</t>
        </is>
      </c>
      <c r="F196" t="inlineStr">
        <is>
          <t>SCA</t>
        </is>
      </c>
      <c r="G196" t="n">
        <v>9.6</v>
      </c>
      <c r="H196" t="n">
        <v>1</v>
      </c>
      <c r="I196" t="n">
        <v>0</v>
      </c>
      <c r="J196" t="n">
        <v>2</v>
      </c>
      <c r="K196" t="n">
        <v>0</v>
      </c>
      <c r="L196" t="n">
        <v>0</v>
      </c>
      <c r="M196" t="n">
        <v>0</v>
      </c>
      <c r="N196" t="n">
        <v>0</v>
      </c>
      <c r="O196" t="n">
        <v>2</v>
      </c>
      <c r="P196" t="n">
        <v>0</v>
      </c>
      <c r="Q196" t="n">
        <v>2</v>
      </c>
      <c r="R196" s="2" t="inlineStr">
        <is>
          <t>Garnlav
Spillkråka</t>
        </is>
      </c>
      <c r="S196">
        <f>HYPERLINK("https://klasma.github.io/Logging_2305/artfynd/A 18165-2023 artfynd.xlsx", "A 18165-2023")</f>
        <v/>
      </c>
      <c r="T196">
        <f>HYPERLINK("https://klasma.github.io/Logging_2305/kartor/A 18165-2023 karta.png", "A 18165-2023")</f>
        <v/>
      </c>
      <c r="V196">
        <f>HYPERLINK("https://klasma.github.io/Logging_2305/klagomål/A 18165-2023 FSC-klagomål.docx", "A 18165-2023")</f>
        <v/>
      </c>
      <c r="W196">
        <f>HYPERLINK("https://klasma.github.io/Logging_2305/klagomålsmail/A 18165-2023 FSC-klagomål mail.docx", "A 18165-2023")</f>
        <v/>
      </c>
      <c r="X196">
        <f>HYPERLINK("https://klasma.github.io/Logging_2305/tillsyn/A 18165-2023 tillsynsbegäran.docx", "A 18165-2023")</f>
        <v/>
      </c>
      <c r="Y196">
        <f>HYPERLINK("https://klasma.github.io/Logging_2305/tillsynsmail/A 18165-2023 tillsynsbegäran mail.docx", "A 18165-2023")</f>
        <v/>
      </c>
      <c r="Z196">
        <f>HYPERLINK("https://klasma.github.io/Logging_2305/fåglar/A 18165-2023 prioriterade fågelarter.docx", "A 18165-2023")</f>
        <v/>
      </c>
    </row>
    <row r="197" ht="15" customHeight="1">
      <c r="A197" t="inlineStr">
        <is>
          <t>A 19437-2023</t>
        </is>
      </c>
      <c r="B197" s="1" t="n">
        <v>45049</v>
      </c>
      <c r="C197" s="1" t="n">
        <v>45648</v>
      </c>
      <c r="D197" t="inlineStr">
        <is>
          <t>JÄMTLANDS LÄN</t>
        </is>
      </c>
      <c r="E197" t="inlineStr">
        <is>
          <t>BRÄCKE</t>
        </is>
      </c>
      <c r="G197" t="n">
        <v>1.5</v>
      </c>
      <c r="H197" t="n">
        <v>0</v>
      </c>
      <c r="I197" t="n">
        <v>2</v>
      </c>
      <c r="J197" t="n">
        <v>0</v>
      </c>
      <c r="K197" t="n">
        <v>0</v>
      </c>
      <c r="L197" t="n">
        <v>0</v>
      </c>
      <c r="M197" t="n">
        <v>0</v>
      </c>
      <c r="N197" t="n">
        <v>0</v>
      </c>
      <c r="O197" t="n">
        <v>0</v>
      </c>
      <c r="P197" t="n">
        <v>0</v>
      </c>
      <c r="Q197" t="n">
        <v>2</v>
      </c>
      <c r="R197" s="2" t="inlineStr">
        <is>
          <t>Stuplav
Svart trolldruva</t>
        </is>
      </c>
      <c r="S197">
        <f>HYPERLINK("https://klasma.github.io/Logging_2305/artfynd/A 19437-2023 artfynd.xlsx", "A 19437-2023")</f>
        <v/>
      </c>
      <c r="T197">
        <f>HYPERLINK("https://klasma.github.io/Logging_2305/kartor/A 19437-2023 karta.png", "A 19437-2023")</f>
        <v/>
      </c>
      <c r="U197">
        <f>HYPERLINK("https://klasma.github.io/Logging_2305/knärot/A 19437-2023 karta knärot.png", "A 19437-2023")</f>
        <v/>
      </c>
      <c r="V197">
        <f>HYPERLINK("https://klasma.github.io/Logging_2305/klagomål/A 19437-2023 FSC-klagomål.docx", "A 19437-2023")</f>
        <v/>
      </c>
      <c r="W197">
        <f>HYPERLINK("https://klasma.github.io/Logging_2305/klagomålsmail/A 19437-2023 FSC-klagomål mail.docx", "A 19437-2023")</f>
        <v/>
      </c>
      <c r="X197">
        <f>HYPERLINK("https://klasma.github.io/Logging_2305/tillsyn/A 19437-2023 tillsynsbegäran.docx", "A 19437-2023")</f>
        <v/>
      </c>
      <c r="Y197">
        <f>HYPERLINK("https://klasma.github.io/Logging_2305/tillsynsmail/A 19437-2023 tillsynsbegäran mail.docx", "A 19437-2023")</f>
        <v/>
      </c>
    </row>
    <row r="198" ht="15" customHeight="1">
      <c r="A198" t="inlineStr">
        <is>
          <t>A 19818-2023</t>
        </is>
      </c>
      <c r="B198" s="1" t="n">
        <v>45051</v>
      </c>
      <c r="C198" s="1" t="n">
        <v>45648</v>
      </c>
      <c r="D198" t="inlineStr">
        <is>
          <t>JÄMTLANDS LÄN</t>
        </is>
      </c>
      <c r="E198" t="inlineStr">
        <is>
          <t>BRÄCKE</t>
        </is>
      </c>
      <c r="F198" t="inlineStr">
        <is>
          <t>SCA</t>
        </is>
      </c>
      <c r="G198" t="n">
        <v>2.8</v>
      </c>
      <c r="H198" t="n">
        <v>0</v>
      </c>
      <c r="I198" t="n">
        <v>0</v>
      </c>
      <c r="J198" t="n">
        <v>2</v>
      </c>
      <c r="K198" t="n">
        <v>0</v>
      </c>
      <c r="L198" t="n">
        <v>0</v>
      </c>
      <c r="M198" t="n">
        <v>0</v>
      </c>
      <c r="N198" t="n">
        <v>0</v>
      </c>
      <c r="O198" t="n">
        <v>2</v>
      </c>
      <c r="P198" t="n">
        <v>0</v>
      </c>
      <c r="Q198" t="n">
        <v>2</v>
      </c>
      <c r="R198" s="2" t="inlineStr">
        <is>
          <t>Lunglav
Stiftgelélav</t>
        </is>
      </c>
      <c r="S198">
        <f>HYPERLINK("https://klasma.github.io/Logging_2305/artfynd/A 19818-2023 artfynd.xlsx", "A 19818-2023")</f>
        <v/>
      </c>
      <c r="T198">
        <f>HYPERLINK("https://klasma.github.io/Logging_2305/kartor/A 19818-2023 karta.png", "A 19818-2023")</f>
        <v/>
      </c>
      <c r="V198">
        <f>HYPERLINK("https://klasma.github.io/Logging_2305/klagomål/A 19818-2023 FSC-klagomål.docx", "A 19818-2023")</f>
        <v/>
      </c>
      <c r="W198">
        <f>HYPERLINK("https://klasma.github.io/Logging_2305/klagomålsmail/A 19818-2023 FSC-klagomål mail.docx", "A 19818-2023")</f>
        <v/>
      </c>
      <c r="X198">
        <f>HYPERLINK("https://klasma.github.io/Logging_2305/tillsyn/A 19818-2023 tillsynsbegäran.docx", "A 19818-2023")</f>
        <v/>
      </c>
      <c r="Y198">
        <f>HYPERLINK("https://klasma.github.io/Logging_2305/tillsynsmail/A 19818-2023 tillsynsbegäran mail.docx", "A 19818-2023")</f>
        <v/>
      </c>
    </row>
    <row r="199" ht="15" customHeight="1">
      <c r="A199" t="inlineStr">
        <is>
          <t>A 22989-2023</t>
        </is>
      </c>
      <c r="B199" s="1" t="n">
        <v>45072</v>
      </c>
      <c r="C199" s="1" t="n">
        <v>45648</v>
      </c>
      <c r="D199" t="inlineStr">
        <is>
          <t>JÄMTLANDS LÄN</t>
        </is>
      </c>
      <c r="E199" t="inlineStr">
        <is>
          <t>BRÄCKE</t>
        </is>
      </c>
      <c r="F199" t="inlineStr">
        <is>
          <t>SCA</t>
        </is>
      </c>
      <c r="G199" t="n">
        <v>9.800000000000001</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22989-2023 artfynd.xlsx", "A 22989-2023")</f>
        <v/>
      </c>
      <c r="T199">
        <f>HYPERLINK("https://klasma.github.io/Logging_2305/kartor/A 22989-2023 karta.png", "A 22989-2023")</f>
        <v/>
      </c>
      <c r="V199">
        <f>HYPERLINK("https://klasma.github.io/Logging_2305/klagomål/A 22989-2023 FSC-klagomål.docx", "A 22989-2023")</f>
        <v/>
      </c>
      <c r="W199">
        <f>HYPERLINK("https://klasma.github.io/Logging_2305/klagomålsmail/A 22989-2023 FSC-klagomål mail.docx", "A 22989-2023")</f>
        <v/>
      </c>
      <c r="X199">
        <f>HYPERLINK("https://klasma.github.io/Logging_2305/tillsyn/A 22989-2023 tillsynsbegäran.docx", "A 22989-2023")</f>
        <v/>
      </c>
      <c r="Y199">
        <f>HYPERLINK("https://klasma.github.io/Logging_2305/tillsynsmail/A 22989-2023 tillsynsbegäran mail.docx", "A 22989-2023")</f>
        <v/>
      </c>
    </row>
    <row r="200" ht="15" customHeight="1">
      <c r="A200" t="inlineStr">
        <is>
          <t>A 27000-2023</t>
        </is>
      </c>
      <c r="B200" s="1" t="n">
        <v>45093</v>
      </c>
      <c r="C200" s="1" t="n">
        <v>45648</v>
      </c>
      <c r="D200" t="inlineStr">
        <is>
          <t>JÄMTLANDS LÄN</t>
        </is>
      </c>
      <c r="E200" t="inlineStr">
        <is>
          <t>BRÄCKE</t>
        </is>
      </c>
      <c r="F200" t="inlineStr">
        <is>
          <t>SCA</t>
        </is>
      </c>
      <c r="G200" t="n">
        <v>5.8</v>
      </c>
      <c r="H200" t="n">
        <v>0</v>
      </c>
      <c r="I200" t="n">
        <v>0</v>
      </c>
      <c r="J200" t="n">
        <v>2</v>
      </c>
      <c r="K200" t="n">
        <v>0</v>
      </c>
      <c r="L200" t="n">
        <v>0</v>
      </c>
      <c r="M200" t="n">
        <v>0</v>
      </c>
      <c r="N200" t="n">
        <v>0</v>
      </c>
      <c r="O200" t="n">
        <v>2</v>
      </c>
      <c r="P200" t="n">
        <v>0</v>
      </c>
      <c r="Q200" t="n">
        <v>2</v>
      </c>
      <c r="R200" s="2" t="inlineStr">
        <is>
          <t>Dvärgbägarlav
Lunglav</t>
        </is>
      </c>
      <c r="S200">
        <f>HYPERLINK("https://klasma.github.io/Logging_2305/artfynd/A 27000-2023 artfynd.xlsx", "A 27000-2023")</f>
        <v/>
      </c>
      <c r="T200">
        <f>HYPERLINK("https://klasma.github.io/Logging_2305/kartor/A 27000-2023 karta.png", "A 27000-2023")</f>
        <v/>
      </c>
      <c r="V200">
        <f>HYPERLINK("https://klasma.github.io/Logging_2305/klagomål/A 27000-2023 FSC-klagomål.docx", "A 27000-2023")</f>
        <v/>
      </c>
      <c r="W200">
        <f>HYPERLINK("https://klasma.github.io/Logging_2305/klagomålsmail/A 27000-2023 FSC-klagomål mail.docx", "A 27000-2023")</f>
        <v/>
      </c>
      <c r="X200">
        <f>HYPERLINK("https://klasma.github.io/Logging_2305/tillsyn/A 27000-2023 tillsynsbegäran.docx", "A 27000-2023")</f>
        <v/>
      </c>
      <c r="Y200">
        <f>HYPERLINK("https://klasma.github.io/Logging_2305/tillsynsmail/A 27000-2023 tillsynsbegäran mail.docx", "A 27000-2023")</f>
        <v/>
      </c>
    </row>
    <row r="201" ht="15" customHeight="1">
      <c r="A201" t="inlineStr">
        <is>
          <t>A 28765-2023</t>
        </is>
      </c>
      <c r="B201" s="1" t="n">
        <v>45103</v>
      </c>
      <c r="C201" s="1" t="n">
        <v>45648</v>
      </c>
      <c r="D201" t="inlineStr">
        <is>
          <t>JÄMTLANDS LÄN</t>
        </is>
      </c>
      <c r="E201" t="inlineStr">
        <is>
          <t>BRÄCKE</t>
        </is>
      </c>
      <c r="F201" t="inlineStr">
        <is>
          <t>SCA</t>
        </is>
      </c>
      <c r="G201" t="n">
        <v>6</v>
      </c>
      <c r="H201" t="n">
        <v>0</v>
      </c>
      <c r="I201" t="n">
        <v>1</v>
      </c>
      <c r="J201" t="n">
        <v>1</v>
      </c>
      <c r="K201" t="n">
        <v>0</v>
      </c>
      <c r="L201" t="n">
        <v>0</v>
      </c>
      <c r="M201" t="n">
        <v>0</v>
      </c>
      <c r="N201" t="n">
        <v>0</v>
      </c>
      <c r="O201" t="n">
        <v>1</v>
      </c>
      <c r="P201" t="n">
        <v>0</v>
      </c>
      <c r="Q201" t="n">
        <v>2</v>
      </c>
      <c r="R201" s="2" t="inlineStr">
        <is>
          <t>Vedskivlav
Kransrams</t>
        </is>
      </c>
      <c r="S201">
        <f>HYPERLINK("https://klasma.github.io/Logging_2305/artfynd/A 28765-2023 artfynd.xlsx", "A 28765-2023")</f>
        <v/>
      </c>
      <c r="T201">
        <f>HYPERLINK("https://klasma.github.io/Logging_2305/kartor/A 28765-2023 karta.png", "A 28765-2023")</f>
        <v/>
      </c>
      <c r="V201">
        <f>HYPERLINK("https://klasma.github.io/Logging_2305/klagomål/A 28765-2023 FSC-klagomål.docx", "A 28765-2023")</f>
        <v/>
      </c>
      <c r="W201">
        <f>HYPERLINK("https://klasma.github.io/Logging_2305/klagomålsmail/A 28765-2023 FSC-klagomål mail.docx", "A 28765-2023")</f>
        <v/>
      </c>
      <c r="X201">
        <f>HYPERLINK("https://klasma.github.io/Logging_2305/tillsyn/A 28765-2023 tillsynsbegäran.docx", "A 28765-2023")</f>
        <v/>
      </c>
      <c r="Y201">
        <f>HYPERLINK("https://klasma.github.io/Logging_2305/tillsynsmail/A 28765-2023 tillsynsbegäran mail.docx", "A 28765-2023")</f>
        <v/>
      </c>
    </row>
    <row r="202" ht="15" customHeight="1">
      <c r="A202" t="inlineStr">
        <is>
          <t>A 29333-2023</t>
        </is>
      </c>
      <c r="B202" s="1" t="n">
        <v>45105</v>
      </c>
      <c r="C202" s="1" t="n">
        <v>45648</v>
      </c>
      <c r="D202" t="inlineStr">
        <is>
          <t>JÄMTLANDS LÄN</t>
        </is>
      </c>
      <c r="E202" t="inlineStr">
        <is>
          <t>BRÄCKE</t>
        </is>
      </c>
      <c r="F202" t="inlineStr">
        <is>
          <t>SCA</t>
        </is>
      </c>
      <c r="G202" t="n">
        <v>11.8</v>
      </c>
      <c r="H202" t="n">
        <v>0</v>
      </c>
      <c r="I202" t="n">
        <v>1</v>
      </c>
      <c r="J202" t="n">
        <v>0</v>
      </c>
      <c r="K202" t="n">
        <v>1</v>
      </c>
      <c r="L202" t="n">
        <v>0</v>
      </c>
      <c r="M202" t="n">
        <v>0</v>
      </c>
      <c r="N202" t="n">
        <v>0</v>
      </c>
      <c r="O202" t="n">
        <v>1</v>
      </c>
      <c r="P202" t="n">
        <v>1</v>
      </c>
      <c r="Q202" t="n">
        <v>2</v>
      </c>
      <c r="R202" s="2" t="inlineStr">
        <is>
          <t>Smalfotad taggsvamp
Dropptaggsvamp</t>
        </is>
      </c>
      <c r="S202">
        <f>HYPERLINK("https://klasma.github.io/Logging_2305/artfynd/A 29333-2023 artfynd.xlsx", "A 29333-2023")</f>
        <v/>
      </c>
      <c r="T202">
        <f>HYPERLINK("https://klasma.github.io/Logging_2305/kartor/A 29333-2023 karta.png", "A 29333-2023")</f>
        <v/>
      </c>
      <c r="V202">
        <f>HYPERLINK("https://klasma.github.io/Logging_2305/klagomål/A 29333-2023 FSC-klagomål.docx", "A 29333-2023")</f>
        <v/>
      </c>
      <c r="W202">
        <f>HYPERLINK("https://klasma.github.io/Logging_2305/klagomålsmail/A 29333-2023 FSC-klagomål mail.docx", "A 29333-2023")</f>
        <v/>
      </c>
      <c r="X202">
        <f>HYPERLINK("https://klasma.github.io/Logging_2305/tillsyn/A 29333-2023 tillsynsbegäran.docx", "A 29333-2023")</f>
        <v/>
      </c>
      <c r="Y202">
        <f>HYPERLINK("https://klasma.github.io/Logging_2305/tillsynsmail/A 29333-2023 tillsynsbegäran mail.docx", "A 29333-2023")</f>
        <v/>
      </c>
    </row>
    <row r="203" ht="15" customHeight="1">
      <c r="A203" t="inlineStr">
        <is>
          <t>A 40401-2023</t>
        </is>
      </c>
      <c r="B203" s="1" t="n">
        <v>45169</v>
      </c>
      <c r="C203" s="1" t="n">
        <v>45648</v>
      </c>
      <c r="D203" t="inlineStr">
        <is>
          <t>JÄMTLANDS LÄN</t>
        </is>
      </c>
      <c r="E203" t="inlineStr">
        <is>
          <t>BRÄCKE</t>
        </is>
      </c>
      <c r="F203" t="inlineStr">
        <is>
          <t>SCA</t>
        </is>
      </c>
      <c r="G203" t="n">
        <v>2</v>
      </c>
      <c r="H203" t="n">
        <v>0</v>
      </c>
      <c r="I203" t="n">
        <v>1</v>
      </c>
      <c r="J203" t="n">
        <v>1</v>
      </c>
      <c r="K203" t="n">
        <v>0</v>
      </c>
      <c r="L203" t="n">
        <v>0</v>
      </c>
      <c r="M203" t="n">
        <v>0</v>
      </c>
      <c r="N203" t="n">
        <v>0</v>
      </c>
      <c r="O203" t="n">
        <v>1</v>
      </c>
      <c r="P203" t="n">
        <v>0</v>
      </c>
      <c r="Q203" t="n">
        <v>2</v>
      </c>
      <c r="R203" s="2" t="inlineStr">
        <is>
          <t>Ullticka
Dropptaggsvamp</t>
        </is>
      </c>
      <c r="S203">
        <f>HYPERLINK("https://klasma.github.io/Logging_2305/artfynd/A 40401-2023 artfynd.xlsx", "A 40401-2023")</f>
        <v/>
      </c>
      <c r="T203">
        <f>HYPERLINK("https://klasma.github.io/Logging_2305/kartor/A 40401-2023 karta.png", "A 40401-2023")</f>
        <v/>
      </c>
      <c r="V203">
        <f>HYPERLINK("https://klasma.github.io/Logging_2305/klagomål/A 40401-2023 FSC-klagomål.docx", "A 40401-2023")</f>
        <v/>
      </c>
      <c r="W203">
        <f>HYPERLINK("https://klasma.github.io/Logging_2305/klagomålsmail/A 40401-2023 FSC-klagomål mail.docx", "A 40401-2023")</f>
        <v/>
      </c>
      <c r="X203">
        <f>HYPERLINK("https://klasma.github.io/Logging_2305/tillsyn/A 40401-2023 tillsynsbegäran.docx", "A 40401-2023")</f>
        <v/>
      </c>
      <c r="Y203">
        <f>HYPERLINK("https://klasma.github.io/Logging_2305/tillsynsmail/A 40401-2023 tillsynsbegäran mail.docx", "A 40401-2023")</f>
        <v/>
      </c>
    </row>
    <row r="204" ht="15" customHeight="1">
      <c r="A204" t="inlineStr">
        <is>
          <t>A 43127-2023</t>
        </is>
      </c>
      <c r="B204" s="1" t="n">
        <v>45182</v>
      </c>
      <c r="C204" s="1" t="n">
        <v>45648</v>
      </c>
      <c r="D204" t="inlineStr">
        <is>
          <t>JÄMTLANDS LÄN</t>
        </is>
      </c>
      <c r="E204" t="inlineStr">
        <is>
          <t>BRÄCKE</t>
        </is>
      </c>
      <c r="F204" t="inlineStr">
        <is>
          <t>Naturvårdsverket</t>
        </is>
      </c>
      <c r="G204" t="n">
        <v>1.7</v>
      </c>
      <c r="H204" t="n">
        <v>0</v>
      </c>
      <c r="I204" t="n">
        <v>0</v>
      </c>
      <c r="J204" t="n">
        <v>2</v>
      </c>
      <c r="K204" t="n">
        <v>0</v>
      </c>
      <c r="L204" t="n">
        <v>0</v>
      </c>
      <c r="M204" t="n">
        <v>0</v>
      </c>
      <c r="N204" t="n">
        <v>0</v>
      </c>
      <c r="O204" t="n">
        <v>2</v>
      </c>
      <c r="P204" t="n">
        <v>0</v>
      </c>
      <c r="Q204" t="n">
        <v>2</v>
      </c>
      <c r="R204" s="2" t="inlineStr">
        <is>
          <t>Granticka
Vedskivlav</t>
        </is>
      </c>
      <c r="S204">
        <f>HYPERLINK("https://klasma.github.io/Logging_2305/artfynd/A 43127-2023 artfynd.xlsx", "A 43127-2023")</f>
        <v/>
      </c>
      <c r="T204">
        <f>HYPERLINK("https://klasma.github.io/Logging_2305/kartor/A 43127-2023 karta.png", "A 43127-2023")</f>
        <v/>
      </c>
      <c r="V204">
        <f>HYPERLINK("https://klasma.github.io/Logging_2305/klagomål/A 43127-2023 FSC-klagomål.docx", "A 43127-2023")</f>
        <v/>
      </c>
      <c r="W204">
        <f>HYPERLINK("https://klasma.github.io/Logging_2305/klagomålsmail/A 43127-2023 FSC-klagomål mail.docx", "A 43127-2023")</f>
        <v/>
      </c>
      <c r="X204">
        <f>HYPERLINK("https://klasma.github.io/Logging_2305/tillsyn/A 43127-2023 tillsynsbegäran.docx", "A 43127-2023")</f>
        <v/>
      </c>
      <c r="Y204">
        <f>HYPERLINK("https://klasma.github.io/Logging_2305/tillsynsmail/A 43127-2023 tillsynsbegäran mail.docx", "A 43127-2023")</f>
        <v/>
      </c>
    </row>
    <row r="205" ht="15" customHeight="1">
      <c r="A205" t="inlineStr">
        <is>
          <t>A 45012-2023</t>
        </is>
      </c>
      <c r="B205" s="1" t="n">
        <v>45190</v>
      </c>
      <c r="C205" s="1" t="n">
        <v>45648</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44993-2023</t>
        </is>
      </c>
      <c r="B206" s="1" t="n">
        <v>45190</v>
      </c>
      <c r="C206" s="1" t="n">
        <v>45648</v>
      </c>
      <c r="D206" t="inlineStr">
        <is>
          <t>JÄMTLANDS LÄN</t>
        </is>
      </c>
      <c r="E206" t="inlineStr">
        <is>
          <t>BRÄCKE</t>
        </is>
      </c>
      <c r="F206" t="inlineStr">
        <is>
          <t>Naturvårdsverket</t>
        </is>
      </c>
      <c r="G206" t="n">
        <v>7.1</v>
      </c>
      <c r="H206" t="n">
        <v>0</v>
      </c>
      <c r="I206" t="n">
        <v>0</v>
      </c>
      <c r="J206" t="n">
        <v>2</v>
      </c>
      <c r="K206" t="n">
        <v>0</v>
      </c>
      <c r="L206" t="n">
        <v>0</v>
      </c>
      <c r="M206" t="n">
        <v>0</v>
      </c>
      <c r="N206" t="n">
        <v>0</v>
      </c>
      <c r="O206" t="n">
        <v>2</v>
      </c>
      <c r="P206" t="n">
        <v>0</v>
      </c>
      <c r="Q206" t="n">
        <v>2</v>
      </c>
      <c r="R206" s="2" t="inlineStr">
        <is>
          <t>Blå taggsvamp
Skrovlig taggsvamp</t>
        </is>
      </c>
      <c r="S206">
        <f>HYPERLINK("https://klasma.github.io/Logging_2305/artfynd/A 44993-2023 artfynd.xlsx", "A 44993-2023")</f>
        <v/>
      </c>
      <c r="T206">
        <f>HYPERLINK("https://klasma.github.io/Logging_2305/kartor/A 44993-2023 karta.png", "A 44993-2023")</f>
        <v/>
      </c>
      <c r="V206">
        <f>HYPERLINK("https://klasma.github.io/Logging_2305/klagomål/A 44993-2023 FSC-klagomål.docx", "A 44993-2023")</f>
        <v/>
      </c>
      <c r="W206">
        <f>HYPERLINK("https://klasma.github.io/Logging_2305/klagomålsmail/A 44993-2023 FSC-klagomål mail.docx", "A 44993-2023")</f>
        <v/>
      </c>
      <c r="X206">
        <f>HYPERLINK("https://klasma.github.io/Logging_2305/tillsyn/A 44993-2023 tillsynsbegäran.docx", "A 44993-2023")</f>
        <v/>
      </c>
      <c r="Y206">
        <f>HYPERLINK("https://klasma.github.io/Logging_2305/tillsynsmail/A 44993-2023 tillsynsbegäran mail.docx", "A 44993-2023")</f>
        <v/>
      </c>
    </row>
    <row r="207" ht="15" customHeight="1">
      <c r="A207" t="inlineStr">
        <is>
          <t>A 47295-2023</t>
        </is>
      </c>
      <c r="B207" s="1" t="n">
        <v>45196</v>
      </c>
      <c r="C207" s="1" t="n">
        <v>45648</v>
      </c>
      <c r="D207" t="inlineStr">
        <is>
          <t>JÄMTLANDS LÄN</t>
        </is>
      </c>
      <c r="E207" t="inlineStr">
        <is>
          <t>BRÄCKE</t>
        </is>
      </c>
      <c r="F207" t="inlineStr">
        <is>
          <t>SCA</t>
        </is>
      </c>
      <c r="G207" t="n">
        <v>11.4</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47295-2023 artfynd.xlsx", "A 47295-2023")</f>
        <v/>
      </c>
      <c r="T207">
        <f>HYPERLINK("https://klasma.github.io/Logging_2305/kartor/A 47295-2023 karta.png", "A 47295-2023")</f>
        <v/>
      </c>
      <c r="U207">
        <f>HYPERLINK("https://klasma.github.io/Logging_2305/knärot/A 47295-2023 karta knärot.png", "A 47295-2023")</f>
        <v/>
      </c>
      <c r="V207">
        <f>HYPERLINK("https://klasma.github.io/Logging_2305/klagomål/A 47295-2023 FSC-klagomål.docx", "A 47295-2023")</f>
        <v/>
      </c>
      <c r="W207">
        <f>HYPERLINK("https://klasma.github.io/Logging_2305/klagomålsmail/A 47295-2023 FSC-klagomål mail.docx", "A 47295-2023")</f>
        <v/>
      </c>
      <c r="X207">
        <f>HYPERLINK("https://klasma.github.io/Logging_2305/tillsyn/A 47295-2023 tillsynsbegäran.docx", "A 47295-2023")</f>
        <v/>
      </c>
      <c r="Y207">
        <f>HYPERLINK("https://klasma.github.io/Logging_2305/tillsynsmail/A 47295-2023 tillsynsbegäran mail.docx", "A 47295-2023")</f>
        <v/>
      </c>
    </row>
    <row r="208" ht="15" customHeight="1">
      <c r="A208" t="inlineStr">
        <is>
          <t>A 47498-2023</t>
        </is>
      </c>
      <c r="B208" s="1" t="n">
        <v>45202</v>
      </c>
      <c r="C208" s="1" t="n">
        <v>45648</v>
      </c>
      <c r="D208" t="inlineStr">
        <is>
          <t>JÄMTLANDS LÄN</t>
        </is>
      </c>
      <c r="E208" t="inlineStr">
        <is>
          <t>BRÄCKE</t>
        </is>
      </c>
      <c r="F208" t="inlineStr">
        <is>
          <t>SCA</t>
        </is>
      </c>
      <c r="G208" t="n">
        <v>6.1</v>
      </c>
      <c r="H208" t="n">
        <v>1</v>
      </c>
      <c r="I208" t="n">
        <v>1</v>
      </c>
      <c r="J208" t="n">
        <v>0</v>
      </c>
      <c r="K208" t="n">
        <v>1</v>
      </c>
      <c r="L208" t="n">
        <v>0</v>
      </c>
      <c r="M208" t="n">
        <v>0</v>
      </c>
      <c r="N208" t="n">
        <v>0</v>
      </c>
      <c r="O208" t="n">
        <v>1</v>
      </c>
      <c r="P208" t="n">
        <v>1</v>
      </c>
      <c r="Q208" t="n">
        <v>2</v>
      </c>
      <c r="R208" s="2" t="inlineStr">
        <is>
          <t>Bandnate
Guckusko</t>
        </is>
      </c>
      <c r="S208">
        <f>HYPERLINK("https://klasma.github.io/Logging_2305/artfynd/A 47498-2023 artfynd.xlsx", "A 47498-2023")</f>
        <v/>
      </c>
      <c r="T208">
        <f>HYPERLINK("https://klasma.github.io/Logging_2305/kartor/A 47498-2023 karta.png", "A 47498-2023")</f>
        <v/>
      </c>
      <c r="V208">
        <f>HYPERLINK("https://klasma.github.io/Logging_2305/klagomål/A 47498-2023 FSC-klagomål.docx", "A 47498-2023")</f>
        <v/>
      </c>
      <c r="W208">
        <f>HYPERLINK("https://klasma.github.io/Logging_2305/klagomålsmail/A 47498-2023 FSC-klagomål mail.docx", "A 47498-2023")</f>
        <v/>
      </c>
      <c r="X208">
        <f>HYPERLINK("https://klasma.github.io/Logging_2305/tillsyn/A 47498-2023 tillsynsbegäran.docx", "A 47498-2023")</f>
        <v/>
      </c>
      <c r="Y208">
        <f>HYPERLINK("https://klasma.github.io/Logging_2305/tillsynsmail/A 47498-2023 tillsynsbegäran mail.docx", "A 47498-2023")</f>
        <v/>
      </c>
    </row>
    <row r="209" ht="15" customHeight="1">
      <c r="A209" t="inlineStr">
        <is>
          <t>A 48780-2023</t>
        </is>
      </c>
      <c r="B209" s="1" t="n">
        <v>45208</v>
      </c>
      <c r="C209" s="1" t="n">
        <v>45648</v>
      </c>
      <c r="D209" t="inlineStr">
        <is>
          <t>JÄMTLANDS LÄN</t>
        </is>
      </c>
      <c r="E209" t="inlineStr">
        <is>
          <t>BRÄCKE</t>
        </is>
      </c>
      <c r="F209" t="inlineStr">
        <is>
          <t>Naturvårdsverket</t>
        </is>
      </c>
      <c r="G209" t="n">
        <v>11.2</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48780-2023 artfynd.xlsx", "A 48780-2023")</f>
        <v/>
      </c>
      <c r="T209">
        <f>HYPERLINK("https://klasma.github.io/Logging_2305/kartor/A 48780-2023 karta.png", "A 48780-2023")</f>
        <v/>
      </c>
      <c r="V209">
        <f>HYPERLINK("https://klasma.github.io/Logging_2305/klagomål/A 48780-2023 FSC-klagomål.docx", "A 48780-2023")</f>
        <v/>
      </c>
      <c r="W209">
        <f>HYPERLINK("https://klasma.github.io/Logging_2305/klagomålsmail/A 48780-2023 FSC-klagomål mail.docx", "A 48780-2023")</f>
        <v/>
      </c>
      <c r="X209">
        <f>HYPERLINK("https://klasma.github.io/Logging_2305/tillsyn/A 48780-2023 tillsynsbegäran.docx", "A 48780-2023")</f>
        <v/>
      </c>
      <c r="Y209">
        <f>HYPERLINK("https://klasma.github.io/Logging_2305/tillsynsmail/A 48780-2023 tillsynsbegäran mail.docx", "A 48780-2023")</f>
        <v/>
      </c>
    </row>
    <row r="210" ht="15" customHeight="1">
      <c r="A210" t="inlineStr">
        <is>
          <t>A 49328-2023</t>
        </is>
      </c>
      <c r="B210" s="1" t="n">
        <v>45210</v>
      </c>
      <c r="C210" s="1" t="n">
        <v>45648</v>
      </c>
      <c r="D210" t="inlineStr">
        <is>
          <t>JÄMTLANDS LÄN</t>
        </is>
      </c>
      <c r="E210" t="inlineStr">
        <is>
          <t>BRÄCKE</t>
        </is>
      </c>
      <c r="F210" t="inlineStr">
        <is>
          <t>SCA</t>
        </is>
      </c>
      <c r="G210" t="n">
        <v>3.2</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49328-2023 artfynd.xlsx", "A 49328-2023")</f>
        <v/>
      </c>
      <c r="T210">
        <f>HYPERLINK("https://klasma.github.io/Logging_2305/kartor/A 49328-2023 karta.png", "A 49328-2023")</f>
        <v/>
      </c>
      <c r="V210">
        <f>HYPERLINK("https://klasma.github.io/Logging_2305/klagomål/A 49328-2023 FSC-klagomål.docx", "A 49328-2023")</f>
        <v/>
      </c>
      <c r="W210">
        <f>HYPERLINK("https://klasma.github.io/Logging_2305/klagomålsmail/A 49328-2023 FSC-klagomål mail.docx", "A 49328-2023")</f>
        <v/>
      </c>
      <c r="X210">
        <f>HYPERLINK("https://klasma.github.io/Logging_2305/tillsyn/A 49328-2023 tillsynsbegäran.docx", "A 49328-2023")</f>
        <v/>
      </c>
      <c r="Y210">
        <f>HYPERLINK("https://klasma.github.io/Logging_2305/tillsynsmail/A 49328-2023 tillsynsbegäran mail.docx", "A 49328-2023")</f>
        <v/>
      </c>
    </row>
    <row r="211" ht="15" customHeight="1">
      <c r="A211" t="inlineStr">
        <is>
          <t>A 50497-2023</t>
        </is>
      </c>
      <c r="B211" s="1" t="n">
        <v>45217</v>
      </c>
      <c r="C211" s="1" t="n">
        <v>45648</v>
      </c>
      <c r="D211" t="inlineStr">
        <is>
          <t>JÄMTLANDS LÄN</t>
        </is>
      </c>
      <c r="E211" t="inlineStr">
        <is>
          <t>BRÄCKE</t>
        </is>
      </c>
      <c r="F211" t="inlineStr">
        <is>
          <t>SCA</t>
        </is>
      </c>
      <c r="G211" t="n">
        <v>2.5</v>
      </c>
      <c r="H211" t="n">
        <v>1</v>
      </c>
      <c r="I211" t="n">
        <v>1</v>
      </c>
      <c r="J211" t="n">
        <v>0</v>
      </c>
      <c r="K211" t="n">
        <v>1</v>
      </c>
      <c r="L211" t="n">
        <v>0</v>
      </c>
      <c r="M211" t="n">
        <v>0</v>
      </c>
      <c r="N211" t="n">
        <v>0</v>
      </c>
      <c r="O211" t="n">
        <v>1</v>
      </c>
      <c r="P211" t="n">
        <v>1</v>
      </c>
      <c r="Q211" t="n">
        <v>2</v>
      </c>
      <c r="R211" s="2" t="inlineStr">
        <is>
          <t>Knärot
Skuggblåslav</t>
        </is>
      </c>
      <c r="S211">
        <f>HYPERLINK("https://klasma.github.io/Logging_2305/artfynd/A 50497-2023 artfynd.xlsx", "A 50497-2023")</f>
        <v/>
      </c>
      <c r="T211">
        <f>HYPERLINK("https://klasma.github.io/Logging_2305/kartor/A 50497-2023 karta.png", "A 50497-2023")</f>
        <v/>
      </c>
      <c r="U211">
        <f>HYPERLINK("https://klasma.github.io/Logging_2305/knärot/A 50497-2023 karta knärot.png", "A 50497-2023")</f>
        <v/>
      </c>
      <c r="V211">
        <f>HYPERLINK("https://klasma.github.io/Logging_2305/klagomål/A 50497-2023 FSC-klagomål.docx", "A 50497-2023")</f>
        <v/>
      </c>
      <c r="W211">
        <f>HYPERLINK("https://klasma.github.io/Logging_2305/klagomålsmail/A 50497-2023 FSC-klagomål mail.docx", "A 50497-2023")</f>
        <v/>
      </c>
      <c r="X211">
        <f>HYPERLINK("https://klasma.github.io/Logging_2305/tillsyn/A 50497-2023 tillsynsbegäran.docx", "A 50497-2023")</f>
        <v/>
      </c>
      <c r="Y211">
        <f>HYPERLINK("https://klasma.github.io/Logging_2305/tillsynsmail/A 50497-2023 tillsynsbegäran mail.docx", "A 50497-2023")</f>
        <v/>
      </c>
    </row>
    <row r="212" ht="15" customHeight="1">
      <c r="A212" t="inlineStr">
        <is>
          <t>A 51822-2023</t>
        </is>
      </c>
      <c r="B212" s="1" t="n">
        <v>45222</v>
      </c>
      <c r="C212" s="1" t="n">
        <v>45648</v>
      </c>
      <c r="D212" t="inlineStr">
        <is>
          <t>JÄMTLANDS LÄN</t>
        </is>
      </c>
      <c r="E212" t="inlineStr">
        <is>
          <t>BRÄCKE</t>
        </is>
      </c>
      <c r="F212" t="inlineStr">
        <is>
          <t>SCA</t>
        </is>
      </c>
      <c r="G212" t="n">
        <v>3</v>
      </c>
      <c r="H212" t="n">
        <v>0</v>
      </c>
      <c r="I212" t="n">
        <v>0</v>
      </c>
      <c r="J212" t="n">
        <v>2</v>
      </c>
      <c r="K212" t="n">
        <v>0</v>
      </c>
      <c r="L212" t="n">
        <v>0</v>
      </c>
      <c r="M212" t="n">
        <v>0</v>
      </c>
      <c r="N212" t="n">
        <v>0</v>
      </c>
      <c r="O212" t="n">
        <v>2</v>
      </c>
      <c r="P212" t="n">
        <v>0</v>
      </c>
      <c r="Q212" t="n">
        <v>2</v>
      </c>
      <c r="R212" s="2" t="inlineStr">
        <is>
          <t>Harticka
Ullticka</t>
        </is>
      </c>
      <c r="S212">
        <f>HYPERLINK("https://klasma.github.io/Logging_2305/artfynd/A 51822-2023 artfynd.xlsx", "A 51822-2023")</f>
        <v/>
      </c>
      <c r="T212">
        <f>HYPERLINK("https://klasma.github.io/Logging_2305/kartor/A 51822-2023 karta.png", "A 51822-2023")</f>
        <v/>
      </c>
      <c r="V212">
        <f>HYPERLINK("https://klasma.github.io/Logging_2305/klagomål/A 51822-2023 FSC-klagomål.docx", "A 51822-2023")</f>
        <v/>
      </c>
      <c r="W212">
        <f>HYPERLINK("https://klasma.github.io/Logging_2305/klagomålsmail/A 51822-2023 FSC-klagomål mail.docx", "A 51822-2023")</f>
        <v/>
      </c>
      <c r="X212">
        <f>HYPERLINK("https://klasma.github.io/Logging_2305/tillsyn/A 51822-2023 tillsynsbegäran.docx", "A 51822-2023")</f>
        <v/>
      </c>
      <c r="Y212">
        <f>HYPERLINK("https://klasma.github.io/Logging_2305/tillsynsmail/A 51822-2023 tillsynsbegäran mail.docx", "A 51822-2023")</f>
        <v/>
      </c>
    </row>
    <row r="213" ht="15" customHeight="1">
      <c r="A213" t="inlineStr">
        <is>
          <t>A 54051-2023</t>
        </is>
      </c>
      <c r="B213" s="1" t="n">
        <v>45232</v>
      </c>
      <c r="C213" s="1" t="n">
        <v>45648</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54051-2023 artfynd.xlsx", "A 54051-2023")</f>
        <v/>
      </c>
      <c r="T213">
        <f>HYPERLINK("https://klasma.github.io/Logging_2305/kartor/A 54051-2023 karta.png", "A 54051-2023")</f>
        <v/>
      </c>
      <c r="V213">
        <f>HYPERLINK("https://klasma.github.io/Logging_2305/klagomål/A 54051-2023 FSC-klagomål.docx", "A 54051-2023")</f>
        <v/>
      </c>
      <c r="W213">
        <f>HYPERLINK("https://klasma.github.io/Logging_2305/klagomålsmail/A 54051-2023 FSC-klagomål mail.docx", "A 54051-2023")</f>
        <v/>
      </c>
      <c r="X213">
        <f>HYPERLINK("https://klasma.github.io/Logging_2305/tillsyn/A 54051-2023 tillsynsbegäran.docx", "A 54051-2023")</f>
        <v/>
      </c>
      <c r="Y213">
        <f>HYPERLINK("https://klasma.github.io/Logging_2305/tillsynsmail/A 54051-2023 tillsynsbegäran mail.docx", "A 54051-2023")</f>
        <v/>
      </c>
    </row>
    <row r="214" ht="15" customHeight="1">
      <c r="A214" t="inlineStr">
        <is>
          <t>A 55343-2023</t>
        </is>
      </c>
      <c r="B214" s="1" t="n">
        <v>45237</v>
      </c>
      <c r="C214" s="1" t="n">
        <v>45648</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57075-2023</t>
        </is>
      </c>
      <c r="B215" s="1" t="n">
        <v>45245</v>
      </c>
      <c r="C215" s="1" t="n">
        <v>45648</v>
      </c>
      <c r="D215" t="inlineStr">
        <is>
          <t>JÄMTLANDS LÄN</t>
        </is>
      </c>
      <c r="E215" t="inlineStr">
        <is>
          <t>BRÄCKE</t>
        </is>
      </c>
      <c r="F215" t="inlineStr">
        <is>
          <t>SCA</t>
        </is>
      </c>
      <c r="G215" t="n">
        <v>7.5</v>
      </c>
      <c r="H215" t="n">
        <v>1</v>
      </c>
      <c r="I215" t="n">
        <v>1</v>
      </c>
      <c r="J215" t="n">
        <v>0</v>
      </c>
      <c r="K215" t="n">
        <v>0</v>
      </c>
      <c r="L215" t="n">
        <v>0</v>
      </c>
      <c r="M215" t="n">
        <v>0</v>
      </c>
      <c r="N215" t="n">
        <v>0</v>
      </c>
      <c r="O215" t="n">
        <v>0</v>
      </c>
      <c r="P215" t="n">
        <v>0</v>
      </c>
      <c r="Q215" t="n">
        <v>2</v>
      </c>
      <c r="R215" s="2" t="inlineStr">
        <is>
          <t>Stor aspticka
Gråspett</t>
        </is>
      </c>
      <c r="S215">
        <f>HYPERLINK("https://klasma.github.io/Logging_2305/artfynd/A 57075-2023 artfynd.xlsx", "A 57075-2023")</f>
        <v/>
      </c>
      <c r="T215">
        <f>HYPERLINK("https://klasma.github.io/Logging_2305/kartor/A 57075-2023 karta.png", "A 57075-2023")</f>
        <v/>
      </c>
      <c r="V215">
        <f>HYPERLINK("https://klasma.github.io/Logging_2305/klagomål/A 57075-2023 FSC-klagomål.docx", "A 57075-2023")</f>
        <v/>
      </c>
      <c r="W215">
        <f>HYPERLINK("https://klasma.github.io/Logging_2305/klagomålsmail/A 57075-2023 FSC-klagomål mail.docx", "A 57075-2023")</f>
        <v/>
      </c>
      <c r="X215">
        <f>HYPERLINK("https://klasma.github.io/Logging_2305/tillsyn/A 57075-2023 tillsynsbegäran.docx", "A 57075-2023")</f>
        <v/>
      </c>
      <c r="Y215">
        <f>HYPERLINK("https://klasma.github.io/Logging_2305/tillsynsmail/A 57075-2023 tillsynsbegäran mail.docx", "A 57075-2023")</f>
        <v/>
      </c>
      <c r="Z215">
        <f>HYPERLINK("https://klasma.github.io/Logging_2305/fåglar/A 57075-2023 prioriterade fågelarter.docx", "A 57075-2023")</f>
        <v/>
      </c>
    </row>
    <row r="216" ht="15" customHeight="1">
      <c r="A216" t="inlineStr">
        <is>
          <t>A 59667-2023</t>
        </is>
      </c>
      <c r="B216" s="1" t="n">
        <v>45255</v>
      </c>
      <c r="C216" s="1" t="n">
        <v>45648</v>
      </c>
      <c r="D216" t="inlineStr">
        <is>
          <t>JÄMTLANDS LÄN</t>
        </is>
      </c>
      <c r="E216" t="inlineStr">
        <is>
          <t>BRÄCKE</t>
        </is>
      </c>
      <c r="F216" t="inlineStr">
        <is>
          <t>SCA</t>
        </is>
      </c>
      <c r="G216" t="n">
        <v>6.4</v>
      </c>
      <c r="H216" t="n">
        <v>0</v>
      </c>
      <c r="I216" t="n">
        <v>1</v>
      </c>
      <c r="J216" t="n">
        <v>1</v>
      </c>
      <c r="K216" t="n">
        <v>0</v>
      </c>
      <c r="L216" t="n">
        <v>0</v>
      </c>
      <c r="M216" t="n">
        <v>0</v>
      </c>
      <c r="N216" t="n">
        <v>0</v>
      </c>
      <c r="O216" t="n">
        <v>1</v>
      </c>
      <c r="P216" t="n">
        <v>0</v>
      </c>
      <c r="Q216" t="n">
        <v>2</v>
      </c>
      <c r="R216" s="2" t="inlineStr">
        <is>
          <t>Vitgrynig nållav
Kransrams</t>
        </is>
      </c>
      <c r="S216">
        <f>HYPERLINK("https://klasma.github.io/Logging_2305/artfynd/A 59667-2023 artfynd.xlsx", "A 59667-2023")</f>
        <v/>
      </c>
      <c r="T216">
        <f>HYPERLINK("https://klasma.github.io/Logging_2305/kartor/A 59667-2023 karta.png", "A 59667-2023")</f>
        <v/>
      </c>
      <c r="V216">
        <f>HYPERLINK("https://klasma.github.io/Logging_2305/klagomål/A 59667-2023 FSC-klagomål.docx", "A 59667-2023")</f>
        <v/>
      </c>
      <c r="W216">
        <f>HYPERLINK("https://klasma.github.io/Logging_2305/klagomålsmail/A 59667-2023 FSC-klagomål mail.docx", "A 59667-2023")</f>
        <v/>
      </c>
      <c r="X216">
        <f>HYPERLINK("https://klasma.github.io/Logging_2305/tillsyn/A 59667-2023 tillsynsbegäran.docx", "A 59667-2023")</f>
        <v/>
      </c>
      <c r="Y216">
        <f>HYPERLINK("https://klasma.github.io/Logging_2305/tillsynsmail/A 59667-2023 tillsynsbegäran mail.docx", "A 59667-2023")</f>
        <v/>
      </c>
    </row>
    <row r="217" ht="15" customHeight="1">
      <c r="A217" t="inlineStr">
        <is>
          <t>A 6903-2024</t>
        </is>
      </c>
      <c r="B217" s="1" t="n">
        <v>45342</v>
      </c>
      <c r="C217" s="1" t="n">
        <v>45648</v>
      </c>
      <c r="D217" t="inlineStr">
        <is>
          <t>JÄMTLANDS LÄN</t>
        </is>
      </c>
      <c r="E217" t="inlineStr">
        <is>
          <t>BRÄCKE</t>
        </is>
      </c>
      <c r="F217" t="inlineStr">
        <is>
          <t>SCA</t>
        </is>
      </c>
      <c r="G217" t="n">
        <v>5.9</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6903-2024 artfynd.xlsx", "A 6903-2024")</f>
        <v/>
      </c>
      <c r="T217">
        <f>HYPERLINK("https://klasma.github.io/Logging_2305/kartor/A 6903-2024 karta.png", "A 6903-2024")</f>
        <v/>
      </c>
      <c r="U217">
        <f>HYPERLINK("https://klasma.github.io/Logging_2305/knärot/A 6903-2024 karta knärot.png", "A 6903-2024")</f>
        <v/>
      </c>
      <c r="V217">
        <f>HYPERLINK("https://klasma.github.io/Logging_2305/klagomål/A 6903-2024 FSC-klagomål.docx", "A 6903-2024")</f>
        <v/>
      </c>
      <c r="W217">
        <f>HYPERLINK("https://klasma.github.io/Logging_2305/klagomålsmail/A 6903-2024 FSC-klagomål mail.docx", "A 6903-2024")</f>
        <v/>
      </c>
      <c r="X217">
        <f>HYPERLINK("https://klasma.github.io/Logging_2305/tillsyn/A 6903-2024 tillsynsbegäran.docx", "A 6903-2024")</f>
        <v/>
      </c>
      <c r="Y217">
        <f>HYPERLINK("https://klasma.github.io/Logging_2305/tillsynsmail/A 6903-2024 tillsynsbegäran mail.docx", "A 6903-2024")</f>
        <v/>
      </c>
    </row>
    <row r="218" ht="15" customHeight="1">
      <c r="A218" t="inlineStr">
        <is>
          <t>A 8248-2024</t>
        </is>
      </c>
      <c r="B218" s="1" t="n">
        <v>45351</v>
      </c>
      <c r="C218" s="1" t="n">
        <v>45648</v>
      </c>
      <c r="D218" t="inlineStr">
        <is>
          <t>JÄMTLANDS LÄN</t>
        </is>
      </c>
      <c r="E218" t="inlineStr">
        <is>
          <t>BRÄCKE</t>
        </is>
      </c>
      <c r="F218" t="inlineStr">
        <is>
          <t>SCA</t>
        </is>
      </c>
      <c r="G218" t="n">
        <v>1.8</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8248-2024 artfynd.xlsx", "A 8248-2024")</f>
        <v/>
      </c>
      <c r="T218">
        <f>HYPERLINK("https://klasma.github.io/Logging_2305/kartor/A 8248-2024 karta.png", "A 8248-2024")</f>
        <v/>
      </c>
      <c r="V218">
        <f>HYPERLINK("https://klasma.github.io/Logging_2305/klagomål/A 8248-2024 FSC-klagomål.docx", "A 8248-2024")</f>
        <v/>
      </c>
      <c r="W218">
        <f>HYPERLINK("https://klasma.github.io/Logging_2305/klagomålsmail/A 8248-2024 FSC-klagomål mail.docx", "A 8248-2024")</f>
        <v/>
      </c>
      <c r="X218">
        <f>HYPERLINK("https://klasma.github.io/Logging_2305/tillsyn/A 8248-2024 tillsynsbegäran.docx", "A 8248-2024")</f>
        <v/>
      </c>
      <c r="Y218">
        <f>HYPERLINK("https://klasma.github.io/Logging_2305/tillsynsmail/A 8248-2024 tillsynsbegäran mail.docx", "A 8248-2024")</f>
        <v/>
      </c>
    </row>
    <row r="219" ht="15" customHeight="1">
      <c r="A219" t="inlineStr">
        <is>
          <t>A 12588-2024</t>
        </is>
      </c>
      <c r="B219" s="1" t="n">
        <v>45379</v>
      </c>
      <c r="C219" s="1" t="n">
        <v>45648</v>
      </c>
      <c r="D219" t="inlineStr">
        <is>
          <t>JÄMTLANDS LÄN</t>
        </is>
      </c>
      <c r="E219" t="inlineStr">
        <is>
          <t>BRÄCKE</t>
        </is>
      </c>
      <c r="F219" t="inlineStr">
        <is>
          <t>SCA</t>
        </is>
      </c>
      <c r="G219" t="n">
        <v>5.1</v>
      </c>
      <c r="H219" t="n">
        <v>0</v>
      </c>
      <c r="I219" t="n">
        <v>0</v>
      </c>
      <c r="J219" t="n">
        <v>2</v>
      </c>
      <c r="K219" t="n">
        <v>0</v>
      </c>
      <c r="L219" t="n">
        <v>0</v>
      </c>
      <c r="M219" t="n">
        <v>0</v>
      </c>
      <c r="N219" t="n">
        <v>0</v>
      </c>
      <c r="O219" t="n">
        <v>2</v>
      </c>
      <c r="P219" t="n">
        <v>0</v>
      </c>
      <c r="Q219" t="n">
        <v>2</v>
      </c>
      <c r="R219" s="2" t="inlineStr">
        <is>
          <t>Blå taggsvamp
Ullticka</t>
        </is>
      </c>
      <c r="S219">
        <f>HYPERLINK("https://klasma.github.io/Logging_2305/artfynd/A 12588-2024 artfynd.xlsx", "A 12588-2024")</f>
        <v/>
      </c>
      <c r="T219">
        <f>HYPERLINK("https://klasma.github.io/Logging_2305/kartor/A 12588-2024 karta.png", "A 12588-2024")</f>
        <v/>
      </c>
      <c r="V219">
        <f>HYPERLINK("https://klasma.github.io/Logging_2305/klagomål/A 12588-2024 FSC-klagomål.docx", "A 12588-2024")</f>
        <v/>
      </c>
      <c r="W219">
        <f>HYPERLINK("https://klasma.github.io/Logging_2305/klagomålsmail/A 12588-2024 FSC-klagomål mail.docx", "A 12588-2024")</f>
        <v/>
      </c>
      <c r="X219">
        <f>HYPERLINK("https://klasma.github.io/Logging_2305/tillsyn/A 12588-2024 tillsynsbegäran.docx", "A 12588-2024")</f>
        <v/>
      </c>
      <c r="Y219">
        <f>HYPERLINK("https://klasma.github.io/Logging_2305/tillsynsmail/A 12588-2024 tillsynsbegäran mail.docx", "A 12588-2024")</f>
        <v/>
      </c>
    </row>
    <row r="220" ht="15" customHeight="1">
      <c r="A220" t="inlineStr">
        <is>
          <t>A 12861-2024</t>
        </is>
      </c>
      <c r="B220" s="1" t="n">
        <v>45385</v>
      </c>
      <c r="C220" s="1" t="n">
        <v>45648</v>
      </c>
      <c r="D220" t="inlineStr">
        <is>
          <t>JÄMTLANDS LÄN</t>
        </is>
      </c>
      <c r="E220" t="inlineStr">
        <is>
          <t>BRÄCKE</t>
        </is>
      </c>
      <c r="F220" t="inlineStr">
        <is>
          <t>SCA</t>
        </is>
      </c>
      <c r="G220" t="n">
        <v>5.3</v>
      </c>
      <c r="H220" t="n">
        <v>0</v>
      </c>
      <c r="I220" t="n">
        <v>1</v>
      </c>
      <c r="J220" t="n">
        <v>1</v>
      </c>
      <c r="K220" t="n">
        <v>0</v>
      </c>
      <c r="L220" t="n">
        <v>0</v>
      </c>
      <c r="M220" t="n">
        <v>0</v>
      </c>
      <c r="N220" t="n">
        <v>0</v>
      </c>
      <c r="O220" t="n">
        <v>1</v>
      </c>
      <c r="P220" t="n">
        <v>0</v>
      </c>
      <c r="Q220" t="n">
        <v>2</v>
      </c>
      <c r="R220" s="2" t="inlineStr">
        <is>
          <t>Kolflarnlav
Stuplav</t>
        </is>
      </c>
      <c r="S220">
        <f>HYPERLINK("https://klasma.github.io/Logging_2305/artfynd/A 12861-2024 artfynd.xlsx", "A 12861-2024")</f>
        <v/>
      </c>
      <c r="T220">
        <f>HYPERLINK("https://klasma.github.io/Logging_2305/kartor/A 12861-2024 karta.png", "A 12861-2024")</f>
        <v/>
      </c>
      <c r="V220">
        <f>HYPERLINK("https://klasma.github.io/Logging_2305/klagomål/A 12861-2024 FSC-klagomål.docx", "A 12861-2024")</f>
        <v/>
      </c>
      <c r="W220">
        <f>HYPERLINK("https://klasma.github.io/Logging_2305/klagomålsmail/A 12861-2024 FSC-klagomål mail.docx", "A 12861-2024")</f>
        <v/>
      </c>
      <c r="X220">
        <f>HYPERLINK("https://klasma.github.io/Logging_2305/tillsyn/A 12861-2024 tillsynsbegäran.docx", "A 12861-2024")</f>
        <v/>
      </c>
      <c r="Y220">
        <f>HYPERLINK("https://klasma.github.io/Logging_2305/tillsynsmail/A 12861-2024 tillsynsbegäran mail.docx", "A 12861-2024")</f>
        <v/>
      </c>
    </row>
    <row r="221" ht="15" customHeight="1">
      <c r="A221" t="inlineStr">
        <is>
          <t>A 12860-2024</t>
        </is>
      </c>
      <c r="B221" s="1" t="n">
        <v>45385</v>
      </c>
      <c r="C221" s="1" t="n">
        <v>45648</v>
      </c>
      <c r="D221" t="inlineStr">
        <is>
          <t>JÄMTLANDS LÄN</t>
        </is>
      </c>
      <c r="E221" t="inlineStr">
        <is>
          <t>BRÄCKE</t>
        </is>
      </c>
      <c r="F221" t="inlineStr">
        <is>
          <t>SCA</t>
        </is>
      </c>
      <c r="G221" t="n">
        <v>3.5</v>
      </c>
      <c r="H221" t="n">
        <v>0</v>
      </c>
      <c r="I221" t="n">
        <v>1</v>
      </c>
      <c r="J221" t="n">
        <v>0</v>
      </c>
      <c r="K221" t="n">
        <v>1</v>
      </c>
      <c r="L221" t="n">
        <v>0</v>
      </c>
      <c r="M221" t="n">
        <v>0</v>
      </c>
      <c r="N221" t="n">
        <v>0</v>
      </c>
      <c r="O221" t="n">
        <v>1</v>
      </c>
      <c r="P221" t="n">
        <v>1</v>
      </c>
      <c r="Q221" t="n">
        <v>2</v>
      </c>
      <c r="R221" s="2" t="inlineStr">
        <is>
          <t>Gräddporing
Skinnlav</t>
        </is>
      </c>
      <c r="S221">
        <f>HYPERLINK("https://klasma.github.io/Logging_2305/artfynd/A 12860-2024 artfynd.xlsx", "A 12860-2024")</f>
        <v/>
      </c>
      <c r="T221">
        <f>HYPERLINK("https://klasma.github.io/Logging_2305/kartor/A 12860-2024 karta.png", "A 12860-2024")</f>
        <v/>
      </c>
      <c r="V221">
        <f>HYPERLINK("https://klasma.github.io/Logging_2305/klagomål/A 12860-2024 FSC-klagomål.docx", "A 12860-2024")</f>
        <v/>
      </c>
      <c r="W221">
        <f>HYPERLINK("https://klasma.github.io/Logging_2305/klagomålsmail/A 12860-2024 FSC-klagomål mail.docx", "A 12860-2024")</f>
        <v/>
      </c>
      <c r="X221">
        <f>HYPERLINK("https://klasma.github.io/Logging_2305/tillsyn/A 12860-2024 tillsynsbegäran.docx", "A 12860-2024")</f>
        <v/>
      </c>
      <c r="Y221">
        <f>HYPERLINK("https://klasma.github.io/Logging_2305/tillsynsmail/A 12860-2024 tillsynsbegäran mail.docx", "A 12860-2024")</f>
        <v/>
      </c>
    </row>
    <row r="222" ht="15" customHeight="1">
      <c r="A222" t="inlineStr">
        <is>
          <t>A 13345-2024</t>
        </is>
      </c>
      <c r="B222" s="1" t="n">
        <v>45386</v>
      </c>
      <c r="C222" s="1" t="n">
        <v>45648</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13345-2024 artfynd.xlsx", "A 13345-2024")</f>
        <v/>
      </c>
      <c r="T222">
        <f>HYPERLINK("https://klasma.github.io/Logging_2305/kartor/A 13345-2024 karta.png", "A 13345-2024")</f>
        <v/>
      </c>
      <c r="V222">
        <f>HYPERLINK("https://klasma.github.io/Logging_2305/klagomål/A 13345-2024 FSC-klagomål.docx", "A 13345-2024")</f>
        <v/>
      </c>
      <c r="W222">
        <f>HYPERLINK("https://klasma.github.io/Logging_2305/klagomålsmail/A 13345-2024 FSC-klagomål mail.docx", "A 13345-2024")</f>
        <v/>
      </c>
      <c r="X222">
        <f>HYPERLINK("https://klasma.github.io/Logging_2305/tillsyn/A 13345-2024 tillsynsbegäran.docx", "A 13345-2024")</f>
        <v/>
      </c>
      <c r="Y222">
        <f>HYPERLINK("https://klasma.github.io/Logging_2305/tillsynsmail/A 13345-2024 tillsynsbegäran mail.docx", "A 13345-2024")</f>
        <v/>
      </c>
    </row>
    <row r="223" ht="15" customHeight="1">
      <c r="A223" t="inlineStr">
        <is>
          <t>A 15146-2024</t>
        </is>
      </c>
      <c r="B223" s="1" t="n">
        <v>45400</v>
      </c>
      <c r="C223" s="1" t="n">
        <v>45648</v>
      </c>
      <c r="D223" t="inlineStr">
        <is>
          <t>JÄMTLANDS LÄN</t>
        </is>
      </c>
      <c r="E223" t="inlineStr">
        <is>
          <t>BRÄCKE</t>
        </is>
      </c>
      <c r="F223" t="inlineStr">
        <is>
          <t>Naturvårdsverket</t>
        </is>
      </c>
      <c r="G223" t="n">
        <v>2.2</v>
      </c>
      <c r="H223" t="n">
        <v>0</v>
      </c>
      <c r="I223" t="n">
        <v>0</v>
      </c>
      <c r="J223" t="n">
        <v>2</v>
      </c>
      <c r="K223" t="n">
        <v>0</v>
      </c>
      <c r="L223" t="n">
        <v>0</v>
      </c>
      <c r="M223" t="n">
        <v>0</v>
      </c>
      <c r="N223" t="n">
        <v>0</v>
      </c>
      <c r="O223" t="n">
        <v>2</v>
      </c>
      <c r="P223" t="n">
        <v>0</v>
      </c>
      <c r="Q223" t="n">
        <v>2</v>
      </c>
      <c r="R223" s="2" t="inlineStr">
        <is>
          <t>Garnlav
Ullticka</t>
        </is>
      </c>
      <c r="S223">
        <f>HYPERLINK("https://klasma.github.io/Logging_2305/artfynd/A 15146-2024 artfynd.xlsx", "A 15146-2024")</f>
        <v/>
      </c>
      <c r="T223">
        <f>HYPERLINK("https://klasma.github.io/Logging_2305/kartor/A 15146-2024 karta.png", "A 15146-2024")</f>
        <v/>
      </c>
      <c r="V223">
        <f>HYPERLINK("https://klasma.github.io/Logging_2305/klagomål/A 15146-2024 FSC-klagomål.docx", "A 15146-2024")</f>
        <v/>
      </c>
      <c r="W223">
        <f>HYPERLINK("https://klasma.github.io/Logging_2305/klagomålsmail/A 15146-2024 FSC-klagomål mail.docx", "A 15146-2024")</f>
        <v/>
      </c>
      <c r="X223">
        <f>HYPERLINK("https://klasma.github.io/Logging_2305/tillsyn/A 15146-2024 tillsynsbegäran.docx", "A 15146-2024")</f>
        <v/>
      </c>
      <c r="Y223">
        <f>HYPERLINK("https://klasma.github.io/Logging_2305/tillsynsmail/A 15146-2024 tillsynsbegäran mail.docx", "A 15146-2024")</f>
        <v/>
      </c>
    </row>
    <row r="224" ht="15" customHeight="1">
      <c r="A224" t="inlineStr">
        <is>
          <t>A 15153-2024</t>
        </is>
      </c>
      <c r="B224" s="1" t="n">
        <v>45400</v>
      </c>
      <c r="C224" s="1" t="n">
        <v>45648</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15153-2024 artfynd.xlsx", "A 15153-2024")</f>
        <v/>
      </c>
      <c r="T224">
        <f>HYPERLINK("https://klasma.github.io/Logging_2305/kartor/A 15153-2024 karta.png", "A 15153-2024")</f>
        <v/>
      </c>
      <c r="V224">
        <f>HYPERLINK("https://klasma.github.io/Logging_2305/klagomål/A 15153-2024 FSC-klagomål.docx", "A 15153-2024")</f>
        <v/>
      </c>
      <c r="W224">
        <f>HYPERLINK("https://klasma.github.io/Logging_2305/klagomålsmail/A 15153-2024 FSC-klagomål mail.docx", "A 15153-2024")</f>
        <v/>
      </c>
      <c r="X224">
        <f>HYPERLINK("https://klasma.github.io/Logging_2305/tillsyn/A 15153-2024 tillsynsbegäran.docx", "A 15153-2024")</f>
        <v/>
      </c>
      <c r="Y224">
        <f>HYPERLINK("https://klasma.github.io/Logging_2305/tillsynsmail/A 15153-2024 tillsynsbegäran mail.docx", "A 15153-2024")</f>
        <v/>
      </c>
    </row>
    <row r="225" ht="15" customHeight="1">
      <c r="A225" t="inlineStr">
        <is>
          <t>A 16245-2024</t>
        </is>
      </c>
      <c r="B225" s="1" t="n">
        <v>45407</v>
      </c>
      <c r="C225" s="1" t="n">
        <v>45648</v>
      </c>
      <c r="D225" t="inlineStr">
        <is>
          <t>JÄMTLANDS LÄN</t>
        </is>
      </c>
      <c r="E225" t="inlineStr">
        <is>
          <t>BRÄCKE</t>
        </is>
      </c>
      <c r="F225" t="inlineStr">
        <is>
          <t>SCA</t>
        </is>
      </c>
      <c r="G225" t="n">
        <v>5</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16245-2024 artfynd.xlsx", "A 16245-2024")</f>
        <v/>
      </c>
      <c r="T225">
        <f>HYPERLINK("https://klasma.github.io/Logging_2305/kartor/A 16245-2024 karta.png", "A 16245-2024")</f>
        <v/>
      </c>
      <c r="V225">
        <f>HYPERLINK("https://klasma.github.io/Logging_2305/klagomål/A 16245-2024 FSC-klagomål.docx", "A 16245-2024")</f>
        <v/>
      </c>
      <c r="W225">
        <f>HYPERLINK("https://klasma.github.io/Logging_2305/klagomålsmail/A 16245-2024 FSC-klagomål mail.docx", "A 16245-2024")</f>
        <v/>
      </c>
      <c r="X225">
        <f>HYPERLINK("https://klasma.github.io/Logging_2305/tillsyn/A 16245-2024 tillsynsbegäran.docx", "A 16245-2024")</f>
        <v/>
      </c>
      <c r="Y225">
        <f>HYPERLINK("https://klasma.github.io/Logging_2305/tillsynsmail/A 16245-2024 tillsynsbegäran mail.docx", "A 16245-2024")</f>
        <v/>
      </c>
    </row>
    <row r="226" ht="15" customHeight="1">
      <c r="A226" t="inlineStr">
        <is>
          <t>A 16465-2024</t>
        </is>
      </c>
      <c r="B226" s="1" t="n">
        <v>45408</v>
      </c>
      <c r="C226" s="1" t="n">
        <v>45648</v>
      </c>
      <c r="D226" t="inlineStr">
        <is>
          <t>JÄMTLANDS LÄN</t>
        </is>
      </c>
      <c r="E226" t="inlineStr">
        <is>
          <t>BRÄCKE</t>
        </is>
      </c>
      <c r="F226" t="inlineStr">
        <is>
          <t>SCA</t>
        </is>
      </c>
      <c r="G226" t="n">
        <v>6.1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HYPERLINK("https://klasma.github.io/Logging_2305/artfynd/A 16465-2024 artfynd.xlsx", "A 16465-2024")</f>
        <v/>
      </c>
      <c r="T226">
        <f>HYPERLINK("https://klasma.github.io/Logging_2305/kartor/A 16465-2024 karta.png", "A 16465-2024")</f>
        <v/>
      </c>
      <c r="V226">
        <f>HYPERLINK("https://klasma.github.io/Logging_2305/klagomål/A 16465-2024 FSC-klagomål.docx", "A 16465-2024")</f>
        <v/>
      </c>
      <c r="W226">
        <f>HYPERLINK("https://klasma.github.io/Logging_2305/klagomålsmail/A 16465-2024 FSC-klagomål mail.docx", "A 16465-2024")</f>
        <v/>
      </c>
      <c r="X226">
        <f>HYPERLINK("https://klasma.github.io/Logging_2305/tillsyn/A 16465-2024 tillsynsbegäran.docx", "A 16465-2024")</f>
        <v/>
      </c>
      <c r="Y226">
        <f>HYPERLINK("https://klasma.github.io/Logging_2305/tillsynsmail/A 16465-2024 tillsynsbegäran mail.docx", "A 16465-2024")</f>
        <v/>
      </c>
      <c r="Z226">
        <f>HYPERLINK("https://klasma.github.io/Logging_2305/fåglar/A 16465-2024 prioriterade fågelarter.docx", "A 16465-2024")</f>
        <v/>
      </c>
    </row>
    <row r="227" ht="15" customHeight="1">
      <c r="A227" t="inlineStr">
        <is>
          <t>A 16716-2024</t>
        </is>
      </c>
      <c r="B227" s="1" t="n">
        <v>45409</v>
      </c>
      <c r="C227" s="1" t="n">
        <v>45648</v>
      </c>
      <c r="D227" t="inlineStr">
        <is>
          <t>JÄMTLANDS LÄN</t>
        </is>
      </c>
      <c r="E227" t="inlineStr">
        <is>
          <t>BRÄCKE</t>
        </is>
      </c>
      <c r="G227" t="n">
        <v>5.2</v>
      </c>
      <c r="H227" t="n">
        <v>1</v>
      </c>
      <c r="I227" t="n">
        <v>0</v>
      </c>
      <c r="J227" t="n">
        <v>1</v>
      </c>
      <c r="K227" t="n">
        <v>0</v>
      </c>
      <c r="L227" t="n">
        <v>0</v>
      </c>
      <c r="M227" t="n">
        <v>0</v>
      </c>
      <c r="N227" t="n">
        <v>0</v>
      </c>
      <c r="O227" t="n">
        <v>1</v>
      </c>
      <c r="P227" t="n">
        <v>0</v>
      </c>
      <c r="Q227" t="n">
        <v>2</v>
      </c>
      <c r="R227" s="2" t="inlineStr">
        <is>
          <t>Kandelabersvamp
Blåsippa</t>
        </is>
      </c>
      <c r="S227">
        <f>HYPERLINK("https://klasma.github.io/Logging_2305/artfynd/A 16716-2024 artfynd.xlsx", "A 16716-2024")</f>
        <v/>
      </c>
      <c r="T227">
        <f>HYPERLINK("https://klasma.github.io/Logging_2305/kartor/A 16716-2024 karta.png", "A 16716-2024")</f>
        <v/>
      </c>
      <c r="V227">
        <f>HYPERLINK("https://klasma.github.io/Logging_2305/klagomål/A 16716-2024 FSC-klagomål.docx", "A 16716-2024")</f>
        <v/>
      </c>
      <c r="W227">
        <f>HYPERLINK("https://klasma.github.io/Logging_2305/klagomålsmail/A 16716-2024 FSC-klagomål mail.docx", "A 16716-2024")</f>
        <v/>
      </c>
      <c r="X227">
        <f>HYPERLINK("https://klasma.github.io/Logging_2305/tillsyn/A 16716-2024 tillsynsbegäran.docx", "A 16716-2024")</f>
        <v/>
      </c>
      <c r="Y227">
        <f>HYPERLINK("https://klasma.github.io/Logging_2305/tillsynsmail/A 16716-2024 tillsynsbegäran mail.docx", "A 16716-2024")</f>
        <v/>
      </c>
    </row>
    <row r="228" ht="15" customHeight="1">
      <c r="A228" t="inlineStr">
        <is>
          <t>A 17781-2024</t>
        </is>
      </c>
      <c r="B228" s="1" t="n">
        <v>45418</v>
      </c>
      <c r="C228" s="1" t="n">
        <v>45648</v>
      </c>
      <c r="D228" t="inlineStr">
        <is>
          <t>JÄMTLANDS LÄN</t>
        </is>
      </c>
      <c r="E228" t="inlineStr">
        <is>
          <t>BRÄCKE</t>
        </is>
      </c>
      <c r="G228" t="n">
        <v>3</v>
      </c>
      <c r="H228" t="n">
        <v>1</v>
      </c>
      <c r="I228" t="n">
        <v>1</v>
      </c>
      <c r="J228" t="n">
        <v>0</v>
      </c>
      <c r="K228" t="n">
        <v>0</v>
      </c>
      <c r="L228" t="n">
        <v>0</v>
      </c>
      <c r="M228" t="n">
        <v>0</v>
      </c>
      <c r="N228" t="n">
        <v>0</v>
      </c>
      <c r="O228" t="n">
        <v>0</v>
      </c>
      <c r="P228" t="n">
        <v>0</v>
      </c>
      <c r="Q228" t="n">
        <v>2</v>
      </c>
      <c r="R228" s="2" t="inlineStr">
        <is>
          <t>Hässleklocka
Brudsporre</t>
        </is>
      </c>
      <c r="S228">
        <f>HYPERLINK("https://klasma.github.io/Logging_2305/artfynd/A 17781-2024 artfynd.xlsx", "A 17781-2024")</f>
        <v/>
      </c>
      <c r="T228">
        <f>HYPERLINK("https://klasma.github.io/Logging_2305/kartor/A 17781-2024 karta.png", "A 17781-2024")</f>
        <v/>
      </c>
      <c r="V228">
        <f>HYPERLINK("https://klasma.github.io/Logging_2305/klagomål/A 17781-2024 FSC-klagomål.docx", "A 17781-2024")</f>
        <v/>
      </c>
      <c r="W228">
        <f>HYPERLINK("https://klasma.github.io/Logging_2305/klagomålsmail/A 17781-2024 FSC-klagomål mail.docx", "A 17781-2024")</f>
        <v/>
      </c>
      <c r="X228">
        <f>HYPERLINK("https://klasma.github.io/Logging_2305/tillsyn/A 17781-2024 tillsynsbegäran.docx", "A 17781-2024")</f>
        <v/>
      </c>
      <c r="Y228">
        <f>HYPERLINK("https://klasma.github.io/Logging_2305/tillsynsmail/A 17781-2024 tillsynsbegäran mail.docx", "A 17781-2024")</f>
        <v/>
      </c>
    </row>
    <row r="229" ht="15" customHeight="1">
      <c r="A229" t="inlineStr">
        <is>
          <t>A 22382-2024</t>
        </is>
      </c>
      <c r="B229" s="1" t="n">
        <v>45446</v>
      </c>
      <c r="C229" s="1" t="n">
        <v>45648</v>
      </c>
      <c r="D229" t="inlineStr">
        <is>
          <t>JÄMTLANDS LÄN</t>
        </is>
      </c>
      <c r="E229" t="inlineStr">
        <is>
          <t>BRÄCKE</t>
        </is>
      </c>
      <c r="G229" t="n">
        <v>5.2</v>
      </c>
      <c r="H229" t="n">
        <v>1</v>
      </c>
      <c r="I229" t="n">
        <v>0</v>
      </c>
      <c r="J229" t="n">
        <v>1</v>
      </c>
      <c r="K229" t="n">
        <v>1</v>
      </c>
      <c r="L229" t="n">
        <v>0</v>
      </c>
      <c r="M229" t="n">
        <v>0</v>
      </c>
      <c r="N229" t="n">
        <v>0</v>
      </c>
      <c r="O229" t="n">
        <v>2</v>
      </c>
      <c r="P229" t="n">
        <v>1</v>
      </c>
      <c r="Q229" t="n">
        <v>2</v>
      </c>
      <c r="R229" s="2" t="inlineStr">
        <is>
          <t>Knärot
Garnlav</t>
        </is>
      </c>
      <c r="S229">
        <f>HYPERLINK("https://klasma.github.io/Logging_2305/artfynd/A 22382-2024 artfynd.xlsx", "A 22382-2024")</f>
        <v/>
      </c>
      <c r="T229">
        <f>HYPERLINK("https://klasma.github.io/Logging_2305/kartor/A 22382-2024 karta.png", "A 22382-2024")</f>
        <v/>
      </c>
      <c r="U229">
        <f>HYPERLINK("https://klasma.github.io/Logging_2305/knärot/A 22382-2024 karta knärot.png", "A 22382-2024")</f>
        <v/>
      </c>
      <c r="V229">
        <f>HYPERLINK("https://klasma.github.io/Logging_2305/klagomål/A 22382-2024 FSC-klagomål.docx", "A 22382-2024")</f>
        <v/>
      </c>
      <c r="W229">
        <f>HYPERLINK("https://klasma.github.io/Logging_2305/klagomålsmail/A 22382-2024 FSC-klagomål mail.docx", "A 22382-2024")</f>
        <v/>
      </c>
      <c r="X229">
        <f>HYPERLINK("https://klasma.github.io/Logging_2305/tillsyn/A 22382-2024 tillsynsbegäran.docx", "A 22382-2024")</f>
        <v/>
      </c>
      <c r="Y229">
        <f>HYPERLINK("https://klasma.github.io/Logging_2305/tillsynsmail/A 22382-2024 tillsynsbegäran mail.docx", "A 22382-2024")</f>
        <v/>
      </c>
    </row>
    <row r="230" ht="15" customHeight="1">
      <c r="A230" t="inlineStr">
        <is>
          <t>A 23732-2024</t>
        </is>
      </c>
      <c r="B230" s="1" t="n">
        <v>45455</v>
      </c>
      <c r="C230" s="1" t="n">
        <v>45648</v>
      </c>
      <c r="D230" t="inlineStr">
        <is>
          <t>JÄMTLANDS LÄN</t>
        </is>
      </c>
      <c r="E230" t="inlineStr">
        <is>
          <t>BRÄCKE</t>
        </is>
      </c>
      <c r="F230" t="inlineStr">
        <is>
          <t>SCA</t>
        </is>
      </c>
      <c r="G230" t="n">
        <v>15.5</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23732-2024 artfynd.xlsx", "A 23732-2024")</f>
        <v/>
      </c>
      <c r="T230">
        <f>HYPERLINK("https://klasma.github.io/Logging_2305/kartor/A 23732-2024 karta.png", "A 23732-2024")</f>
        <v/>
      </c>
      <c r="V230">
        <f>HYPERLINK("https://klasma.github.io/Logging_2305/klagomål/A 23732-2024 FSC-klagomål.docx", "A 23732-2024")</f>
        <v/>
      </c>
      <c r="W230">
        <f>HYPERLINK("https://klasma.github.io/Logging_2305/klagomålsmail/A 23732-2024 FSC-klagomål mail.docx", "A 23732-2024")</f>
        <v/>
      </c>
      <c r="X230">
        <f>HYPERLINK("https://klasma.github.io/Logging_2305/tillsyn/A 23732-2024 tillsynsbegäran.docx", "A 23732-2024")</f>
        <v/>
      </c>
      <c r="Y230">
        <f>HYPERLINK("https://klasma.github.io/Logging_2305/tillsynsmail/A 23732-2024 tillsynsbegäran mail.docx", "A 23732-2024")</f>
        <v/>
      </c>
    </row>
    <row r="231" ht="15" customHeight="1">
      <c r="A231" t="inlineStr">
        <is>
          <t>A 29672-2024</t>
        </is>
      </c>
      <c r="B231" s="1" t="n">
        <v>45485</v>
      </c>
      <c r="C231" s="1" t="n">
        <v>45648</v>
      </c>
      <c r="D231" t="inlineStr">
        <is>
          <t>JÄMTLANDS LÄN</t>
        </is>
      </c>
      <c r="E231" t="inlineStr">
        <is>
          <t>BRÄCKE</t>
        </is>
      </c>
      <c r="F231" t="inlineStr">
        <is>
          <t>SCA</t>
        </is>
      </c>
      <c r="G231" t="n">
        <v>1.2</v>
      </c>
      <c r="H231" t="n">
        <v>0</v>
      </c>
      <c r="I231" t="n">
        <v>0</v>
      </c>
      <c r="J231" t="n">
        <v>2</v>
      </c>
      <c r="K231" t="n">
        <v>0</v>
      </c>
      <c r="L231" t="n">
        <v>0</v>
      </c>
      <c r="M231" t="n">
        <v>0</v>
      </c>
      <c r="N231" t="n">
        <v>0</v>
      </c>
      <c r="O231" t="n">
        <v>2</v>
      </c>
      <c r="P231" t="n">
        <v>0</v>
      </c>
      <c r="Q231" t="n">
        <v>2</v>
      </c>
      <c r="R231" s="2" t="inlineStr">
        <is>
          <t>Vedflikmossa
Vedtrappmossa</t>
        </is>
      </c>
      <c r="S231">
        <f>HYPERLINK("https://klasma.github.io/Logging_2305/artfynd/A 29672-2024 artfynd.xlsx", "A 29672-2024")</f>
        <v/>
      </c>
      <c r="T231">
        <f>HYPERLINK("https://klasma.github.io/Logging_2305/kartor/A 29672-2024 karta.png", "A 29672-2024")</f>
        <v/>
      </c>
      <c r="V231">
        <f>HYPERLINK("https://klasma.github.io/Logging_2305/klagomål/A 29672-2024 FSC-klagomål.docx", "A 29672-2024")</f>
        <v/>
      </c>
      <c r="W231">
        <f>HYPERLINK("https://klasma.github.io/Logging_2305/klagomålsmail/A 29672-2024 FSC-klagomål mail.docx", "A 29672-2024")</f>
        <v/>
      </c>
      <c r="X231">
        <f>HYPERLINK("https://klasma.github.io/Logging_2305/tillsyn/A 29672-2024 tillsynsbegäran.docx", "A 29672-2024")</f>
        <v/>
      </c>
      <c r="Y231">
        <f>HYPERLINK("https://klasma.github.io/Logging_2305/tillsynsmail/A 29672-2024 tillsynsbegäran mail.docx", "A 29672-2024")</f>
        <v/>
      </c>
    </row>
    <row r="232" ht="15" customHeight="1">
      <c r="A232" t="inlineStr">
        <is>
          <t>A 30486-2024</t>
        </is>
      </c>
      <c r="B232" s="1" t="n">
        <v>45492</v>
      </c>
      <c r="C232" s="1" t="n">
        <v>45648</v>
      </c>
      <c r="D232" t="inlineStr">
        <is>
          <t>JÄMTLANDS LÄN</t>
        </is>
      </c>
      <c r="E232" t="inlineStr">
        <is>
          <t>BRÄCKE</t>
        </is>
      </c>
      <c r="F232" t="inlineStr">
        <is>
          <t>SCA</t>
        </is>
      </c>
      <c r="G232" t="n">
        <v>3.8</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HYPERLINK("https://klasma.github.io/Logging_2305/artfynd/A 30486-2024 artfynd.xlsx", "A 30486-2024")</f>
        <v/>
      </c>
      <c r="T232">
        <f>HYPERLINK("https://klasma.github.io/Logging_2305/kartor/A 30486-2024 karta.png", "A 30486-2024")</f>
        <v/>
      </c>
      <c r="V232">
        <f>HYPERLINK("https://klasma.github.io/Logging_2305/klagomål/A 30486-2024 FSC-klagomål.docx", "A 30486-2024")</f>
        <v/>
      </c>
      <c r="W232">
        <f>HYPERLINK("https://klasma.github.io/Logging_2305/klagomålsmail/A 30486-2024 FSC-klagomål mail.docx", "A 30486-2024")</f>
        <v/>
      </c>
      <c r="X232">
        <f>HYPERLINK("https://klasma.github.io/Logging_2305/tillsyn/A 30486-2024 tillsynsbegäran.docx", "A 30486-2024")</f>
        <v/>
      </c>
      <c r="Y232">
        <f>HYPERLINK("https://klasma.github.io/Logging_2305/tillsynsmail/A 30486-2024 tillsynsbegäran mail.docx", "A 30486-2024")</f>
        <v/>
      </c>
    </row>
    <row r="233" ht="15" customHeight="1">
      <c r="A233" t="inlineStr">
        <is>
          <t>A 30988-2024</t>
        </is>
      </c>
      <c r="B233" s="1" t="n">
        <v>45499</v>
      </c>
      <c r="C233" s="1" t="n">
        <v>45648</v>
      </c>
      <c r="D233" t="inlineStr">
        <is>
          <t>JÄMTLANDS LÄN</t>
        </is>
      </c>
      <c r="E233" t="inlineStr">
        <is>
          <t>BRÄCKE</t>
        </is>
      </c>
      <c r="F233" t="inlineStr">
        <is>
          <t>Sveaskog</t>
        </is>
      </c>
      <c r="G233" t="n">
        <v>4.8</v>
      </c>
      <c r="H233" t="n">
        <v>1</v>
      </c>
      <c r="I233" t="n">
        <v>1</v>
      </c>
      <c r="J233" t="n">
        <v>1</v>
      </c>
      <c r="K233" t="n">
        <v>0</v>
      </c>
      <c r="L233" t="n">
        <v>0</v>
      </c>
      <c r="M233" t="n">
        <v>0</v>
      </c>
      <c r="N233" t="n">
        <v>0</v>
      </c>
      <c r="O233" t="n">
        <v>1</v>
      </c>
      <c r="P233" t="n">
        <v>0</v>
      </c>
      <c r="Q233" t="n">
        <v>2</v>
      </c>
      <c r="R233" s="2" t="inlineStr">
        <is>
          <t>Lunglav
Tvåblad</t>
        </is>
      </c>
      <c r="S233">
        <f>HYPERLINK("https://klasma.github.io/Logging_2305/artfynd/A 30988-2024 artfynd.xlsx", "A 30988-2024")</f>
        <v/>
      </c>
      <c r="T233">
        <f>HYPERLINK("https://klasma.github.io/Logging_2305/kartor/A 30988-2024 karta.png", "A 30988-2024")</f>
        <v/>
      </c>
      <c r="V233">
        <f>HYPERLINK("https://klasma.github.io/Logging_2305/klagomål/A 30988-2024 FSC-klagomål.docx", "A 30988-2024")</f>
        <v/>
      </c>
      <c r="W233">
        <f>HYPERLINK("https://klasma.github.io/Logging_2305/klagomålsmail/A 30988-2024 FSC-klagomål mail.docx", "A 30988-2024")</f>
        <v/>
      </c>
      <c r="X233">
        <f>HYPERLINK("https://klasma.github.io/Logging_2305/tillsyn/A 30988-2024 tillsynsbegäran.docx", "A 30988-2024")</f>
        <v/>
      </c>
      <c r="Y233">
        <f>HYPERLINK("https://klasma.github.io/Logging_2305/tillsynsmail/A 30988-2024 tillsynsbegäran mail.docx", "A 30988-2024")</f>
        <v/>
      </c>
    </row>
    <row r="234" ht="15" customHeight="1">
      <c r="A234" t="inlineStr">
        <is>
          <t>A 30990-2024</t>
        </is>
      </c>
      <c r="B234" s="1" t="n">
        <v>45499</v>
      </c>
      <c r="C234" s="1" t="n">
        <v>45648</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31471-2024</t>
        </is>
      </c>
      <c r="B235" s="1" t="n">
        <v>45505</v>
      </c>
      <c r="C235" s="1" t="n">
        <v>45648</v>
      </c>
      <c r="D235" t="inlineStr">
        <is>
          <t>JÄMTLANDS LÄN</t>
        </is>
      </c>
      <c r="E235" t="inlineStr">
        <is>
          <t>BRÄCKE</t>
        </is>
      </c>
      <c r="F235" t="inlineStr">
        <is>
          <t>SCA</t>
        </is>
      </c>
      <c r="G235" t="n">
        <v>6.9</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31471-2024 artfynd.xlsx", "A 31471-2024")</f>
        <v/>
      </c>
      <c r="T235">
        <f>HYPERLINK("https://klasma.github.io/Logging_2305/kartor/A 31471-2024 karta.png", "A 31471-2024")</f>
        <v/>
      </c>
      <c r="V235">
        <f>HYPERLINK("https://klasma.github.io/Logging_2305/klagomål/A 31471-2024 FSC-klagomål.docx", "A 31471-2024")</f>
        <v/>
      </c>
      <c r="W235">
        <f>HYPERLINK("https://klasma.github.io/Logging_2305/klagomålsmail/A 31471-2024 FSC-klagomål mail.docx", "A 31471-2024")</f>
        <v/>
      </c>
      <c r="X235">
        <f>HYPERLINK("https://klasma.github.io/Logging_2305/tillsyn/A 31471-2024 tillsynsbegäran.docx", "A 31471-2024")</f>
        <v/>
      </c>
      <c r="Y235">
        <f>HYPERLINK("https://klasma.github.io/Logging_2305/tillsynsmail/A 31471-2024 tillsynsbegäran mail.docx", "A 31471-2024")</f>
        <v/>
      </c>
    </row>
    <row r="236" ht="15" customHeight="1">
      <c r="A236" t="inlineStr">
        <is>
          <t>A 32670-2024</t>
        </is>
      </c>
      <c r="B236" s="1" t="n">
        <v>45514</v>
      </c>
      <c r="C236" s="1" t="n">
        <v>45648</v>
      </c>
      <c r="D236" t="inlineStr">
        <is>
          <t>JÄMTLANDS LÄN</t>
        </is>
      </c>
      <c r="E236" t="inlineStr">
        <is>
          <t>BRÄCKE</t>
        </is>
      </c>
      <c r="G236" t="n">
        <v>11.3</v>
      </c>
      <c r="H236" t="n">
        <v>1</v>
      </c>
      <c r="I236" t="n">
        <v>0</v>
      </c>
      <c r="J236" t="n">
        <v>1</v>
      </c>
      <c r="K236" t="n">
        <v>1</v>
      </c>
      <c r="L236" t="n">
        <v>0</v>
      </c>
      <c r="M236" t="n">
        <v>0</v>
      </c>
      <c r="N236" t="n">
        <v>0</v>
      </c>
      <c r="O236" t="n">
        <v>2</v>
      </c>
      <c r="P236" t="n">
        <v>1</v>
      </c>
      <c r="Q236" t="n">
        <v>2</v>
      </c>
      <c r="R236" s="2" t="inlineStr">
        <is>
          <t>Knärot
Brunklöver</t>
        </is>
      </c>
      <c r="S236">
        <f>HYPERLINK("https://klasma.github.io/Logging_2305/artfynd/A 32670-2024 artfynd.xlsx", "A 32670-2024")</f>
        <v/>
      </c>
      <c r="T236">
        <f>HYPERLINK("https://klasma.github.io/Logging_2305/kartor/A 32670-2024 karta.png", "A 32670-2024")</f>
        <v/>
      </c>
      <c r="U236">
        <f>HYPERLINK("https://klasma.github.io/Logging_2305/knärot/A 32670-2024 karta knärot.png", "A 32670-2024")</f>
        <v/>
      </c>
      <c r="V236">
        <f>HYPERLINK("https://klasma.github.io/Logging_2305/klagomål/A 32670-2024 FSC-klagomål.docx", "A 32670-2024")</f>
        <v/>
      </c>
      <c r="W236">
        <f>HYPERLINK("https://klasma.github.io/Logging_2305/klagomålsmail/A 32670-2024 FSC-klagomål mail.docx", "A 32670-2024")</f>
        <v/>
      </c>
      <c r="X236">
        <f>HYPERLINK("https://klasma.github.io/Logging_2305/tillsyn/A 32670-2024 tillsynsbegäran.docx", "A 32670-2024")</f>
        <v/>
      </c>
      <c r="Y236">
        <f>HYPERLINK("https://klasma.github.io/Logging_2305/tillsynsmail/A 32670-2024 tillsynsbegäran mail.docx", "A 32670-2024")</f>
        <v/>
      </c>
    </row>
    <row r="237" ht="15" customHeight="1">
      <c r="A237" t="inlineStr">
        <is>
          <t>A 40818-2024</t>
        </is>
      </c>
      <c r="B237" s="1" t="n">
        <v>45558</v>
      </c>
      <c r="C237" s="1" t="n">
        <v>45648</v>
      </c>
      <c r="D237" t="inlineStr">
        <is>
          <t>JÄMTLANDS LÄN</t>
        </is>
      </c>
      <c r="E237" t="inlineStr">
        <is>
          <t>BRÄCKE</t>
        </is>
      </c>
      <c r="G237" t="n">
        <v>2.7</v>
      </c>
      <c r="H237" t="n">
        <v>0</v>
      </c>
      <c r="I237" t="n">
        <v>0</v>
      </c>
      <c r="J237" t="n">
        <v>2</v>
      </c>
      <c r="K237" t="n">
        <v>0</v>
      </c>
      <c r="L237" t="n">
        <v>0</v>
      </c>
      <c r="M237" t="n">
        <v>0</v>
      </c>
      <c r="N237" t="n">
        <v>0</v>
      </c>
      <c r="O237" t="n">
        <v>2</v>
      </c>
      <c r="P237" t="n">
        <v>0</v>
      </c>
      <c r="Q237" t="n">
        <v>2</v>
      </c>
      <c r="R237" s="2" t="inlineStr">
        <is>
          <t>Skrovlig taggsvamp
Svart taggsvamp</t>
        </is>
      </c>
      <c r="S237">
        <f>HYPERLINK("https://klasma.github.io/Logging_2305/artfynd/A 40818-2024 artfynd.xlsx", "A 40818-2024")</f>
        <v/>
      </c>
      <c r="T237">
        <f>HYPERLINK("https://klasma.github.io/Logging_2305/kartor/A 40818-2024 karta.png", "A 40818-2024")</f>
        <v/>
      </c>
      <c r="V237">
        <f>HYPERLINK("https://klasma.github.io/Logging_2305/klagomål/A 40818-2024 FSC-klagomål.docx", "A 40818-2024")</f>
        <v/>
      </c>
      <c r="W237">
        <f>HYPERLINK("https://klasma.github.io/Logging_2305/klagomålsmail/A 40818-2024 FSC-klagomål mail.docx", "A 40818-2024")</f>
        <v/>
      </c>
      <c r="X237">
        <f>HYPERLINK("https://klasma.github.io/Logging_2305/tillsyn/A 40818-2024 tillsynsbegäran.docx", "A 40818-2024")</f>
        <v/>
      </c>
      <c r="Y237">
        <f>HYPERLINK("https://klasma.github.io/Logging_2305/tillsynsmail/A 40818-2024 tillsynsbegäran mail.docx", "A 40818-2024")</f>
        <v/>
      </c>
    </row>
    <row r="238" ht="15" customHeight="1">
      <c r="A238" t="inlineStr">
        <is>
          <t>A 46787-2024</t>
        </is>
      </c>
      <c r="B238" s="1" t="n">
        <v>45583</v>
      </c>
      <c r="C238" s="1" t="n">
        <v>45648</v>
      </c>
      <c r="D238" t="inlineStr">
        <is>
          <t>JÄMTLANDS LÄN</t>
        </is>
      </c>
      <c r="E238" t="inlineStr">
        <is>
          <t>BRÄCKE</t>
        </is>
      </c>
      <c r="F238" t="inlineStr">
        <is>
          <t>SCA</t>
        </is>
      </c>
      <c r="G238" t="n">
        <v>20.4</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46787-2024 artfynd.xlsx", "A 46787-2024")</f>
        <v/>
      </c>
      <c r="T238">
        <f>HYPERLINK("https://klasma.github.io/Logging_2305/kartor/A 46787-2024 karta.png", "A 46787-2024")</f>
        <v/>
      </c>
      <c r="V238">
        <f>HYPERLINK("https://klasma.github.io/Logging_2305/klagomål/A 46787-2024 FSC-klagomål.docx", "A 46787-2024")</f>
        <v/>
      </c>
      <c r="W238">
        <f>HYPERLINK("https://klasma.github.io/Logging_2305/klagomålsmail/A 46787-2024 FSC-klagomål mail.docx", "A 46787-2024")</f>
        <v/>
      </c>
      <c r="X238">
        <f>HYPERLINK("https://klasma.github.io/Logging_2305/tillsyn/A 46787-2024 tillsynsbegäran.docx", "A 46787-2024")</f>
        <v/>
      </c>
      <c r="Y238">
        <f>HYPERLINK("https://klasma.github.io/Logging_2305/tillsynsmail/A 46787-2024 tillsynsbegäran mail.docx", "A 46787-2024")</f>
        <v/>
      </c>
    </row>
    <row r="239" ht="15" customHeight="1">
      <c r="A239" t="inlineStr">
        <is>
          <t>A 48772-2024</t>
        </is>
      </c>
      <c r="B239" s="1" t="n">
        <v>45593</v>
      </c>
      <c r="C239" s="1" t="n">
        <v>45648</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48772-2024 artfynd.xlsx", "A 48772-2024")</f>
        <v/>
      </c>
      <c r="T239">
        <f>HYPERLINK("https://klasma.github.io/Logging_2305/kartor/A 48772-2024 karta.png", "A 48772-2024")</f>
        <v/>
      </c>
      <c r="V239">
        <f>HYPERLINK("https://klasma.github.io/Logging_2305/klagomål/A 48772-2024 FSC-klagomål.docx", "A 48772-2024")</f>
        <v/>
      </c>
      <c r="W239">
        <f>HYPERLINK("https://klasma.github.io/Logging_2305/klagomålsmail/A 48772-2024 FSC-klagomål mail.docx", "A 48772-2024")</f>
        <v/>
      </c>
      <c r="X239">
        <f>HYPERLINK("https://klasma.github.io/Logging_2305/tillsyn/A 48772-2024 tillsynsbegäran.docx", "A 48772-2024")</f>
        <v/>
      </c>
      <c r="Y239">
        <f>HYPERLINK("https://klasma.github.io/Logging_2305/tillsynsmail/A 48772-2024 tillsynsbegäran mail.docx", "A 48772-2024")</f>
        <v/>
      </c>
    </row>
    <row r="240" ht="15" customHeight="1">
      <c r="A240" t="inlineStr">
        <is>
          <t>A 54892-2024</t>
        </is>
      </c>
      <c r="B240" s="1" t="n">
        <v>45618</v>
      </c>
      <c r="C240" s="1" t="n">
        <v>45648</v>
      </c>
      <c r="D240" t="inlineStr">
        <is>
          <t>JÄMTLANDS LÄN</t>
        </is>
      </c>
      <c r="E240" t="inlineStr">
        <is>
          <t>BRÄCKE</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HYPERLINK("https://klasma.github.io/Logging_2305/artfynd/A 54892-2024 artfynd.xlsx", "A 54892-2024")</f>
        <v/>
      </c>
      <c r="T240">
        <f>HYPERLINK("https://klasma.github.io/Logging_2305/kartor/A 54892-2024 karta.png", "A 54892-2024")</f>
        <v/>
      </c>
      <c r="V240">
        <f>HYPERLINK("https://klasma.github.io/Logging_2305/klagomål/A 54892-2024 FSC-klagomål.docx", "A 54892-2024")</f>
        <v/>
      </c>
      <c r="W240">
        <f>HYPERLINK("https://klasma.github.io/Logging_2305/klagomålsmail/A 54892-2024 FSC-klagomål mail.docx", "A 54892-2024")</f>
        <v/>
      </c>
      <c r="X240">
        <f>HYPERLINK("https://klasma.github.io/Logging_2305/tillsyn/A 54892-2024 tillsynsbegäran.docx", "A 54892-2024")</f>
        <v/>
      </c>
      <c r="Y240">
        <f>HYPERLINK("https://klasma.github.io/Logging_2305/tillsynsmail/A 54892-2024 tillsynsbegäran mail.docx", "A 54892-2024")</f>
        <v/>
      </c>
    </row>
    <row r="241" ht="15" customHeight="1">
      <c r="A241" t="inlineStr">
        <is>
          <t>A 55062-2024</t>
        </is>
      </c>
      <c r="B241" s="1" t="n">
        <v>45621</v>
      </c>
      <c r="C241" s="1" t="n">
        <v>45648</v>
      </c>
      <c r="D241" t="inlineStr">
        <is>
          <t>JÄMTLANDS LÄN</t>
        </is>
      </c>
      <c r="E241" t="inlineStr">
        <is>
          <t>BRÄCKE</t>
        </is>
      </c>
      <c r="F241" t="inlineStr">
        <is>
          <t>SCA</t>
        </is>
      </c>
      <c r="G241" t="n">
        <v>11.7</v>
      </c>
      <c r="H241" t="n">
        <v>0</v>
      </c>
      <c r="I241" t="n">
        <v>0</v>
      </c>
      <c r="J241" t="n">
        <v>2</v>
      </c>
      <c r="K241" t="n">
        <v>0</v>
      </c>
      <c r="L241" t="n">
        <v>0</v>
      </c>
      <c r="M241" t="n">
        <v>0</v>
      </c>
      <c r="N241" t="n">
        <v>0</v>
      </c>
      <c r="O241" t="n">
        <v>2</v>
      </c>
      <c r="P241" t="n">
        <v>0</v>
      </c>
      <c r="Q241" t="n">
        <v>2</v>
      </c>
      <c r="R241" s="2" t="inlineStr">
        <is>
          <t>Gränsticka
Vaddporing</t>
        </is>
      </c>
      <c r="S241">
        <f>HYPERLINK("https://klasma.github.io/Logging_2305/artfynd/A 55062-2024 artfynd.xlsx", "A 55062-2024")</f>
        <v/>
      </c>
      <c r="T241">
        <f>HYPERLINK("https://klasma.github.io/Logging_2305/kartor/A 55062-2024 karta.png", "A 55062-2024")</f>
        <v/>
      </c>
      <c r="V241">
        <f>HYPERLINK("https://klasma.github.io/Logging_2305/klagomål/A 55062-2024 FSC-klagomål.docx", "A 55062-2024")</f>
        <v/>
      </c>
      <c r="W241">
        <f>HYPERLINK("https://klasma.github.io/Logging_2305/klagomålsmail/A 55062-2024 FSC-klagomål mail.docx", "A 55062-2024")</f>
        <v/>
      </c>
      <c r="X241">
        <f>HYPERLINK("https://klasma.github.io/Logging_2305/tillsyn/A 55062-2024 tillsynsbegäran.docx", "A 55062-2024")</f>
        <v/>
      </c>
      <c r="Y241">
        <f>HYPERLINK("https://klasma.github.io/Logging_2305/tillsynsmail/A 55062-2024 tillsynsbegäran mail.docx", "A 55062-2024")</f>
        <v/>
      </c>
    </row>
    <row r="242" ht="15" customHeight="1">
      <c r="A242" t="inlineStr">
        <is>
          <t>A 28216-2019</t>
        </is>
      </c>
      <c r="B242" s="1" t="n">
        <v>43621</v>
      </c>
      <c r="C242" s="1" t="n">
        <v>45648</v>
      </c>
      <c r="D242" t="inlineStr">
        <is>
          <t>JÄMTLANDS LÄN</t>
        </is>
      </c>
      <c r="E242" t="inlineStr">
        <is>
          <t>BRÄCKE</t>
        </is>
      </c>
      <c r="F242" t="inlineStr">
        <is>
          <t>SCA</t>
        </is>
      </c>
      <c r="G242" t="n">
        <v>4.6</v>
      </c>
      <c r="H242" t="n">
        <v>0</v>
      </c>
      <c r="I242" t="n">
        <v>0</v>
      </c>
      <c r="J242" t="n">
        <v>1</v>
      </c>
      <c r="K242" t="n">
        <v>0</v>
      </c>
      <c r="L242" t="n">
        <v>0</v>
      </c>
      <c r="M242" t="n">
        <v>0</v>
      </c>
      <c r="N242" t="n">
        <v>0</v>
      </c>
      <c r="O242" t="n">
        <v>1</v>
      </c>
      <c r="P242" t="n">
        <v>0</v>
      </c>
      <c r="Q242" t="n">
        <v>1</v>
      </c>
      <c r="R242" s="2" t="inlineStr">
        <is>
          <t>Lunglav</t>
        </is>
      </c>
      <c r="S242">
        <f>HYPERLINK("https://klasma.github.io/Logging_2305/artfynd/A 28216-2019 artfynd.xlsx", "A 28216-2019")</f>
        <v/>
      </c>
      <c r="T242">
        <f>HYPERLINK("https://klasma.github.io/Logging_2305/kartor/A 28216-2019 karta.png", "A 28216-2019")</f>
        <v/>
      </c>
      <c r="V242">
        <f>HYPERLINK("https://klasma.github.io/Logging_2305/klagomål/A 28216-2019 FSC-klagomål.docx", "A 28216-2019")</f>
        <v/>
      </c>
      <c r="W242">
        <f>HYPERLINK("https://klasma.github.io/Logging_2305/klagomålsmail/A 28216-2019 FSC-klagomål mail.docx", "A 28216-2019")</f>
        <v/>
      </c>
      <c r="X242">
        <f>HYPERLINK("https://klasma.github.io/Logging_2305/tillsyn/A 28216-2019 tillsynsbegäran.docx", "A 28216-2019")</f>
        <v/>
      </c>
      <c r="Y242">
        <f>HYPERLINK("https://klasma.github.io/Logging_2305/tillsynsmail/A 28216-2019 tillsynsbegäran mail.docx", "A 28216-2019")</f>
        <v/>
      </c>
    </row>
    <row r="243" ht="15" customHeight="1">
      <c r="A243" t="inlineStr">
        <is>
          <t>A 48962-2019</t>
        </is>
      </c>
      <c r="B243" s="1" t="n">
        <v>43728</v>
      </c>
      <c r="C243" s="1" t="n">
        <v>45648</v>
      </c>
      <c r="D243" t="inlineStr">
        <is>
          <t>JÄMTLANDS LÄN</t>
        </is>
      </c>
      <c r="E243" t="inlineStr">
        <is>
          <t>BRÄCKE</t>
        </is>
      </c>
      <c r="F243" t="inlineStr">
        <is>
          <t>SCA</t>
        </is>
      </c>
      <c r="G243" t="n">
        <v>21.9</v>
      </c>
      <c r="H243" t="n">
        <v>1</v>
      </c>
      <c r="I243" t="n">
        <v>0</v>
      </c>
      <c r="J243" t="n">
        <v>0</v>
      </c>
      <c r="K243" t="n">
        <v>1</v>
      </c>
      <c r="L243" t="n">
        <v>0</v>
      </c>
      <c r="M243" t="n">
        <v>0</v>
      </c>
      <c r="N243" t="n">
        <v>0</v>
      </c>
      <c r="O243" t="n">
        <v>1</v>
      </c>
      <c r="P243" t="n">
        <v>1</v>
      </c>
      <c r="Q243" t="n">
        <v>1</v>
      </c>
      <c r="R243" s="2" t="inlineStr">
        <is>
          <t>Doftticka</t>
        </is>
      </c>
      <c r="S243">
        <f>HYPERLINK("https://klasma.github.io/Logging_2305/artfynd/A 48962-2019 artfynd.xlsx", "A 48962-2019")</f>
        <v/>
      </c>
      <c r="T243">
        <f>HYPERLINK("https://klasma.github.io/Logging_2305/kartor/A 48962-2019 karta.png", "A 48962-2019")</f>
        <v/>
      </c>
      <c r="U243">
        <f>HYPERLINK("https://klasma.github.io/Logging_2305/knärot/A 48962-2019 karta knärot.png", "A 48962-2019")</f>
        <v/>
      </c>
      <c r="V243">
        <f>HYPERLINK("https://klasma.github.io/Logging_2305/klagomål/A 48962-2019 FSC-klagomål.docx", "A 48962-2019")</f>
        <v/>
      </c>
      <c r="W243">
        <f>HYPERLINK("https://klasma.github.io/Logging_2305/klagomålsmail/A 48962-2019 FSC-klagomål mail.docx", "A 48962-2019")</f>
        <v/>
      </c>
      <c r="X243">
        <f>HYPERLINK("https://klasma.github.io/Logging_2305/tillsyn/A 48962-2019 tillsynsbegäran.docx", "A 48962-2019")</f>
        <v/>
      </c>
      <c r="Y243">
        <f>HYPERLINK("https://klasma.github.io/Logging_2305/tillsynsmail/A 48962-2019 tillsynsbegäran mail.docx", "A 48962-2019")</f>
        <v/>
      </c>
    </row>
    <row r="244" ht="15" customHeight="1">
      <c r="A244" t="inlineStr">
        <is>
          <t>A 49010-2019</t>
        </is>
      </c>
      <c r="B244" s="1" t="n">
        <v>43730</v>
      </c>
      <c r="C244" s="1" t="n">
        <v>45648</v>
      </c>
      <c r="D244" t="inlineStr">
        <is>
          <t>JÄMTLANDS LÄN</t>
        </is>
      </c>
      <c r="E244" t="inlineStr">
        <is>
          <t>BRÄCKE</t>
        </is>
      </c>
      <c r="F244" t="inlineStr">
        <is>
          <t>SCA</t>
        </is>
      </c>
      <c r="G244" t="n">
        <v>1.3</v>
      </c>
      <c r="H244" t="n">
        <v>1</v>
      </c>
      <c r="I244" t="n">
        <v>0</v>
      </c>
      <c r="J244" t="n">
        <v>0</v>
      </c>
      <c r="K244" t="n">
        <v>0</v>
      </c>
      <c r="L244" t="n">
        <v>0</v>
      </c>
      <c r="M244" t="n">
        <v>0</v>
      </c>
      <c r="N244" t="n">
        <v>0</v>
      </c>
      <c r="O244" t="n">
        <v>0</v>
      </c>
      <c r="P244" t="n">
        <v>0</v>
      </c>
      <c r="Q244" t="n">
        <v>1</v>
      </c>
      <c r="R244" s="2" t="inlineStr">
        <is>
          <t>Fläcknycklar</t>
        </is>
      </c>
      <c r="S244">
        <f>HYPERLINK("https://klasma.github.io/Logging_2305/artfynd/A 49010-2019 artfynd.xlsx", "A 49010-2019")</f>
        <v/>
      </c>
      <c r="T244">
        <f>HYPERLINK("https://klasma.github.io/Logging_2305/kartor/A 49010-2019 karta.png", "A 49010-2019")</f>
        <v/>
      </c>
      <c r="V244">
        <f>HYPERLINK("https://klasma.github.io/Logging_2305/klagomål/A 49010-2019 FSC-klagomål.docx", "A 49010-2019")</f>
        <v/>
      </c>
      <c r="W244">
        <f>HYPERLINK("https://klasma.github.io/Logging_2305/klagomålsmail/A 49010-2019 FSC-klagomål mail.docx", "A 49010-2019")</f>
        <v/>
      </c>
      <c r="X244">
        <f>HYPERLINK("https://klasma.github.io/Logging_2305/tillsyn/A 49010-2019 tillsynsbegäran.docx", "A 49010-2019")</f>
        <v/>
      </c>
      <c r="Y244">
        <f>HYPERLINK("https://klasma.github.io/Logging_2305/tillsynsmail/A 49010-2019 tillsynsbegäran mail.docx", "A 49010-2019")</f>
        <v/>
      </c>
    </row>
    <row r="245" ht="15" customHeight="1">
      <c r="A245" t="inlineStr">
        <is>
          <t>A 49367-2019</t>
        </is>
      </c>
      <c r="B245" s="1" t="n">
        <v>43731</v>
      </c>
      <c r="C245" s="1" t="n">
        <v>45648</v>
      </c>
      <c r="D245" t="inlineStr">
        <is>
          <t>JÄMTLANDS LÄN</t>
        </is>
      </c>
      <c r="E245" t="inlineStr">
        <is>
          <t>BRÄCKE</t>
        </is>
      </c>
      <c r="F245" t="inlineStr">
        <is>
          <t>SCA</t>
        </is>
      </c>
      <c r="G245" t="n">
        <v>0.6</v>
      </c>
      <c r="H245" t="n">
        <v>0</v>
      </c>
      <c r="I245" t="n">
        <v>1</v>
      </c>
      <c r="J245" t="n">
        <v>0</v>
      </c>
      <c r="K245" t="n">
        <v>0</v>
      </c>
      <c r="L245" t="n">
        <v>0</v>
      </c>
      <c r="M245" t="n">
        <v>0</v>
      </c>
      <c r="N245" t="n">
        <v>0</v>
      </c>
      <c r="O245" t="n">
        <v>0</v>
      </c>
      <c r="P245" t="n">
        <v>0</v>
      </c>
      <c r="Q245" t="n">
        <v>1</v>
      </c>
      <c r="R245" s="2" t="inlineStr">
        <is>
          <t>Svart trolldruva</t>
        </is>
      </c>
      <c r="S245">
        <f>HYPERLINK("https://klasma.github.io/Logging_2305/artfynd/A 49367-2019 artfynd.xlsx", "A 49367-2019")</f>
        <v/>
      </c>
      <c r="T245">
        <f>HYPERLINK("https://klasma.github.io/Logging_2305/kartor/A 49367-2019 karta.png", "A 49367-2019")</f>
        <v/>
      </c>
      <c r="V245">
        <f>HYPERLINK("https://klasma.github.io/Logging_2305/klagomål/A 49367-2019 FSC-klagomål.docx", "A 49367-2019")</f>
        <v/>
      </c>
      <c r="W245">
        <f>HYPERLINK("https://klasma.github.io/Logging_2305/klagomålsmail/A 49367-2019 FSC-klagomål mail.docx", "A 49367-2019")</f>
        <v/>
      </c>
      <c r="X245">
        <f>HYPERLINK("https://klasma.github.io/Logging_2305/tillsyn/A 49367-2019 tillsynsbegäran.docx", "A 49367-2019")</f>
        <v/>
      </c>
      <c r="Y245">
        <f>HYPERLINK("https://klasma.github.io/Logging_2305/tillsynsmail/A 49367-2019 tillsynsbegäran mail.docx", "A 49367-2019")</f>
        <v/>
      </c>
    </row>
    <row r="246" ht="15" customHeight="1">
      <c r="A246" t="inlineStr">
        <is>
          <t>A 50599-2019</t>
        </is>
      </c>
      <c r="B246" s="1" t="n">
        <v>43735</v>
      </c>
      <c r="C246" s="1" t="n">
        <v>45648</v>
      </c>
      <c r="D246" t="inlineStr">
        <is>
          <t>JÄMTLANDS LÄN</t>
        </is>
      </c>
      <c r="E246" t="inlineStr">
        <is>
          <t>BRÄCKE</t>
        </is>
      </c>
      <c r="F246" t="inlineStr">
        <is>
          <t>SCA</t>
        </is>
      </c>
      <c r="G246" t="n">
        <v>4.5</v>
      </c>
      <c r="H246" t="n">
        <v>0</v>
      </c>
      <c r="I246" t="n">
        <v>0</v>
      </c>
      <c r="J246" t="n">
        <v>1</v>
      </c>
      <c r="K246" t="n">
        <v>0</v>
      </c>
      <c r="L246" t="n">
        <v>0</v>
      </c>
      <c r="M246" t="n">
        <v>0</v>
      </c>
      <c r="N246" t="n">
        <v>0</v>
      </c>
      <c r="O246" t="n">
        <v>1</v>
      </c>
      <c r="P246" t="n">
        <v>0</v>
      </c>
      <c r="Q246" t="n">
        <v>1</v>
      </c>
      <c r="R246" s="2" t="inlineStr">
        <is>
          <t>Garnlav</t>
        </is>
      </c>
      <c r="S246">
        <f>HYPERLINK("https://klasma.github.io/Logging_2305/artfynd/A 50599-2019 artfynd.xlsx", "A 50599-2019")</f>
        <v/>
      </c>
      <c r="T246">
        <f>HYPERLINK("https://klasma.github.io/Logging_2305/kartor/A 50599-2019 karta.png", "A 50599-2019")</f>
        <v/>
      </c>
      <c r="V246">
        <f>HYPERLINK("https://klasma.github.io/Logging_2305/klagomål/A 50599-2019 FSC-klagomål.docx", "A 50599-2019")</f>
        <v/>
      </c>
      <c r="W246">
        <f>HYPERLINK("https://klasma.github.io/Logging_2305/klagomålsmail/A 50599-2019 FSC-klagomål mail.docx", "A 50599-2019")</f>
        <v/>
      </c>
      <c r="X246">
        <f>HYPERLINK("https://klasma.github.io/Logging_2305/tillsyn/A 50599-2019 tillsynsbegäran.docx", "A 50599-2019")</f>
        <v/>
      </c>
      <c r="Y246">
        <f>HYPERLINK("https://klasma.github.io/Logging_2305/tillsynsmail/A 50599-2019 tillsynsbegäran mail.docx", "A 50599-2019")</f>
        <v/>
      </c>
    </row>
    <row r="247" ht="15" customHeight="1">
      <c r="A247" t="inlineStr">
        <is>
          <t>A 35488-2020</t>
        </is>
      </c>
      <c r="B247" s="1" t="n">
        <v>44042</v>
      </c>
      <c r="C247" s="1" t="n">
        <v>45648</v>
      </c>
      <c r="D247" t="inlineStr">
        <is>
          <t>JÄMTLANDS LÄN</t>
        </is>
      </c>
      <c r="E247" t="inlineStr">
        <is>
          <t>BRÄCKE</t>
        </is>
      </c>
      <c r="F247" t="inlineStr">
        <is>
          <t>SCA</t>
        </is>
      </c>
      <c r="G247" t="n">
        <v>1.9</v>
      </c>
      <c r="H247" t="n">
        <v>0</v>
      </c>
      <c r="I247" t="n">
        <v>0</v>
      </c>
      <c r="J247" t="n">
        <v>1</v>
      </c>
      <c r="K247" t="n">
        <v>0</v>
      </c>
      <c r="L247" t="n">
        <v>0</v>
      </c>
      <c r="M247" t="n">
        <v>0</v>
      </c>
      <c r="N247" t="n">
        <v>0</v>
      </c>
      <c r="O247" t="n">
        <v>1</v>
      </c>
      <c r="P247" t="n">
        <v>0</v>
      </c>
      <c r="Q247" t="n">
        <v>1</v>
      </c>
      <c r="R247" s="2" t="inlineStr">
        <is>
          <t>Lunglav</t>
        </is>
      </c>
      <c r="S247">
        <f>HYPERLINK("https://klasma.github.io/Logging_2305/artfynd/A 35488-2020 artfynd.xlsx", "A 35488-2020")</f>
        <v/>
      </c>
      <c r="T247">
        <f>HYPERLINK("https://klasma.github.io/Logging_2305/kartor/A 35488-2020 karta.png", "A 35488-2020")</f>
        <v/>
      </c>
      <c r="V247">
        <f>HYPERLINK("https://klasma.github.io/Logging_2305/klagomål/A 35488-2020 FSC-klagomål.docx", "A 35488-2020")</f>
        <v/>
      </c>
      <c r="W247">
        <f>HYPERLINK("https://klasma.github.io/Logging_2305/klagomålsmail/A 35488-2020 FSC-klagomål mail.docx", "A 35488-2020")</f>
        <v/>
      </c>
      <c r="X247">
        <f>HYPERLINK("https://klasma.github.io/Logging_2305/tillsyn/A 35488-2020 tillsynsbegäran.docx", "A 35488-2020")</f>
        <v/>
      </c>
      <c r="Y247">
        <f>HYPERLINK("https://klasma.github.io/Logging_2305/tillsynsmail/A 35488-2020 tillsynsbegäran mail.docx", "A 35488-2020")</f>
        <v/>
      </c>
    </row>
    <row r="248" ht="15" customHeight="1">
      <c r="A248" t="inlineStr">
        <is>
          <t>A 41897-2020</t>
        </is>
      </c>
      <c r="B248" s="1" t="n">
        <v>44074</v>
      </c>
      <c r="C248" s="1" t="n">
        <v>45648</v>
      </c>
      <c r="D248" t="inlineStr">
        <is>
          <t>JÄMTLANDS LÄN</t>
        </is>
      </c>
      <c r="E248" t="inlineStr">
        <is>
          <t>BRÄCKE</t>
        </is>
      </c>
      <c r="F248" t="inlineStr">
        <is>
          <t>SCA</t>
        </is>
      </c>
      <c r="G248" t="n">
        <v>3.9</v>
      </c>
      <c r="H248" t="n">
        <v>0</v>
      </c>
      <c r="I248" t="n">
        <v>0</v>
      </c>
      <c r="J248" t="n">
        <v>1</v>
      </c>
      <c r="K248" t="n">
        <v>0</v>
      </c>
      <c r="L248" t="n">
        <v>0</v>
      </c>
      <c r="M248" t="n">
        <v>0</v>
      </c>
      <c r="N248" t="n">
        <v>0</v>
      </c>
      <c r="O248" t="n">
        <v>1</v>
      </c>
      <c r="P248" t="n">
        <v>0</v>
      </c>
      <c r="Q248" t="n">
        <v>1</v>
      </c>
      <c r="R248" s="2" t="inlineStr">
        <is>
          <t>Stiftgelélav</t>
        </is>
      </c>
      <c r="S248">
        <f>HYPERLINK("https://klasma.github.io/Logging_2305/artfynd/A 41897-2020 artfynd.xlsx", "A 41897-2020")</f>
        <v/>
      </c>
      <c r="T248">
        <f>HYPERLINK("https://klasma.github.io/Logging_2305/kartor/A 41897-2020 karta.png", "A 41897-2020")</f>
        <v/>
      </c>
      <c r="V248">
        <f>HYPERLINK("https://klasma.github.io/Logging_2305/klagomål/A 41897-2020 FSC-klagomål.docx", "A 41897-2020")</f>
        <v/>
      </c>
      <c r="W248">
        <f>HYPERLINK("https://klasma.github.io/Logging_2305/klagomålsmail/A 41897-2020 FSC-klagomål mail.docx", "A 41897-2020")</f>
        <v/>
      </c>
      <c r="X248">
        <f>HYPERLINK("https://klasma.github.io/Logging_2305/tillsyn/A 41897-2020 tillsynsbegäran.docx", "A 41897-2020")</f>
        <v/>
      </c>
      <c r="Y248">
        <f>HYPERLINK("https://klasma.github.io/Logging_2305/tillsynsmail/A 41897-2020 tillsynsbegäran mail.docx", "A 41897-2020")</f>
        <v/>
      </c>
    </row>
    <row r="249" ht="15" customHeight="1">
      <c r="A249" t="inlineStr">
        <is>
          <t>A 47864-2020</t>
        </is>
      </c>
      <c r="B249" s="1" t="n">
        <v>44098</v>
      </c>
      <c r="C249" s="1" t="n">
        <v>45648</v>
      </c>
      <c r="D249" t="inlineStr">
        <is>
          <t>JÄMTLANDS LÄN</t>
        </is>
      </c>
      <c r="E249" t="inlineStr">
        <is>
          <t>BRÄCKE</t>
        </is>
      </c>
      <c r="F249" t="inlineStr">
        <is>
          <t>SCA</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HYPERLINK("https://klasma.github.io/Logging_2305/artfynd/A 47864-2020 artfynd.xlsx", "A 47864-2020")</f>
        <v/>
      </c>
      <c r="T249">
        <f>HYPERLINK("https://klasma.github.io/Logging_2305/kartor/A 47864-2020 karta.png", "A 47864-2020")</f>
        <v/>
      </c>
      <c r="U249">
        <f>HYPERLINK("https://klasma.github.io/Logging_2305/knärot/A 47864-2020 karta knärot.png", "A 47864-2020")</f>
        <v/>
      </c>
      <c r="V249">
        <f>HYPERLINK("https://klasma.github.io/Logging_2305/klagomål/A 47864-2020 FSC-klagomål.docx", "A 47864-2020")</f>
        <v/>
      </c>
      <c r="W249">
        <f>HYPERLINK("https://klasma.github.io/Logging_2305/klagomålsmail/A 47864-2020 FSC-klagomål mail.docx", "A 47864-2020")</f>
        <v/>
      </c>
      <c r="X249">
        <f>HYPERLINK("https://klasma.github.io/Logging_2305/tillsyn/A 47864-2020 tillsynsbegäran.docx", "A 47864-2020")</f>
        <v/>
      </c>
      <c r="Y249">
        <f>HYPERLINK("https://klasma.github.io/Logging_2305/tillsynsmail/A 47864-2020 tillsynsbegäran mail.docx", "A 47864-2020")</f>
        <v/>
      </c>
    </row>
    <row r="250" ht="15" customHeight="1">
      <c r="A250" t="inlineStr">
        <is>
          <t>A 60051-2020</t>
        </is>
      </c>
      <c r="B250" s="1" t="n">
        <v>44151</v>
      </c>
      <c r="C250" s="1" t="n">
        <v>45648</v>
      </c>
      <c r="D250" t="inlineStr">
        <is>
          <t>JÄMTLANDS LÄN</t>
        </is>
      </c>
      <c r="E250" t="inlineStr">
        <is>
          <t>BRÄCKE</t>
        </is>
      </c>
      <c r="F250" t="inlineStr">
        <is>
          <t>SCA</t>
        </is>
      </c>
      <c r="G250" t="n">
        <v>9.300000000000001</v>
      </c>
      <c r="H250" t="n">
        <v>0</v>
      </c>
      <c r="I250" t="n">
        <v>0</v>
      </c>
      <c r="J250" t="n">
        <v>1</v>
      </c>
      <c r="K250" t="n">
        <v>0</v>
      </c>
      <c r="L250" t="n">
        <v>0</v>
      </c>
      <c r="M250" t="n">
        <v>0</v>
      </c>
      <c r="N250" t="n">
        <v>0</v>
      </c>
      <c r="O250" t="n">
        <v>1</v>
      </c>
      <c r="P250" t="n">
        <v>0</v>
      </c>
      <c r="Q250" t="n">
        <v>1</v>
      </c>
      <c r="R250" s="2" t="inlineStr">
        <is>
          <t>Lunglav</t>
        </is>
      </c>
      <c r="S250">
        <f>HYPERLINK("https://klasma.github.io/Logging_2305/artfynd/A 60051-2020 artfynd.xlsx", "A 60051-2020")</f>
        <v/>
      </c>
      <c r="T250">
        <f>HYPERLINK("https://klasma.github.io/Logging_2305/kartor/A 60051-2020 karta.png", "A 60051-2020")</f>
        <v/>
      </c>
      <c r="V250">
        <f>HYPERLINK("https://klasma.github.io/Logging_2305/klagomål/A 60051-2020 FSC-klagomål.docx", "A 60051-2020")</f>
        <v/>
      </c>
      <c r="W250">
        <f>HYPERLINK("https://klasma.github.io/Logging_2305/klagomålsmail/A 60051-2020 FSC-klagomål mail.docx", "A 60051-2020")</f>
        <v/>
      </c>
      <c r="X250">
        <f>HYPERLINK("https://klasma.github.io/Logging_2305/tillsyn/A 60051-2020 tillsynsbegäran.docx", "A 60051-2020")</f>
        <v/>
      </c>
      <c r="Y250">
        <f>HYPERLINK("https://klasma.github.io/Logging_2305/tillsynsmail/A 60051-2020 tillsynsbegäran mail.docx", "A 60051-2020")</f>
        <v/>
      </c>
    </row>
    <row r="251" ht="15" customHeight="1">
      <c r="A251" t="inlineStr">
        <is>
          <t>A 19431-2021</t>
        </is>
      </c>
      <c r="B251" s="1" t="n">
        <v>44309</v>
      </c>
      <c r="C251" s="1" t="n">
        <v>45648</v>
      </c>
      <c r="D251" t="inlineStr">
        <is>
          <t>JÄMTLANDS LÄN</t>
        </is>
      </c>
      <c r="E251" t="inlineStr">
        <is>
          <t>BRÄCKE</t>
        </is>
      </c>
      <c r="G251" t="n">
        <v>4.8</v>
      </c>
      <c r="H251" t="n">
        <v>1</v>
      </c>
      <c r="I251" t="n">
        <v>0</v>
      </c>
      <c r="J251" t="n">
        <v>1</v>
      </c>
      <c r="K251" t="n">
        <v>0</v>
      </c>
      <c r="L251" t="n">
        <v>0</v>
      </c>
      <c r="M251" t="n">
        <v>0</v>
      </c>
      <c r="N251" t="n">
        <v>0</v>
      </c>
      <c r="O251" t="n">
        <v>1</v>
      </c>
      <c r="P251" t="n">
        <v>0</v>
      </c>
      <c r="Q251" t="n">
        <v>1</v>
      </c>
      <c r="R251" s="2" t="inlineStr">
        <is>
          <t>Utter</t>
        </is>
      </c>
      <c r="S251">
        <f>HYPERLINK("https://klasma.github.io/Logging_2305/artfynd/A 19431-2021 artfynd.xlsx", "A 19431-2021")</f>
        <v/>
      </c>
      <c r="T251">
        <f>HYPERLINK("https://klasma.github.io/Logging_2305/kartor/A 19431-2021 karta.png", "A 19431-2021")</f>
        <v/>
      </c>
      <c r="V251">
        <f>HYPERLINK("https://klasma.github.io/Logging_2305/klagomål/A 19431-2021 FSC-klagomål.docx", "A 19431-2021")</f>
        <v/>
      </c>
      <c r="W251">
        <f>HYPERLINK("https://klasma.github.io/Logging_2305/klagomålsmail/A 19431-2021 FSC-klagomål mail.docx", "A 19431-2021")</f>
        <v/>
      </c>
      <c r="X251">
        <f>HYPERLINK("https://klasma.github.io/Logging_2305/tillsyn/A 19431-2021 tillsynsbegäran.docx", "A 19431-2021")</f>
        <v/>
      </c>
      <c r="Y251">
        <f>HYPERLINK("https://klasma.github.io/Logging_2305/tillsynsmail/A 19431-2021 tillsynsbegäran mail.docx", "A 19431-2021")</f>
        <v/>
      </c>
    </row>
    <row r="252" ht="15" customHeight="1">
      <c r="A252" t="inlineStr">
        <is>
          <t>A 26135-2021</t>
        </is>
      </c>
      <c r="B252" s="1" t="n">
        <v>44346</v>
      </c>
      <c r="C252" s="1" t="n">
        <v>45648</v>
      </c>
      <c r="D252" t="inlineStr">
        <is>
          <t>JÄMTLANDS LÄN</t>
        </is>
      </c>
      <c r="E252" t="inlineStr">
        <is>
          <t>BRÄCKE</t>
        </is>
      </c>
      <c r="G252" t="n">
        <v>15.1</v>
      </c>
      <c r="H252" t="n">
        <v>0</v>
      </c>
      <c r="I252" t="n">
        <v>1</v>
      </c>
      <c r="J252" t="n">
        <v>0</v>
      </c>
      <c r="K252" t="n">
        <v>0</v>
      </c>
      <c r="L252" t="n">
        <v>0</v>
      </c>
      <c r="M252" t="n">
        <v>0</v>
      </c>
      <c r="N252" t="n">
        <v>0</v>
      </c>
      <c r="O252" t="n">
        <v>0</v>
      </c>
      <c r="P252" t="n">
        <v>0</v>
      </c>
      <c r="Q252" t="n">
        <v>1</v>
      </c>
      <c r="R252" s="2" t="inlineStr">
        <is>
          <t>Grönpyrola</t>
        </is>
      </c>
      <c r="S252">
        <f>HYPERLINK("https://klasma.github.io/Logging_2305/artfynd/A 26135-2021 artfynd.xlsx", "A 26135-2021")</f>
        <v/>
      </c>
      <c r="T252">
        <f>HYPERLINK("https://klasma.github.io/Logging_2305/kartor/A 26135-2021 karta.png", "A 26135-2021")</f>
        <v/>
      </c>
      <c r="V252">
        <f>HYPERLINK("https://klasma.github.io/Logging_2305/klagomål/A 26135-2021 FSC-klagomål.docx", "A 26135-2021")</f>
        <v/>
      </c>
      <c r="W252">
        <f>HYPERLINK("https://klasma.github.io/Logging_2305/klagomålsmail/A 26135-2021 FSC-klagomål mail.docx", "A 26135-2021")</f>
        <v/>
      </c>
      <c r="X252">
        <f>HYPERLINK("https://klasma.github.io/Logging_2305/tillsyn/A 26135-2021 tillsynsbegäran.docx", "A 26135-2021")</f>
        <v/>
      </c>
      <c r="Y252">
        <f>HYPERLINK("https://klasma.github.io/Logging_2305/tillsynsmail/A 26135-2021 tillsynsbegäran mail.docx", "A 26135-2021")</f>
        <v/>
      </c>
    </row>
    <row r="253" ht="15" customHeight="1">
      <c r="A253" t="inlineStr">
        <is>
          <t>A 31336-2021</t>
        </is>
      </c>
      <c r="B253" s="1" t="n">
        <v>44368</v>
      </c>
      <c r="C253" s="1" t="n">
        <v>45648</v>
      </c>
      <c r="D253" t="inlineStr">
        <is>
          <t>JÄMTLANDS LÄN</t>
        </is>
      </c>
      <c r="E253" t="inlineStr">
        <is>
          <t>BRÄCKE</t>
        </is>
      </c>
      <c r="F253" t="inlineStr">
        <is>
          <t>SCA</t>
        </is>
      </c>
      <c r="G253" t="n">
        <v>2.2</v>
      </c>
      <c r="H253" t="n">
        <v>0</v>
      </c>
      <c r="I253" t="n">
        <v>0</v>
      </c>
      <c r="J253" t="n">
        <v>0</v>
      </c>
      <c r="K253" t="n">
        <v>1</v>
      </c>
      <c r="L253" t="n">
        <v>0</v>
      </c>
      <c r="M253" t="n">
        <v>0</v>
      </c>
      <c r="N253" t="n">
        <v>0</v>
      </c>
      <c r="O253" t="n">
        <v>1</v>
      </c>
      <c r="P253" t="n">
        <v>1</v>
      </c>
      <c r="Q253" t="n">
        <v>1</v>
      </c>
      <c r="R253" s="2" t="inlineStr">
        <is>
          <t>Rynkskinn</t>
        </is>
      </c>
      <c r="S253">
        <f>HYPERLINK("https://klasma.github.io/Logging_2305/artfynd/A 31336-2021 artfynd.xlsx", "A 31336-2021")</f>
        <v/>
      </c>
      <c r="T253">
        <f>HYPERLINK("https://klasma.github.io/Logging_2305/kartor/A 31336-2021 karta.png", "A 31336-2021")</f>
        <v/>
      </c>
      <c r="V253">
        <f>HYPERLINK("https://klasma.github.io/Logging_2305/klagomål/A 31336-2021 FSC-klagomål.docx", "A 31336-2021")</f>
        <v/>
      </c>
      <c r="W253">
        <f>HYPERLINK("https://klasma.github.io/Logging_2305/klagomålsmail/A 31336-2021 FSC-klagomål mail.docx", "A 31336-2021")</f>
        <v/>
      </c>
      <c r="X253">
        <f>HYPERLINK("https://klasma.github.io/Logging_2305/tillsyn/A 31336-2021 tillsynsbegäran.docx", "A 31336-2021")</f>
        <v/>
      </c>
      <c r="Y253">
        <f>HYPERLINK("https://klasma.github.io/Logging_2305/tillsynsmail/A 31336-2021 tillsynsbegäran mail.docx", "A 31336-2021")</f>
        <v/>
      </c>
    </row>
    <row r="254" ht="15" customHeight="1">
      <c r="A254" t="inlineStr">
        <is>
          <t>A 42243-2021</t>
        </is>
      </c>
      <c r="B254" s="1" t="n">
        <v>44426</v>
      </c>
      <c r="C254" s="1" t="n">
        <v>45648</v>
      </c>
      <c r="D254" t="inlineStr">
        <is>
          <t>JÄMTLANDS LÄN</t>
        </is>
      </c>
      <c r="E254" t="inlineStr">
        <is>
          <t>BRÄCKE</t>
        </is>
      </c>
      <c r="F254" t="inlineStr">
        <is>
          <t>SCA</t>
        </is>
      </c>
      <c r="G254" t="n">
        <v>6.2</v>
      </c>
      <c r="H254" t="n">
        <v>0</v>
      </c>
      <c r="I254" t="n">
        <v>0</v>
      </c>
      <c r="J254" t="n">
        <v>1</v>
      </c>
      <c r="K254" t="n">
        <v>0</v>
      </c>
      <c r="L254" t="n">
        <v>0</v>
      </c>
      <c r="M254" t="n">
        <v>0</v>
      </c>
      <c r="N254" t="n">
        <v>0</v>
      </c>
      <c r="O254" t="n">
        <v>1</v>
      </c>
      <c r="P254" t="n">
        <v>0</v>
      </c>
      <c r="Q254" t="n">
        <v>1</v>
      </c>
      <c r="R254" s="2" t="inlineStr">
        <is>
          <t>Skogshare</t>
        </is>
      </c>
      <c r="S254">
        <f>HYPERLINK("https://klasma.github.io/Logging_2305/artfynd/A 42243-2021 artfynd.xlsx", "A 42243-2021")</f>
        <v/>
      </c>
      <c r="T254">
        <f>HYPERLINK("https://klasma.github.io/Logging_2305/kartor/A 42243-2021 karta.png", "A 42243-2021")</f>
        <v/>
      </c>
      <c r="V254">
        <f>HYPERLINK("https://klasma.github.io/Logging_2305/klagomål/A 42243-2021 FSC-klagomål.docx", "A 42243-2021")</f>
        <v/>
      </c>
      <c r="W254">
        <f>HYPERLINK("https://klasma.github.io/Logging_2305/klagomålsmail/A 42243-2021 FSC-klagomål mail.docx", "A 42243-2021")</f>
        <v/>
      </c>
      <c r="X254">
        <f>HYPERLINK("https://klasma.github.io/Logging_2305/tillsyn/A 42243-2021 tillsynsbegäran.docx", "A 42243-2021")</f>
        <v/>
      </c>
      <c r="Y254">
        <f>HYPERLINK("https://klasma.github.io/Logging_2305/tillsynsmail/A 42243-2021 tillsynsbegäran mail.docx", "A 42243-2021")</f>
        <v/>
      </c>
    </row>
    <row r="255" ht="15" customHeight="1">
      <c r="A255" t="inlineStr">
        <is>
          <t>A 69154-2021</t>
        </is>
      </c>
      <c r="B255" s="1" t="n">
        <v>44530</v>
      </c>
      <c r="C255" s="1" t="n">
        <v>45648</v>
      </c>
      <c r="D255" t="inlineStr">
        <is>
          <t>JÄMTLANDS LÄN</t>
        </is>
      </c>
      <c r="E255" t="inlineStr">
        <is>
          <t>BRÄCKE</t>
        </is>
      </c>
      <c r="F255" t="inlineStr">
        <is>
          <t>SCA</t>
        </is>
      </c>
      <c r="G255" t="n">
        <v>3.4</v>
      </c>
      <c r="H255" t="n">
        <v>0</v>
      </c>
      <c r="I255" t="n">
        <v>0</v>
      </c>
      <c r="J255" t="n">
        <v>1</v>
      </c>
      <c r="K255" t="n">
        <v>0</v>
      </c>
      <c r="L255" t="n">
        <v>0</v>
      </c>
      <c r="M255" t="n">
        <v>0</v>
      </c>
      <c r="N255" t="n">
        <v>0</v>
      </c>
      <c r="O255" t="n">
        <v>1</v>
      </c>
      <c r="P255" t="n">
        <v>0</v>
      </c>
      <c r="Q255" t="n">
        <v>1</v>
      </c>
      <c r="R255" s="2" t="inlineStr">
        <is>
          <t>Lunglav</t>
        </is>
      </c>
      <c r="S255">
        <f>HYPERLINK("https://klasma.github.io/Logging_2305/artfynd/A 69154-2021 artfynd.xlsx", "A 69154-2021")</f>
        <v/>
      </c>
      <c r="T255">
        <f>HYPERLINK("https://klasma.github.io/Logging_2305/kartor/A 69154-2021 karta.png", "A 69154-2021")</f>
        <v/>
      </c>
      <c r="V255">
        <f>HYPERLINK("https://klasma.github.io/Logging_2305/klagomål/A 69154-2021 FSC-klagomål.docx", "A 69154-2021")</f>
        <v/>
      </c>
      <c r="W255">
        <f>HYPERLINK("https://klasma.github.io/Logging_2305/klagomålsmail/A 69154-2021 FSC-klagomål mail.docx", "A 69154-2021")</f>
        <v/>
      </c>
      <c r="X255">
        <f>HYPERLINK("https://klasma.github.io/Logging_2305/tillsyn/A 69154-2021 tillsynsbegäran.docx", "A 69154-2021")</f>
        <v/>
      </c>
      <c r="Y255">
        <f>HYPERLINK("https://klasma.github.io/Logging_2305/tillsynsmail/A 69154-2021 tillsynsbegäran mail.docx", "A 69154-2021")</f>
        <v/>
      </c>
    </row>
    <row r="256" ht="15" customHeight="1">
      <c r="A256" t="inlineStr">
        <is>
          <t>A 235-2022</t>
        </is>
      </c>
      <c r="B256" s="1" t="n">
        <v>44564</v>
      </c>
      <c r="C256" s="1" t="n">
        <v>45648</v>
      </c>
      <c r="D256" t="inlineStr">
        <is>
          <t>JÄMTLANDS LÄN</t>
        </is>
      </c>
      <c r="E256" t="inlineStr">
        <is>
          <t>BRÄCKE</t>
        </is>
      </c>
      <c r="F256" t="inlineStr">
        <is>
          <t>SCA</t>
        </is>
      </c>
      <c r="G256" t="n">
        <v>5.8</v>
      </c>
      <c r="H256" t="n">
        <v>0</v>
      </c>
      <c r="I256" t="n">
        <v>0</v>
      </c>
      <c r="J256" t="n">
        <v>1</v>
      </c>
      <c r="K256" t="n">
        <v>0</v>
      </c>
      <c r="L256" t="n">
        <v>0</v>
      </c>
      <c r="M256" t="n">
        <v>0</v>
      </c>
      <c r="N256" t="n">
        <v>0</v>
      </c>
      <c r="O256" t="n">
        <v>1</v>
      </c>
      <c r="P256" t="n">
        <v>0</v>
      </c>
      <c r="Q256" t="n">
        <v>1</v>
      </c>
      <c r="R256" s="2" t="inlineStr">
        <is>
          <t>Harticka</t>
        </is>
      </c>
      <c r="S256">
        <f>HYPERLINK("https://klasma.github.io/Logging_2305/artfynd/A 235-2022 artfynd.xlsx", "A 235-2022")</f>
        <v/>
      </c>
      <c r="T256">
        <f>HYPERLINK("https://klasma.github.io/Logging_2305/kartor/A 235-2022 karta.png", "A 235-2022")</f>
        <v/>
      </c>
      <c r="V256">
        <f>HYPERLINK("https://klasma.github.io/Logging_2305/klagomål/A 235-2022 FSC-klagomål.docx", "A 235-2022")</f>
        <v/>
      </c>
      <c r="W256">
        <f>HYPERLINK("https://klasma.github.io/Logging_2305/klagomålsmail/A 235-2022 FSC-klagomål mail.docx", "A 235-2022")</f>
        <v/>
      </c>
      <c r="X256">
        <f>HYPERLINK("https://klasma.github.io/Logging_2305/tillsyn/A 235-2022 tillsynsbegäran.docx", "A 235-2022")</f>
        <v/>
      </c>
      <c r="Y256">
        <f>HYPERLINK("https://klasma.github.io/Logging_2305/tillsynsmail/A 235-2022 tillsynsbegäran mail.docx", "A 235-2022")</f>
        <v/>
      </c>
    </row>
    <row r="257" ht="15" customHeight="1">
      <c r="A257" t="inlineStr">
        <is>
          <t>A 14628-2022</t>
        </is>
      </c>
      <c r="B257" s="1" t="n">
        <v>44655</v>
      </c>
      <c r="C257" s="1" t="n">
        <v>45648</v>
      </c>
      <c r="D257" t="inlineStr">
        <is>
          <t>JÄMTLANDS LÄN</t>
        </is>
      </c>
      <c r="E257" t="inlineStr">
        <is>
          <t>BRÄCKE</t>
        </is>
      </c>
      <c r="G257" t="n">
        <v>4.7</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14628-2022 artfynd.xlsx", "A 14628-2022")</f>
        <v/>
      </c>
      <c r="T257">
        <f>HYPERLINK("https://klasma.github.io/Logging_2305/kartor/A 14628-2022 karta.png", "A 14628-2022")</f>
        <v/>
      </c>
      <c r="V257">
        <f>HYPERLINK("https://klasma.github.io/Logging_2305/klagomål/A 14628-2022 FSC-klagomål.docx", "A 14628-2022")</f>
        <v/>
      </c>
      <c r="W257">
        <f>HYPERLINK("https://klasma.github.io/Logging_2305/klagomålsmail/A 14628-2022 FSC-klagomål mail.docx", "A 14628-2022")</f>
        <v/>
      </c>
      <c r="X257">
        <f>HYPERLINK("https://klasma.github.io/Logging_2305/tillsyn/A 14628-2022 tillsynsbegäran.docx", "A 14628-2022")</f>
        <v/>
      </c>
      <c r="Y257">
        <f>HYPERLINK("https://klasma.github.io/Logging_2305/tillsynsmail/A 14628-2022 tillsynsbegäran mail.docx", "A 14628-2022")</f>
        <v/>
      </c>
    </row>
    <row r="258" ht="15" customHeight="1">
      <c r="A258" t="inlineStr">
        <is>
          <t>A 15076-2022</t>
        </is>
      </c>
      <c r="B258" s="1" t="n">
        <v>44657</v>
      </c>
      <c r="C258" s="1" t="n">
        <v>45648</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15366-2022</t>
        </is>
      </c>
      <c r="B259" s="1" t="n">
        <v>44659</v>
      </c>
      <c r="C259" s="1" t="n">
        <v>45648</v>
      </c>
      <c r="D259" t="inlineStr">
        <is>
          <t>JÄMTLANDS LÄN</t>
        </is>
      </c>
      <c r="E259" t="inlineStr">
        <is>
          <t>BRÄCKE</t>
        </is>
      </c>
      <c r="G259" t="n">
        <v>3.3</v>
      </c>
      <c r="H259" t="n">
        <v>1</v>
      </c>
      <c r="I259" t="n">
        <v>0</v>
      </c>
      <c r="J259" t="n">
        <v>0</v>
      </c>
      <c r="K259" t="n">
        <v>0</v>
      </c>
      <c r="L259" t="n">
        <v>0</v>
      </c>
      <c r="M259" t="n">
        <v>0</v>
      </c>
      <c r="N259" t="n">
        <v>0</v>
      </c>
      <c r="O259" t="n">
        <v>0</v>
      </c>
      <c r="P259" t="n">
        <v>0</v>
      </c>
      <c r="Q259" t="n">
        <v>1</v>
      </c>
      <c r="R259" s="2" t="inlineStr">
        <is>
          <t>Brudsporre</t>
        </is>
      </c>
      <c r="S259">
        <f>HYPERLINK("https://klasma.github.io/Logging_2305/artfynd/A 15366-2022 artfynd.xlsx", "A 15366-2022")</f>
        <v/>
      </c>
      <c r="T259">
        <f>HYPERLINK("https://klasma.github.io/Logging_2305/kartor/A 15366-2022 karta.png", "A 15366-2022")</f>
        <v/>
      </c>
      <c r="V259">
        <f>HYPERLINK("https://klasma.github.io/Logging_2305/klagomål/A 15366-2022 FSC-klagomål.docx", "A 15366-2022")</f>
        <v/>
      </c>
      <c r="W259">
        <f>HYPERLINK("https://klasma.github.io/Logging_2305/klagomålsmail/A 15366-2022 FSC-klagomål mail.docx", "A 15366-2022")</f>
        <v/>
      </c>
      <c r="X259">
        <f>HYPERLINK("https://klasma.github.io/Logging_2305/tillsyn/A 15366-2022 tillsynsbegäran.docx", "A 15366-2022")</f>
        <v/>
      </c>
      <c r="Y259">
        <f>HYPERLINK("https://klasma.github.io/Logging_2305/tillsynsmail/A 15366-2022 tillsynsbegäran mail.docx", "A 15366-2022")</f>
        <v/>
      </c>
    </row>
    <row r="260" ht="15" customHeight="1">
      <c r="A260" t="inlineStr">
        <is>
          <t>A 23434-2022</t>
        </is>
      </c>
      <c r="B260" s="1" t="n">
        <v>44720</v>
      </c>
      <c r="C260" s="1" t="n">
        <v>45648</v>
      </c>
      <c r="D260" t="inlineStr">
        <is>
          <t>JÄMTLANDS LÄN</t>
        </is>
      </c>
      <c r="E260" t="inlineStr">
        <is>
          <t>BRÄCKE</t>
        </is>
      </c>
      <c r="G260" t="n">
        <v>14.1</v>
      </c>
      <c r="H260" t="n">
        <v>1</v>
      </c>
      <c r="I260" t="n">
        <v>0</v>
      </c>
      <c r="J260" t="n">
        <v>0</v>
      </c>
      <c r="K260" t="n">
        <v>1</v>
      </c>
      <c r="L260" t="n">
        <v>0</v>
      </c>
      <c r="M260" t="n">
        <v>0</v>
      </c>
      <c r="N260" t="n">
        <v>0</v>
      </c>
      <c r="O260" t="n">
        <v>1</v>
      </c>
      <c r="P260" t="n">
        <v>1</v>
      </c>
      <c r="Q260" t="n">
        <v>1</v>
      </c>
      <c r="R260" s="2" t="inlineStr">
        <is>
          <t>Knärot</t>
        </is>
      </c>
      <c r="S260">
        <f>HYPERLINK("https://klasma.github.io/Logging_2305/artfynd/A 23434-2022 artfynd.xlsx", "A 23434-2022")</f>
        <v/>
      </c>
      <c r="T260">
        <f>HYPERLINK("https://klasma.github.io/Logging_2305/kartor/A 23434-2022 karta.png", "A 23434-2022")</f>
        <v/>
      </c>
      <c r="U260">
        <f>HYPERLINK("https://klasma.github.io/Logging_2305/knärot/A 23434-2022 karta knärot.png", "A 23434-2022")</f>
        <v/>
      </c>
      <c r="V260">
        <f>HYPERLINK("https://klasma.github.io/Logging_2305/klagomål/A 23434-2022 FSC-klagomål.docx", "A 23434-2022")</f>
        <v/>
      </c>
      <c r="W260">
        <f>HYPERLINK("https://klasma.github.io/Logging_2305/klagomålsmail/A 23434-2022 FSC-klagomål mail.docx", "A 23434-2022")</f>
        <v/>
      </c>
      <c r="X260">
        <f>HYPERLINK("https://klasma.github.io/Logging_2305/tillsyn/A 23434-2022 tillsynsbegäran.docx", "A 23434-2022")</f>
        <v/>
      </c>
      <c r="Y260">
        <f>HYPERLINK("https://klasma.github.io/Logging_2305/tillsynsmail/A 23434-2022 tillsynsbegäran mail.docx", "A 23434-2022")</f>
        <v/>
      </c>
    </row>
    <row r="261" ht="15" customHeight="1">
      <c r="A261" t="inlineStr">
        <is>
          <t>A 24552-2022</t>
        </is>
      </c>
      <c r="B261" s="1" t="n">
        <v>44726</v>
      </c>
      <c r="C261" s="1" t="n">
        <v>45648</v>
      </c>
      <c r="D261" t="inlineStr">
        <is>
          <t>JÄMTLANDS LÄN</t>
        </is>
      </c>
      <c r="E261" t="inlineStr">
        <is>
          <t>BRÄCKE</t>
        </is>
      </c>
      <c r="G261" t="n">
        <v>2.6</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HYPERLINK("https://klasma.github.io/Logging_2305/artfynd/A 24552-2022 artfynd.xlsx", "A 24552-2022")</f>
        <v/>
      </c>
      <c r="T261">
        <f>HYPERLINK("https://klasma.github.io/Logging_2305/kartor/A 24552-2022 karta.png", "A 24552-2022")</f>
        <v/>
      </c>
      <c r="V261">
        <f>HYPERLINK("https://klasma.github.io/Logging_2305/klagomål/A 24552-2022 FSC-klagomål.docx", "A 24552-2022")</f>
        <v/>
      </c>
      <c r="W261">
        <f>HYPERLINK("https://klasma.github.io/Logging_2305/klagomålsmail/A 24552-2022 FSC-klagomål mail.docx", "A 24552-2022")</f>
        <v/>
      </c>
      <c r="X261">
        <f>HYPERLINK("https://klasma.github.io/Logging_2305/tillsyn/A 24552-2022 tillsynsbegäran.docx", "A 24552-2022")</f>
        <v/>
      </c>
      <c r="Y261">
        <f>HYPERLINK("https://klasma.github.io/Logging_2305/tillsynsmail/A 24552-2022 tillsynsbegäran mail.docx", "A 24552-2022")</f>
        <v/>
      </c>
    </row>
    <row r="262" ht="15" customHeight="1">
      <c r="A262" t="inlineStr">
        <is>
          <t>A 27587-2022</t>
        </is>
      </c>
      <c r="B262" s="1" t="n">
        <v>44742</v>
      </c>
      <c r="C262" s="1" t="n">
        <v>45648</v>
      </c>
      <c r="D262" t="inlineStr">
        <is>
          <t>JÄMTLANDS LÄN</t>
        </is>
      </c>
      <c r="E262" t="inlineStr">
        <is>
          <t>BRÄCKE</t>
        </is>
      </c>
      <c r="F262" t="inlineStr">
        <is>
          <t>SCA</t>
        </is>
      </c>
      <c r="G262" t="n">
        <v>4.1</v>
      </c>
      <c r="H262" t="n">
        <v>0</v>
      </c>
      <c r="I262" t="n">
        <v>0</v>
      </c>
      <c r="J262" t="n">
        <v>1</v>
      </c>
      <c r="K262" t="n">
        <v>0</v>
      </c>
      <c r="L262" t="n">
        <v>0</v>
      </c>
      <c r="M262" t="n">
        <v>0</v>
      </c>
      <c r="N262" t="n">
        <v>0</v>
      </c>
      <c r="O262" t="n">
        <v>1</v>
      </c>
      <c r="P262" t="n">
        <v>0</v>
      </c>
      <c r="Q262" t="n">
        <v>1</v>
      </c>
      <c r="R262" s="2" t="inlineStr">
        <is>
          <t>Lunglav</t>
        </is>
      </c>
      <c r="S262">
        <f>HYPERLINK("https://klasma.github.io/Logging_2305/artfynd/A 27587-2022 artfynd.xlsx", "A 27587-2022")</f>
        <v/>
      </c>
      <c r="T262">
        <f>HYPERLINK("https://klasma.github.io/Logging_2305/kartor/A 27587-2022 karta.png", "A 27587-2022")</f>
        <v/>
      </c>
      <c r="V262">
        <f>HYPERLINK("https://klasma.github.io/Logging_2305/klagomål/A 27587-2022 FSC-klagomål.docx", "A 27587-2022")</f>
        <v/>
      </c>
      <c r="W262">
        <f>HYPERLINK("https://klasma.github.io/Logging_2305/klagomålsmail/A 27587-2022 FSC-klagomål mail.docx", "A 27587-2022")</f>
        <v/>
      </c>
      <c r="X262">
        <f>HYPERLINK("https://klasma.github.io/Logging_2305/tillsyn/A 27587-2022 tillsynsbegäran.docx", "A 27587-2022")</f>
        <v/>
      </c>
      <c r="Y262">
        <f>HYPERLINK("https://klasma.github.io/Logging_2305/tillsynsmail/A 27587-2022 tillsynsbegäran mail.docx", "A 27587-2022")</f>
        <v/>
      </c>
    </row>
    <row r="263" ht="15" customHeight="1">
      <c r="A263" t="inlineStr">
        <is>
          <t>A 35023-2022</t>
        </is>
      </c>
      <c r="B263" s="1" t="n">
        <v>44796</v>
      </c>
      <c r="C263" s="1" t="n">
        <v>45648</v>
      </c>
      <c r="D263" t="inlineStr">
        <is>
          <t>JÄMTLANDS LÄN</t>
        </is>
      </c>
      <c r="E263" t="inlineStr">
        <is>
          <t>BRÄCKE</t>
        </is>
      </c>
      <c r="F263" t="inlineStr">
        <is>
          <t>SCA</t>
        </is>
      </c>
      <c r="G263" t="n">
        <v>4.8</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35023-2022 artfynd.xlsx", "A 35023-2022")</f>
        <v/>
      </c>
      <c r="T263">
        <f>HYPERLINK("https://klasma.github.io/Logging_2305/kartor/A 35023-2022 karta.png", "A 35023-2022")</f>
        <v/>
      </c>
      <c r="V263">
        <f>HYPERLINK("https://klasma.github.io/Logging_2305/klagomål/A 35023-2022 FSC-klagomål.docx", "A 35023-2022")</f>
        <v/>
      </c>
      <c r="W263">
        <f>HYPERLINK("https://klasma.github.io/Logging_2305/klagomålsmail/A 35023-2022 FSC-klagomål mail.docx", "A 35023-2022")</f>
        <v/>
      </c>
      <c r="X263">
        <f>HYPERLINK("https://klasma.github.io/Logging_2305/tillsyn/A 35023-2022 tillsynsbegäran.docx", "A 35023-2022")</f>
        <v/>
      </c>
      <c r="Y263">
        <f>HYPERLINK("https://klasma.github.io/Logging_2305/tillsynsmail/A 35023-2022 tillsynsbegäran mail.docx", "A 35023-2022")</f>
        <v/>
      </c>
    </row>
    <row r="264" ht="15" customHeight="1">
      <c r="A264" t="inlineStr">
        <is>
          <t>A 49863-2022</t>
        </is>
      </c>
      <c r="B264" s="1" t="n">
        <v>44862</v>
      </c>
      <c r="C264" s="1" t="n">
        <v>45648</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52030-2022</t>
        </is>
      </c>
      <c r="B265" s="1" t="n">
        <v>44872</v>
      </c>
      <c r="C265" s="1" t="n">
        <v>45648</v>
      </c>
      <c r="D265" t="inlineStr">
        <is>
          <t>JÄMTLANDS LÄN</t>
        </is>
      </c>
      <c r="E265" t="inlineStr">
        <is>
          <t>BRÄCKE</t>
        </is>
      </c>
      <c r="F265" t="inlineStr">
        <is>
          <t>SCA</t>
        </is>
      </c>
      <c r="G265" t="n">
        <v>2.2</v>
      </c>
      <c r="H265" t="n">
        <v>1</v>
      </c>
      <c r="I265" t="n">
        <v>0</v>
      </c>
      <c r="J265" t="n">
        <v>1</v>
      </c>
      <c r="K265" t="n">
        <v>0</v>
      </c>
      <c r="L265" t="n">
        <v>0</v>
      </c>
      <c r="M265" t="n">
        <v>0</v>
      </c>
      <c r="N265" t="n">
        <v>0</v>
      </c>
      <c r="O265" t="n">
        <v>1</v>
      </c>
      <c r="P265" t="n">
        <v>0</v>
      </c>
      <c r="Q265" t="n">
        <v>1</v>
      </c>
      <c r="R265" s="2" t="inlineStr">
        <is>
          <t>Talltita</t>
        </is>
      </c>
      <c r="S265">
        <f>HYPERLINK("https://klasma.github.io/Logging_2305/artfynd/A 52030-2022 artfynd.xlsx", "A 52030-2022")</f>
        <v/>
      </c>
      <c r="T265">
        <f>HYPERLINK("https://klasma.github.io/Logging_2305/kartor/A 52030-2022 karta.png", "A 52030-2022")</f>
        <v/>
      </c>
      <c r="V265">
        <f>HYPERLINK("https://klasma.github.io/Logging_2305/klagomål/A 52030-2022 FSC-klagomål.docx", "A 52030-2022")</f>
        <v/>
      </c>
      <c r="W265">
        <f>HYPERLINK("https://klasma.github.io/Logging_2305/klagomålsmail/A 52030-2022 FSC-klagomål mail.docx", "A 52030-2022")</f>
        <v/>
      </c>
      <c r="X265">
        <f>HYPERLINK("https://klasma.github.io/Logging_2305/tillsyn/A 52030-2022 tillsynsbegäran.docx", "A 52030-2022")</f>
        <v/>
      </c>
      <c r="Y265">
        <f>HYPERLINK("https://klasma.github.io/Logging_2305/tillsynsmail/A 52030-2022 tillsynsbegäran mail.docx", "A 52030-2022")</f>
        <v/>
      </c>
      <c r="Z265">
        <f>HYPERLINK("https://klasma.github.io/Logging_2305/fåglar/A 52030-2022 prioriterade fågelarter.docx", "A 52030-2022")</f>
        <v/>
      </c>
    </row>
    <row r="266" ht="15" customHeight="1">
      <c r="A266" t="inlineStr">
        <is>
          <t>A 52018-2022</t>
        </is>
      </c>
      <c r="B266" s="1" t="n">
        <v>44872</v>
      </c>
      <c r="C266" s="1" t="n">
        <v>45648</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Lunglav</t>
        </is>
      </c>
      <c r="S266">
        <f>HYPERLINK("https://klasma.github.io/Logging_2305/artfynd/A 52018-2022 artfynd.xlsx", "A 52018-2022")</f>
        <v/>
      </c>
      <c r="T266">
        <f>HYPERLINK("https://klasma.github.io/Logging_2305/kartor/A 52018-2022 karta.png", "A 52018-2022")</f>
        <v/>
      </c>
      <c r="V266">
        <f>HYPERLINK("https://klasma.github.io/Logging_2305/klagomål/A 52018-2022 FSC-klagomål.docx", "A 52018-2022")</f>
        <v/>
      </c>
      <c r="W266">
        <f>HYPERLINK("https://klasma.github.io/Logging_2305/klagomålsmail/A 52018-2022 FSC-klagomål mail.docx", "A 52018-2022")</f>
        <v/>
      </c>
      <c r="X266">
        <f>HYPERLINK("https://klasma.github.io/Logging_2305/tillsyn/A 52018-2022 tillsynsbegäran.docx", "A 52018-2022")</f>
        <v/>
      </c>
      <c r="Y266">
        <f>HYPERLINK("https://klasma.github.io/Logging_2305/tillsynsmail/A 52018-2022 tillsynsbegäran mail.docx", "A 52018-2022")</f>
        <v/>
      </c>
    </row>
    <row r="267" ht="15" customHeight="1">
      <c r="A267" t="inlineStr">
        <is>
          <t>A 53280-2022</t>
        </is>
      </c>
      <c r="B267" s="1" t="n">
        <v>44876</v>
      </c>
      <c r="C267" s="1" t="n">
        <v>45648</v>
      </c>
      <c r="D267" t="inlineStr">
        <is>
          <t>JÄMTLANDS LÄN</t>
        </is>
      </c>
      <c r="E267" t="inlineStr">
        <is>
          <t>BRÄCKE</t>
        </is>
      </c>
      <c r="F267" t="inlineStr">
        <is>
          <t>SCA</t>
        </is>
      </c>
      <c r="G267" t="n">
        <v>2</v>
      </c>
      <c r="H267" t="n">
        <v>0</v>
      </c>
      <c r="I267" t="n">
        <v>1</v>
      </c>
      <c r="J267" t="n">
        <v>0</v>
      </c>
      <c r="K267" t="n">
        <v>0</v>
      </c>
      <c r="L267" t="n">
        <v>0</v>
      </c>
      <c r="M267" t="n">
        <v>0</v>
      </c>
      <c r="N267" t="n">
        <v>0</v>
      </c>
      <c r="O267" t="n">
        <v>0</v>
      </c>
      <c r="P267" t="n">
        <v>0</v>
      </c>
      <c r="Q267" t="n">
        <v>1</v>
      </c>
      <c r="R267" s="2" t="inlineStr">
        <is>
          <t>Stuplav</t>
        </is>
      </c>
      <c r="S267">
        <f>HYPERLINK("https://klasma.github.io/Logging_2305/artfynd/A 53280-2022 artfynd.xlsx", "A 53280-2022")</f>
        <v/>
      </c>
      <c r="T267">
        <f>HYPERLINK("https://klasma.github.io/Logging_2305/kartor/A 53280-2022 karta.png", "A 53280-2022")</f>
        <v/>
      </c>
      <c r="V267">
        <f>HYPERLINK("https://klasma.github.io/Logging_2305/klagomål/A 53280-2022 FSC-klagomål.docx", "A 53280-2022")</f>
        <v/>
      </c>
      <c r="W267">
        <f>HYPERLINK("https://klasma.github.io/Logging_2305/klagomålsmail/A 53280-2022 FSC-klagomål mail.docx", "A 53280-2022")</f>
        <v/>
      </c>
      <c r="X267">
        <f>HYPERLINK("https://klasma.github.io/Logging_2305/tillsyn/A 53280-2022 tillsynsbegäran.docx", "A 53280-2022")</f>
        <v/>
      </c>
      <c r="Y267">
        <f>HYPERLINK("https://klasma.github.io/Logging_2305/tillsynsmail/A 53280-2022 tillsynsbegäran mail.docx", "A 53280-2022")</f>
        <v/>
      </c>
    </row>
    <row r="268" ht="15" customHeight="1">
      <c r="A268" t="inlineStr">
        <is>
          <t>A 62079-2022</t>
        </is>
      </c>
      <c r="B268" s="1" t="n">
        <v>44918</v>
      </c>
      <c r="C268" s="1" t="n">
        <v>45648</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725-2023</t>
        </is>
      </c>
      <c r="B269" s="1" t="n">
        <v>44930</v>
      </c>
      <c r="C269" s="1" t="n">
        <v>45648</v>
      </c>
      <c r="D269" t="inlineStr">
        <is>
          <t>JÄMTLANDS LÄN</t>
        </is>
      </c>
      <c r="E269" t="inlineStr">
        <is>
          <t>BRÄCKE</t>
        </is>
      </c>
      <c r="F269" t="inlineStr">
        <is>
          <t>SCA</t>
        </is>
      </c>
      <c r="G269" t="n">
        <v>0.9</v>
      </c>
      <c r="H269" t="n">
        <v>0</v>
      </c>
      <c r="I269" t="n">
        <v>0</v>
      </c>
      <c r="J269" t="n">
        <v>1</v>
      </c>
      <c r="K269" t="n">
        <v>0</v>
      </c>
      <c r="L269" t="n">
        <v>0</v>
      </c>
      <c r="M269" t="n">
        <v>0</v>
      </c>
      <c r="N269" t="n">
        <v>0</v>
      </c>
      <c r="O269" t="n">
        <v>1</v>
      </c>
      <c r="P269" t="n">
        <v>0</v>
      </c>
      <c r="Q269" t="n">
        <v>1</v>
      </c>
      <c r="R269" s="2" t="inlineStr">
        <is>
          <t>Kolflarnlav</t>
        </is>
      </c>
      <c r="S269">
        <f>HYPERLINK("https://klasma.github.io/Logging_2305/artfynd/A 725-2023 artfynd.xlsx", "A 725-2023")</f>
        <v/>
      </c>
      <c r="T269">
        <f>HYPERLINK("https://klasma.github.io/Logging_2305/kartor/A 725-2023 karta.png", "A 725-2023")</f>
        <v/>
      </c>
      <c r="V269">
        <f>HYPERLINK("https://klasma.github.io/Logging_2305/klagomål/A 725-2023 FSC-klagomål.docx", "A 725-2023")</f>
        <v/>
      </c>
      <c r="W269">
        <f>HYPERLINK("https://klasma.github.io/Logging_2305/klagomålsmail/A 725-2023 FSC-klagomål mail.docx", "A 725-2023")</f>
        <v/>
      </c>
      <c r="X269">
        <f>HYPERLINK("https://klasma.github.io/Logging_2305/tillsyn/A 725-2023 tillsynsbegäran.docx", "A 725-2023")</f>
        <v/>
      </c>
      <c r="Y269">
        <f>HYPERLINK("https://klasma.github.io/Logging_2305/tillsynsmail/A 725-2023 tillsynsbegäran mail.docx", "A 725-2023")</f>
        <v/>
      </c>
    </row>
    <row r="270" ht="15" customHeight="1">
      <c r="A270" t="inlineStr">
        <is>
          <t>A 12062-2023</t>
        </is>
      </c>
      <c r="B270" s="1" t="n">
        <v>44996</v>
      </c>
      <c r="C270" s="1" t="n">
        <v>45648</v>
      </c>
      <c r="D270" t="inlineStr">
        <is>
          <t>JÄMTLANDS LÄN</t>
        </is>
      </c>
      <c r="E270" t="inlineStr">
        <is>
          <t>BRÄCKE</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HYPERLINK("https://klasma.github.io/Logging_2305/artfynd/A 12062-2023 artfynd.xlsx", "A 12062-2023")</f>
        <v/>
      </c>
      <c r="T270">
        <f>HYPERLINK("https://klasma.github.io/Logging_2305/kartor/A 12062-2023 karta.png", "A 12062-2023")</f>
        <v/>
      </c>
      <c r="V270">
        <f>HYPERLINK("https://klasma.github.io/Logging_2305/klagomål/A 12062-2023 FSC-klagomål.docx", "A 12062-2023")</f>
        <v/>
      </c>
      <c r="W270">
        <f>HYPERLINK("https://klasma.github.io/Logging_2305/klagomålsmail/A 12062-2023 FSC-klagomål mail.docx", "A 12062-2023")</f>
        <v/>
      </c>
      <c r="X270">
        <f>HYPERLINK("https://klasma.github.io/Logging_2305/tillsyn/A 12062-2023 tillsynsbegäran.docx", "A 12062-2023")</f>
        <v/>
      </c>
      <c r="Y270">
        <f>HYPERLINK("https://klasma.github.io/Logging_2305/tillsynsmail/A 12062-2023 tillsynsbegäran mail.docx", "A 12062-2023")</f>
        <v/>
      </c>
    </row>
    <row r="271" ht="15" customHeight="1">
      <c r="A271" t="inlineStr">
        <is>
          <t>A 12517-2023</t>
        </is>
      </c>
      <c r="B271" s="1" t="n">
        <v>45000</v>
      </c>
      <c r="C271" s="1" t="n">
        <v>45648</v>
      </c>
      <c r="D271" t="inlineStr">
        <is>
          <t>JÄMTLANDS LÄN</t>
        </is>
      </c>
      <c r="E271" t="inlineStr">
        <is>
          <t>BRÄCKE</t>
        </is>
      </c>
      <c r="G271" t="n">
        <v>11</v>
      </c>
      <c r="H271" t="n">
        <v>0</v>
      </c>
      <c r="I271" t="n">
        <v>0</v>
      </c>
      <c r="J271" t="n">
        <v>1</v>
      </c>
      <c r="K271" t="n">
        <v>0</v>
      </c>
      <c r="L271" t="n">
        <v>0</v>
      </c>
      <c r="M271" t="n">
        <v>0</v>
      </c>
      <c r="N271" t="n">
        <v>0</v>
      </c>
      <c r="O271" t="n">
        <v>1</v>
      </c>
      <c r="P271" t="n">
        <v>0</v>
      </c>
      <c r="Q271" t="n">
        <v>1</v>
      </c>
      <c r="R271" s="2" t="inlineStr">
        <is>
          <t>Lunglav</t>
        </is>
      </c>
      <c r="S271">
        <f>HYPERLINK("https://klasma.github.io/Logging_2305/artfynd/A 12517-2023 artfynd.xlsx", "A 12517-2023")</f>
        <v/>
      </c>
      <c r="T271">
        <f>HYPERLINK("https://klasma.github.io/Logging_2305/kartor/A 12517-2023 karta.png", "A 12517-2023")</f>
        <v/>
      </c>
      <c r="V271">
        <f>HYPERLINK("https://klasma.github.io/Logging_2305/klagomål/A 12517-2023 FSC-klagomål.docx", "A 12517-2023")</f>
        <v/>
      </c>
      <c r="W271">
        <f>HYPERLINK("https://klasma.github.io/Logging_2305/klagomålsmail/A 12517-2023 FSC-klagomål mail.docx", "A 12517-2023")</f>
        <v/>
      </c>
      <c r="X271">
        <f>HYPERLINK("https://klasma.github.io/Logging_2305/tillsyn/A 12517-2023 tillsynsbegäran.docx", "A 12517-2023")</f>
        <v/>
      </c>
      <c r="Y271">
        <f>HYPERLINK("https://klasma.github.io/Logging_2305/tillsynsmail/A 12517-2023 tillsynsbegäran mail.docx", "A 12517-2023")</f>
        <v/>
      </c>
    </row>
    <row r="272" ht="15" customHeight="1">
      <c r="A272" t="inlineStr">
        <is>
          <t>A 16366-2023</t>
        </is>
      </c>
      <c r="B272" s="1" t="n">
        <v>45028</v>
      </c>
      <c r="C272" s="1" t="n">
        <v>45648</v>
      </c>
      <c r="D272" t="inlineStr">
        <is>
          <t>JÄMTLANDS LÄN</t>
        </is>
      </c>
      <c r="E272" t="inlineStr">
        <is>
          <t>BRÄCKE</t>
        </is>
      </c>
      <c r="G272" t="n">
        <v>9.1</v>
      </c>
      <c r="H272" t="n">
        <v>0</v>
      </c>
      <c r="I272" t="n">
        <v>0</v>
      </c>
      <c r="J272" t="n">
        <v>1</v>
      </c>
      <c r="K272" t="n">
        <v>0</v>
      </c>
      <c r="L272" t="n">
        <v>0</v>
      </c>
      <c r="M272" t="n">
        <v>0</v>
      </c>
      <c r="N272" t="n">
        <v>0</v>
      </c>
      <c r="O272" t="n">
        <v>1</v>
      </c>
      <c r="P272" t="n">
        <v>0</v>
      </c>
      <c r="Q272" t="n">
        <v>1</v>
      </c>
      <c r="R272" s="2" t="inlineStr">
        <is>
          <t>Lunglav</t>
        </is>
      </c>
      <c r="S272">
        <f>HYPERLINK("https://klasma.github.io/Logging_2305/artfynd/A 16366-2023 artfynd.xlsx", "A 16366-2023")</f>
        <v/>
      </c>
      <c r="T272">
        <f>HYPERLINK("https://klasma.github.io/Logging_2305/kartor/A 16366-2023 karta.png", "A 16366-2023")</f>
        <v/>
      </c>
      <c r="V272">
        <f>HYPERLINK("https://klasma.github.io/Logging_2305/klagomål/A 16366-2023 FSC-klagomål.docx", "A 16366-2023")</f>
        <v/>
      </c>
      <c r="W272">
        <f>HYPERLINK("https://klasma.github.io/Logging_2305/klagomålsmail/A 16366-2023 FSC-klagomål mail.docx", "A 16366-2023")</f>
        <v/>
      </c>
      <c r="X272">
        <f>HYPERLINK("https://klasma.github.io/Logging_2305/tillsyn/A 16366-2023 tillsynsbegäran.docx", "A 16366-2023")</f>
        <v/>
      </c>
      <c r="Y272">
        <f>HYPERLINK("https://klasma.github.io/Logging_2305/tillsynsmail/A 16366-2023 tillsynsbegäran mail.docx", "A 16366-2023")</f>
        <v/>
      </c>
    </row>
    <row r="273" ht="15" customHeight="1">
      <c r="A273" t="inlineStr">
        <is>
          <t>A 16755-2023</t>
        </is>
      </c>
      <c r="B273" s="1" t="n">
        <v>45031</v>
      </c>
      <c r="C273" s="1" t="n">
        <v>45648</v>
      </c>
      <c r="D273" t="inlineStr">
        <is>
          <t>JÄMTLANDS LÄN</t>
        </is>
      </c>
      <c r="E273" t="inlineStr">
        <is>
          <t>BRÄCKE</t>
        </is>
      </c>
      <c r="F273" t="inlineStr">
        <is>
          <t>SCA</t>
        </is>
      </c>
      <c r="G273" t="n">
        <v>15.7</v>
      </c>
      <c r="H273" t="n">
        <v>0</v>
      </c>
      <c r="I273" t="n">
        <v>1</v>
      </c>
      <c r="J273" t="n">
        <v>0</v>
      </c>
      <c r="K273" t="n">
        <v>0</v>
      </c>
      <c r="L273" t="n">
        <v>0</v>
      </c>
      <c r="M273" t="n">
        <v>0</v>
      </c>
      <c r="N273" t="n">
        <v>0</v>
      </c>
      <c r="O273" t="n">
        <v>0</v>
      </c>
      <c r="P273" t="n">
        <v>0</v>
      </c>
      <c r="Q273" t="n">
        <v>1</v>
      </c>
      <c r="R273" s="2" t="inlineStr">
        <is>
          <t>Tibast</t>
        </is>
      </c>
      <c r="S273">
        <f>HYPERLINK("https://klasma.github.io/Logging_2305/artfynd/A 16755-2023 artfynd.xlsx", "A 16755-2023")</f>
        <v/>
      </c>
      <c r="T273">
        <f>HYPERLINK("https://klasma.github.io/Logging_2305/kartor/A 16755-2023 karta.png", "A 16755-2023")</f>
        <v/>
      </c>
      <c r="V273">
        <f>HYPERLINK("https://klasma.github.io/Logging_2305/klagomål/A 16755-2023 FSC-klagomål.docx", "A 16755-2023")</f>
        <v/>
      </c>
      <c r="W273">
        <f>HYPERLINK("https://klasma.github.io/Logging_2305/klagomålsmail/A 16755-2023 FSC-klagomål mail.docx", "A 16755-2023")</f>
        <v/>
      </c>
      <c r="X273">
        <f>HYPERLINK("https://klasma.github.io/Logging_2305/tillsyn/A 16755-2023 tillsynsbegäran.docx", "A 16755-2023")</f>
        <v/>
      </c>
      <c r="Y273">
        <f>HYPERLINK("https://klasma.github.io/Logging_2305/tillsynsmail/A 16755-2023 tillsynsbegäran mail.docx", "A 16755-2023")</f>
        <v/>
      </c>
    </row>
    <row r="274" ht="15" customHeight="1">
      <c r="A274" t="inlineStr">
        <is>
          <t>A 19435-2023</t>
        </is>
      </c>
      <c r="B274" s="1" t="n">
        <v>45049</v>
      </c>
      <c r="C274" s="1" t="n">
        <v>45648</v>
      </c>
      <c r="D274" t="inlineStr">
        <is>
          <t>JÄMTLANDS LÄN</t>
        </is>
      </c>
      <c r="E274" t="inlineStr">
        <is>
          <t>BRÄCKE</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HYPERLINK("https://klasma.github.io/Logging_2305/artfynd/A 19435-2023 artfynd.xlsx", "A 19435-2023")</f>
        <v/>
      </c>
      <c r="T274">
        <f>HYPERLINK("https://klasma.github.io/Logging_2305/kartor/A 19435-2023 karta.png", "A 19435-2023")</f>
        <v/>
      </c>
      <c r="V274">
        <f>HYPERLINK("https://klasma.github.io/Logging_2305/klagomål/A 19435-2023 FSC-klagomål.docx", "A 19435-2023")</f>
        <v/>
      </c>
      <c r="W274">
        <f>HYPERLINK("https://klasma.github.io/Logging_2305/klagomålsmail/A 19435-2023 FSC-klagomål mail.docx", "A 19435-2023")</f>
        <v/>
      </c>
      <c r="X274">
        <f>HYPERLINK("https://klasma.github.io/Logging_2305/tillsyn/A 19435-2023 tillsynsbegäran.docx", "A 19435-2023")</f>
        <v/>
      </c>
      <c r="Y274">
        <f>HYPERLINK("https://klasma.github.io/Logging_2305/tillsynsmail/A 19435-2023 tillsynsbegäran mail.docx", "A 19435-2023")</f>
        <v/>
      </c>
    </row>
    <row r="275" ht="15" customHeight="1">
      <c r="A275" t="inlineStr">
        <is>
          <t>A 19817-2023</t>
        </is>
      </c>
      <c r="B275" s="1" t="n">
        <v>45051</v>
      </c>
      <c r="C275" s="1" t="n">
        <v>45648</v>
      </c>
      <c r="D275" t="inlineStr">
        <is>
          <t>JÄMTLANDS LÄN</t>
        </is>
      </c>
      <c r="E275" t="inlineStr">
        <is>
          <t>BRÄCKE</t>
        </is>
      </c>
      <c r="F275" t="inlineStr">
        <is>
          <t>SCA</t>
        </is>
      </c>
      <c r="G275" t="n">
        <v>2.8</v>
      </c>
      <c r="H275" t="n">
        <v>0</v>
      </c>
      <c r="I275" t="n">
        <v>0</v>
      </c>
      <c r="J275" t="n">
        <v>1</v>
      </c>
      <c r="K275" t="n">
        <v>0</v>
      </c>
      <c r="L275" t="n">
        <v>0</v>
      </c>
      <c r="M275" t="n">
        <v>0</v>
      </c>
      <c r="N275" t="n">
        <v>0</v>
      </c>
      <c r="O275" t="n">
        <v>1</v>
      </c>
      <c r="P275" t="n">
        <v>0</v>
      </c>
      <c r="Q275" t="n">
        <v>1</v>
      </c>
      <c r="R275" s="2" t="inlineStr">
        <is>
          <t>Lunglav</t>
        </is>
      </c>
      <c r="S275">
        <f>HYPERLINK("https://klasma.github.io/Logging_2305/artfynd/A 19817-2023 artfynd.xlsx", "A 19817-2023")</f>
        <v/>
      </c>
      <c r="T275">
        <f>HYPERLINK("https://klasma.github.io/Logging_2305/kartor/A 19817-2023 karta.png", "A 19817-2023")</f>
        <v/>
      </c>
      <c r="V275">
        <f>HYPERLINK("https://klasma.github.io/Logging_2305/klagomål/A 19817-2023 FSC-klagomål.docx", "A 19817-2023")</f>
        <v/>
      </c>
      <c r="W275">
        <f>HYPERLINK("https://klasma.github.io/Logging_2305/klagomålsmail/A 19817-2023 FSC-klagomål mail.docx", "A 19817-2023")</f>
        <v/>
      </c>
      <c r="X275">
        <f>HYPERLINK("https://klasma.github.io/Logging_2305/tillsyn/A 19817-2023 tillsynsbegäran.docx", "A 19817-2023")</f>
        <v/>
      </c>
      <c r="Y275">
        <f>HYPERLINK("https://klasma.github.io/Logging_2305/tillsynsmail/A 19817-2023 tillsynsbegäran mail.docx", "A 19817-2023")</f>
        <v/>
      </c>
    </row>
    <row r="276" ht="15" customHeight="1">
      <c r="A276" t="inlineStr">
        <is>
          <t>A 20604-2023</t>
        </is>
      </c>
      <c r="B276" s="1" t="n">
        <v>45057</v>
      </c>
      <c r="C276" s="1" t="n">
        <v>45648</v>
      </c>
      <c r="D276" t="inlineStr">
        <is>
          <t>JÄMTLANDS LÄN</t>
        </is>
      </c>
      <c r="E276" t="inlineStr">
        <is>
          <t>BRÄCKE</t>
        </is>
      </c>
      <c r="F276" t="inlineStr">
        <is>
          <t>SCA</t>
        </is>
      </c>
      <c r="G276" t="n">
        <v>2.9</v>
      </c>
      <c r="H276" t="n">
        <v>0</v>
      </c>
      <c r="I276" t="n">
        <v>1</v>
      </c>
      <c r="J276" t="n">
        <v>0</v>
      </c>
      <c r="K276" t="n">
        <v>0</v>
      </c>
      <c r="L276" t="n">
        <v>0</v>
      </c>
      <c r="M276" t="n">
        <v>0</v>
      </c>
      <c r="N276" t="n">
        <v>0</v>
      </c>
      <c r="O276" t="n">
        <v>0</v>
      </c>
      <c r="P276" t="n">
        <v>0</v>
      </c>
      <c r="Q276" t="n">
        <v>1</v>
      </c>
      <c r="R276" s="2" t="inlineStr">
        <is>
          <t>Tallfingersvamp</t>
        </is>
      </c>
      <c r="S276">
        <f>HYPERLINK("https://klasma.github.io/Logging_2305/artfynd/A 20604-2023 artfynd.xlsx", "A 20604-2023")</f>
        <v/>
      </c>
      <c r="T276">
        <f>HYPERLINK("https://klasma.github.io/Logging_2305/kartor/A 20604-2023 karta.png", "A 20604-2023")</f>
        <v/>
      </c>
      <c r="V276">
        <f>HYPERLINK("https://klasma.github.io/Logging_2305/klagomål/A 20604-2023 FSC-klagomål.docx", "A 20604-2023")</f>
        <v/>
      </c>
      <c r="W276">
        <f>HYPERLINK("https://klasma.github.io/Logging_2305/klagomålsmail/A 20604-2023 FSC-klagomål mail.docx", "A 20604-2023")</f>
        <v/>
      </c>
      <c r="X276">
        <f>HYPERLINK("https://klasma.github.io/Logging_2305/tillsyn/A 20604-2023 tillsynsbegäran.docx", "A 20604-2023")</f>
        <v/>
      </c>
      <c r="Y276">
        <f>HYPERLINK("https://klasma.github.io/Logging_2305/tillsynsmail/A 20604-2023 tillsynsbegäran mail.docx", "A 20604-2023")</f>
        <v/>
      </c>
    </row>
    <row r="277" ht="15" customHeight="1">
      <c r="A277" t="inlineStr">
        <is>
          <t>A 20871-2023</t>
        </is>
      </c>
      <c r="B277" s="1" t="n">
        <v>45058</v>
      </c>
      <c r="C277" s="1" t="n">
        <v>45648</v>
      </c>
      <c r="D277" t="inlineStr">
        <is>
          <t>JÄMTLANDS LÄN</t>
        </is>
      </c>
      <c r="E277" t="inlineStr">
        <is>
          <t>BRÄCKE</t>
        </is>
      </c>
      <c r="F277" t="inlineStr">
        <is>
          <t>SCA</t>
        </is>
      </c>
      <c r="G277" t="n">
        <v>6.7</v>
      </c>
      <c r="H277" t="n">
        <v>0</v>
      </c>
      <c r="I277" t="n">
        <v>0</v>
      </c>
      <c r="J277" t="n">
        <v>1</v>
      </c>
      <c r="K277" t="n">
        <v>0</v>
      </c>
      <c r="L277" t="n">
        <v>0</v>
      </c>
      <c r="M277" t="n">
        <v>0</v>
      </c>
      <c r="N277" t="n">
        <v>0</v>
      </c>
      <c r="O277" t="n">
        <v>1</v>
      </c>
      <c r="P277" t="n">
        <v>0</v>
      </c>
      <c r="Q277" t="n">
        <v>1</v>
      </c>
      <c r="R277" s="2" t="inlineStr">
        <is>
          <t>Månlåsbräken</t>
        </is>
      </c>
      <c r="S277">
        <f>HYPERLINK("https://klasma.github.io/Logging_2305/artfynd/A 20871-2023 artfynd.xlsx", "A 20871-2023")</f>
        <v/>
      </c>
      <c r="T277">
        <f>HYPERLINK("https://klasma.github.io/Logging_2305/kartor/A 20871-2023 karta.png", "A 20871-2023")</f>
        <v/>
      </c>
      <c r="V277">
        <f>HYPERLINK("https://klasma.github.io/Logging_2305/klagomål/A 20871-2023 FSC-klagomål.docx", "A 20871-2023")</f>
        <v/>
      </c>
      <c r="W277">
        <f>HYPERLINK("https://klasma.github.io/Logging_2305/klagomålsmail/A 20871-2023 FSC-klagomål mail.docx", "A 20871-2023")</f>
        <v/>
      </c>
      <c r="X277">
        <f>HYPERLINK("https://klasma.github.io/Logging_2305/tillsyn/A 20871-2023 tillsynsbegäran.docx", "A 20871-2023")</f>
        <v/>
      </c>
      <c r="Y277">
        <f>HYPERLINK("https://klasma.github.io/Logging_2305/tillsynsmail/A 20871-2023 tillsynsbegäran mail.docx", "A 20871-2023")</f>
        <v/>
      </c>
    </row>
    <row r="278" ht="15" customHeight="1">
      <c r="A278" t="inlineStr">
        <is>
          <t>A 21112-2023</t>
        </is>
      </c>
      <c r="B278" s="1" t="n">
        <v>45062</v>
      </c>
      <c r="C278" s="1" t="n">
        <v>45648</v>
      </c>
      <c r="D278" t="inlineStr">
        <is>
          <t>JÄMTLANDS LÄN</t>
        </is>
      </c>
      <c r="E278" t="inlineStr">
        <is>
          <t>BRÄCKE</t>
        </is>
      </c>
      <c r="F278" t="inlineStr">
        <is>
          <t>SCA</t>
        </is>
      </c>
      <c r="G278" t="n">
        <v>5.1</v>
      </c>
      <c r="H278" t="n">
        <v>1</v>
      </c>
      <c r="I278" t="n">
        <v>0</v>
      </c>
      <c r="J278" t="n">
        <v>1</v>
      </c>
      <c r="K278" t="n">
        <v>0</v>
      </c>
      <c r="L278" t="n">
        <v>0</v>
      </c>
      <c r="M278" t="n">
        <v>0</v>
      </c>
      <c r="N278" t="n">
        <v>0</v>
      </c>
      <c r="O278" t="n">
        <v>1</v>
      </c>
      <c r="P278" t="n">
        <v>0</v>
      </c>
      <c r="Q278" t="n">
        <v>1</v>
      </c>
      <c r="R278" s="2" t="inlineStr">
        <is>
          <t>Järpe</t>
        </is>
      </c>
      <c r="S278">
        <f>HYPERLINK("https://klasma.github.io/Logging_2305/artfynd/A 21112-2023 artfynd.xlsx", "A 21112-2023")</f>
        <v/>
      </c>
      <c r="T278">
        <f>HYPERLINK("https://klasma.github.io/Logging_2305/kartor/A 21112-2023 karta.png", "A 21112-2023")</f>
        <v/>
      </c>
      <c r="V278">
        <f>HYPERLINK("https://klasma.github.io/Logging_2305/klagomål/A 21112-2023 FSC-klagomål.docx", "A 21112-2023")</f>
        <v/>
      </c>
      <c r="W278">
        <f>HYPERLINK("https://klasma.github.io/Logging_2305/klagomålsmail/A 21112-2023 FSC-klagomål mail.docx", "A 21112-2023")</f>
        <v/>
      </c>
      <c r="X278">
        <f>HYPERLINK("https://klasma.github.io/Logging_2305/tillsyn/A 21112-2023 tillsynsbegäran.docx", "A 21112-2023")</f>
        <v/>
      </c>
      <c r="Y278">
        <f>HYPERLINK("https://klasma.github.io/Logging_2305/tillsynsmail/A 21112-2023 tillsynsbegäran mail.docx", "A 21112-2023")</f>
        <v/>
      </c>
      <c r="Z278">
        <f>HYPERLINK("https://klasma.github.io/Logging_2305/fåglar/A 21112-2023 prioriterade fågelarter.docx", "A 21112-2023")</f>
        <v/>
      </c>
    </row>
    <row r="279" ht="15" customHeight="1">
      <c r="A279" t="inlineStr">
        <is>
          <t>A 21684-2023</t>
        </is>
      </c>
      <c r="B279" s="1" t="n">
        <v>45064</v>
      </c>
      <c r="C279" s="1" t="n">
        <v>45648</v>
      </c>
      <c r="D279" t="inlineStr">
        <is>
          <t>JÄMTLANDS LÄN</t>
        </is>
      </c>
      <c r="E279" t="inlineStr">
        <is>
          <t>BRÄCKE</t>
        </is>
      </c>
      <c r="F279" t="inlineStr">
        <is>
          <t>SCA</t>
        </is>
      </c>
      <c r="G279" t="n">
        <v>16.5</v>
      </c>
      <c r="H279" t="n">
        <v>1</v>
      </c>
      <c r="I279" t="n">
        <v>0</v>
      </c>
      <c r="J279" t="n">
        <v>1</v>
      </c>
      <c r="K279" t="n">
        <v>0</v>
      </c>
      <c r="L279" t="n">
        <v>0</v>
      </c>
      <c r="M279" t="n">
        <v>0</v>
      </c>
      <c r="N279" t="n">
        <v>0</v>
      </c>
      <c r="O279" t="n">
        <v>1</v>
      </c>
      <c r="P279" t="n">
        <v>0</v>
      </c>
      <c r="Q279" t="n">
        <v>1</v>
      </c>
      <c r="R279" s="2" t="inlineStr">
        <is>
          <t>Järpe</t>
        </is>
      </c>
      <c r="S279">
        <f>HYPERLINK("https://klasma.github.io/Logging_2305/artfynd/A 21684-2023 artfynd.xlsx", "A 21684-2023")</f>
        <v/>
      </c>
      <c r="T279">
        <f>HYPERLINK("https://klasma.github.io/Logging_2305/kartor/A 21684-2023 karta.png", "A 21684-2023")</f>
        <v/>
      </c>
      <c r="V279">
        <f>HYPERLINK("https://klasma.github.io/Logging_2305/klagomål/A 21684-2023 FSC-klagomål.docx", "A 21684-2023")</f>
        <v/>
      </c>
      <c r="W279">
        <f>HYPERLINK("https://klasma.github.io/Logging_2305/klagomålsmail/A 21684-2023 FSC-klagomål mail.docx", "A 21684-2023")</f>
        <v/>
      </c>
      <c r="X279">
        <f>HYPERLINK("https://klasma.github.io/Logging_2305/tillsyn/A 21684-2023 tillsynsbegäran.docx", "A 21684-2023")</f>
        <v/>
      </c>
      <c r="Y279">
        <f>HYPERLINK("https://klasma.github.io/Logging_2305/tillsynsmail/A 21684-2023 tillsynsbegäran mail.docx", "A 21684-2023")</f>
        <v/>
      </c>
      <c r="Z279">
        <f>HYPERLINK("https://klasma.github.io/Logging_2305/fåglar/A 21684-2023 prioriterade fågelarter.docx", "A 21684-2023")</f>
        <v/>
      </c>
    </row>
    <row r="280" ht="15" customHeight="1">
      <c r="A280" t="inlineStr">
        <is>
          <t>A 22233-2023</t>
        </is>
      </c>
      <c r="B280" s="1" t="n">
        <v>45069</v>
      </c>
      <c r="C280" s="1" t="n">
        <v>45648</v>
      </c>
      <c r="D280" t="inlineStr">
        <is>
          <t>JÄMTLANDS LÄN</t>
        </is>
      </c>
      <c r="E280" t="inlineStr">
        <is>
          <t>BRÄCKE</t>
        </is>
      </c>
      <c r="F280" t="inlineStr">
        <is>
          <t>SCA</t>
        </is>
      </c>
      <c r="G280" t="n">
        <v>28.4</v>
      </c>
      <c r="H280" t="n">
        <v>0</v>
      </c>
      <c r="I280" t="n">
        <v>0</v>
      </c>
      <c r="J280" t="n">
        <v>1</v>
      </c>
      <c r="K280" t="n">
        <v>0</v>
      </c>
      <c r="L280" t="n">
        <v>0</v>
      </c>
      <c r="M280" t="n">
        <v>0</v>
      </c>
      <c r="N280" t="n">
        <v>0</v>
      </c>
      <c r="O280" t="n">
        <v>1</v>
      </c>
      <c r="P280" t="n">
        <v>0</v>
      </c>
      <c r="Q280" t="n">
        <v>1</v>
      </c>
      <c r="R280" s="2" t="inlineStr">
        <is>
          <t>Lunglav</t>
        </is>
      </c>
      <c r="S280">
        <f>HYPERLINK("https://klasma.github.io/Logging_2305/artfynd/A 22233-2023 artfynd.xlsx", "A 22233-2023")</f>
        <v/>
      </c>
      <c r="T280">
        <f>HYPERLINK("https://klasma.github.io/Logging_2305/kartor/A 22233-2023 karta.png", "A 22233-2023")</f>
        <v/>
      </c>
      <c r="V280">
        <f>HYPERLINK("https://klasma.github.io/Logging_2305/klagomål/A 22233-2023 FSC-klagomål.docx", "A 22233-2023")</f>
        <v/>
      </c>
      <c r="W280">
        <f>HYPERLINK("https://klasma.github.io/Logging_2305/klagomålsmail/A 22233-2023 FSC-klagomål mail.docx", "A 22233-2023")</f>
        <v/>
      </c>
      <c r="X280">
        <f>HYPERLINK("https://klasma.github.io/Logging_2305/tillsyn/A 22233-2023 tillsynsbegäran.docx", "A 22233-2023")</f>
        <v/>
      </c>
      <c r="Y280">
        <f>HYPERLINK("https://klasma.github.io/Logging_2305/tillsynsmail/A 22233-2023 tillsynsbegäran mail.docx", "A 22233-2023")</f>
        <v/>
      </c>
    </row>
    <row r="281" ht="15" customHeight="1">
      <c r="A281" t="inlineStr">
        <is>
          <t>A 22990-2023</t>
        </is>
      </c>
      <c r="B281" s="1" t="n">
        <v>45072</v>
      </c>
      <c r="C281" s="1" t="n">
        <v>45648</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Rosenticka</t>
        </is>
      </c>
      <c r="S281">
        <f>HYPERLINK("https://klasma.github.io/Logging_2305/artfynd/A 22990-2023 artfynd.xlsx", "A 22990-2023")</f>
        <v/>
      </c>
      <c r="T281">
        <f>HYPERLINK("https://klasma.github.io/Logging_2305/kartor/A 22990-2023 karta.png", "A 22990-2023")</f>
        <v/>
      </c>
      <c r="V281">
        <f>HYPERLINK("https://klasma.github.io/Logging_2305/klagomål/A 22990-2023 FSC-klagomål.docx", "A 22990-2023")</f>
        <v/>
      </c>
      <c r="W281">
        <f>HYPERLINK("https://klasma.github.io/Logging_2305/klagomålsmail/A 22990-2023 FSC-klagomål mail.docx", "A 22990-2023")</f>
        <v/>
      </c>
      <c r="X281">
        <f>HYPERLINK("https://klasma.github.io/Logging_2305/tillsyn/A 22990-2023 tillsynsbegäran.docx", "A 22990-2023")</f>
        <v/>
      </c>
      <c r="Y281">
        <f>HYPERLINK("https://klasma.github.io/Logging_2305/tillsynsmail/A 22990-2023 tillsynsbegäran mail.docx", "A 22990-2023")</f>
        <v/>
      </c>
    </row>
    <row r="282" ht="15" customHeight="1">
      <c r="A282" t="inlineStr">
        <is>
          <t>A 24825-2023</t>
        </is>
      </c>
      <c r="B282" s="1" t="n">
        <v>45084</v>
      </c>
      <c r="C282" s="1" t="n">
        <v>45648</v>
      </c>
      <c r="D282" t="inlineStr">
        <is>
          <t>JÄMTLANDS LÄN</t>
        </is>
      </c>
      <c r="E282" t="inlineStr">
        <is>
          <t>BRÄCKE</t>
        </is>
      </c>
      <c r="F282" t="inlineStr">
        <is>
          <t>SCA</t>
        </is>
      </c>
      <c r="G282" t="n">
        <v>7</v>
      </c>
      <c r="H282" t="n">
        <v>0</v>
      </c>
      <c r="I282" t="n">
        <v>0</v>
      </c>
      <c r="J282" t="n">
        <v>1</v>
      </c>
      <c r="K282" t="n">
        <v>0</v>
      </c>
      <c r="L282" t="n">
        <v>0</v>
      </c>
      <c r="M282" t="n">
        <v>0</v>
      </c>
      <c r="N282" t="n">
        <v>0</v>
      </c>
      <c r="O282" t="n">
        <v>1</v>
      </c>
      <c r="P282" t="n">
        <v>0</v>
      </c>
      <c r="Q282" t="n">
        <v>1</v>
      </c>
      <c r="R282" s="2" t="inlineStr">
        <is>
          <t>Tallticka</t>
        </is>
      </c>
      <c r="S282">
        <f>HYPERLINK("https://klasma.github.io/Logging_2305/artfynd/A 24825-2023 artfynd.xlsx", "A 24825-2023")</f>
        <v/>
      </c>
      <c r="T282">
        <f>HYPERLINK("https://klasma.github.io/Logging_2305/kartor/A 24825-2023 karta.png", "A 24825-2023")</f>
        <v/>
      </c>
      <c r="V282">
        <f>HYPERLINK("https://klasma.github.io/Logging_2305/klagomål/A 24825-2023 FSC-klagomål.docx", "A 24825-2023")</f>
        <v/>
      </c>
      <c r="W282">
        <f>HYPERLINK("https://klasma.github.io/Logging_2305/klagomålsmail/A 24825-2023 FSC-klagomål mail.docx", "A 24825-2023")</f>
        <v/>
      </c>
      <c r="X282">
        <f>HYPERLINK("https://klasma.github.io/Logging_2305/tillsyn/A 24825-2023 tillsynsbegäran.docx", "A 24825-2023")</f>
        <v/>
      </c>
      <c r="Y282">
        <f>HYPERLINK("https://klasma.github.io/Logging_2305/tillsynsmail/A 24825-2023 tillsynsbegäran mail.docx", "A 24825-2023")</f>
        <v/>
      </c>
    </row>
    <row r="283" ht="15" customHeight="1">
      <c r="A283" t="inlineStr">
        <is>
          <t>A 24826-2023</t>
        </is>
      </c>
      <c r="B283" s="1" t="n">
        <v>45084</v>
      </c>
      <c r="C283" s="1" t="n">
        <v>45648</v>
      </c>
      <c r="D283" t="inlineStr">
        <is>
          <t>JÄMTLANDS LÄN</t>
        </is>
      </c>
      <c r="E283" t="inlineStr">
        <is>
          <t>BRÄCKE</t>
        </is>
      </c>
      <c r="F283" t="inlineStr">
        <is>
          <t>SCA</t>
        </is>
      </c>
      <c r="G283" t="n">
        <v>6.5</v>
      </c>
      <c r="H283" t="n">
        <v>0</v>
      </c>
      <c r="I283" t="n">
        <v>0</v>
      </c>
      <c r="J283" t="n">
        <v>1</v>
      </c>
      <c r="K283" t="n">
        <v>0</v>
      </c>
      <c r="L283" t="n">
        <v>0</v>
      </c>
      <c r="M283" t="n">
        <v>0</v>
      </c>
      <c r="N283" t="n">
        <v>0</v>
      </c>
      <c r="O283" t="n">
        <v>1</v>
      </c>
      <c r="P283" t="n">
        <v>0</v>
      </c>
      <c r="Q283" t="n">
        <v>1</v>
      </c>
      <c r="R283" s="2" t="inlineStr">
        <is>
          <t>Rosenticka</t>
        </is>
      </c>
      <c r="S283">
        <f>HYPERLINK("https://klasma.github.io/Logging_2305/artfynd/A 24826-2023 artfynd.xlsx", "A 24826-2023")</f>
        <v/>
      </c>
      <c r="T283">
        <f>HYPERLINK("https://klasma.github.io/Logging_2305/kartor/A 24826-2023 karta.png", "A 24826-2023")</f>
        <v/>
      </c>
      <c r="V283">
        <f>HYPERLINK("https://klasma.github.io/Logging_2305/klagomål/A 24826-2023 FSC-klagomål.docx", "A 24826-2023")</f>
        <v/>
      </c>
      <c r="W283">
        <f>HYPERLINK("https://klasma.github.io/Logging_2305/klagomålsmail/A 24826-2023 FSC-klagomål mail.docx", "A 24826-2023")</f>
        <v/>
      </c>
      <c r="X283">
        <f>HYPERLINK("https://klasma.github.io/Logging_2305/tillsyn/A 24826-2023 tillsynsbegäran.docx", "A 24826-2023")</f>
        <v/>
      </c>
      <c r="Y283">
        <f>HYPERLINK("https://klasma.github.io/Logging_2305/tillsynsmail/A 24826-2023 tillsynsbegäran mail.docx", "A 24826-2023")</f>
        <v/>
      </c>
    </row>
    <row r="284" ht="15" customHeight="1">
      <c r="A284" t="inlineStr">
        <is>
          <t>A 26344-2023</t>
        </is>
      </c>
      <c r="B284" s="1" t="n">
        <v>45091</v>
      </c>
      <c r="C284" s="1" t="n">
        <v>45648</v>
      </c>
      <c r="D284" t="inlineStr">
        <is>
          <t>JÄMTLANDS LÄN</t>
        </is>
      </c>
      <c r="E284" t="inlineStr">
        <is>
          <t>BRÄCKE</t>
        </is>
      </c>
      <c r="F284" t="inlineStr">
        <is>
          <t>SCA</t>
        </is>
      </c>
      <c r="G284" t="n">
        <v>15.8</v>
      </c>
      <c r="H284" t="n">
        <v>1</v>
      </c>
      <c r="I284" t="n">
        <v>0</v>
      </c>
      <c r="J284" t="n">
        <v>0</v>
      </c>
      <c r="K284" t="n">
        <v>1</v>
      </c>
      <c r="L284" t="n">
        <v>0</v>
      </c>
      <c r="M284" t="n">
        <v>0</v>
      </c>
      <c r="N284" t="n">
        <v>0</v>
      </c>
      <c r="O284" t="n">
        <v>1</v>
      </c>
      <c r="P284" t="n">
        <v>1</v>
      </c>
      <c r="Q284" t="n">
        <v>1</v>
      </c>
      <c r="R284" s="2" t="inlineStr">
        <is>
          <t>Knärot</t>
        </is>
      </c>
      <c r="S284">
        <f>HYPERLINK("https://klasma.github.io/Logging_2305/artfynd/A 26344-2023 artfynd.xlsx", "A 26344-2023")</f>
        <v/>
      </c>
      <c r="T284">
        <f>HYPERLINK("https://klasma.github.io/Logging_2305/kartor/A 26344-2023 karta.png", "A 26344-2023")</f>
        <v/>
      </c>
      <c r="U284">
        <f>HYPERLINK("https://klasma.github.io/Logging_2305/knärot/A 26344-2023 karta knärot.png", "A 26344-2023")</f>
        <v/>
      </c>
      <c r="V284">
        <f>HYPERLINK("https://klasma.github.io/Logging_2305/klagomål/A 26344-2023 FSC-klagomål.docx", "A 26344-2023")</f>
        <v/>
      </c>
      <c r="W284">
        <f>HYPERLINK("https://klasma.github.io/Logging_2305/klagomålsmail/A 26344-2023 FSC-klagomål mail.docx", "A 26344-2023")</f>
        <v/>
      </c>
      <c r="X284">
        <f>HYPERLINK("https://klasma.github.io/Logging_2305/tillsyn/A 26344-2023 tillsynsbegäran.docx", "A 26344-2023")</f>
        <v/>
      </c>
      <c r="Y284">
        <f>HYPERLINK("https://klasma.github.io/Logging_2305/tillsynsmail/A 26344-2023 tillsynsbegäran mail.docx", "A 26344-2023")</f>
        <v/>
      </c>
    </row>
    <row r="285" ht="15" customHeight="1">
      <c r="A285" t="inlineStr">
        <is>
          <t>A 26647-2023</t>
        </is>
      </c>
      <c r="B285" s="1" t="n">
        <v>45092</v>
      </c>
      <c r="C285" s="1" t="n">
        <v>45648</v>
      </c>
      <c r="D285" t="inlineStr">
        <is>
          <t>JÄMTLANDS LÄN</t>
        </is>
      </c>
      <c r="E285" t="inlineStr">
        <is>
          <t>BRÄCKE</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HYPERLINK("https://klasma.github.io/Logging_2305/artfynd/A 26647-2023 artfynd.xlsx", "A 26647-2023")</f>
        <v/>
      </c>
      <c r="T285">
        <f>HYPERLINK("https://klasma.github.io/Logging_2305/kartor/A 26647-2023 karta.png", "A 26647-2023")</f>
        <v/>
      </c>
      <c r="V285">
        <f>HYPERLINK("https://klasma.github.io/Logging_2305/klagomål/A 26647-2023 FSC-klagomål.docx", "A 26647-2023")</f>
        <v/>
      </c>
      <c r="W285">
        <f>HYPERLINK("https://klasma.github.io/Logging_2305/klagomålsmail/A 26647-2023 FSC-klagomål mail.docx", "A 26647-2023")</f>
        <v/>
      </c>
      <c r="X285">
        <f>HYPERLINK("https://klasma.github.io/Logging_2305/tillsyn/A 26647-2023 tillsynsbegäran.docx", "A 26647-2023")</f>
        <v/>
      </c>
      <c r="Y285">
        <f>HYPERLINK("https://klasma.github.io/Logging_2305/tillsynsmail/A 26647-2023 tillsynsbegäran mail.docx", "A 26647-2023")</f>
        <v/>
      </c>
    </row>
    <row r="286" ht="15" customHeight="1">
      <c r="A286" t="inlineStr">
        <is>
          <t>A 29324-2023</t>
        </is>
      </c>
      <c r="B286" s="1" t="n">
        <v>45106</v>
      </c>
      <c r="C286" s="1" t="n">
        <v>45648</v>
      </c>
      <c r="D286" t="inlineStr">
        <is>
          <t>JÄMTLANDS LÄN</t>
        </is>
      </c>
      <c r="E286" t="inlineStr">
        <is>
          <t>BRÄCKE</t>
        </is>
      </c>
      <c r="F286" t="inlineStr">
        <is>
          <t>SCA</t>
        </is>
      </c>
      <c r="G286" t="n">
        <v>2</v>
      </c>
      <c r="H286" t="n">
        <v>1</v>
      </c>
      <c r="I286" t="n">
        <v>0</v>
      </c>
      <c r="J286" t="n">
        <v>0</v>
      </c>
      <c r="K286" t="n">
        <v>0</v>
      </c>
      <c r="L286" t="n">
        <v>0</v>
      </c>
      <c r="M286" t="n">
        <v>0</v>
      </c>
      <c r="N286" t="n">
        <v>0</v>
      </c>
      <c r="O286" t="n">
        <v>0</v>
      </c>
      <c r="P286" t="n">
        <v>0</v>
      </c>
      <c r="Q286" t="n">
        <v>1</v>
      </c>
      <c r="R286" s="2" t="inlineStr">
        <is>
          <t>Nattviol</t>
        </is>
      </c>
      <c r="S286">
        <f>HYPERLINK("https://klasma.github.io/Logging_2305/artfynd/A 29324-2023 artfynd.xlsx", "A 29324-2023")</f>
        <v/>
      </c>
      <c r="T286">
        <f>HYPERLINK("https://klasma.github.io/Logging_2305/kartor/A 29324-2023 karta.png", "A 29324-2023")</f>
        <v/>
      </c>
      <c r="V286">
        <f>HYPERLINK("https://klasma.github.io/Logging_2305/klagomål/A 29324-2023 FSC-klagomål.docx", "A 29324-2023")</f>
        <v/>
      </c>
      <c r="W286">
        <f>HYPERLINK("https://klasma.github.io/Logging_2305/klagomålsmail/A 29324-2023 FSC-klagomål mail.docx", "A 29324-2023")</f>
        <v/>
      </c>
      <c r="X286">
        <f>HYPERLINK("https://klasma.github.io/Logging_2305/tillsyn/A 29324-2023 tillsynsbegäran.docx", "A 29324-2023")</f>
        <v/>
      </c>
      <c r="Y286">
        <f>HYPERLINK("https://klasma.github.io/Logging_2305/tillsynsmail/A 29324-2023 tillsynsbegäran mail.docx", "A 29324-2023")</f>
        <v/>
      </c>
    </row>
    <row r="287" ht="15" customHeight="1">
      <c r="A287" t="inlineStr">
        <is>
          <t>A 30834-2023</t>
        </is>
      </c>
      <c r="B287" s="1" t="n">
        <v>45112</v>
      </c>
      <c r="C287" s="1" t="n">
        <v>45648</v>
      </c>
      <c r="D287" t="inlineStr">
        <is>
          <t>JÄMTLANDS LÄN</t>
        </is>
      </c>
      <c r="E287" t="inlineStr">
        <is>
          <t>BRÄCKE</t>
        </is>
      </c>
      <c r="F287" t="inlineStr">
        <is>
          <t>SCA</t>
        </is>
      </c>
      <c r="G287" t="n">
        <v>7.8</v>
      </c>
      <c r="H287" t="n">
        <v>1</v>
      </c>
      <c r="I287" t="n">
        <v>0</v>
      </c>
      <c r="J287" t="n">
        <v>0</v>
      </c>
      <c r="K287" t="n">
        <v>0</v>
      </c>
      <c r="L287" t="n">
        <v>0</v>
      </c>
      <c r="M287" t="n">
        <v>0</v>
      </c>
      <c r="N287" t="n">
        <v>0</v>
      </c>
      <c r="O287" t="n">
        <v>0</v>
      </c>
      <c r="P287" t="n">
        <v>0</v>
      </c>
      <c r="Q287" t="n">
        <v>1</v>
      </c>
      <c r="R287" s="2" t="inlineStr">
        <is>
          <t>Fläcknycklar</t>
        </is>
      </c>
      <c r="S287">
        <f>HYPERLINK("https://klasma.github.io/Logging_2305/artfynd/A 30834-2023 artfynd.xlsx", "A 30834-2023")</f>
        <v/>
      </c>
      <c r="T287">
        <f>HYPERLINK("https://klasma.github.io/Logging_2305/kartor/A 30834-2023 karta.png", "A 30834-2023")</f>
        <v/>
      </c>
      <c r="V287">
        <f>HYPERLINK("https://klasma.github.io/Logging_2305/klagomål/A 30834-2023 FSC-klagomål.docx", "A 30834-2023")</f>
        <v/>
      </c>
      <c r="W287">
        <f>HYPERLINK("https://klasma.github.io/Logging_2305/klagomålsmail/A 30834-2023 FSC-klagomål mail.docx", "A 30834-2023")</f>
        <v/>
      </c>
      <c r="X287">
        <f>HYPERLINK("https://klasma.github.io/Logging_2305/tillsyn/A 30834-2023 tillsynsbegäran.docx", "A 30834-2023")</f>
        <v/>
      </c>
      <c r="Y287">
        <f>HYPERLINK("https://klasma.github.io/Logging_2305/tillsynsmail/A 30834-2023 tillsynsbegäran mail.docx", "A 30834-2023")</f>
        <v/>
      </c>
    </row>
    <row r="288" ht="15" customHeight="1">
      <c r="A288" t="inlineStr">
        <is>
          <t>A 33874-2023</t>
        </is>
      </c>
      <c r="B288" s="1" t="n">
        <v>45133</v>
      </c>
      <c r="C288" s="1" t="n">
        <v>45648</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Ullticka</t>
        </is>
      </c>
      <c r="S288">
        <f>HYPERLINK("https://klasma.github.io/Logging_2305/artfynd/A 33874-2023 artfynd.xlsx", "A 33874-2023")</f>
        <v/>
      </c>
      <c r="T288">
        <f>HYPERLINK("https://klasma.github.io/Logging_2305/kartor/A 33874-2023 karta.png", "A 33874-2023")</f>
        <v/>
      </c>
      <c r="V288">
        <f>HYPERLINK("https://klasma.github.io/Logging_2305/klagomål/A 33874-2023 FSC-klagomål.docx", "A 33874-2023")</f>
        <v/>
      </c>
      <c r="W288">
        <f>HYPERLINK("https://klasma.github.io/Logging_2305/klagomålsmail/A 33874-2023 FSC-klagomål mail.docx", "A 33874-2023")</f>
        <v/>
      </c>
      <c r="X288">
        <f>HYPERLINK("https://klasma.github.io/Logging_2305/tillsyn/A 33874-2023 tillsynsbegäran.docx", "A 33874-2023")</f>
        <v/>
      </c>
      <c r="Y288">
        <f>HYPERLINK("https://klasma.github.io/Logging_2305/tillsynsmail/A 33874-2023 tillsynsbegäran mail.docx", "A 33874-2023")</f>
        <v/>
      </c>
    </row>
    <row r="289" ht="15" customHeight="1">
      <c r="A289" t="inlineStr">
        <is>
          <t>A 38099-2023</t>
        </is>
      </c>
      <c r="B289" s="1" t="n">
        <v>45161</v>
      </c>
      <c r="C289" s="1" t="n">
        <v>45648</v>
      </c>
      <c r="D289" t="inlineStr">
        <is>
          <t>JÄMTLANDS LÄN</t>
        </is>
      </c>
      <c r="E289" t="inlineStr">
        <is>
          <t>BRÄCKE</t>
        </is>
      </c>
      <c r="F289" t="inlineStr">
        <is>
          <t>SCA</t>
        </is>
      </c>
      <c r="G289" t="n">
        <v>1.5</v>
      </c>
      <c r="H289" t="n">
        <v>1</v>
      </c>
      <c r="I289" t="n">
        <v>0</v>
      </c>
      <c r="J289" t="n">
        <v>1</v>
      </c>
      <c r="K289" t="n">
        <v>0</v>
      </c>
      <c r="L289" t="n">
        <v>0</v>
      </c>
      <c r="M289" t="n">
        <v>0</v>
      </c>
      <c r="N289" t="n">
        <v>0</v>
      </c>
      <c r="O289" t="n">
        <v>1</v>
      </c>
      <c r="P289" t="n">
        <v>0</v>
      </c>
      <c r="Q289" t="n">
        <v>1</v>
      </c>
      <c r="R289" s="2" t="inlineStr">
        <is>
          <t>Talltita</t>
        </is>
      </c>
      <c r="S289">
        <f>HYPERLINK("https://klasma.github.io/Logging_2305/artfynd/A 38099-2023 artfynd.xlsx", "A 38099-2023")</f>
        <v/>
      </c>
      <c r="T289">
        <f>HYPERLINK("https://klasma.github.io/Logging_2305/kartor/A 38099-2023 karta.png", "A 38099-2023")</f>
        <v/>
      </c>
      <c r="V289">
        <f>HYPERLINK("https://klasma.github.io/Logging_2305/klagomål/A 38099-2023 FSC-klagomål.docx", "A 38099-2023")</f>
        <v/>
      </c>
      <c r="W289">
        <f>HYPERLINK("https://klasma.github.io/Logging_2305/klagomålsmail/A 38099-2023 FSC-klagomål mail.docx", "A 38099-2023")</f>
        <v/>
      </c>
      <c r="X289">
        <f>HYPERLINK("https://klasma.github.io/Logging_2305/tillsyn/A 38099-2023 tillsynsbegäran.docx", "A 38099-2023")</f>
        <v/>
      </c>
      <c r="Y289">
        <f>HYPERLINK("https://klasma.github.io/Logging_2305/tillsynsmail/A 38099-2023 tillsynsbegäran mail.docx", "A 38099-2023")</f>
        <v/>
      </c>
      <c r="Z289">
        <f>HYPERLINK("https://klasma.github.io/Logging_2305/fåglar/A 38099-2023 prioriterade fågelarter.docx", "A 38099-2023")</f>
        <v/>
      </c>
    </row>
    <row r="290" ht="15" customHeight="1">
      <c r="A290" t="inlineStr">
        <is>
          <t>A 40100-2023</t>
        </is>
      </c>
      <c r="B290" s="1" t="n">
        <v>45168</v>
      </c>
      <c r="C290" s="1" t="n">
        <v>45648</v>
      </c>
      <c r="D290" t="inlineStr">
        <is>
          <t>JÄMTLANDS LÄN</t>
        </is>
      </c>
      <c r="E290" t="inlineStr">
        <is>
          <t>BRÄCKE</t>
        </is>
      </c>
      <c r="F290" t="inlineStr">
        <is>
          <t>SCA</t>
        </is>
      </c>
      <c r="G290" t="n">
        <v>2.2</v>
      </c>
      <c r="H290" t="n">
        <v>1</v>
      </c>
      <c r="I290" t="n">
        <v>0</v>
      </c>
      <c r="J290" t="n">
        <v>0</v>
      </c>
      <c r="K290" t="n">
        <v>1</v>
      </c>
      <c r="L290" t="n">
        <v>0</v>
      </c>
      <c r="M290" t="n">
        <v>0</v>
      </c>
      <c r="N290" t="n">
        <v>0</v>
      </c>
      <c r="O290" t="n">
        <v>1</v>
      </c>
      <c r="P290" t="n">
        <v>1</v>
      </c>
      <c r="Q290" t="n">
        <v>1</v>
      </c>
      <c r="R290" s="2" t="inlineStr">
        <is>
          <t>Knärot</t>
        </is>
      </c>
      <c r="S290">
        <f>HYPERLINK("https://klasma.github.io/Logging_2305/artfynd/A 40100-2023 artfynd.xlsx", "A 40100-2023")</f>
        <v/>
      </c>
      <c r="T290">
        <f>HYPERLINK("https://klasma.github.io/Logging_2305/kartor/A 40100-2023 karta.png", "A 40100-2023")</f>
        <v/>
      </c>
      <c r="U290">
        <f>HYPERLINK("https://klasma.github.io/Logging_2305/knärot/A 40100-2023 karta knärot.png", "A 40100-2023")</f>
        <v/>
      </c>
      <c r="V290">
        <f>HYPERLINK("https://klasma.github.io/Logging_2305/klagomål/A 40100-2023 FSC-klagomål.docx", "A 40100-2023")</f>
        <v/>
      </c>
      <c r="W290">
        <f>HYPERLINK("https://klasma.github.io/Logging_2305/klagomålsmail/A 40100-2023 FSC-klagomål mail.docx", "A 40100-2023")</f>
        <v/>
      </c>
      <c r="X290">
        <f>HYPERLINK("https://klasma.github.io/Logging_2305/tillsyn/A 40100-2023 tillsynsbegäran.docx", "A 40100-2023")</f>
        <v/>
      </c>
      <c r="Y290">
        <f>HYPERLINK("https://klasma.github.io/Logging_2305/tillsynsmail/A 40100-2023 tillsynsbegäran mail.docx", "A 40100-2023")</f>
        <v/>
      </c>
    </row>
    <row r="291" ht="15" customHeight="1">
      <c r="A291" t="inlineStr">
        <is>
          <t>A 40097-2023</t>
        </is>
      </c>
      <c r="B291" s="1" t="n">
        <v>45168</v>
      </c>
      <c r="C291" s="1" t="n">
        <v>45648</v>
      </c>
      <c r="D291" t="inlineStr">
        <is>
          <t>JÄMTLANDS LÄN</t>
        </is>
      </c>
      <c r="E291" t="inlineStr">
        <is>
          <t>BRÄCKE</t>
        </is>
      </c>
      <c r="F291" t="inlineStr">
        <is>
          <t>SCA</t>
        </is>
      </c>
      <c r="G291" t="n">
        <v>3.8</v>
      </c>
      <c r="H291" t="n">
        <v>1</v>
      </c>
      <c r="I291" t="n">
        <v>0</v>
      </c>
      <c r="J291" t="n">
        <v>0</v>
      </c>
      <c r="K291" t="n">
        <v>1</v>
      </c>
      <c r="L291" t="n">
        <v>0</v>
      </c>
      <c r="M291" t="n">
        <v>0</v>
      </c>
      <c r="N291" t="n">
        <v>0</v>
      </c>
      <c r="O291" t="n">
        <v>1</v>
      </c>
      <c r="P291" t="n">
        <v>1</v>
      </c>
      <c r="Q291" t="n">
        <v>1</v>
      </c>
      <c r="R291" s="2" t="inlineStr">
        <is>
          <t>Knärot</t>
        </is>
      </c>
      <c r="S291">
        <f>HYPERLINK("https://klasma.github.io/Logging_2305/artfynd/A 40097-2023 artfynd.xlsx", "A 40097-2023")</f>
        <v/>
      </c>
      <c r="T291">
        <f>HYPERLINK("https://klasma.github.io/Logging_2305/kartor/A 40097-2023 karta.png", "A 40097-2023")</f>
        <v/>
      </c>
      <c r="U291">
        <f>HYPERLINK("https://klasma.github.io/Logging_2305/knärot/A 40097-2023 karta knärot.png", "A 40097-2023")</f>
        <v/>
      </c>
      <c r="V291">
        <f>HYPERLINK("https://klasma.github.io/Logging_2305/klagomål/A 40097-2023 FSC-klagomål.docx", "A 40097-2023")</f>
        <v/>
      </c>
      <c r="W291">
        <f>HYPERLINK("https://klasma.github.io/Logging_2305/klagomålsmail/A 40097-2023 FSC-klagomål mail.docx", "A 40097-2023")</f>
        <v/>
      </c>
      <c r="X291">
        <f>HYPERLINK("https://klasma.github.io/Logging_2305/tillsyn/A 40097-2023 tillsynsbegäran.docx", "A 40097-2023")</f>
        <v/>
      </c>
      <c r="Y291">
        <f>HYPERLINK("https://klasma.github.io/Logging_2305/tillsynsmail/A 40097-2023 tillsynsbegäran mail.docx", "A 40097-2023")</f>
        <v/>
      </c>
    </row>
    <row r="292" ht="15" customHeight="1">
      <c r="A292" t="inlineStr">
        <is>
          <t>A 44323-2023</t>
        </is>
      </c>
      <c r="B292" s="1" t="n">
        <v>45188</v>
      </c>
      <c r="C292" s="1" t="n">
        <v>45648</v>
      </c>
      <c r="D292" t="inlineStr">
        <is>
          <t>JÄMTLANDS LÄN</t>
        </is>
      </c>
      <c r="E292" t="inlineStr">
        <is>
          <t>BRÄCKE</t>
        </is>
      </c>
      <c r="F292" t="inlineStr">
        <is>
          <t>Sveaskog</t>
        </is>
      </c>
      <c r="G292" t="n">
        <v>3.7</v>
      </c>
      <c r="H292" t="n">
        <v>0</v>
      </c>
      <c r="I292" t="n">
        <v>0</v>
      </c>
      <c r="J292" t="n">
        <v>1</v>
      </c>
      <c r="K292" t="n">
        <v>0</v>
      </c>
      <c r="L292" t="n">
        <v>0</v>
      </c>
      <c r="M292" t="n">
        <v>0</v>
      </c>
      <c r="N292" t="n">
        <v>0</v>
      </c>
      <c r="O292" t="n">
        <v>1</v>
      </c>
      <c r="P292" t="n">
        <v>0</v>
      </c>
      <c r="Q292" t="n">
        <v>1</v>
      </c>
      <c r="R292" s="2" t="inlineStr">
        <is>
          <t>Lunglav</t>
        </is>
      </c>
      <c r="S292">
        <f>HYPERLINK("https://klasma.github.io/Logging_2305/artfynd/A 44323-2023 artfynd.xlsx", "A 44323-2023")</f>
        <v/>
      </c>
      <c r="T292">
        <f>HYPERLINK("https://klasma.github.io/Logging_2305/kartor/A 44323-2023 karta.png", "A 44323-2023")</f>
        <v/>
      </c>
      <c r="V292">
        <f>HYPERLINK("https://klasma.github.io/Logging_2305/klagomål/A 44323-2023 FSC-klagomål.docx", "A 44323-2023")</f>
        <v/>
      </c>
      <c r="W292">
        <f>HYPERLINK("https://klasma.github.io/Logging_2305/klagomålsmail/A 44323-2023 FSC-klagomål mail.docx", "A 44323-2023")</f>
        <v/>
      </c>
      <c r="X292">
        <f>HYPERLINK("https://klasma.github.io/Logging_2305/tillsyn/A 44323-2023 tillsynsbegäran.docx", "A 44323-2023")</f>
        <v/>
      </c>
      <c r="Y292">
        <f>HYPERLINK("https://klasma.github.io/Logging_2305/tillsynsmail/A 44323-2023 tillsynsbegäran mail.docx", "A 44323-2023")</f>
        <v/>
      </c>
    </row>
    <row r="293" ht="15" customHeight="1">
      <c r="A293" t="inlineStr">
        <is>
          <t>A 45011-2023</t>
        </is>
      </c>
      <c r="B293" s="1" t="n">
        <v>45190</v>
      </c>
      <c r="C293" s="1" t="n">
        <v>45648</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Veckticka</t>
        </is>
      </c>
      <c r="S293">
        <f>HYPERLINK("https://klasma.github.io/Logging_2305/artfynd/A 45011-2023 artfynd.xlsx", "A 45011-2023")</f>
        <v/>
      </c>
      <c r="T293">
        <f>HYPERLINK("https://klasma.github.io/Logging_2305/kartor/A 45011-2023 karta.png", "A 45011-2023")</f>
        <v/>
      </c>
      <c r="V293">
        <f>HYPERLINK("https://klasma.github.io/Logging_2305/klagomål/A 45011-2023 FSC-klagomål.docx", "A 45011-2023")</f>
        <v/>
      </c>
      <c r="W293">
        <f>HYPERLINK("https://klasma.github.io/Logging_2305/klagomålsmail/A 45011-2023 FSC-klagomål mail.docx", "A 45011-2023")</f>
        <v/>
      </c>
      <c r="X293">
        <f>HYPERLINK("https://klasma.github.io/Logging_2305/tillsyn/A 45011-2023 tillsynsbegäran.docx", "A 45011-2023")</f>
        <v/>
      </c>
      <c r="Y293">
        <f>HYPERLINK("https://klasma.github.io/Logging_2305/tillsynsmail/A 45011-2023 tillsynsbegäran mail.docx", "A 45011-2023")</f>
        <v/>
      </c>
    </row>
    <row r="294" ht="15" customHeight="1">
      <c r="A294" t="inlineStr">
        <is>
          <t>A 47183-2023</t>
        </is>
      </c>
      <c r="B294" s="1" t="n">
        <v>45201</v>
      </c>
      <c r="C294" s="1" t="n">
        <v>45648</v>
      </c>
      <c r="D294" t="inlineStr">
        <is>
          <t>JÄMTLANDS LÄN</t>
        </is>
      </c>
      <c r="E294" t="inlineStr">
        <is>
          <t>BRÄCKE</t>
        </is>
      </c>
      <c r="F294" t="inlineStr">
        <is>
          <t>SCA</t>
        </is>
      </c>
      <c r="G294" t="n">
        <v>1.2</v>
      </c>
      <c r="H294" t="n">
        <v>0</v>
      </c>
      <c r="I294" t="n">
        <v>0</v>
      </c>
      <c r="J294" t="n">
        <v>1</v>
      </c>
      <c r="K294" t="n">
        <v>0</v>
      </c>
      <c r="L294" t="n">
        <v>0</v>
      </c>
      <c r="M294" t="n">
        <v>0</v>
      </c>
      <c r="N294" t="n">
        <v>0</v>
      </c>
      <c r="O294" t="n">
        <v>1</v>
      </c>
      <c r="P294" t="n">
        <v>0</v>
      </c>
      <c r="Q294" t="n">
        <v>1</v>
      </c>
      <c r="R294" s="2" t="inlineStr">
        <is>
          <t>Lunglav</t>
        </is>
      </c>
      <c r="S294">
        <f>HYPERLINK("https://klasma.github.io/Logging_2305/artfynd/A 47183-2023 artfynd.xlsx", "A 47183-2023")</f>
        <v/>
      </c>
      <c r="T294">
        <f>HYPERLINK("https://klasma.github.io/Logging_2305/kartor/A 47183-2023 karta.png", "A 47183-2023")</f>
        <v/>
      </c>
      <c r="U294">
        <f>HYPERLINK("https://klasma.github.io/Logging_2305/knärot/A 47183-2023 karta knärot.png", "A 47183-2023")</f>
        <v/>
      </c>
      <c r="V294">
        <f>HYPERLINK("https://klasma.github.io/Logging_2305/klagomål/A 47183-2023 FSC-klagomål.docx", "A 47183-2023")</f>
        <v/>
      </c>
      <c r="W294">
        <f>HYPERLINK("https://klasma.github.io/Logging_2305/klagomålsmail/A 47183-2023 FSC-klagomål mail.docx", "A 47183-2023")</f>
        <v/>
      </c>
      <c r="X294">
        <f>HYPERLINK("https://klasma.github.io/Logging_2305/tillsyn/A 47183-2023 tillsynsbegäran.docx", "A 47183-2023")</f>
        <v/>
      </c>
      <c r="Y294">
        <f>HYPERLINK("https://klasma.github.io/Logging_2305/tillsynsmail/A 47183-2023 tillsynsbegäran mail.docx", "A 47183-2023")</f>
        <v/>
      </c>
    </row>
    <row r="295" ht="15" customHeight="1">
      <c r="A295" t="inlineStr">
        <is>
          <t>A 49040-2023</t>
        </is>
      </c>
      <c r="B295" s="1" t="n">
        <v>45209</v>
      </c>
      <c r="C295" s="1" t="n">
        <v>45648</v>
      </c>
      <c r="D295" t="inlineStr">
        <is>
          <t>JÄMTLANDS LÄN</t>
        </is>
      </c>
      <c r="E295" t="inlineStr">
        <is>
          <t>BRÄCKE</t>
        </is>
      </c>
      <c r="F295" t="inlineStr">
        <is>
          <t>SCA</t>
        </is>
      </c>
      <c r="G295" t="n">
        <v>4.2</v>
      </c>
      <c r="H295" t="n">
        <v>0</v>
      </c>
      <c r="I295" t="n">
        <v>0</v>
      </c>
      <c r="J295" t="n">
        <v>1</v>
      </c>
      <c r="K295" t="n">
        <v>0</v>
      </c>
      <c r="L295" t="n">
        <v>0</v>
      </c>
      <c r="M295" t="n">
        <v>0</v>
      </c>
      <c r="N295" t="n">
        <v>0</v>
      </c>
      <c r="O295" t="n">
        <v>1</v>
      </c>
      <c r="P295" t="n">
        <v>0</v>
      </c>
      <c r="Q295" t="n">
        <v>1</v>
      </c>
      <c r="R295" s="2" t="inlineStr">
        <is>
          <t>Lunglav</t>
        </is>
      </c>
      <c r="S295">
        <f>HYPERLINK("https://klasma.github.io/Logging_2305/artfynd/A 49040-2023 artfynd.xlsx", "A 49040-2023")</f>
        <v/>
      </c>
      <c r="T295">
        <f>HYPERLINK("https://klasma.github.io/Logging_2305/kartor/A 49040-2023 karta.png", "A 49040-2023")</f>
        <v/>
      </c>
      <c r="V295">
        <f>HYPERLINK("https://klasma.github.io/Logging_2305/klagomål/A 49040-2023 FSC-klagomål.docx", "A 49040-2023")</f>
        <v/>
      </c>
      <c r="W295">
        <f>HYPERLINK("https://klasma.github.io/Logging_2305/klagomålsmail/A 49040-2023 FSC-klagomål mail.docx", "A 49040-2023")</f>
        <v/>
      </c>
      <c r="X295">
        <f>HYPERLINK("https://klasma.github.io/Logging_2305/tillsyn/A 49040-2023 tillsynsbegäran.docx", "A 49040-2023")</f>
        <v/>
      </c>
      <c r="Y295">
        <f>HYPERLINK("https://klasma.github.io/Logging_2305/tillsynsmail/A 49040-2023 tillsynsbegäran mail.docx", "A 49040-2023")</f>
        <v/>
      </c>
    </row>
    <row r="296" ht="15" customHeight="1">
      <c r="A296" t="inlineStr">
        <is>
          <t>A 49325-2023</t>
        </is>
      </c>
      <c r="B296" s="1" t="n">
        <v>45210</v>
      </c>
      <c r="C296" s="1" t="n">
        <v>45648</v>
      </c>
      <c r="D296" t="inlineStr">
        <is>
          <t>JÄMTLANDS LÄN</t>
        </is>
      </c>
      <c r="E296" t="inlineStr">
        <is>
          <t>BRÄCKE</t>
        </is>
      </c>
      <c r="F296" t="inlineStr">
        <is>
          <t>SCA</t>
        </is>
      </c>
      <c r="G296" t="n">
        <v>7</v>
      </c>
      <c r="H296" t="n">
        <v>1</v>
      </c>
      <c r="I296" t="n">
        <v>0</v>
      </c>
      <c r="J296" t="n">
        <v>0</v>
      </c>
      <c r="K296" t="n">
        <v>1</v>
      </c>
      <c r="L296" t="n">
        <v>0</v>
      </c>
      <c r="M296" t="n">
        <v>0</v>
      </c>
      <c r="N296" t="n">
        <v>0</v>
      </c>
      <c r="O296" t="n">
        <v>1</v>
      </c>
      <c r="P296" t="n">
        <v>1</v>
      </c>
      <c r="Q296" t="n">
        <v>1</v>
      </c>
      <c r="R296" s="2" t="inlineStr">
        <is>
          <t>Doftticka</t>
        </is>
      </c>
      <c r="S296">
        <f>HYPERLINK("https://klasma.github.io/Logging_2305/artfynd/A 49325-2023 artfynd.xlsx", "A 49325-2023")</f>
        <v/>
      </c>
      <c r="T296">
        <f>HYPERLINK("https://klasma.github.io/Logging_2305/kartor/A 49325-2023 karta.png", "A 49325-2023")</f>
        <v/>
      </c>
      <c r="V296">
        <f>HYPERLINK("https://klasma.github.io/Logging_2305/klagomål/A 49325-2023 FSC-klagomål.docx", "A 49325-2023")</f>
        <v/>
      </c>
      <c r="W296">
        <f>HYPERLINK("https://klasma.github.io/Logging_2305/klagomålsmail/A 49325-2023 FSC-klagomål mail.docx", "A 49325-2023")</f>
        <v/>
      </c>
      <c r="X296">
        <f>HYPERLINK("https://klasma.github.io/Logging_2305/tillsyn/A 49325-2023 tillsynsbegäran.docx", "A 49325-2023")</f>
        <v/>
      </c>
      <c r="Y296">
        <f>HYPERLINK("https://klasma.github.io/Logging_2305/tillsynsmail/A 49325-2023 tillsynsbegäran mail.docx", "A 49325-2023")</f>
        <v/>
      </c>
    </row>
    <row r="297" ht="15" customHeight="1">
      <c r="A297" t="inlineStr">
        <is>
          <t>A 50513-2023</t>
        </is>
      </c>
      <c r="B297" s="1" t="n">
        <v>45216</v>
      </c>
      <c r="C297" s="1" t="n">
        <v>45648</v>
      </c>
      <c r="D297" t="inlineStr">
        <is>
          <t>JÄMTLANDS LÄN</t>
        </is>
      </c>
      <c r="E297" t="inlineStr">
        <is>
          <t>BRÄCKE</t>
        </is>
      </c>
      <c r="F297" t="inlineStr">
        <is>
          <t>SCA</t>
        </is>
      </c>
      <c r="G297" t="n">
        <v>1.7</v>
      </c>
      <c r="H297" t="n">
        <v>1</v>
      </c>
      <c r="I297" t="n">
        <v>0</v>
      </c>
      <c r="J297" t="n">
        <v>0</v>
      </c>
      <c r="K297" t="n">
        <v>0</v>
      </c>
      <c r="L297" t="n">
        <v>0</v>
      </c>
      <c r="M297" t="n">
        <v>0</v>
      </c>
      <c r="N297" t="n">
        <v>0</v>
      </c>
      <c r="O297" t="n">
        <v>0</v>
      </c>
      <c r="P297" t="n">
        <v>0</v>
      </c>
      <c r="Q297" t="n">
        <v>1</v>
      </c>
      <c r="R297" s="2" t="inlineStr">
        <is>
          <t>Grönsiska</t>
        </is>
      </c>
      <c r="S297">
        <f>HYPERLINK("https://klasma.github.io/Logging_2305/artfynd/A 50513-2023 artfynd.xlsx", "A 50513-2023")</f>
        <v/>
      </c>
      <c r="T297">
        <f>HYPERLINK("https://klasma.github.io/Logging_2305/kartor/A 50513-2023 karta.png", "A 50513-2023")</f>
        <v/>
      </c>
      <c r="V297">
        <f>HYPERLINK("https://klasma.github.io/Logging_2305/klagomål/A 50513-2023 FSC-klagomål.docx", "A 50513-2023")</f>
        <v/>
      </c>
      <c r="W297">
        <f>HYPERLINK("https://klasma.github.io/Logging_2305/klagomålsmail/A 50513-2023 FSC-klagomål mail.docx", "A 50513-2023")</f>
        <v/>
      </c>
      <c r="X297">
        <f>HYPERLINK("https://klasma.github.io/Logging_2305/tillsyn/A 50513-2023 tillsynsbegäran.docx", "A 50513-2023")</f>
        <v/>
      </c>
      <c r="Y297">
        <f>HYPERLINK("https://klasma.github.io/Logging_2305/tillsynsmail/A 50513-2023 tillsynsbegäran mail.docx", "A 50513-2023")</f>
        <v/>
      </c>
      <c r="Z297">
        <f>HYPERLINK("https://klasma.github.io/Logging_2305/fåglar/A 50513-2023 prioriterade fågelarter.docx", "A 50513-2023")</f>
        <v/>
      </c>
    </row>
    <row r="298" ht="15" customHeight="1">
      <c r="A298" t="inlineStr">
        <is>
          <t>A 50837-2023</t>
        </is>
      </c>
      <c r="B298" s="1" t="n">
        <v>45217</v>
      </c>
      <c r="C298" s="1" t="n">
        <v>45648</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53056-2023</t>
        </is>
      </c>
      <c r="B299" s="1" t="n">
        <v>45226</v>
      </c>
      <c r="C299" s="1" t="n">
        <v>45648</v>
      </c>
      <c r="D299" t="inlineStr">
        <is>
          <t>JÄMTLANDS LÄN</t>
        </is>
      </c>
      <c r="E299" t="inlineStr">
        <is>
          <t>BRÄCKE</t>
        </is>
      </c>
      <c r="F299" t="inlineStr">
        <is>
          <t>SCA</t>
        </is>
      </c>
      <c r="G299" t="n">
        <v>6.5</v>
      </c>
      <c r="H299" t="n">
        <v>1</v>
      </c>
      <c r="I299" t="n">
        <v>0</v>
      </c>
      <c r="J299" t="n">
        <v>0</v>
      </c>
      <c r="K299" t="n">
        <v>1</v>
      </c>
      <c r="L299" t="n">
        <v>0</v>
      </c>
      <c r="M299" t="n">
        <v>0</v>
      </c>
      <c r="N299" t="n">
        <v>0</v>
      </c>
      <c r="O299" t="n">
        <v>1</v>
      </c>
      <c r="P299" t="n">
        <v>1</v>
      </c>
      <c r="Q299" t="n">
        <v>1</v>
      </c>
      <c r="R299" s="2" t="inlineStr">
        <is>
          <t>Doftticka</t>
        </is>
      </c>
      <c r="S299">
        <f>HYPERLINK("https://klasma.github.io/Logging_2305/artfynd/A 53056-2023 artfynd.xlsx", "A 53056-2023")</f>
        <v/>
      </c>
      <c r="T299">
        <f>HYPERLINK("https://klasma.github.io/Logging_2305/kartor/A 53056-2023 karta.png", "A 53056-2023")</f>
        <v/>
      </c>
      <c r="V299">
        <f>HYPERLINK("https://klasma.github.io/Logging_2305/klagomål/A 53056-2023 FSC-klagomål.docx", "A 53056-2023")</f>
        <v/>
      </c>
      <c r="W299">
        <f>HYPERLINK("https://klasma.github.io/Logging_2305/klagomålsmail/A 53056-2023 FSC-klagomål mail.docx", "A 53056-2023")</f>
        <v/>
      </c>
      <c r="X299">
        <f>HYPERLINK("https://klasma.github.io/Logging_2305/tillsyn/A 53056-2023 tillsynsbegäran.docx", "A 53056-2023")</f>
        <v/>
      </c>
      <c r="Y299">
        <f>HYPERLINK("https://klasma.github.io/Logging_2305/tillsynsmail/A 53056-2023 tillsynsbegäran mail.docx", "A 53056-2023")</f>
        <v/>
      </c>
    </row>
    <row r="300" ht="15" customHeight="1">
      <c r="A300" t="inlineStr">
        <is>
          <t>A 55931-2023</t>
        </is>
      </c>
      <c r="B300" s="1" t="n">
        <v>45239</v>
      </c>
      <c r="C300" s="1" t="n">
        <v>45648</v>
      </c>
      <c r="D300" t="inlineStr">
        <is>
          <t>JÄMTLANDS LÄN</t>
        </is>
      </c>
      <c r="E300" t="inlineStr">
        <is>
          <t>BRÄCKE</t>
        </is>
      </c>
      <c r="F300" t="inlineStr">
        <is>
          <t>Kyrkan</t>
        </is>
      </c>
      <c r="G300" t="n">
        <v>1.2</v>
      </c>
      <c r="H300" t="n">
        <v>0</v>
      </c>
      <c r="I300" t="n">
        <v>0</v>
      </c>
      <c r="J300" t="n">
        <v>1</v>
      </c>
      <c r="K300" t="n">
        <v>0</v>
      </c>
      <c r="L300" t="n">
        <v>0</v>
      </c>
      <c r="M300" t="n">
        <v>0</v>
      </c>
      <c r="N300" t="n">
        <v>0</v>
      </c>
      <c r="O300" t="n">
        <v>1</v>
      </c>
      <c r="P300" t="n">
        <v>0</v>
      </c>
      <c r="Q300" t="n">
        <v>1</v>
      </c>
      <c r="R300" s="2" t="inlineStr">
        <is>
          <t>Harticka</t>
        </is>
      </c>
      <c r="S300">
        <f>HYPERLINK("https://klasma.github.io/Logging_2305/artfynd/A 55931-2023 artfynd.xlsx", "A 55931-2023")</f>
        <v/>
      </c>
      <c r="T300">
        <f>HYPERLINK("https://klasma.github.io/Logging_2305/kartor/A 55931-2023 karta.png", "A 55931-2023")</f>
        <v/>
      </c>
      <c r="V300">
        <f>HYPERLINK("https://klasma.github.io/Logging_2305/klagomål/A 55931-2023 FSC-klagomål.docx", "A 55931-2023")</f>
        <v/>
      </c>
      <c r="W300">
        <f>HYPERLINK("https://klasma.github.io/Logging_2305/klagomålsmail/A 55931-2023 FSC-klagomål mail.docx", "A 55931-2023")</f>
        <v/>
      </c>
      <c r="X300">
        <f>HYPERLINK("https://klasma.github.io/Logging_2305/tillsyn/A 55931-2023 tillsynsbegäran.docx", "A 55931-2023")</f>
        <v/>
      </c>
      <c r="Y300">
        <f>HYPERLINK("https://klasma.github.io/Logging_2305/tillsynsmail/A 55931-2023 tillsynsbegäran mail.docx", "A 55931-2023")</f>
        <v/>
      </c>
    </row>
    <row r="301" ht="15" customHeight="1">
      <c r="A301" t="inlineStr">
        <is>
          <t>A 57409-2023</t>
        </is>
      </c>
      <c r="B301" s="1" t="n">
        <v>45245</v>
      </c>
      <c r="C301" s="1" t="n">
        <v>45648</v>
      </c>
      <c r="D301" t="inlineStr">
        <is>
          <t>JÄMTLANDS LÄN</t>
        </is>
      </c>
      <c r="E301" t="inlineStr">
        <is>
          <t>BRÄCKE</t>
        </is>
      </c>
      <c r="F301" t="inlineStr">
        <is>
          <t>SCA</t>
        </is>
      </c>
      <c r="G301" t="n">
        <v>2.8</v>
      </c>
      <c r="H301" t="n">
        <v>1</v>
      </c>
      <c r="I301" t="n">
        <v>1</v>
      </c>
      <c r="J301" t="n">
        <v>0</v>
      </c>
      <c r="K301" t="n">
        <v>0</v>
      </c>
      <c r="L301" t="n">
        <v>0</v>
      </c>
      <c r="M301" t="n">
        <v>0</v>
      </c>
      <c r="N301" t="n">
        <v>0</v>
      </c>
      <c r="O301" t="n">
        <v>0</v>
      </c>
      <c r="P301" t="n">
        <v>0</v>
      </c>
      <c r="Q301" t="n">
        <v>1</v>
      </c>
      <c r="R301" s="2" t="inlineStr">
        <is>
          <t>Spindelblomster</t>
        </is>
      </c>
      <c r="S301">
        <f>HYPERLINK("https://klasma.github.io/Logging_2305/artfynd/A 57409-2023 artfynd.xlsx", "A 57409-2023")</f>
        <v/>
      </c>
      <c r="T301">
        <f>HYPERLINK("https://klasma.github.io/Logging_2305/kartor/A 57409-2023 karta.png", "A 57409-2023")</f>
        <v/>
      </c>
      <c r="V301">
        <f>HYPERLINK("https://klasma.github.io/Logging_2305/klagomål/A 57409-2023 FSC-klagomål.docx", "A 57409-2023")</f>
        <v/>
      </c>
      <c r="W301">
        <f>HYPERLINK("https://klasma.github.io/Logging_2305/klagomålsmail/A 57409-2023 FSC-klagomål mail.docx", "A 57409-2023")</f>
        <v/>
      </c>
      <c r="X301">
        <f>HYPERLINK("https://klasma.github.io/Logging_2305/tillsyn/A 57409-2023 tillsynsbegäran.docx", "A 57409-2023")</f>
        <v/>
      </c>
      <c r="Y301">
        <f>HYPERLINK("https://klasma.github.io/Logging_2305/tillsynsmail/A 57409-2023 tillsynsbegäran mail.docx", "A 57409-2023")</f>
        <v/>
      </c>
    </row>
    <row r="302" ht="15" customHeight="1">
      <c r="A302" t="inlineStr">
        <is>
          <t>A 57797-2023</t>
        </is>
      </c>
      <c r="B302" s="1" t="n">
        <v>45247</v>
      </c>
      <c r="C302" s="1" t="n">
        <v>45648</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58777-2023</t>
        </is>
      </c>
      <c r="B303" s="1" t="n">
        <v>45252</v>
      </c>
      <c r="C303" s="1" t="n">
        <v>45648</v>
      </c>
      <c r="D303" t="inlineStr">
        <is>
          <t>JÄMTLANDS LÄN</t>
        </is>
      </c>
      <c r="E303" t="inlineStr">
        <is>
          <t>BRÄCKE</t>
        </is>
      </c>
      <c r="F303" t="inlineStr">
        <is>
          <t>SCA</t>
        </is>
      </c>
      <c r="G303" t="n">
        <v>1.1</v>
      </c>
      <c r="H303" t="n">
        <v>0</v>
      </c>
      <c r="I303" t="n">
        <v>0</v>
      </c>
      <c r="J303" t="n">
        <v>1</v>
      </c>
      <c r="K303" t="n">
        <v>0</v>
      </c>
      <c r="L303" t="n">
        <v>0</v>
      </c>
      <c r="M303" t="n">
        <v>0</v>
      </c>
      <c r="N303" t="n">
        <v>0</v>
      </c>
      <c r="O303" t="n">
        <v>1</v>
      </c>
      <c r="P303" t="n">
        <v>0</v>
      </c>
      <c r="Q303" t="n">
        <v>1</v>
      </c>
      <c r="R303" s="2" t="inlineStr">
        <is>
          <t>Igelkott</t>
        </is>
      </c>
      <c r="S303">
        <f>HYPERLINK("https://klasma.github.io/Logging_2305/artfynd/A 58777-2023 artfynd.xlsx", "A 58777-2023")</f>
        <v/>
      </c>
      <c r="T303">
        <f>HYPERLINK("https://klasma.github.io/Logging_2305/kartor/A 58777-2023 karta.png", "A 58777-2023")</f>
        <v/>
      </c>
      <c r="V303">
        <f>HYPERLINK("https://klasma.github.io/Logging_2305/klagomål/A 58777-2023 FSC-klagomål.docx", "A 58777-2023")</f>
        <v/>
      </c>
      <c r="W303">
        <f>HYPERLINK("https://klasma.github.io/Logging_2305/klagomålsmail/A 58777-2023 FSC-klagomål mail.docx", "A 58777-2023")</f>
        <v/>
      </c>
      <c r="X303">
        <f>HYPERLINK("https://klasma.github.io/Logging_2305/tillsyn/A 58777-2023 tillsynsbegäran.docx", "A 58777-2023")</f>
        <v/>
      </c>
      <c r="Y303">
        <f>HYPERLINK("https://klasma.github.io/Logging_2305/tillsynsmail/A 58777-2023 tillsynsbegäran mail.docx", "A 58777-2023")</f>
        <v/>
      </c>
    </row>
    <row r="304" ht="15" customHeight="1">
      <c r="A304" t="inlineStr">
        <is>
          <t>A 2063-2024</t>
        </is>
      </c>
      <c r="B304" s="1" t="n">
        <v>45308</v>
      </c>
      <c r="C304" s="1" t="n">
        <v>45648</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5439-2024</t>
        </is>
      </c>
      <c r="B305" s="1" t="n">
        <v>45331</v>
      </c>
      <c r="C305" s="1" t="n">
        <v>45648</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Lunglav</t>
        </is>
      </c>
      <c r="S305">
        <f>HYPERLINK("https://klasma.github.io/Logging_2305/artfynd/A 5439-2024 artfynd.xlsx", "A 5439-2024")</f>
        <v/>
      </c>
      <c r="T305">
        <f>HYPERLINK("https://klasma.github.io/Logging_2305/kartor/A 5439-2024 karta.png", "A 5439-2024")</f>
        <v/>
      </c>
      <c r="V305">
        <f>HYPERLINK("https://klasma.github.io/Logging_2305/klagomål/A 5439-2024 FSC-klagomål.docx", "A 5439-2024")</f>
        <v/>
      </c>
      <c r="W305">
        <f>HYPERLINK("https://klasma.github.io/Logging_2305/klagomålsmail/A 5439-2024 FSC-klagomål mail.docx", "A 5439-2024")</f>
        <v/>
      </c>
      <c r="X305">
        <f>HYPERLINK("https://klasma.github.io/Logging_2305/tillsyn/A 5439-2024 tillsynsbegäran.docx", "A 5439-2024")</f>
        <v/>
      </c>
      <c r="Y305">
        <f>HYPERLINK("https://klasma.github.io/Logging_2305/tillsynsmail/A 5439-2024 tillsynsbegäran mail.docx", "A 5439-2024")</f>
        <v/>
      </c>
    </row>
    <row r="306" ht="15" customHeight="1">
      <c r="A306" t="inlineStr">
        <is>
          <t>A 10039-2024</t>
        </is>
      </c>
      <c r="B306" s="1" t="n">
        <v>45364</v>
      </c>
      <c r="C306" s="1" t="n">
        <v>45648</v>
      </c>
      <c r="D306" t="inlineStr">
        <is>
          <t>JÄMTLANDS LÄN</t>
        </is>
      </c>
      <c r="E306" t="inlineStr">
        <is>
          <t>BRÄCKE</t>
        </is>
      </c>
      <c r="F306" t="inlineStr">
        <is>
          <t>SCA</t>
        </is>
      </c>
      <c r="G306" t="n">
        <v>3.7</v>
      </c>
      <c r="H306" t="n">
        <v>0</v>
      </c>
      <c r="I306" t="n">
        <v>1</v>
      </c>
      <c r="J306" t="n">
        <v>0</v>
      </c>
      <c r="K306" t="n">
        <v>0</v>
      </c>
      <c r="L306" t="n">
        <v>0</v>
      </c>
      <c r="M306" t="n">
        <v>0</v>
      </c>
      <c r="N306" t="n">
        <v>0</v>
      </c>
      <c r="O306" t="n">
        <v>0</v>
      </c>
      <c r="P306" t="n">
        <v>0</v>
      </c>
      <c r="Q306" t="n">
        <v>1</v>
      </c>
      <c r="R306" s="2" t="inlineStr">
        <is>
          <t>Dropptaggsvamp</t>
        </is>
      </c>
      <c r="S306">
        <f>HYPERLINK("https://klasma.github.io/Logging_2305/artfynd/A 10039-2024 artfynd.xlsx", "A 10039-2024")</f>
        <v/>
      </c>
      <c r="T306">
        <f>HYPERLINK("https://klasma.github.io/Logging_2305/kartor/A 10039-2024 karta.png", "A 10039-2024")</f>
        <v/>
      </c>
      <c r="V306">
        <f>HYPERLINK("https://klasma.github.io/Logging_2305/klagomål/A 10039-2024 FSC-klagomål.docx", "A 10039-2024")</f>
        <v/>
      </c>
      <c r="W306">
        <f>HYPERLINK("https://klasma.github.io/Logging_2305/klagomålsmail/A 10039-2024 FSC-klagomål mail.docx", "A 10039-2024")</f>
        <v/>
      </c>
      <c r="X306">
        <f>HYPERLINK("https://klasma.github.io/Logging_2305/tillsyn/A 10039-2024 tillsynsbegäran.docx", "A 10039-2024")</f>
        <v/>
      </c>
      <c r="Y306">
        <f>HYPERLINK("https://klasma.github.io/Logging_2305/tillsynsmail/A 10039-2024 tillsynsbegäran mail.docx", "A 10039-2024")</f>
        <v/>
      </c>
    </row>
    <row r="307" ht="15" customHeight="1">
      <c r="A307" t="inlineStr">
        <is>
          <t>A 10862-2024</t>
        </is>
      </c>
      <c r="B307" s="1" t="n">
        <v>45370</v>
      </c>
      <c r="C307" s="1" t="n">
        <v>45648</v>
      </c>
      <c r="D307" t="inlineStr">
        <is>
          <t>JÄMTLANDS LÄN</t>
        </is>
      </c>
      <c r="E307" t="inlineStr">
        <is>
          <t>BRÄCKE</t>
        </is>
      </c>
      <c r="F307" t="inlineStr">
        <is>
          <t>SCA</t>
        </is>
      </c>
      <c r="G307" t="n">
        <v>9.800000000000001</v>
      </c>
      <c r="H307" t="n">
        <v>1</v>
      </c>
      <c r="I307" t="n">
        <v>0</v>
      </c>
      <c r="J307" t="n">
        <v>0</v>
      </c>
      <c r="K307" t="n">
        <v>0</v>
      </c>
      <c r="L307" t="n">
        <v>0</v>
      </c>
      <c r="M307" t="n">
        <v>0</v>
      </c>
      <c r="N307" t="n">
        <v>0</v>
      </c>
      <c r="O307" t="n">
        <v>0</v>
      </c>
      <c r="P307" t="n">
        <v>0</v>
      </c>
      <c r="Q307" t="n">
        <v>1</v>
      </c>
      <c r="R307" s="2" t="inlineStr">
        <is>
          <t>Revlummer</t>
        </is>
      </c>
      <c r="S307">
        <f>HYPERLINK("https://klasma.github.io/Logging_2305/artfynd/A 10862-2024 artfynd.xlsx", "A 10862-2024")</f>
        <v/>
      </c>
      <c r="T307">
        <f>HYPERLINK("https://klasma.github.io/Logging_2305/kartor/A 10862-2024 karta.png", "A 10862-2024")</f>
        <v/>
      </c>
      <c r="V307">
        <f>HYPERLINK("https://klasma.github.io/Logging_2305/klagomål/A 10862-2024 FSC-klagomål.docx", "A 10862-2024")</f>
        <v/>
      </c>
      <c r="W307">
        <f>HYPERLINK("https://klasma.github.io/Logging_2305/klagomålsmail/A 10862-2024 FSC-klagomål mail.docx", "A 10862-2024")</f>
        <v/>
      </c>
      <c r="X307">
        <f>HYPERLINK("https://klasma.github.io/Logging_2305/tillsyn/A 10862-2024 tillsynsbegäran.docx", "A 10862-2024")</f>
        <v/>
      </c>
      <c r="Y307">
        <f>HYPERLINK("https://klasma.github.io/Logging_2305/tillsynsmail/A 10862-2024 tillsynsbegäran mail.docx", "A 10862-2024")</f>
        <v/>
      </c>
    </row>
    <row r="308" ht="15" customHeight="1">
      <c r="A308" t="inlineStr">
        <is>
          <t>A 11614-2024</t>
        </is>
      </c>
      <c r="B308" s="1" t="n">
        <v>45373</v>
      </c>
      <c r="C308" s="1" t="n">
        <v>45648</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12185-2024</t>
        </is>
      </c>
      <c r="B309" s="1" t="n">
        <v>45377</v>
      </c>
      <c r="C309" s="1" t="n">
        <v>45648</v>
      </c>
      <c r="D309" t="inlineStr">
        <is>
          <t>JÄMTLANDS LÄN</t>
        </is>
      </c>
      <c r="E309" t="inlineStr">
        <is>
          <t>BRÄCKE</t>
        </is>
      </c>
      <c r="F309" t="inlineStr">
        <is>
          <t>SCA</t>
        </is>
      </c>
      <c r="G309" t="n">
        <v>2.5</v>
      </c>
      <c r="H309" t="n">
        <v>0</v>
      </c>
      <c r="I309" t="n">
        <v>0</v>
      </c>
      <c r="J309" t="n">
        <v>1</v>
      </c>
      <c r="K309" t="n">
        <v>0</v>
      </c>
      <c r="L309" t="n">
        <v>0</v>
      </c>
      <c r="M309" t="n">
        <v>0</v>
      </c>
      <c r="N309" t="n">
        <v>0</v>
      </c>
      <c r="O309" t="n">
        <v>1</v>
      </c>
      <c r="P309" t="n">
        <v>0</v>
      </c>
      <c r="Q309" t="n">
        <v>1</v>
      </c>
      <c r="R309" s="2" t="inlineStr">
        <is>
          <t>Lunglav</t>
        </is>
      </c>
      <c r="S309">
        <f>HYPERLINK("https://klasma.github.io/Logging_2305/artfynd/A 12185-2024 artfynd.xlsx", "A 12185-2024")</f>
        <v/>
      </c>
      <c r="T309">
        <f>HYPERLINK("https://klasma.github.io/Logging_2305/kartor/A 12185-2024 karta.png", "A 12185-2024")</f>
        <v/>
      </c>
      <c r="V309">
        <f>HYPERLINK("https://klasma.github.io/Logging_2305/klagomål/A 12185-2024 FSC-klagomål.docx", "A 12185-2024")</f>
        <v/>
      </c>
      <c r="W309">
        <f>HYPERLINK("https://klasma.github.io/Logging_2305/klagomålsmail/A 12185-2024 FSC-klagomål mail.docx", "A 12185-2024")</f>
        <v/>
      </c>
      <c r="X309">
        <f>HYPERLINK("https://klasma.github.io/Logging_2305/tillsyn/A 12185-2024 tillsynsbegäran.docx", "A 12185-2024")</f>
        <v/>
      </c>
      <c r="Y309">
        <f>HYPERLINK("https://klasma.github.io/Logging_2305/tillsynsmail/A 12185-2024 tillsynsbegäran mail.docx", "A 12185-2024")</f>
        <v/>
      </c>
    </row>
    <row r="310" ht="15" customHeight="1">
      <c r="A310" t="inlineStr">
        <is>
          <t>A 14374-2024</t>
        </is>
      </c>
      <c r="B310" s="1" t="n">
        <v>45393</v>
      </c>
      <c r="C310" s="1" t="n">
        <v>45648</v>
      </c>
      <c r="D310" t="inlineStr">
        <is>
          <t>JÄMTLANDS LÄN</t>
        </is>
      </c>
      <c r="E310" t="inlineStr">
        <is>
          <t>BRÄCKE</t>
        </is>
      </c>
      <c r="F310" t="inlineStr">
        <is>
          <t>SCA</t>
        </is>
      </c>
      <c r="G310" t="n">
        <v>0.8</v>
      </c>
      <c r="H310" t="n">
        <v>1</v>
      </c>
      <c r="I310" t="n">
        <v>0</v>
      </c>
      <c r="J310" t="n">
        <v>1</v>
      </c>
      <c r="K310" t="n">
        <v>0</v>
      </c>
      <c r="L310" t="n">
        <v>0</v>
      </c>
      <c r="M310" t="n">
        <v>0</v>
      </c>
      <c r="N310" t="n">
        <v>0</v>
      </c>
      <c r="O310" t="n">
        <v>1</v>
      </c>
      <c r="P310" t="n">
        <v>0</v>
      </c>
      <c r="Q310" t="n">
        <v>1</v>
      </c>
      <c r="R310" s="2" t="inlineStr">
        <is>
          <t>Kungsörn</t>
        </is>
      </c>
      <c r="S310">
        <f>HYPERLINK("https://klasma.github.io/Logging_2305/artfynd/A 14374-2024 artfynd.xlsx", "A 14374-2024")</f>
        <v/>
      </c>
      <c r="T310">
        <f>HYPERLINK("https://klasma.github.io/Logging_2305/kartor/A 14374-2024 karta.png", "A 14374-2024")</f>
        <v/>
      </c>
      <c r="V310">
        <f>HYPERLINK("https://klasma.github.io/Logging_2305/klagomål/A 14374-2024 FSC-klagomål.docx", "A 14374-2024")</f>
        <v/>
      </c>
      <c r="W310">
        <f>HYPERLINK("https://klasma.github.io/Logging_2305/klagomålsmail/A 14374-2024 FSC-klagomål mail.docx", "A 14374-2024")</f>
        <v/>
      </c>
      <c r="X310">
        <f>HYPERLINK("https://klasma.github.io/Logging_2305/tillsyn/A 14374-2024 tillsynsbegäran.docx", "A 14374-2024")</f>
        <v/>
      </c>
      <c r="Y310">
        <f>HYPERLINK("https://klasma.github.io/Logging_2305/tillsynsmail/A 14374-2024 tillsynsbegäran mail.docx", "A 14374-2024")</f>
        <v/>
      </c>
      <c r="Z310">
        <f>HYPERLINK("https://klasma.github.io/Logging_2305/fåglar/A 14374-2024 prioriterade fågelarter.docx", "A 14374-2024")</f>
        <v/>
      </c>
    </row>
    <row r="311" ht="15" customHeight="1">
      <c r="A311" t="inlineStr">
        <is>
          <t>A 14980-2024</t>
        </is>
      </c>
      <c r="B311" s="1" t="n">
        <v>45399</v>
      </c>
      <c r="C311" s="1" t="n">
        <v>45648</v>
      </c>
      <c r="D311" t="inlineStr">
        <is>
          <t>JÄMTLANDS LÄN</t>
        </is>
      </c>
      <c r="E311" t="inlineStr">
        <is>
          <t>BRÄCKE</t>
        </is>
      </c>
      <c r="F311" t="inlineStr">
        <is>
          <t>SCA</t>
        </is>
      </c>
      <c r="G311" t="n">
        <v>2</v>
      </c>
      <c r="H311" t="n">
        <v>1</v>
      </c>
      <c r="I311" t="n">
        <v>0</v>
      </c>
      <c r="J311" t="n">
        <v>0</v>
      </c>
      <c r="K311" t="n">
        <v>1</v>
      </c>
      <c r="L311" t="n">
        <v>0</v>
      </c>
      <c r="M311" t="n">
        <v>0</v>
      </c>
      <c r="N311" t="n">
        <v>0</v>
      </c>
      <c r="O311" t="n">
        <v>1</v>
      </c>
      <c r="P311" t="n">
        <v>1</v>
      </c>
      <c r="Q311" t="n">
        <v>1</v>
      </c>
      <c r="R311" s="2" t="inlineStr">
        <is>
          <t>Doftticka</t>
        </is>
      </c>
      <c r="S311">
        <f>HYPERLINK("https://klasma.github.io/Logging_2305/artfynd/A 14980-2024 artfynd.xlsx", "A 14980-2024")</f>
        <v/>
      </c>
      <c r="T311">
        <f>HYPERLINK("https://klasma.github.io/Logging_2305/kartor/A 14980-2024 karta.png", "A 14980-2024")</f>
        <v/>
      </c>
      <c r="V311">
        <f>HYPERLINK("https://klasma.github.io/Logging_2305/klagomål/A 14980-2024 FSC-klagomål.docx", "A 14980-2024")</f>
        <v/>
      </c>
      <c r="W311">
        <f>HYPERLINK("https://klasma.github.io/Logging_2305/klagomålsmail/A 14980-2024 FSC-klagomål mail.docx", "A 14980-2024")</f>
        <v/>
      </c>
      <c r="X311">
        <f>HYPERLINK("https://klasma.github.io/Logging_2305/tillsyn/A 14980-2024 tillsynsbegäran.docx", "A 14980-2024")</f>
        <v/>
      </c>
      <c r="Y311">
        <f>HYPERLINK("https://klasma.github.io/Logging_2305/tillsynsmail/A 14980-2024 tillsynsbegäran mail.docx", "A 14980-2024")</f>
        <v/>
      </c>
    </row>
    <row r="312" ht="15" customHeight="1">
      <c r="A312" t="inlineStr">
        <is>
          <t>A 16714-2024</t>
        </is>
      </c>
      <c r="B312" s="1" t="n">
        <v>45409</v>
      </c>
      <c r="C312" s="1" t="n">
        <v>45648</v>
      </c>
      <c r="D312" t="inlineStr">
        <is>
          <t>JÄMTLANDS LÄN</t>
        </is>
      </c>
      <c r="E312" t="inlineStr">
        <is>
          <t>BRÄCKE</t>
        </is>
      </c>
      <c r="F312" t="inlineStr">
        <is>
          <t>SCA</t>
        </is>
      </c>
      <c r="G312" t="n">
        <v>19.9</v>
      </c>
      <c r="H312" t="n">
        <v>0</v>
      </c>
      <c r="I312" t="n">
        <v>0</v>
      </c>
      <c r="J312" t="n">
        <v>1</v>
      </c>
      <c r="K312" t="n">
        <v>0</v>
      </c>
      <c r="L312" t="n">
        <v>0</v>
      </c>
      <c r="M312" t="n">
        <v>0</v>
      </c>
      <c r="N312" t="n">
        <v>0</v>
      </c>
      <c r="O312" t="n">
        <v>1</v>
      </c>
      <c r="P312" t="n">
        <v>0</v>
      </c>
      <c r="Q312" t="n">
        <v>1</v>
      </c>
      <c r="R312" s="2" t="inlineStr">
        <is>
          <t>Kolflarnlav</t>
        </is>
      </c>
      <c r="S312">
        <f>HYPERLINK("https://klasma.github.io/Logging_2305/artfynd/A 16714-2024 artfynd.xlsx", "A 16714-2024")</f>
        <v/>
      </c>
      <c r="T312">
        <f>HYPERLINK("https://klasma.github.io/Logging_2305/kartor/A 16714-2024 karta.png", "A 16714-2024")</f>
        <v/>
      </c>
      <c r="V312">
        <f>HYPERLINK("https://klasma.github.io/Logging_2305/klagomål/A 16714-2024 FSC-klagomål.docx", "A 16714-2024")</f>
        <v/>
      </c>
      <c r="W312">
        <f>HYPERLINK("https://klasma.github.io/Logging_2305/klagomålsmail/A 16714-2024 FSC-klagomål mail.docx", "A 16714-2024")</f>
        <v/>
      </c>
      <c r="X312">
        <f>HYPERLINK("https://klasma.github.io/Logging_2305/tillsyn/A 16714-2024 tillsynsbegäran.docx", "A 16714-2024")</f>
        <v/>
      </c>
      <c r="Y312">
        <f>HYPERLINK("https://klasma.github.io/Logging_2305/tillsynsmail/A 16714-2024 tillsynsbegäran mail.docx", "A 16714-2024")</f>
        <v/>
      </c>
    </row>
    <row r="313" ht="15" customHeight="1">
      <c r="A313" t="inlineStr">
        <is>
          <t>A 16715-2024</t>
        </is>
      </c>
      <c r="B313" s="1" t="n">
        <v>45409</v>
      </c>
      <c r="C313" s="1" t="n">
        <v>45648</v>
      </c>
      <c r="D313" t="inlineStr">
        <is>
          <t>JÄMTLANDS LÄN</t>
        </is>
      </c>
      <c r="E313" t="inlineStr">
        <is>
          <t>BRÄCKE</t>
        </is>
      </c>
      <c r="G313" t="n">
        <v>8</v>
      </c>
      <c r="H313" t="n">
        <v>0</v>
      </c>
      <c r="I313" t="n">
        <v>0</v>
      </c>
      <c r="J313" t="n">
        <v>1</v>
      </c>
      <c r="K313" t="n">
        <v>0</v>
      </c>
      <c r="L313" t="n">
        <v>0</v>
      </c>
      <c r="M313" t="n">
        <v>0</v>
      </c>
      <c r="N313" t="n">
        <v>0</v>
      </c>
      <c r="O313" t="n">
        <v>1</v>
      </c>
      <c r="P313" t="n">
        <v>0</v>
      </c>
      <c r="Q313" t="n">
        <v>1</v>
      </c>
      <c r="R313" s="2" t="inlineStr">
        <is>
          <t>Dvärgbägarlav</t>
        </is>
      </c>
      <c r="S313">
        <f>HYPERLINK("https://klasma.github.io/Logging_2305/artfynd/A 16715-2024 artfynd.xlsx", "A 16715-2024")</f>
        <v/>
      </c>
      <c r="T313">
        <f>HYPERLINK("https://klasma.github.io/Logging_2305/kartor/A 16715-2024 karta.png", "A 16715-2024")</f>
        <v/>
      </c>
      <c r="V313">
        <f>HYPERLINK("https://klasma.github.io/Logging_2305/klagomål/A 16715-2024 FSC-klagomål.docx", "A 16715-2024")</f>
        <v/>
      </c>
      <c r="W313">
        <f>HYPERLINK("https://klasma.github.io/Logging_2305/klagomålsmail/A 16715-2024 FSC-klagomål mail.docx", "A 16715-2024")</f>
        <v/>
      </c>
      <c r="X313">
        <f>HYPERLINK("https://klasma.github.io/Logging_2305/tillsyn/A 16715-2024 tillsynsbegäran.docx", "A 16715-2024")</f>
        <v/>
      </c>
      <c r="Y313">
        <f>HYPERLINK("https://klasma.github.io/Logging_2305/tillsynsmail/A 16715-2024 tillsynsbegäran mail.docx", "A 16715-2024")</f>
        <v/>
      </c>
    </row>
    <row r="314" ht="15" customHeight="1">
      <c r="A314" t="inlineStr">
        <is>
          <t>A 17588-2024</t>
        </is>
      </c>
      <c r="B314" s="1" t="n">
        <v>45416</v>
      </c>
      <c r="C314" s="1" t="n">
        <v>45648</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Rosenticka</t>
        </is>
      </c>
      <c r="S314">
        <f>HYPERLINK("https://klasma.github.io/Logging_2305/artfynd/A 17588-2024 artfynd.xlsx", "A 17588-2024")</f>
        <v/>
      </c>
      <c r="T314">
        <f>HYPERLINK("https://klasma.github.io/Logging_2305/kartor/A 17588-2024 karta.png", "A 17588-2024")</f>
        <v/>
      </c>
      <c r="V314">
        <f>HYPERLINK("https://klasma.github.io/Logging_2305/klagomål/A 17588-2024 FSC-klagomål.docx", "A 17588-2024")</f>
        <v/>
      </c>
      <c r="W314">
        <f>HYPERLINK("https://klasma.github.io/Logging_2305/klagomålsmail/A 17588-2024 FSC-klagomål mail.docx", "A 17588-2024")</f>
        <v/>
      </c>
      <c r="X314">
        <f>HYPERLINK("https://klasma.github.io/Logging_2305/tillsyn/A 17588-2024 tillsynsbegäran.docx", "A 17588-2024")</f>
        <v/>
      </c>
      <c r="Y314">
        <f>HYPERLINK("https://klasma.github.io/Logging_2305/tillsynsmail/A 17588-2024 tillsynsbegäran mail.docx", "A 17588-2024")</f>
        <v/>
      </c>
    </row>
    <row r="315" ht="15" customHeight="1">
      <c r="A315" t="inlineStr">
        <is>
          <t>A 20768-2024</t>
        </is>
      </c>
      <c r="B315" s="1" t="n">
        <v>45437</v>
      </c>
      <c r="C315" s="1" t="n">
        <v>45648</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21366-2024</t>
        </is>
      </c>
      <c r="B316" s="1" t="n">
        <v>45441</v>
      </c>
      <c r="C316" s="1" t="n">
        <v>45648</v>
      </c>
      <c r="D316" t="inlineStr">
        <is>
          <t>JÄMTLANDS LÄN</t>
        </is>
      </c>
      <c r="E316" t="inlineStr">
        <is>
          <t>BRÄCKE</t>
        </is>
      </c>
      <c r="F316" t="inlineStr">
        <is>
          <t>SCA</t>
        </is>
      </c>
      <c r="G316" t="n">
        <v>4.8</v>
      </c>
      <c r="H316" t="n">
        <v>0</v>
      </c>
      <c r="I316" t="n">
        <v>1</v>
      </c>
      <c r="J316" t="n">
        <v>0</v>
      </c>
      <c r="K316" t="n">
        <v>0</v>
      </c>
      <c r="L316" t="n">
        <v>0</v>
      </c>
      <c r="M316" t="n">
        <v>0</v>
      </c>
      <c r="N316" t="n">
        <v>0</v>
      </c>
      <c r="O316" t="n">
        <v>0</v>
      </c>
      <c r="P316" t="n">
        <v>0</v>
      </c>
      <c r="Q316" t="n">
        <v>1</v>
      </c>
      <c r="R316" s="2" t="inlineStr">
        <is>
          <t>Skinnlav</t>
        </is>
      </c>
      <c r="S316">
        <f>HYPERLINK("https://klasma.github.io/Logging_2305/artfynd/A 21366-2024 artfynd.xlsx", "A 21366-2024")</f>
        <v/>
      </c>
      <c r="T316">
        <f>HYPERLINK("https://klasma.github.io/Logging_2305/kartor/A 21366-2024 karta.png", "A 21366-2024")</f>
        <v/>
      </c>
      <c r="V316">
        <f>HYPERLINK("https://klasma.github.io/Logging_2305/klagomål/A 21366-2024 FSC-klagomål.docx", "A 21366-2024")</f>
        <v/>
      </c>
      <c r="W316">
        <f>HYPERLINK("https://klasma.github.io/Logging_2305/klagomålsmail/A 21366-2024 FSC-klagomål mail.docx", "A 21366-2024")</f>
        <v/>
      </c>
      <c r="X316">
        <f>HYPERLINK("https://klasma.github.io/Logging_2305/tillsyn/A 21366-2024 tillsynsbegäran.docx", "A 21366-2024")</f>
        <v/>
      </c>
      <c r="Y316">
        <f>HYPERLINK("https://klasma.github.io/Logging_2305/tillsynsmail/A 21366-2024 tillsynsbegäran mail.docx", "A 21366-2024")</f>
        <v/>
      </c>
    </row>
    <row r="317" ht="15" customHeight="1">
      <c r="A317" t="inlineStr">
        <is>
          <t>A 21376-2024</t>
        </is>
      </c>
      <c r="B317" s="1" t="n">
        <v>45441</v>
      </c>
      <c r="C317" s="1" t="n">
        <v>45648</v>
      </c>
      <c r="D317" t="inlineStr">
        <is>
          <t>JÄMTLANDS LÄN</t>
        </is>
      </c>
      <c r="E317" t="inlineStr">
        <is>
          <t>BRÄCKE</t>
        </is>
      </c>
      <c r="F317" t="inlineStr">
        <is>
          <t>SCA</t>
        </is>
      </c>
      <c r="G317" t="n">
        <v>17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21376-2024 artfynd.xlsx", "A 21376-2024")</f>
        <v/>
      </c>
      <c r="T317">
        <f>HYPERLINK("https://klasma.github.io/Logging_2305/kartor/A 21376-2024 karta.png", "A 21376-2024")</f>
        <v/>
      </c>
      <c r="V317">
        <f>HYPERLINK("https://klasma.github.io/Logging_2305/klagomål/A 21376-2024 FSC-klagomål.docx", "A 21376-2024")</f>
        <v/>
      </c>
      <c r="W317">
        <f>HYPERLINK("https://klasma.github.io/Logging_2305/klagomålsmail/A 21376-2024 FSC-klagomål mail.docx", "A 21376-2024")</f>
        <v/>
      </c>
      <c r="X317">
        <f>HYPERLINK("https://klasma.github.io/Logging_2305/tillsyn/A 21376-2024 tillsynsbegäran.docx", "A 21376-2024")</f>
        <v/>
      </c>
      <c r="Y317">
        <f>HYPERLINK("https://klasma.github.io/Logging_2305/tillsynsmail/A 21376-2024 tillsynsbegäran mail.docx", "A 21376-2024")</f>
        <v/>
      </c>
    </row>
    <row r="318" ht="15" customHeight="1">
      <c r="A318" t="inlineStr">
        <is>
          <t>A 22101-2024</t>
        </is>
      </c>
      <c r="B318" s="1" t="n">
        <v>45444</v>
      </c>
      <c r="C318" s="1" t="n">
        <v>45648</v>
      </c>
      <c r="D318" t="inlineStr">
        <is>
          <t>JÄMTLANDS LÄN</t>
        </is>
      </c>
      <c r="E318" t="inlineStr">
        <is>
          <t>BRÄCKE</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HYPERLINK("https://klasma.github.io/Logging_2305/artfynd/A 22101-2024 artfynd.xlsx", "A 22101-2024")</f>
        <v/>
      </c>
      <c r="T318">
        <f>HYPERLINK("https://klasma.github.io/Logging_2305/kartor/A 22101-2024 karta.png", "A 22101-2024")</f>
        <v/>
      </c>
      <c r="V318">
        <f>HYPERLINK("https://klasma.github.io/Logging_2305/klagomål/A 22101-2024 FSC-klagomål.docx", "A 22101-2024")</f>
        <v/>
      </c>
      <c r="W318">
        <f>HYPERLINK("https://klasma.github.io/Logging_2305/klagomålsmail/A 22101-2024 FSC-klagomål mail.docx", "A 22101-2024")</f>
        <v/>
      </c>
      <c r="X318">
        <f>HYPERLINK("https://klasma.github.io/Logging_2305/tillsyn/A 22101-2024 tillsynsbegäran.docx", "A 22101-2024")</f>
        <v/>
      </c>
      <c r="Y318">
        <f>HYPERLINK("https://klasma.github.io/Logging_2305/tillsynsmail/A 22101-2024 tillsynsbegäran mail.docx", "A 22101-2024")</f>
        <v/>
      </c>
    </row>
    <row r="319" ht="15" customHeight="1">
      <c r="A319" t="inlineStr">
        <is>
          <t>A 27843-2024</t>
        </is>
      </c>
      <c r="B319" s="1" t="n">
        <v>45475</v>
      </c>
      <c r="C319" s="1" t="n">
        <v>45648</v>
      </c>
      <c r="D319" t="inlineStr">
        <is>
          <t>JÄMTLANDS LÄN</t>
        </is>
      </c>
      <c r="E319" t="inlineStr">
        <is>
          <t>BRÄCKE</t>
        </is>
      </c>
      <c r="F319" t="inlineStr">
        <is>
          <t>Sveaskog</t>
        </is>
      </c>
      <c r="G319" t="n">
        <v>2.1</v>
      </c>
      <c r="H319" t="n">
        <v>0</v>
      </c>
      <c r="I319" t="n">
        <v>0</v>
      </c>
      <c r="J319" t="n">
        <v>1</v>
      </c>
      <c r="K319" t="n">
        <v>0</v>
      </c>
      <c r="L319" t="n">
        <v>0</v>
      </c>
      <c r="M319" t="n">
        <v>0</v>
      </c>
      <c r="N319" t="n">
        <v>0</v>
      </c>
      <c r="O319" t="n">
        <v>1</v>
      </c>
      <c r="P319" t="n">
        <v>0</v>
      </c>
      <c r="Q319" t="n">
        <v>1</v>
      </c>
      <c r="R319" s="2" t="inlineStr">
        <is>
          <t>Lunglav</t>
        </is>
      </c>
      <c r="S319">
        <f>HYPERLINK("https://klasma.github.io/Logging_2305/artfynd/A 27843-2024 artfynd.xlsx", "A 27843-2024")</f>
        <v/>
      </c>
      <c r="T319">
        <f>HYPERLINK("https://klasma.github.io/Logging_2305/kartor/A 27843-2024 karta.png", "A 27843-2024")</f>
        <v/>
      </c>
      <c r="V319">
        <f>HYPERLINK("https://klasma.github.io/Logging_2305/klagomål/A 27843-2024 FSC-klagomål.docx", "A 27843-2024")</f>
        <v/>
      </c>
      <c r="W319">
        <f>HYPERLINK("https://klasma.github.io/Logging_2305/klagomålsmail/A 27843-2024 FSC-klagomål mail.docx", "A 27843-2024")</f>
        <v/>
      </c>
      <c r="X319">
        <f>HYPERLINK("https://klasma.github.io/Logging_2305/tillsyn/A 27843-2024 tillsynsbegäran.docx", "A 27843-2024")</f>
        <v/>
      </c>
      <c r="Y319">
        <f>HYPERLINK("https://klasma.github.io/Logging_2305/tillsynsmail/A 27843-2024 tillsynsbegäran mail.docx", "A 27843-2024")</f>
        <v/>
      </c>
    </row>
    <row r="320" ht="15" customHeight="1">
      <c r="A320" t="inlineStr">
        <is>
          <t>A 29215-2024</t>
        </is>
      </c>
      <c r="B320" s="1" t="n">
        <v>45482</v>
      </c>
      <c r="C320" s="1" t="n">
        <v>45648</v>
      </c>
      <c r="D320" t="inlineStr">
        <is>
          <t>JÄMTLANDS LÄN</t>
        </is>
      </c>
      <c r="E320" t="inlineStr">
        <is>
          <t>BRÄCKE</t>
        </is>
      </c>
      <c r="F320" t="inlineStr">
        <is>
          <t>Övriga Aktiebolag</t>
        </is>
      </c>
      <c r="G320" t="n">
        <v>7.3</v>
      </c>
      <c r="H320" t="n">
        <v>1</v>
      </c>
      <c r="I320" t="n">
        <v>0</v>
      </c>
      <c r="J320" t="n">
        <v>0</v>
      </c>
      <c r="K320" t="n">
        <v>0</v>
      </c>
      <c r="L320" t="n">
        <v>0</v>
      </c>
      <c r="M320" t="n">
        <v>0</v>
      </c>
      <c r="N320" t="n">
        <v>0</v>
      </c>
      <c r="O320" t="n">
        <v>0</v>
      </c>
      <c r="P320" t="n">
        <v>0</v>
      </c>
      <c r="Q320" t="n">
        <v>1</v>
      </c>
      <c r="R320" s="2" t="inlineStr">
        <is>
          <t>Sparvuggla</t>
        </is>
      </c>
      <c r="S320">
        <f>HYPERLINK("https://klasma.github.io/Logging_2305/artfynd/A 29215-2024 artfynd.xlsx", "A 29215-2024")</f>
        <v/>
      </c>
      <c r="T320">
        <f>HYPERLINK("https://klasma.github.io/Logging_2305/kartor/A 29215-2024 karta.png", "A 29215-2024")</f>
        <v/>
      </c>
      <c r="V320">
        <f>HYPERLINK("https://klasma.github.io/Logging_2305/klagomål/A 29215-2024 FSC-klagomål.docx", "A 29215-2024")</f>
        <v/>
      </c>
      <c r="W320">
        <f>HYPERLINK("https://klasma.github.io/Logging_2305/klagomålsmail/A 29215-2024 FSC-klagomål mail.docx", "A 29215-2024")</f>
        <v/>
      </c>
      <c r="X320">
        <f>HYPERLINK("https://klasma.github.io/Logging_2305/tillsyn/A 29215-2024 tillsynsbegäran.docx", "A 29215-2024")</f>
        <v/>
      </c>
      <c r="Y320">
        <f>HYPERLINK("https://klasma.github.io/Logging_2305/tillsynsmail/A 29215-2024 tillsynsbegäran mail.docx", "A 29215-2024")</f>
        <v/>
      </c>
      <c r="Z320">
        <f>HYPERLINK("https://klasma.github.io/Logging_2305/fåglar/A 29215-2024 prioriterade fågelarter.docx", "A 29215-2024")</f>
        <v/>
      </c>
    </row>
    <row r="321" ht="15" customHeight="1">
      <c r="A321" t="inlineStr">
        <is>
          <t>A 30336-2024</t>
        </is>
      </c>
      <c r="B321" s="1" t="n">
        <v>45491</v>
      </c>
      <c r="C321" s="1" t="n">
        <v>45648</v>
      </c>
      <c r="D321" t="inlineStr">
        <is>
          <t>JÄMTLANDS LÄN</t>
        </is>
      </c>
      <c r="E321" t="inlineStr">
        <is>
          <t>BRÄCKE</t>
        </is>
      </c>
      <c r="F321" t="inlineStr">
        <is>
          <t>SCA</t>
        </is>
      </c>
      <c r="G321" t="n">
        <v>2.8</v>
      </c>
      <c r="H321" t="n">
        <v>0</v>
      </c>
      <c r="I321" t="n">
        <v>1</v>
      </c>
      <c r="J321" t="n">
        <v>0</v>
      </c>
      <c r="K321" t="n">
        <v>0</v>
      </c>
      <c r="L321" t="n">
        <v>0</v>
      </c>
      <c r="M321" t="n">
        <v>0</v>
      </c>
      <c r="N321" t="n">
        <v>0</v>
      </c>
      <c r="O321" t="n">
        <v>0</v>
      </c>
      <c r="P321" t="n">
        <v>0</v>
      </c>
      <c r="Q321" t="n">
        <v>1</v>
      </c>
      <c r="R321" s="2" t="inlineStr">
        <is>
          <t>Skinnlav</t>
        </is>
      </c>
      <c r="S321">
        <f>HYPERLINK("https://klasma.github.io/Logging_2305/artfynd/A 30336-2024 artfynd.xlsx", "A 30336-2024")</f>
        <v/>
      </c>
      <c r="T321">
        <f>HYPERLINK("https://klasma.github.io/Logging_2305/kartor/A 30336-2024 karta.png", "A 30336-2024")</f>
        <v/>
      </c>
      <c r="V321">
        <f>HYPERLINK("https://klasma.github.io/Logging_2305/klagomål/A 30336-2024 FSC-klagomål.docx", "A 30336-2024")</f>
        <v/>
      </c>
      <c r="W321">
        <f>HYPERLINK("https://klasma.github.io/Logging_2305/klagomålsmail/A 30336-2024 FSC-klagomål mail.docx", "A 30336-2024")</f>
        <v/>
      </c>
      <c r="X321">
        <f>HYPERLINK("https://klasma.github.io/Logging_2305/tillsyn/A 30336-2024 tillsynsbegäran.docx", "A 30336-2024")</f>
        <v/>
      </c>
      <c r="Y321">
        <f>HYPERLINK("https://klasma.github.io/Logging_2305/tillsynsmail/A 30336-2024 tillsynsbegäran mail.docx", "A 30336-2024")</f>
        <v/>
      </c>
    </row>
    <row r="322" ht="15" customHeight="1">
      <c r="A322" t="inlineStr">
        <is>
          <t>A 31479-2024</t>
        </is>
      </c>
      <c r="B322" s="1" t="n">
        <v>45506</v>
      </c>
      <c r="C322" s="1" t="n">
        <v>45648</v>
      </c>
      <c r="D322" t="inlineStr">
        <is>
          <t>JÄMTLANDS LÄN</t>
        </is>
      </c>
      <c r="E322" t="inlineStr">
        <is>
          <t>BRÄCKE</t>
        </is>
      </c>
      <c r="F322" t="inlineStr">
        <is>
          <t>SCA</t>
        </is>
      </c>
      <c r="G322" t="n">
        <v>3</v>
      </c>
      <c r="H322" t="n">
        <v>0</v>
      </c>
      <c r="I322" t="n">
        <v>0</v>
      </c>
      <c r="J322" t="n">
        <v>1</v>
      </c>
      <c r="K322" t="n">
        <v>0</v>
      </c>
      <c r="L322" t="n">
        <v>0</v>
      </c>
      <c r="M322" t="n">
        <v>0</v>
      </c>
      <c r="N322" t="n">
        <v>0</v>
      </c>
      <c r="O322" t="n">
        <v>1</v>
      </c>
      <c r="P322" t="n">
        <v>0</v>
      </c>
      <c r="Q322" t="n">
        <v>1</v>
      </c>
      <c r="R322" s="2" t="inlineStr">
        <is>
          <t>Violettgrå tagellav</t>
        </is>
      </c>
      <c r="S322">
        <f>HYPERLINK("https://klasma.github.io/Logging_2305/artfynd/A 31479-2024 artfynd.xlsx", "A 31479-2024")</f>
        <v/>
      </c>
      <c r="T322">
        <f>HYPERLINK("https://klasma.github.io/Logging_2305/kartor/A 31479-2024 karta.png", "A 31479-2024")</f>
        <v/>
      </c>
      <c r="V322">
        <f>HYPERLINK("https://klasma.github.io/Logging_2305/klagomål/A 31479-2024 FSC-klagomål.docx", "A 31479-2024")</f>
        <v/>
      </c>
      <c r="W322">
        <f>HYPERLINK("https://klasma.github.io/Logging_2305/klagomålsmail/A 31479-2024 FSC-klagomål mail.docx", "A 31479-2024")</f>
        <v/>
      </c>
      <c r="X322">
        <f>HYPERLINK("https://klasma.github.io/Logging_2305/tillsyn/A 31479-2024 tillsynsbegäran.docx", "A 31479-2024")</f>
        <v/>
      </c>
      <c r="Y322">
        <f>HYPERLINK("https://klasma.github.io/Logging_2305/tillsynsmail/A 31479-2024 tillsynsbegäran mail.docx", "A 31479-2024")</f>
        <v/>
      </c>
    </row>
    <row r="323" ht="15" customHeight="1">
      <c r="A323" t="inlineStr">
        <is>
          <t>A 33479-2024</t>
        </is>
      </c>
      <c r="B323" s="1" t="n">
        <v>45519</v>
      </c>
      <c r="C323" s="1" t="n">
        <v>45648</v>
      </c>
      <c r="D323" t="inlineStr">
        <is>
          <t>JÄMTLANDS LÄN</t>
        </is>
      </c>
      <c r="E323" t="inlineStr">
        <is>
          <t>BRÄCKE</t>
        </is>
      </c>
      <c r="F323" t="inlineStr">
        <is>
          <t>SCA</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HYPERLINK("https://klasma.github.io/Logging_2305/artfynd/A 33479-2024 artfynd.xlsx", "A 33479-2024")</f>
        <v/>
      </c>
      <c r="T323">
        <f>HYPERLINK("https://klasma.github.io/Logging_2305/kartor/A 33479-2024 karta.png", "A 33479-2024")</f>
        <v/>
      </c>
      <c r="V323">
        <f>HYPERLINK("https://klasma.github.io/Logging_2305/klagomål/A 33479-2024 FSC-klagomål.docx", "A 33479-2024")</f>
        <v/>
      </c>
      <c r="W323">
        <f>HYPERLINK("https://klasma.github.io/Logging_2305/klagomålsmail/A 33479-2024 FSC-klagomål mail.docx", "A 33479-2024")</f>
        <v/>
      </c>
      <c r="X323">
        <f>HYPERLINK("https://klasma.github.io/Logging_2305/tillsyn/A 33479-2024 tillsynsbegäran.docx", "A 33479-2024")</f>
        <v/>
      </c>
      <c r="Y323">
        <f>HYPERLINK("https://klasma.github.io/Logging_2305/tillsynsmail/A 33479-2024 tillsynsbegäran mail.docx", "A 33479-2024")</f>
        <v/>
      </c>
    </row>
    <row r="324" ht="15" customHeight="1">
      <c r="A324" t="inlineStr">
        <is>
          <t>A 34823-2024</t>
        </is>
      </c>
      <c r="B324" s="1" t="n">
        <v>45526</v>
      </c>
      <c r="C324" s="1" t="n">
        <v>45648</v>
      </c>
      <c r="D324" t="inlineStr">
        <is>
          <t>JÄMTLANDS LÄN</t>
        </is>
      </c>
      <c r="E324" t="inlineStr">
        <is>
          <t>BRÄCKE</t>
        </is>
      </c>
      <c r="F324" t="inlineStr">
        <is>
          <t>SCA</t>
        </is>
      </c>
      <c r="G324" t="n">
        <v>1.2</v>
      </c>
      <c r="H324" t="n">
        <v>0</v>
      </c>
      <c r="I324" t="n">
        <v>0</v>
      </c>
      <c r="J324" t="n">
        <v>1</v>
      </c>
      <c r="K324" t="n">
        <v>0</v>
      </c>
      <c r="L324" t="n">
        <v>0</v>
      </c>
      <c r="M324" t="n">
        <v>0</v>
      </c>
      <c r="N324" t="n">
        <v>0</v>
      </c>
      <c r="O324" t="n">
        <v>1</v>
      </c>
      <c r="P324" t="n">
        <v>0</v>
      </c>
      <c r="Q324" t="n">
        <v>1</v>
      </c>
      <c r="R324" s="2" t="inlineStr">
        <is>
          <t>Lunglav</t>
        </is>
      </c>
      <c r="S324">
        <f>HYPERLINK("https://klasma.github.io/Logging_2305/artfynd/A 34823-2024 artfynd.xlsx", "A 34823-2024")</f>
        <v/>
      </c>
      <c r="T324">
        <f>HYPERLINK("https://klasma.github.io/Logging_2305/kartor/A 34823-2024 karta.png", "A 34823-2024")</f>
        <v/>
      </c>
      <c r="V324">
        <f>HYPERLINK("https://klasma.github.io/Logging_2305/klagomål/A 34823-2024 FSC-klagomål.docx", "A 34823-2024")</f>
        <v/>
      </c>
      <c r="W324">
        <f>HYPERLINK("https://klasma.github.io/Logging_2305/klagomålsmail/A 34823-2024 FSC-klagomål mail.docx", "A 34823-2024")</f>
        <v/>
      </c>
      <c r="X324">
        <f>HYPERLINK("https://klasma.github.io/Logging_2305/tillsyn/A 34823-2024 tillsynsbegäran.docx", "A 34823-2024")</f>
        <v/>
      </c>
      <c r="Y324">
        <f>HYPERLINK("https://klasma.github.io/Logging_2305/tillsynsmail/A 34823-2024 tillsynsbegäran mail.docx", "A 34823-2024")</f>
        <v/>
      </c>
    </row>
    <row r="325" ht="15" customHeight="1">
      <c r="A325" t="inlineStr">
        <is>
          <t>A 36312-2024</t>
        </is>
      </c>
      <c r="B325" s="1" t="n">
        <v>45534</v>
      </c>
      <c r="C325" s="1" t="n">
        <v>45648</v>
      </c>
      <c r="D325" t="inlineStr">
        <is>
          <t>JÄMTLANDS LÄN</t>
        </is>
      </c>
      <c r="E325" t="inlineStr">
        <is>
          <t>BRÄCKE</t>
        </is>
      </c>
      <c r="F325" t="inlineStr">
        <is>
          <t>SCA</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HYPERLINK("https://klasma.github.io/Logging_2305/artfynd/A 36312-2024 artfynd.xlsx", "A 36312-2024")</f>
        <v/>
      </c>
      <c r="T325">
        <f>HYPERLINK("https://klasma.github.io/Logging_2305/kartor/A 36312-2024 karta.png", "A 36312-2024")</f>
        <v/>
      </c>
      <c r="V325">
        <f>HYPERLINK("https://klasma.github.io/Logging_2305/klagomål/A 36312-2024 FSC-klagomål.docx", "A 36312-2024")</f>
        <v/>
      </c>
      <c r="W325">
        <f>HYPERLINK("https://klasma.github.io/Logging_2305/klagomålsmail/A 36312-2024 FSC-klagomål mail.docx", "A 36312-2024")</f>
        <v/>
      </c>
      <c r="X325">
        <f>HYPERLINK("https://klasma.github.io/Logging_2305/tillsyn/A 36312-2024 tillsynsbegäran.docx", "A 36312-2024")</f>
        <v/>
      </c>
      <c r="Y325">
        <f>HYPERLINK("https://klasma.github.io/Logging_2305/tillsynsmail/A 36312-2024 tillsynsbegäran mail.docx", "A 36312-2024")</f>
        <v/>
      </c>
    </row>
    <row r="326" ht="15" customHeight="1">
      <c r="A326" t="inlineStr">
        <is>
          <t>A 40401-2024</t>
        </is>
      </c>
      <c r="B326" s="1" t="n">
        <v>45555</v>
      </c>
      <c r="C326" s="1" t="n">
        <v>45648</v>
      </c>
      <c r="D326" t="inlineStr">
        <is>
          <t>JÄMTLANDS LÄN</t>
        </is>
      </c>
      <c r="E326" t="inlineStr">
        <is>
          <t>BRÄCKE</t>
        </is>
      </c>
      <c r="F326" t="inlineStr">
        <is>
          <t>SCA</t>
        </is>
      </c>
      <c r="G326" t="n">
        <v>1.8</v>
      </c>
      <c r="H326" t="n">
        <v>0</v>
      </c>
      <c r="I326" t="n">
        <v>0</v>
      </c>
      <c r="J326" t="n">
        <v>1</v>
      </c>
      <c r="K326" t="n">
        <v>0</v>
      </c>
      <c r="L326" t="n">
        <v>0</v>
      </c>
      <c r="M326" t="n">
        <v>0</v>
      </c>
      <c r="N326" t="n">
        <v>0</v>
      </c>
      <c r="O326" t="n">
        <v>1</v>
      </c>
      <c r="P326" t="n">
        <v>0</v>
      </c>
      <c r="Q326" t="n">
        <v>1</v>
      </c>
      <c r="R326" s="2" t="inlineStr">
        <is>
          <t>Rosenticka</t>
        </is>
      </c>
      <c r="S326">
        <f>HYPERLINK("https://klasma.github.io/Logging_2305/artfynd/A 40401-2024 artfynd.xlsx", "A 40401-2024")</f>
        <v/>
      </c>
      <c r="T326">
        <f>HYPERLINK("https://klasma.github.io/Logging_2305/kartor/A 40401-2024 karta.png", "A 40401-2024")</f>
        <v/>
      </c>
      <c r="V326">
        <f>HYPERLINK("https://klasma.github.io/Logging_2305/klagomål/A 40401-2024 FSC-klagomål.docx", "A 40401-2024")</f>
        <v/>
      </c>
      <c r="W326">
        <f>HYPERLINK("https://klasma.github.io/Logging_2305/klagomålsmail/A 40401-2024 FSC-klagomål mail.docx", "A 40401-2024")</f>
        <v/>
      </c>
      <c r="X326">
        <f>HYPERLINK("https://klasma.github.io/Logging_2305/tillsyn/A 40401-2024 tillsynsbegäran.docx", "A 40401-2024")</f>
        <v/>
      </c>
      <c r="Y326">
        <f>HYPERLINK("https://klasma.github.io/Logging_2305/tillsynsmail/A 40401-2024 tillsynsbegäran mail.docx", "A 40401-2024")</f>
        <v/>
      </c>
    </row>
    <row r="327" ht="15" customHeight="1">
      <c r="A327" t="inlineStr">
        <is>
          <t>A 40869-2024</t>
        </is>
      </c>
      <c r="B327" s="1" t="n">
        <v>45558</v>
      </c>
      <c r="C327" s="1" t="n">
        <v>45648</v>
      </c>
      <c r="D327" t="inlineStr">
        <is>
          <t>JÄMTLANDS LÄN</t>
        </is>
      </c>
      <c r="E327" t="inlineStr">
        <is>
          <t>BRÄCKE</t>
        </is>
      </c>
      <c r="F327" t="inlineStr">
        <is>
          <t>Naturvårdsverket</t>
        </is>
      </c>
      <c r="G327" t="n">
        <v>1.8</v>
      </c>
      <c r="H327" t="n">
        <v>0</v>
      </c>
      <c r="I327" t="n">
        <v>0</v>
      </c>
      <c r="J327" t="n">
        <v>1</v>
      </c>
      <c r="K327" t="n">
        <v>0</v>
      </c>
      <c r="L327" t="n">
        <v>0</v>
      </c>
      <c r="M327" t="n">
        <v>0</v>
      </c>
      <c r="N327" t="n">
        <v>0</v>
      </c>
      <c r="O327" t="n">
        <v>1</v>
      </c>
      <c r="P327" t="n">
        <v>0</v>
      </c>
      <c r="Q327" t="n">
        <v>1</v>
      </c>
      <c r="R327" s="2" t="inlineStr">
        <is>
          <t>Lunglav</t>
        </is>
      </c>
      <c r="S327">
        <f>HYPERLINK("https://klasma.github.io/Logging_2305/artfynd/A 40869-2024 artfynd.xlsx", "A 40869-2024")</f>
        <v/>
      </c>
      <c r="T327">
        <f>HYPERLINK("https://klasma.github.io/Logging_2305/kartor/A 40869-2024 karta.png", "A 40869-2024")</f>
        <v/>
      </c>
      <c r="V327">
        <f>HYPERLINK("https://klasma.github.io/Logging_2305/klagomål/A 40869-2024 FSC-klagomål.docx", "A 40869-2024")</f>
        <v/>
      </c>
      <c r="W327">
        <f>HYPERLINK("https://klasma.github.io/Logging_2305/klagomålsmail/A 40869-2024 FSC-klagomål mail.docx", "A 40869-2024")</f>
        <v/>
      </c>
      <c r="X327">
        <f>HYPERLINK("https://klasma.github.io/Logging_2305/tillsyn/A 40869-2024 tillsynsbegäran.docx", "A 40869-2024")</f>
        <v/>
      </c>
      <c r="Y327">
        <f>HYPERLINK("https://klasma.github.io/Logging_2305/tillsynsmail/A 40869-2024 tillsynsbegäran mail.docx", "A 40869-2024")</f>
        <v/>
      </c>
    </row>
    <row r="328" ht="15" customHeight="1">
      <c r="A328" t="inlineStr">
        <is>
          <t>A 41486-2024</t>
        </is>
      </c>
      <c r="B328" s="1" t="n">
        <v>45560</v>
      </c>
      <c r="C328" s="1" t="n">
        <v>45648</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Lunglav</t>
        </is>
      </c>
      <c r="S328">
        <f>HYPERLINK("https://klasma.github.io/Logging_2305/artfynd/A 41486-2024 artfynd.xlsx", "A 41486-2024")</f>
        <v/>
      </c>
      <c r="T328">
        <f>HYPERLINK("https://klasma.github.io/Logging_2305/kartor/A 41486-2024 karta.png", "A 41486-2024")</f>
        <v/>
      </c>
      <c r="V328">
        <f>HYPERLINK("https://klasma.github.io/Logging_2305/klagomål/A 41486-2024 FSC-klagomål.docx", "A 41486-2024")</f>
        <v/>
      </c>
      <c r="W328">
        <f>HYPERLINK("https://klasma.github.io/Logging_2305/klagomålsmail/A 41486-2024 FSC-klagomål mail.docx", "A 41486-2024")</f>
        <v/>
      </c>
      <c r="X328">
        <f>HYPERLINK("https://klasma.github.io/Logging_2305/tillsyn/A 41486-2024 tillsynsbegäran.docx", "A 41486-2024")</f>
        <v/>
      </c>
      <c r="Y328">
        <f>HYPERLINK("https://klasma.github.io/Logging_2305/tillsynsmail/A 41486-2024 tillsynsbegäran mail.docx", "A 41486-2024")</f>
        <v/>
      </c>
    </row>
    <row r="329" ht="15" customHeight="1">
      <c r="A329" t="inlineStr">
        <is>
          <t>A 41906-2024</t>
        </is>
      </c>
      <c r="B329" s="1" t="n">
        <v>45561</v>
      </c>
      <c r="C329" s="1" t="n">
        <v>45648</v>
      </c>
      <c r="D329" t="inlineStr">
        <is>
          <t>JÄMTLANDS LÄN</t>
        </is>
      </c>
      <c r="E329" t="inlineStr">
        <is>
          <t>BRÄCKE</t>
        </is>
      </c>
      <c r="F329" t="inlineStr">
        <is>
          <t>SCA</t>
        </is>
      </c>
      <c r="G329" t="n">
        <v>7.9</v>
      </c>
      <c r="H329" t="n">
        <v>0</v>
      </c>
      <c r="I329" t="n">
        <v>0</v>
      </c>
      <c r="J329" t="n">
        <v>1</v>
      </c>
      <c r="K329" t="n">
        <v>0</v>
      </c>
      <c r="L329" t="n">
        <v>0</v>
      </c>
      <c r="M329" t="n">
        <v>0</v>
      </c>
      <c r="N329" t="n">
        <v>0</v>
      </c>
      <c r="O329" t="n">
        <v>1</v>
      </c>
      <c r="P329" t="n">
        <v>0</v>
      </c>
      <c r="Q329" t="n">
        <v>1</v>
      </c>
      <c r="R329" s="2" t="inlineStr">
        <is>
          <t>Blågrå svartspik</t>
        </is>
      </c>
      <c r="S329">
        <f>HYPERLINK("https://klasma.github.io/Logging_2305/artfynd/A 41906-2024 artfynd.xlsx", "A 41906-2024")</f>
        <v/>
      </c>
      <c r="T329">
        <f>HYPERLINK("https://klasma.github.io/Logging_2305/kartor/A 41906-2024 karta.png", "A 41906-2024")</f>
        <v/>
      </c>
      <c r="V329">
        <f>HYPERLINK("https://klasma.github.io/Logging_2305/klagomål/A 41906-2024 FSC-klagomål.docx", "A 41906-2024")</f>
        <v/>
      </c>
      <c r="W329">
        <f>HYPERLINK("https://klasma.github.io/Logging_2305/klagomålsmail/A 41906-2024 FSC-klagomål mail.docx", "A 41906-2024")</f>
        <v/>
      </c>
      <c r="X329">
        <f>HYPERLINK("https://klasma.github.io/Logging_2305/tillsyn/A 41906-2024 tillsynsbegäran.docx", "A 41906-2024")</f>
        <v/>
      </c>
      <c r="Y329">
        <f>HYPERLINK("https://klasma.github.io/Logging_2305/tillsynsmail/A 41906-2024 tillsynsbegäran mail.docx", "A 41906-2024")</f>
        <v/>
      </c>
    </row>
    <row r="330" ht="15" customHeight="1">
      <c r="A330" t="inlineStr">
        <is>
          <t>A 42015-2024</t>
        </is>
      </c>
      <c r="B330" s="1" t="n">
        <v>45561</v>
      </c>
      <c r="C330" s="1" t="n">
        <v>45648</v>
      </c>
      <c r="D330" t="inlineStr">
        <is>
          <t>JÄMTLANDS LÄN</t>
        </is>
      </c>
      <c r="E330" t="inlineStr">
        <is>
          <t>BRÄCKE</t>
        </is>
      </c>
      <c r="F330" t="inlineStr">
        <is>
          <t>SCA</t>
        </is>
      </c>
      <c r="G330" t="n">
        <v>1.4</v>
      </c>
      <c r="H330" t="n">
        <v>0</v>
      </c>
      <c r="I330" t="n">
        <v>0</v>
      </c>
      <c r="J330" t="n">
        <v>1</v>
      </c>
      <c r="K330" t="n">
        <v>0</v>
      </c>
      <c r="L330" t="n">
        <v>0</v>
      </c>
      <c r="M330" t="n">
        <v>0</v>
      </c>
      <c r="N330" t="n">
        <v>0</v>
      </c>
      <c r="O330" t="n">
        <v>1</v>
      </c>
      <c r="P330" t="n">
        <v>0</v>
      </c>
      <c r="Q330" t="n">
        <v>1</v>
      </c>
      <c r="R330" s="2" t="inlineStr">
        <is>
          <t>Dvärgbägarlav</t>
        </is>
      </c>
      <c r="S330">
        <f>HYPERLINK("https://klasma.github.io/Logging_2305/artfynd/A 42015-2024 artfynd.xlsx", "A 42015-2024")</f>
        <v/>
      </c>
      <c r="T330">
        <f>HYPERLINK("https://klasma.github.io/Logging_2305/kartor/A 42015-2024 karta.png", "A 42015-2024")</f>
        <v/>
      </c>
      <c r="V330">
        <f>HYPERLINK("https://klasma.github.io/Logging_2305/klagomål/A 42015-2024 FSC-klagomål.docx", "A 42015-2024")</f>
        <v/>
      </c>
      <c r="W330">
        <f>HYPERLINK("https://klasma.github.io/Logging_2305/klagomålsmail/A 42015-2024 FSC-klagomål mail.docx", "A 42015-2024")</f>
        <v/>
      </c>
      <c r="X330">
        <f>HYPERLINK("https://klasma.github.io/Logging_2305/tillsyn/A 42015-2024 tillsynsbegäran.docx", "A 42015-2024")</f>
        <v/>
      </c>
      <c r="Y330">
        <f>HYPERLINK("https://klasma.github.io/Logging_2305/tillsynsmail/A 42015-2024 tillsynsbegäran mail.docx", "A 42015-2024")</f>
        <v/>
      </c>
    </row>
    <row r="331" ht="15" customHeight="1">
      <c r="A331" t="inlineStr">
        <is>
          <t>A 45800-2024</t>
        </is>
      </c>
      <c r="B331" s="1" t="n">
        <v>45579</v>
      </c>
      <c r="C331" s="1" t="n">
        <v>45648</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Garnlav</t>
        </is>
      </c>
      <c r="S331">
        <f>HYPERLINK("https://klasma.github.io/Logging_2305/artfynd/A 45800-2024 artfynd.xlsx", "A 45800-2024")</f>
        <v/>
      </c>
      <c r="T331">
        <f>HYPERLINK("https://klasma.github.io/Logging_2305/kartor/A 45800-2024 karta.png", "A 45800-2024")</f>
        <v/>
      </c>
      <c r="V331">
        <f>HYPERLINK("https://klasma.github.io/Logging_2305/klagomål/A 45800-2024 FSC-klagomål.docx", "A 45800-2024")</f>
        <v/>
      </c>
      <c r="W331">
        <f>HYPERLINK("https://klasma.github.io/Logging_2305/klagomålsmail/A 45800-2024 FSC-klagomål mail.docx", "A 45800-2024")</f>
        <v/>
      </c>
      <c r="X331">
        <f>HYPERLINK("https://klasma.github.io/Logging_2305/tillsyn/A 45800-2024 tillsynsbegäran.docx", "A 45800-2024")</f>
        <v/>
      </c>
      <c r="Y331">
        <f>HYPERLINK("https://klasma.github.io/Logging_2305/tillsynsmail/A 45800-2024 tillsynsbegäran mail.docx", "A 45800-2024")</f>
        <v/>
      </c>
    </row>
    <row r="332" ht="15" customHeight="1">
      <c r="A332" t="inlineStr">
        <is>
          <t>A 47787-2024</t>
        </is>
      </c>
      <c r="B332" s="1" t="n">
        <v>45588</v>
      </c>
      <c r="C332" s="1" t="n">
        <v>45648</v>
      </c>
      <c r="D332" t="inlineStr">
        <is>
          <t>JÄMTLANDS LÄN</t>
        </is>
      </c>
      <c r="E332" t="inlineStr">
        <is>
          <t>BRÄCKE</t>
        </is>
      </c>
      <c r="F332" t="inlineStr">
        <is>
          <t>SCA</t>
        </is>
      </c>
      <c r="G332" t="n">
        <v>25.2</v>
      </c>
      <c r="H332" t="n">
        <v>0</v>
      </c>
      <c r="I332" t="n">
        <v>0</v>
      </c>
      <c r="J332" t="n">
        <v>1</v>
      </c>
      <c r="K332" t="n">
        <v>0</v>
      </c>
      <c r="L332" t="n">
        <v>0</v>
      </c>
      <c r="M332" t="n">
        <v>0</v>
      </c>
      <c r="N332" t="n">
        <v>0</v>
      </c>
      <c r="O332" t="n">
        <v>1</v>
      </c>
      <c r="P332" t="n">
        <v>0</v>
      </c>
      <c r="Q332" t="n">
        <v>1</v>
      </c>
      <c r="R332" s="2" t="inlineStr">
        <is>
          <t>Lunglav</t>
        </is>
      </c>
      <c r="S332">
        <f>HYPERLINK("https://klasma.github.io/Logging_2305/artfynd/A 47787-2024 artfynd.xlsx", "A 47787-2024")</f>
        <v/>
      </c>
      <c r="T332">
        <f>HYPERLINK("https://klasma.github.io/Logging_2305/kartor/A 47787-2024 karta.png", "A 47787-2024")</f>
        <v/>
      </c>
      <c r="U332">
        <f>HYPERLINK("https://klasma.github.io/Logging_2305/knärot/A 47787-2024 karta knärot.png", "A 47787-2024")</f>
        <v/>
      </c>
      <c r="V332">
        <f>HYPERLINK("https://klasma.github.io/Logging_2305/klagomål/A 47787-2024 FSC-klagomål.docx", "A 47787-2024")</f>
        <v/>
      </c>
      <c r="W332">
        <f>HYPERLINK("https://klasma.github.io/Logging_2305/klagomålsmail/A 47787-2024 FSC-klagomål mail.docx", "A 47787-2024")</f>
        <v/>
      </c>
      <c r="X332">
        <f>HYPERLINK("https://klasma.github.io/Logging_2305/tillsyn/A 47787-2024 tillsynsbegäran.docx", "A 47787-2024")</f>
        <v/>
      </c>
      <c r="Y332">
        <f>HYPERLINK("https://klasma.github.io/Logging_2305/tillsynsmail/A 47787-2024 tillsynsbegäran mail.docx", "A 47787-2024")</f>
        <v/>
      </c>
    </row>
    <row r="333" ht="15" customHeight="1">
      <c r="A333" t="inlineStr">
        <is>
          <t>A 51910-2024</t>
        </is>
      </c>
      <c r="B333" s="1" t="n">
        <v>45607</v>
      </c>
      <c r="C333" s="1" t="n">
        <v>45648</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Slåtterfibbla</t>
        </is>
      </c>
      <c r="S333">
        <f>HYPERLINK("https://klasma.github.io/Logging_2305/artfynd/A 51910-2024 artfynd.xlsx", "A 51910-2024")</f>
        <v/>
      </c>
      <c r="T333">
        <f>HYPERLINK("https://klasma.github.io/Logging_2305/kartor/A 51910-2024 karta.png", "A 51910-2024")</f>
        <v/>
      </c>
      <c r="V333">
        <f>HYPERLINK("https://klasma.github.io/Logging_2305/klagomål/A 51910-2024 FSC-klagomål.docx", "A 51910-2024")</f>
        <v/>
      </c>
      <c r="W333">
        <f>HYPERLINK("https://klasma.github.io/Logging_2305/klagomålsmail/A 51910-2024 FSC-klagomål mail.docx", "A 51910-2024")</f>
        <v/>
      </c>
      <c r="X333">
        <f>HYPERLINK("https://klasma.github.io/Logging_2305/tillsyn/A 51910-2024 tillsynsbegäran.docx", "A 51910-2024")</f>
        <v/>
      </c>
      <c r="Y333">
        <f>HYPERLINK("https://klasma.github.io/Logging_2305/tillsynsmail/A 51910-2024 tillsynsbegäran mail.docx", "A 51910-2024")</f>
        <v/>
      </c>
    </row>
    <row r="334" ht="15" customHeight="1">
      <c r="A334" t="inlineStr">
        <is>
          <t>A 51834-2024</t>
        </is>
      </c>
      <c r="B334" s="1" t="n">
        <v>45607</v>
      </c>
      <c r="C334" s="1" t="n">
        <v>45648</v>
      </c>
      <c r="D334" t="inlineStr">
        <is>
          <t>JÄMTLANDS LÄN</t>
        </is>
      </c>
      <c r="E334" t="inlineStr">
        <is>
          <t>BRÄCKE</t>
        </is>
      </c>
      <c r="G334" t="n">
        <v>4.9</v>
      </c>
      <c r="H334" t="n">
        <v>1</v>
      </c>
      <c r="I334" t="n">
        <v>0</v>
      </c>
      <c r="J334" t="n">
        <v>0</v>
      </c>
      <c r="K334" t="n">
        <v>1</v>
      </c>
      <c r="L334" t="n">
        <v>0</v>
      </c>
      <c r="M334" t="n">
        <v>0</v>
      </c>
      <c r="N334" t="n">
        <v>0</v>
      </c>
      <c r="O334" t="n">
        <v>1</v>
      </c>
      <c r="P334" t="n">
        <v>1</v>
      </c>
      <c r="Q334" t="n">
        <v>1</v>
      </c>
      <c r="R334" s="2" t="inlineStr">
        <is>
          <t>Knärot</t>
        </is>
      </c>
      <c r="S334">
        <f>HYPERLINK("https://klasma.github.io/Logging_2305/artfynd/A 51834-2024 artfynd.xlsx", "A 51834-2024")</f>
        <v/>
      </c>
      <c r="T334">
        <f>HYPERLINK("https://klasma.github.io/Logging_2305/kartor/A 51834-2024 karta.png", "A 51834-2024")</f>
        <v/>
      </c>
      <c r="U334">
        <f>HYPERLINK("https://klasma.github.io/Logging_2305/knärot/A 51834-2024 karta knärot.png", "A 51834-2024")</f>
        <v/>
      </c>
      <c r="V334">
        <f>HYPERLINK("https://klasma.github.io/Logging_2305/klagomål/A 51834-2024 FSC-klagomål.docx", "A 51834-2024")</f>
        <v/>
      </c>
      <c r="W334">
        <f>HYPERLINK("https://klasma.github.io/Logging_2305/klagomålsmail/A 51834-2024 FSC-klagomål mail.docx", "A 51834-2024")</f>
        <v/>
      </c>
      <c r="X334">
        <f>HYPERLINK("https://klasma.github.io/Logging_2305/tillsyn/A 51834-2024 tillsynsbegäran.docx", "A 51834-2024")</f>
        <v/>
      </c>
      <c r="Y334">
        <f>HYPERLINK("https://klasma.github.io/Logging_2305/tillsynsmail/A 51834-2024 tillsynsbegäran mail.docx", "A 51834-2024")</f>
        <v/>
      </c>
    </row>
    <row r="335" ht="15" customHeight="1">
      <c r="A335" t="inlineStr">
        <is>
          <t>A 53832-2024</t>
        </is>
      </c>
      <c r="B335" s="1" t="n">
        <v>45615</v>
      </c>
      <c r="C335" s="1" t="n">
        <v>45648</v>
      </c>
      <c r="D335" t="inlineStr">
        <is>
          <t>JÄMTLANDS LÄN</t>
        </is>
      </c>
      <c r="E335" t="inlineStr">
        <is>
          <t>BRÄCKE</t>
        </is>
      </c>
      <c r="F335" t="inlineStr">
        <is>
          <t>SCA</t>
        </is>
      </c>
      <c r="G335" t="n">
        <v>4</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53832-2024 artfynd.xlsx", "A 53832-2024")</f>
        <v/>
      </c>
      <c r="T335">
        <f>HYPERLINK("https://klasma.github.io/Logging_2305/kartor/A 53832-2024 karta.png", "A 53832-2024")</f>
        <v/>
      </c>
      <c r="V335">
        <f>HYPERLINK("https://klasma.github.io/Logging_2305/klagomål/A 53832-2024 FSC-klagomål.docx", "A 53832-2024")</f>
        <v/>
      </c>
      <c r="W335">
        <f>HYPERLINK("https://klasma.github.io/Logging_2305/klagomålsmail/A 53832-2024 FSC-klagomål mail.docx", "A 53832-2024")</f>
        <v/>
      </c>
      <c r="X335">
        <f>HYPERLINK("https://klasma.github.io/Logging_2305/tillsyn/A 53832-2024 tillsynsbegäran.docx", "A 53832-2024")</f>
        <v/>
      </c>
      <c r="Y335">
        <f>HYPERLINK("https://klasma.github.io/Logging_2305/tillsynsmail/A 53832-2024 tillsynsbegäran mail.docx", "A 53832-2024")</f>
        <v/>
      </c>
    </row>
    <row r="336" ht="15" customHeight="1">
      <c r="A336" t="inlineStr">
        <is>
          <t>A 55802-2024</t>
        </is>
      </c>
      <c r="B336" s="1" t="n">
        <v>45623</v>
      </c>
      <c r="C336" s="1" t="n">
        <v>45648</v>
      </c>
      <c r="D336" t="inlineStr">
        <is>
          <t>JÄMTLANDS LÄN</t>
        </is>
      </c>
      <c r="E336" t="inlineStr">
        <is>
          <t>BRÄCKE</t>
        </is>
      </c>
      <c r="F336" t="inlineStr">
        <is>
          <t>SCA</t>
        </is>
      </c>
      <c r="G336" t="n">
        <v>2.1</v>
      </c>
      <c r="H336" t="n">
        <v>0</v>
      </c>
      <c r="I336" t="n">
        <v>0</v>
      </c>
      <c r="J336" t="n">
        <v>1</v>
      </c>
      <c r="K336" t="n">
        <v>0</v>
      </c>
      <c r="L336" t="n">
        <v>0</v>
      </c>
      <c r="M336" t="n">
        <v>0</v>
      </c>
      <c r="N336" t="n">
        <v>0</v>
      </c>
      <c r="O336" t="n">
        <v>1</v>
      </c>
      <c r="P336" t="n">
        <v>0</v>
      </c>
      <c r="Q336" t="n">
        <v>1</v>
      </c>
      <c r="R336" s="2" t="inlineStr">
        <is>
          <t>Granticka</t>
        </is>
      </c>
      <c r="S336">
        <f>HYPERLINK("https://klasma.github.io/Logging_2305/artfynd/A 55802-2024 artfynd.xlsx", "A 55802-2024")</f>
        <v/>
      </c>
      <c r="T336">
        <f>HYPERLINK("https://klasma.github.io/Logging_2305/kartor/A 55802-2024 karta.png", "A 55802-2024")</f>
        <v/>
      </c>
      <c r="V336">
        <f>HYPERLINK("https://klasma.github.io/Logging_2305/klagomål/A 55802-2024 FSC-klagomål.docx", "A 55802-2024")</f>
        <v/>
      </c>
      <c r="W336">
        <f>HYPERLINK("https://klasma.github.io/Logging_2305/klagomålsmail/A 55802-2024 FSC-klagomål mail.docx", "A 55802-2024")</f>
        <v/>
      </c>
      <c r="X336">
        <f>HYPERLINK("https://klasma.github.io/Logging_2305/tillsyn/A 55802-2024 tillsynsbegäran.docx", "A 55802-2024")</f>
        <v/>
      </c>
      <c r="Y336">
        <f>HYPERLINK("https://klasma.github.io/Logging_2305/tillsynsmail/A 55802-2024 tillsynsbegäran mail.docx", "A 55802-2024")</f>
        <v/>
      </c>
    </row>
    <row r="337" ht="15" customHeight="1">
      <c r="A337" t="inlineStr">
        <is>
          <t>A 56156-2024</t>
        </is>
      </c>
      <c r="B337" s="1" t="n">
        <v>45624</v>
      </c>
      <c r="C337" s="1" t="n">
        <v>45648</v>
      </c>
      <c r="D337" t="inlineStr">
        <is>
          <t>JÄMTLANDS LÄN</t>
        </is>
      </c>
      <c r="E337" t="inlineStr">
        <is>
          <t>BRÄCKE</t>
        </is>
      </c>
      <c r="F337" t="inlineStr">
        <is>
          <t>SCA</t>
        </is>
      </c>
      <c r="G337" t="n">
        <v>4.4</v>
      </c>
      <c r="H337" t="n">
        <v>0</v>
      </c>
      <c r="I337" t="n">
        <v>0</v>
      </c>
      <c r="J337" t="n">
        <v>1</v>
      </c>
      <c r="K337" t="n">
        <v>0</v>
      </c>
      <c r="L337" t="n">
        <v>0</v>
      </c>
      <c r="M337" t="n">
        <v>0</v>
      </c>
      <c r="N337" t="n">
        <v>0</v>
      </c>
      <c r="O337" t="n">
        <v>1</v>
      </c>
      <c r="P337" t="n">
        <v>0</v>
      </c>
      <c r="Q337" t="n">
        <v>1</v>
      </c>
      <c r="R337" s="2" t="inlineStr">
        <is>
          <t>Flattoppad klubbsvamp</t>
        </is>
      </c>
      <c r="S337">
        <f>HYPERLINK("https://klasma.github.io/Logging_2305/artfynd/A 56156-2024 artfynd.xlsx", "A 56156-2024")</f>
        <v/>
      </c>
      <c r="T337">
        <f>HYPERLINK("https://klasma.github.io/Logging_2305/kartor/A 56156-2024 karta.png", "A 56156-2024")</f>
        <v/>
      </c>
      <c r="V337">
        <f>HYPERLINK("https://klasma.github.io/Logging_2305/klagomål/A 56156-2024 FSC-klagomål.docx", "A 56156-2024")</f>
        <v/>
      </c>
      <c r="W337">
        <f>HYPERLINK("https://klasma.github.io/Logging_2305/klagomålsmail/A 56156-2024 FSC-klagomål mail.docx", "A 56156-2024")</f>
        <v/>
      </c>
      <c r="X337">
        <f>HYPERLINK("https://klasma.github.io/Logging_2305/tillsyn/A 56156-2024 tillsynsbegäran.docx", "A 56156-2024")</f>
        <v/>
      </c>
      <c r="Y337">
        <f>HYPERLINK("https://klasma.github.io/Logging_2305/tillsynsmail/A 56156-2024 tillsynsbegäran mail.docx", "A 56156-2024")</f>
        <v/>
      </c>
    </row>
    <row r="338" ht="15" customHeight="1">
      <c r="A338" t="inlineStr">
        <is>
          <t>A 57095-2024</t>
        </is>
      </c>
      <c r="B338" s="1" t="n">
        <v>45629</v>
      </c>
      <c r="C338" s="1" t="n">
        <v>45648</v>
      </c>
      <c r="D338" t="inlineStr">
        <is>
          <t>JÄMTLANDS LÄN</t>
        </is>
      </c>
      <c r="E338" t="inlineStr">
        <is>
          <t>BRÄCKE</t>
        </is>
      </c>
      <c r="F338" t="inlineStr">
        <is>
          <t>SCA</t>
        </is>
      </c>
      <c r="G338" t="n">
        <v>6.3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57095-2024 artfynd.xlsx", "A 57095-2024")</f>
        <v/>
      </c>
      <c r="T338">
        <f>HYPERLINK("https://klasma.github.io/Logging_2305/kartor/A 57095-2024 karta.png", "A 57095-2024")</f>
        <v/>
      </c>
      <c r="V338">
        <f>HYPERLINK("https://klasma.github.io/Logging_2305/klagomål/A 57095-2024 FSC-klagomål.docx", "A 57095-2024")</f>
        <v/>
      </c>
      <c r="W338">
        <f>HYPERLINK("https://klasma.github.io/Logging_2305/klagomålsmail/A 57095-2024 FSC-klagomål mail.docx", "A 57095-2024")</f>
        <v/>
      </c>
      <c r="X338">
        <f>HYPERLINK("https://klasma.github.io/Logging_2305/tillsyn/A 57095-2024 tillsynsbegäran.docx", "A 57095-2024")</f>
        <v/>
      </c>
      <c r="Y338">
        <f>HYPERLINK("https://klasma.github.io/Logging_2305/tillsynsmail/A 57095-2024 tillsynsbegäran mail.docx", "A 57095-2024")</f>
        <v/>
      </c>
    </row>
    <row r="339" ht="15" customHeight="1">
      <c r="A339" t="inlineStr">
        <is>
          <t>A 57553-2024</t>
        </is>
      </c>
      <c r="B339" s="1" t="n">
        <v>45630</v>
      </c>
      <c r="C339" s="1" t="n">
        <v>45648</v>
      </c>
      <c r="D339" t="inlineStr">
        <is>
          <t>JÄMTLANDS LÄN</t>
        </is>
      </c>
      <c r="E339" t="inlineStr">
        <is>
          <t>BRÄCKE</t>
        </is>
      </c>
      <c r="F339" t="inlineStr">
        <is>
          <t>SCA</t>
        </is>
      </c>
      <c r="G339" t="n">
        <v>8</v>
      </c>
      <c r="H339" t="n">
        <v>0</v>
      </c>
      <c r="I339" t="n">
        <v>0</v>
      </c>
      <c r="J339" t="n">
        <v>1</v>
      </c>
      <c r="K339" t="n">
        <v>0</v>
      </c>
      <c r="L339" t="n">
        <v>0</v>
      </c>
      <c r="M339" t="n">
        <v>0</v>
      </c>
      <c r="N339" t="n">
        <v>0</v>
      </c>
      <c r="O339" t="n">
        <v>1</v>
      </c>
      <c r="P339" t="n">
        <v>0</v>
      </c>
      <c r="Q339" t="n">
        <v>1</v>
      </c>
      <c r="R339" s="2" t="inlineStr">
        <is>
          <t>Lunglav</t>
        </is>
      </c>
      <c r="S339">
        <f>HYPERLINK("https://klasma.github.io/Logging_2305/artfynd/A 57553-2024 artfynd.xlsx", "A 57553-2024")</f>
        <v/>
      </c>
      <c r="T339">
        <f>HYPERLINK("https://klasma.github.io/Logging_2305/kartor/A 57553-2024 karta.png", "A 57553-2024")</f>
        <v/>
      </c>
      <c r="V339">
        <f>HYPERLINK("https://klasma.github.io/Logging_2305/klagomål/A 57553-2024 FSC-klagomål.docx", "A 57553-2024")</f>
        <v/>
      </c>
      <c r="W339">
        <f>HYPERLINK("https://klasma.github.io/Logging_2305/klagomålsmail/A 57553-2024 FSC-klagomål mail.docx", "A 57553-2024")</f>
        <v/>
      </c>
      <c r="X339">
        <f>HYPERLINK("https://klasma.github.io/Logging_2305/tillsyn/A 57553-2024 tillsynsbegäran.docx", "A 57553-2024")</f>
        <v/>
      </c>
      <c r="Y339">
        <f>HYPERLINK("https://klasma.github.io/Logging_2305/tillsynsmail/A 57553-2024 tillsynsbegäran mail.docx", "A 57553-2024")</f>
        <v/>
      </c>
    </row>
    <row r="340" ht="15" customHeight="1">
      <c r="A340" t="inlineStr">
        <is>
          <t>A 59431-2024</t>
        </is>
      </c>
      <c r="B340" s="1" t="n">
        <v>45638</v>
      </c>
      <c r="C340" s="1" t="n">
        <v>45648</v>
      </c>
      <c r="D340" t="inlineStr">
        <is>
          <t>JÄMTLANDS LÄN</t>
        </is>
      </c>
      <c r="E340" t="inlineStr">
        <is>
          <t>BRÄCKE</t>
        </is>
      </c>
      <c r="F340" t="inlineStr">
        <is>
          <t>SCA</t>
        </is>
      </c>
      <c r="G340" t="n">
        <v>3.9</v>
      </c>
      <c r="H340" t="n">
        <v>0</v>
      </c>
      <c r="I340" t="n">
        <v>1</v>
      </c>
      <c r="J340" t="n">
        <v>0</v>
      </c>
      <c r="K340" t="n">
        <v>0</v>
      </c>
      <c r="L340" t="n">
        <v>0</v>
      </c>
      <c r="M340" t="n">
        <v>0</v>
      </c>
      <c r="N340" t="n">
        <v>0</v>
      </c>
      <c r="O340" t="n">
        <v>0</v>
      </c>
      <c r="P340" t="n">
        <v>0</v>
      </c>
      <c r="Q340" t="n">
        <v>1</v>
      </c>
      <c r="R340" s="2" t="inlineStr">
        <is>
          <t>Vedticka</t>
        </is>
      </c>
      <c r="S340">
        <f>HYPERLINK("https://klasma.github.io/Logging_2305/artfynd/A 59431-2024 artfynd.xlsx", "A 59431-2024")</f>
        <v/>
      </c>
      <c r="T340">
        <f>HYPERLINK("https://klasma.github.io/Logging_2305/kartor/A 59431-2024 karta.png", "A 59431-2024")</f>
        <v/>
      </c>
      <c r="V340">
        <f>HYPERLINK("https://klasma.github.io/Logging_2305/klagomål/A 59431-2024 FSC-klagomål.docx", "A 59431-2024")</f>
        <v/>
      </c>
      <c r="W340">
        <f>HYPERLINK("https://klasma.github.io/Logging_2305/klagomålsmail/A 59431-2024 FSC-klagomål mail.docx", "A 59431-2024")</f>
        <v/>
      </c>
      <c r="X340">
        <f>HYPERLINK("https://klasma.github.io/Logging_2305/tillsyn/A 59431-2024 tillsynsbegäran.docx", "A 59431-2024")</f>
        <v/>
      </c>
      <c r="Y340">
        <f>HYPERLINK("https://klasma.github.io/Logging_2305/tillsynsmail/A 59431-2024 tillsynsbegäran mail.docx", "A 59431-2024")</f>
        <v/>
      </c>
    </row>
    <row r="341" ht="15" customHeight="1">
      <c r="A341" t="inlineStr">
        <is>
          <t>A 60693-2024</t>
        </is>
      </c>
      <c r="B341" s="1" t="n">
        <v>45644</v>
      </c>
      <c r="C341" s="1" t="n">
        <v>45648</v>
      </c>
      <c r="D341" t="inlineStr">
        <is>
          <t>JÄMTLANDS LÄN</t>
        </is>
      </c>
      <c r="E341" t="inlineStr">
        <is>
          <t>BRÄCKE</t>
        </is>
      </c>
      <c r="G341" t="n">
        <v>13.5</v>
      </c>
      <c r="H341" t="n">
        <v>1</v>
      </c>
      <c r="I341" t="n">
        <v>0</v>
      </c>
      <c r="J341" t="n">
        <v>0</v>
      </c>
      <c r="K341" t="n">
        <v>1</v>
      </c>
      <c r="L341" t="n">
        <v>0</v>
      </c>
      <c r="M341" t="n">
        <v>0</v>
      </c>
      <c r="N341" t="n">
        <v>0</v>
      </c>
      <c r="O341" t="n">
        <v>1</v>
      </c>
      <c r="P341" t="n">
        <v>1</v>
      </c>
      <c r="Q341" t="n">
        <v>1</v>
      </c>
      <c r="R341" s="2" t="inlineStr">
        <is>
          <t>Knärot</t>
        </is>
      </c>
      <c r="S341">
        <f>HYPERLINK("https://klasma.github.io/Logging_2305/artfynd/A 60693-2024 artfynd.xlsx", "A 60693-2024")</f>
        <v/>
      </c>
      <c r="T341">
        <f>HYPERLINK("https://klasma.github.io/Logging_2305/kartor/A 60693-2024 karta.png", "A 60693-2024")</f>
        <v/>
      </c>
      <c r="U341">
        <f>HYPERLINK("https://klasma.github.io/Logging_2305/knärot/A 60693-2024 karta knärot.png", "A 60693-2024")</f>
        <v/>
      </c>
      <c r="V341">
        <f>HYPERLINK("https://klasma.github.io/Logging_2305/klagomål/A 60693-2024 FSC-klagomål.docx", "A 60693-2024")</f>
        <v/>
      </c>
      <c r="W341">
        <f>HYPERLINK("https://klasma.github.io/Logging_2305/klagomålsmail/A 60693-2024 FSC-klagomål mail.docx", "A 60693-2024")</f>
        <v/>
      </c>
      <c r="X341">
        <f>HYPERLINK("https://klasma.github.io/Logging_2305/tillsyn/A 60693-2024 tillsynsbegäran.docx", "A 60693-2024")</f>
        <v/>
      </c>
      <c r="Y341">
        <f>HYPERLINK("https://klasma.github.io/Logging_2305/tillsynsmail/A 60693-2024 tillsynsbegäran mail.docx", "A 60693-2024")</f>
        <v/>
      </c>
    </row>
    <row r="342" ht="15" customHeight="1">
      <c r="A342" t="inlineStr">
        <is>
          <t>A 17852-2019</t>
        </is>
      </c>
      <c r="B342" s="1" t="n">
        <v>43556</v>
      </c>
      <c r="C342" s="1" t="n">
        <v>45648</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19559-2019</t>
        </is>
      </c>
      <c r="B343" s="1" t="n">
        <v>43565</v>
      </c>
      <c r="C343" s="1" t="n">
        <v>45648</v>
      </c>
      <c r="D343" t="inlineStr">
        <is>
          <t>JÄMTLANDS LÄN</t>
        </is>
      </c>
      <c r="E343" t="inlineStr">
        <is>
          <t>BRÄCKE</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19925-2019</t>
        </is>
      </c>
      <c r="B344" s="1" t="n">
        <v>43567</v>
      </c>
      <c r="C344" s="1" t="n">
        <v>45648</v>
      </c>
      <c r="D344" t="inlineStr">
        <is>
          <t>JÄMTLANDS LÄN</t>
        </is>
      </c>
      <c r="E344" t="inlineStr">
        <is>
          <t>BRÄCKE</t>
        </is>
      </c>
      <c r="F344" t="inlineStr">
        <is>
          <t>SCA</t>
        </is>
      </c>
      <c r="G344" t="n">
        <v>20</v>
      </c>
      <c r="H344" t="n">
        <v>0</v>
      </c>
      <c r="I344" t="n">
        <v>0</v>
      </c>
      <c r="J344" t="n">
        <v>0</v>
      </c>
      <c r="K344" t="n">
        <v>0</v>
      </c>
      <c r="L344" t="n">
        <v>0</v>
      </c>
      <c r="M344" t="n">
        <v>0</v>
      </c>
      <c r="N344" t="n">
        <v>0</v>
      </c>
      <c r="O344" t="n">
        <v>0</v>
      </c>
      <c r="P344" t="n">
        <v>0</v>
      </c>
      <c r="Q344" t="n">
        <v>0</v>
      </c>
      <c r="R344" s="2" t="inlineStr"/>
    </row>
    <row r="345" ht="15" customHeight="1">
      <c r="A345" t="inlineStr">
        <is>
          <t>A 19927-2019</t>
        </is>
      </c>
      <c r="B345" s="1" t="n">
        <v>43567</v>
      </c>
      <c r="C345" s="1" t="n">
        <v>45648</v>
      </c>
      <c r="D345" t="inlineStr">
        <is>
          <t>JÄMTLANDS LÄN</t>
        </is>
      </c>
      <c r="E345" t="inlineStr">
        <is>
          <t>BRÄCKE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19926-2019</t>
        </is>
      </c>
      <c r="B346" s="1" t="n">
        <v>43567</v>
      </c>
      <c r="C346" s="1" t="n">
        <v>45648</v>
      </c>
      <c r="D346" t="inlineStr">
        <is>
          <t>JÄMTLANDS LÄN</t>
        </is>
      </c>
      <c r="E346" t="inlineStr">
        <is>
          <t>BRÄCKE</t>
        </is>
      </c>
      <c r="F346" t="inlineStr">
        <is>
          <t>SCA</t>
        </is>
      </c>
      <c r="G346" t="n">
        <v>18.6</v>
      </c>
      <c r="H346" t="n">
        <v>0</v>
      </c>
      <c r="I346" t="n">
        <v>0</v>
      </c>
      <c r="J346" t="n">
        <v>0</v>
      </c>
      <c r="K346" t="n">
        <v>0</v>
      </c>
      <c r="L346" t="n">
        <v>0</v>
      </c>
      <c r="M346" t="n">
        <v>0</v>
      </c>
      <c r="N346" t="n">
        <v>0</v>
      </c>
      <c r="O346" t="n">
        <v>0</v>
      </c>
      <c r="P346" t="n">
        <v>0</v>
      </c>
      <c r="Q346" t="n">
        <v>0</v>
      </c>
      <c r="R346" s="2" t="inlineStr"/>
    </row>
    <row r="347" ht="15" customHeight="1">
      <c r="A347" t="inlineStr">
        <is>
          <t>A 20186-2019</t>
        </is>
      </c>
      <c r="B347" s="1" t="n">
        <v>43570</v>
      </c>
      <c r="C347" s="1" t="n">
        <v>45648</v>
      </c>
      <c r="D347" t="inlineStr">
        <is>
          <t>JÄMTLANDS LÄN</t>
        </is>
      </c>
      <c r="E347" t="inlineStr">
        <is>
          <t>BRÄCKE</t>
        </is>
      </c>
      <c r="G347" t="n">
        <v>2.1</v>
      </c>
      <c r="H347" t="n">
        <v>0</v>
      </c>
      <c r="I347" t="n">
        <v>0</v>
      </c>
      <c r="J347" t="n">
        <v>0</v>
      </c>
      <c r="K347" t="n">
        <v>0</v>
      </c>
      <c r="L347" t="n">
        <v>0</v>
      </c>
      <c r="M347" t="n">
        <v>0</v>
      </c>
      <c r="N347" t="n">
        <v>0</v>
      </c>
      <c r="O347" t="n">
        <v>0</v>
      </c>
      <c r="P347" t="n">
        <v>0</v>
      </c>
      <c r="Q347" t="n">
        <v>0</v>
      </c>
      <c r="R347" s="2" t="inlineStr"/>
    </row>
    <row r="348" ht="15" customHeight="1">
      <c r="A348" t="inlineStr">
        <is>
          <t>A 20390-2019</t>
        </is>
      </c>
      <c r="B348" s="1" t="n">
        <v>43571</v>
      </c>
      <c r="C348" s="1" t="n">
        <v>45648</v>
      </c>
      <c r="D348" t="inlineStr">
        <is>
          <t>JÄMTLANDS LÄN</t>
        </is>
      </c>
      <c r="E348" t="inlineStr">
        <is>
          <t>BRÄCKE</t>
        </is>
      </c>
      <c r="G348" t="n">
        <v>3</v>
      </c>
      <c r="H348" t="n">
        <v>0</v>
      </c>
      <c r="I348" t="n">
        <v>0</v>
      </c>
      <c r="J348" t="n">
        <v>0</v>
      </c>
      <c r="K348" t="n">
        <v>0</v>
      </c>
      <c r="L348" t="n">
        <v>0</v>
      </c>
      <c r="M348" t="n">
        <v>0</v>
      </c>
      <c r="N348" t="n">
        <v>0</v>
      </c>
      <c r="O348" t="n">
        <v>0</v>
      </c>
      <c r="P348" t="n">
        <v>0</v>
      </c>
      <c r="Q348" t="n">
        <v>0</v>
      </c>
      <c r="R348" s="2" t="inlineStr"/>
    </row>
    <row r="349" ht="15" customHeight="1">
      <c r="A349" t="inlineStr">
        <is>
          <t>A 20448-2019</t>
        </is>
      </c>
      <c r="B349" s="1" t="n">
        <v>43571</v>
      </c>
      <c r="C349" s="1" t="n">
        <v>45648</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20539-2019</t>
        </is>
      </c>
      <c r="B350" s="1" t="n">
        <v>43572</v>
      </c>
      <c r="C350" s="1" t="n">
        <v>45648</v>
      </c>
      <c r="D350" t="inlineStr">
        <is>
          <t>JÄMTLANDS LÄN</t>
        </is>
      </c>
      <c r="E350" t="inlineStr">
        <is>
          <t>BRÄCKE</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20535-2019</t>
        </is>
      </c>
      <c r="B351" s="1" t="n">
        <v>43572</v>
      </c>
      <c r="C351" s="1" t="n">
        <v>45648</v>
      </c>
      <c r="D351" t="inlineStr">
        <is>
          <t>JÄMTLANDS LÄN</t>
        </is>
      </c>
      <c r="E351" t="inlineStr">
        <is>
          <t>BRÄCKE</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20827-2019</t>
        </is>
      </c>
      <c r="B352" s="1" t="n">
        <v>43573</v>
      </c>
      <c r="C352" s="1" t="n">
        <v>45648</v>
      </c>
      <c r="D352" t="inlineStr">
        <is>
          <t>JÄMTLANDS LÄN</t>
        </is>
      </c>
      <c r="E352" t="inlineStr">
        <is>
          <t>BRÄCKE</t>
        </is>
      </c>
      <c r="F352" t="inlineStr">
        <is>
          <t>SCA</t>
        </is>
      </c>
      <c r="G352" t="n">
        <v>40.9</v>
      </c>
      <c r="H352" t="n">
        <v>0</v>
      </c>
      <c r="I352" t="n">
        <v>0</v>
      </c>
      <c r="J352" t="n">
        <v>0</v>
      </c>
      <c r="K352" t="n">
        <v>0</v>
      </c>
      <c r="L352" t="n">
        <v>0</v>
      </c>
      <c r="M352" t="n">
        <v>0</v>
      </c>
      <c r="N352" t="n">
        <v>0</v>
      </c>
      <c r="O352" t="n">
        <v>0</v>
      </c>
      <c r="P352" t="n">
        <v>0</v>
      </c>
      <c r="Q352" t="n">
        <v>0</v>
      </c>
      <c r="R352" s="2" t="inlineStr"/>
    </row>
    <row r="353" ht="15" customHeight="1">
      <c r="A353" t="inlineStr">
        <is>
          <t>A 20926-2019</t>
        </is>
      </c>
      <c r="B353" s="1" t="n">
        <v>43578</v>
      </c>
      <c r="C353" s="1" t="n">
        <v>45648</v>
      </c>
      <c r="D353" t="inlineStr">
        <is>
          <t>JÄMTLANDS LÄN</t>
        </is>
      </c>
      <c r="E353" t="inlineStr">
        <is>
          <t>BRÄCKE</t>
        </is>
      </c>
      <c r="G353" t="n">
        <v>11</v>
      </c>
      <c r="H353" t="n">
        <v>0</v>
      </c>
      <c r="I353" t="n">
        <v>0</v>
      </c>
      <c r="J353" t="n">
        <v>0</v>
      </c>
      <c r="K353" t="n">
        <v>0</v>
      </c>
      <c r="L353" t="n">
        <v>0</v>
      </c>
      <c r="M353" t="n">
        <v>0</v>
      </c>
      <c r="N353" t="n">
        <v>0</v>
      </c>
      <c r="O353" t="n">
        <v>0</v>
      </c>
      <c r="P353" t="n">
        <v>0</v>
      </c>
      <c r="Q353" t="n">
        <v>0</v>
      </c>
      <c r="R353" s="2" t="inlineStr"/>
    </row>
    <row r="354" ht="15" customHeight="1">
      <c r="A354" t="inlineStr">
        <is>
          <t>A 21116-2019</t>
        </is>
      </c>
      <c r="B354" s="1" t="n">
        <v>43578</v>
      </c>
      <c r="C354" s="1" t="n">
        <v>45648</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21454-2019</t>
        </is>
      </c>
      <c r="B355" s="1" t="n">
        <v>43580</v>
      </c>
      <c r="C355" s="1" t="n">
        <v>45648</v>
      </c>
      <c r="D355" t="inlineStr">
        <is>
          <t>JÄMTLANDS LÄN</t>
        </is>
      </c>
      <c r="E355" t="inlineStr">
        <is>
          <t>BRÄCKE</t>
        </is>
      </c>
      <c r="G355" t="n">
        <v>1.5</v>
      </c>
      <c r="H355" t="n">
        <v>0</v>
      </c>
      <c r="I355" t="n">
        <v>0</v>
      </c>
      <c r="J355" t="n">
        <v>0</v>
      </c>
      <c r="K355" t="n">
        <v>0</v>
      </c>
      <c r="L355" t="n">
        <v>0</v>
      </c>
      <c r="M355" t="n">
        <v>0</v>
      </c>
      <c r="N355" t="n">
        <v>0</v>
      </c>
      <c r="O355" t="n">
        <v>0</v>
      </c>
      <c r="P355" t="n">
        <v>0</v>
      </c>
      <c r="Q355" t="n">
        <v>0</v>
      </c>
      <c r="R355" s="2" t="inlineStr"/>
    </row>
    <row r="356" ht="15" customHeight="1">
      <c r="A356" t="inlineStr">
        <is>
          <t>A 21438-2019</t>
        </is>
      </c>
      <c r="B356" s="1" t="n">
        <v>43580</v>
      </c>
      <c r="C356" s="1" t="n">
        <v>45648</v>
      </c>
      <c r="D356" t="inlineStr">
        <is>
          <t>JÄMTLANDS LÄN</t>
        </is>
      </c>
      <c r="E356" t="inlineStr">
        <is>
          <t>BRÄCKE</t>
        </is>
      </c>
      <c r="G356" t="n">
        <v>0.9</v>
      </c>
      <c r="H356" t="n">
        <v>0</v>
      </c>
      <c r="I356" t="n">
        <v>0</v>
      </c>
      <c r="J356" t="n">
        <v>0</v>
      </c>
      <c r="K356" t="n">
        <v>0</v>
      </c>
      <c r="L356" t="n">
        <v>0</v>
      </c>
      <c r="M356" t="n">
        <v>0</v>
      </c>
      <c r="N356" t="n">
        <v>0</v>
      </c>
      <c r="O356" t="n">
        <v>0</v>
      </c>
      <c r="P356" t="n">
        <v>0</v>
      </c>
      <c r="Q356" t="n">
        <v>0</v>
      </c>
      <c r="R356" s="2" t="inlineStr"/>
    </row>
    <row r="357" ht="15" customHeight="1">
      <c r="A357" t="inlineStr">
        <is>
          <t>A 21428-2019</t>
        </is>
      </c>
      <c r="B357" s="1" t="n">
        <v>43580</v>
      </c>
      <c r="C357" s="1" t="n">
        <v>45648</v>
      </c>
      <c r="D357" t="inlineStr">
        <is>
          <t>JÄMTLANDS LÄN</t>
        </is>
      </c>
      <c r="E357" t="inlineStr">
        <is>
          <t>BRÄCKE</t>
        </is>
      </c>
      <c r="G357" t="n">
        <v>4.5</v>
      </c>
      <c r="H357" t="n">
        <v>0</v>
      </c>
      <c r="I357" t="n">
        <v>0</v>
      </c>
      <c r="J357" t="n">
        <v>0</v>
      </c>
      <c r="K357" t="n">
        <v>0</v>
      </c>
      <c r="L357" t="n">
        <v>0</v>
      </c>
      <c r="M357" t="n">
        <v>0</v>
      </c>
      <c r="N357" t="n">
        <v>0</v>
      </c>
      <c r="O357" t="n">
        <v>0</v>
      </c>
      <c r="P357" t="n">
        <v>0</v>
      </c>
      <c r="Q357" t="n">
        <v>0</v>
      </c>
      <c r="R357" s="2" t="inlineStr"/>
    </row>
    <row r="358" ht="15" customHeight="1">
      <c r="A358" t="inlineStr">
        <is>
          <t>A 21792-2019</t>
        </is>
      </c>
      <c r="B358" s="1" t="n">
        <v>43581</v>
      </c>
      <c r="C358" s="1" t="n">
        <v>45648</v>
      </c>
      <c r="D358" t="inlineStr">
        <is>
          <t>JÄMTLANDS LÄN</t>
        </is>
      </c>
      <c r="E358" t="inlineStr">
        <is>
          <t>BRÄCKE</t>
        </is>
      </c>
      <c r="G358" t="n">
        <v>1</v>
      </c>
      <c r="H358" t="n">
        <v>0</v>
      </c>
      <c r="I358" t="n">
        <v>0</v>
      </c>
      <c r="J358" t="n">
        <v>0</v>
      </c>
      <c r="K358" t="n">
        <v>0</v>
      </c>
      <c r="L358" t="n">
        <v>0</v>
      </c>
      <c r="M358" t="n">
        <v>0</v>
      </c>
      <c r="N358" t="n">
        <v>0</v>
      </c>
      <c r="O358" t="n">
        <v>0</v>
      </c>
      <c r="P358" t="n">
        <v>0</v>
      </c>
      <c r="Q358" t="n">
        <v>0</v>
      </c>
      <c r="R358" s="2" t="inlineStr"/>
    </row>
    <row r="359" ht="15" customHeight="1">
      <c r="A359" t="inlineStr">
        <is>
          <t>A 21798-2019</t>
        </is>
      </c>
      <c r="B359" s="1" t="n">
        <v>43581</v>
      </c>
      <c r="C359" s="1" t="n">
        <v>45648</v>
      </c>
      <c r="D359" t="inlineStr">
        <is>
          <t>JÄMTLANDS LÄN</t>
        </is>
      </c>
      <c r="E359" t="inlineStr">
        <is>
          <t>BRÄCKE</t>
        </is>
      </c>
      <c r="F359" t="inlineStr">
        <is>
          <t>SCA</t>
        </is>
      </c>
      <c r="G359" t="n">
        <v>7.3</v>
      </c>
      <c r="H359" t="n">
        <v>0</v>
      </c>
      <c r="I359" t="n">
        <v>0</v>
      </c>
      <c r="J359" t="n">
        <v>0</v>
      </c>
      <c r="K359" t="n">
        <v>0</v>
      </c>
      <c r="L359" t="n">
        <v>0</v>
      </c>
      <c r="M359" t="n">
        <v>0</v>
      </c>
      <c r="N359" t="n">
        <v>0</v>
      </c>
      <c r="O359" t="n">
        <v>0</v>
      </c>
      <c r="P359" t="n">
        <v>0</v>
      </c>
      <c r="Q359" t="n">
        <v>0</v>
      </c>
      <c r="R359" s="2" t="inlineStr"/>
      <c r="U359">
        <f>HYPERLINK("https://klasma.github.io/Logging_2305/knärot/A 21798-2019 karta knärot.png", "A 21798-2019")</f>
        <v/>
      </c>
      <c r="V359">
        <f>HYPERLINK("https://klasma.github.io/Logging_2305/klagomål/A 21798-2019 FSC-klagomål.docx", "A 21798-2019")</f>
        <v/>
      </c>
      <c r="W359">
        <f>HYPERLINK("https://klasma.github.io/Logging_2305/klagomålsmail/A 21798-2019 FSC-klagomål mail.docx", "A 21798-2019")</f>
        <v/>
      </c>
      <c r="X359">
        <f>HYPERLINK("https://klasma.github.io/Logging_2305/tillsyn/A 21798-2019 tillsynsbegäran.docx", "A 21798-2019")</f>
        <v/>
      </c>
      <c r="Y359">
        <f>HYPERLINK("https://klasma.github.io/Logging_2305/tillsynsmail/A 21798-2019 tillsynsbegäran mail.docx", "A 21798-2019")</f>
        <v/>
      </c>
    </row>
    <row r="360" ht="15" customHeight="1">
      <c r="A360" t="inlineStr">
        <is>
          <t>A 22299-2019</t>
        </is>
      </c>
      <c r="B360" s="1" t="n">
        <v>43585</v>
      </c>
      <c r="C360" s="1" t="n">
        <v>45648</v>
      </c>
      <c r="D360" t="inlineStr">
        <is>
          <t>JÄMTLANDS LÄN</t>
        </is>
      </c>
      <c r="E360" t="inlineStr">
        <is>
          <t>BRÄCKE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22778-2019</t>
        </is>
      </c>
      <c r="B361" s="1" t="n">
        <v>43589</v>
      </c>
      <c r="C361" s="1" t="n">
        <v>45648</v>
      </c>
      <c r="D361" t="inlineStr">
        <is>
          <t>JÄMTLANDS LÄN</t>
        </is>
      </c>
      <c r="E361" t="inlineStr">
        <is>
          <t>BRÄCKE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23480-2019</t>
        </is>
      </c>
      <c r="B362" s="1" t="n">
        <v>43593</v>
      </c>
      <c r="C362" s="1" t="n">
        <v>45648</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23743-2019</t>
        </is>
      </c>
      <c r="B363" s="1" t="n">
        <v>43594</v>
      </c>
      <c r="C363" s="1" t="n">
        <v>45648</v>
      </c>
      <c r="D363" t="inlineStr">
        <is>
          <t>JÄMTLANDS LÄN</t>
        </is>
      </c>
      <c r="E363" t="inlineStr">
        <is>
          <t>BRÄCKE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23736-2019</t>
        </is>
      </c>
      <c r="B364" s="1" t="n">
        <v>43594</v>
      </c>
      <c r="C364" s="1" t="n">
        <v>45648</v>
      </c>
      <c r="D364" t="inlineStr">
        <is>
          <t>JÄMTLANDS LÄN</t>
        </is>
      </c>
      <c r="E364" t="inlineStr">
        <is>
          <t>BRÄCKE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24122-2019</t>
        </is>
      </c>
      <c r="B365" s="1" t="n">
        <v>43598</v>
      </c>
      <c r="C365" s="1" t="n">
        <v>45648</v>
      </c>
      <c r="D365" t="inlineStr">
        <is>
          <t>JÄMTLANDS LÄN</t>
        </is>
      </c>
      <c r="E365" t="inlineStr">
        <is>
          <t>BRÄCKE</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25018-2019</t>
        </is>
      </c>
      <c r="B366" s="1" t="n">
        <v>43602</v>
      </c>
      <c r="C366" s="1" t="n">
        <v>45648</v>
      </c>
      <c r="D366" t="inlineStr">
        <is>
          <t>JÄMTLANDS LÄN</t>
        </is>
      </c>
      <c r="E366" t="inlineStr">
        <is>
          <t>BRÄCKE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26001-2019</t>
        </is>
      </c>
      <c r="B367" s="1" t="n">
        <v>43608</v>
      </c>
      <c r="C367" s="1" t="n">
        <v>45648</v>
      </c>
      <c r="D367" t="inlineStr">
        <is>
          <t>JÄMTLANDS LÄN</t>
        </is>
      </c>
      <c r="E367" t="inlineStr">
        <is>
          <t>BRÄCKE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26237-2019</t>
        </is>
      </c>
      <c r="B368" s="1" t="n">
        <v>43609</v>
      </c>
      <c r="C368" s="1" t="n">
        <v>45648</v>
      </c>
      <c r="D368" t="inlineStr">
        <is>
          <t>JÄMTLANDS LÄN</t>
        </is>
      </c>
      <c r="E368" t="inlineStr">
        <is>
          <t>BRÄCKE</t>
        </is>
      </c>
      <c r="G368" t="n">
        <v>22.7</v>
      </c>
      <c r="H368" t="n">
        <v>0</v>
      </c>
      <c r="I368" t="n">
        <v>0</v>
      </c>
      <c r="J368" t="n">
        <v>0</v>
      </c>
      <c r="K368" t="n">
        <v>0</v>
      </c>
      <c r="L368" t="n">
        <v>0</v>
      </c>
      <c r="M368" t="n">
        <v>0</v>
      </c>
      <c r="N368" t="n">
        <v>0</v>
      </c>
      <c r="O368" t="n">
        <v>0</v>
      </c>
      <c r="P368" t="n">
        <v>0</v>
      </c>
      <c r="Q368" t="n">
        <v>0</v>
      </c>
      <c r="R368" s="2" t="inlineStr"/>
    </row>
    <row r="369" ht="15" customHeight="1">
      <c r="A369" t="inlineStr">
        <is>
          <t>A 26638-2019</t>
        </is>
      </c>
      <c r="B369" s="1" t="n">
        <v>43612</v>
      </c>
      <c r="C369" s="1" t="n">
        <v>45648</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27229-2019</t>
        </is>
      </c>
      <c r="B370" s="1" t="n">
        <v>43614</v>
      </c>
      <c r="C370" s="1" t="n">
        <v>45648</v>
      </c>
      <c r="D370" t="inlineStr">
        <is>
          <t>JÄMTLANDS LÄN</t>
        </is>
      </c>
      <c r="E370" t="inlineStr">
        <is>
          <t>BRÄCKE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28950-2019</t>
        </is>
      </c>
      <c r="B371" s="1" t="n">
        <v>43628</v>
      </c>
      <c r="C371" s="1" t="n">
        <v>45648</v>
      </c>
      <c r="D371" t="inlineStr">
        <is>
          <t>JÄMTLANDS LÄN</t>
        </is>
      </c>
      <c r="E371" t="inlineStr">
        <is>
          <t>BRÄCKE</t>
        </is>
      </c>
      <c r="G371" t="n">
        <v>2.3</v>
      </c>
      <c r="H371" t="n">
        <v>0</v>
      </c>
      <c r="I371" t="n">
        <v>0</v>
      </c>
      <c r="J371" t="n">
        <v>0</v>
      </c>
      <c r="K371" t="n">
        <v>0</v>
      </c>
      <c r="L371" t="n">
        <v>0</v>
      </c>
      <c r="M371" t="n">
        <v>0</v>
      </c>
      <c r="N371" t="n">
        <v>0</v>
      </c>
      <c r="O371" t="n">
        <v>0</v>
      </c>
      <c r="P371" t="n">
        <v>0</v>
      </c>
      <c r="Q371" t="n">
        <v>0</v>
      </c>
      <c r="R371" s="2" t="inlineStr"/>
    </row>
    <row r="372" ht="15" customHeight="1">
      <c r="A372" t="inlineStr">
        <is>
          <t>A 29476-2019</t>
        </is>
      </c>
      <c r="B372" s="1" t="n">
        <v>43629</v>
      </c>
      <c r="C372" s="1" t="n">
        <v>45648</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30076-2019</t>
        </is>
      </c>
      <c r="B373" s="1" t="n">
        <v>43633</v>
      </c>
      <c r="C373" s="1" t="n">
        <v>45648</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30072-2019</t>
        </is>
      </c>
      <c r="B374" s="1" t="n">
        <v>43633</v>
      </c>
      <c r="C374" s="1" t="n">
        <v>45648</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30071-2019</t>
        </is>
      </c>
      <c r="B375" s="1" t="n">
        <v>43633</v>
      </c>
      <c r="C375" s="1" t="n">
        <v>45648</v>
      </c>
      <c r="D375" t="inlineStr">
        <is>
          <t>JÄMTLANDS LÄN</t>
        </is>
      </c>
      <c r="E375" t="inlineStr">
        <is>
          <t>BRÄCKE</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30625-2019</t>
        </is>
      </c>
      <c r="B376" s="1" t="n">
        <v>43635</v>
      </c>
      <c r="C376" s="1" t="n">
        <v>45648</v>
      </c>
      <c r="D376" t="inlineStr">
        <is>
          <t>JÄMTLANDS LÄN</t>
        </is>
      </c>
      <c r="E376" t="inlineStr">
        <is>
          <t>BRÄCKE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30627-2019</t>
        </is>
      </c>
      <c r="B377" s="1" t="n">
        <v>43635</v>
      </c>
      <c r="C377" s="1" t="n">
        <v>45648</v>
      </c>
      <c r="D377" t="inlineStr">
        <is>
          <t>JÄMTLANDS LÄN</t>
        </is>
      </c>
      <c r="E377" t="inlineStr">
        <is>
          <t>BRÄCKE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30678-2019</t>
        </is>
      </c>
      <c r="B378" s="1" t="n">
        <v>43636</v>
      </c>
      <c r="C378" s="1" t="n">
        <v>45648</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30935-2019</t>
        </is>
      </c>
      <c r="B379" s="1" t="n">
        <v>43636</v>
      </c>
      <c r="C379" s="1" t="n">
        <v>45648</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31292-2019</t>
        </is>
      </c>
      <c r="B380" s="1" t="n">
        <v>43640</v>
      </c>
      <c r="C380" s="1" t="n">
        <v>45648</v>
      </c>
      <c r="D380" t="inlineStr">
        <is>
          <t>JÄMTLANDS LÄN</t>
        </is>
      </c>
      <c r="E380" t="inlineStr">
        <is>
          <t>BRÄCKE</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31291-2019</t>
        </is>
      </c>
      <c r="B381" s="1" t="n">
        <v>43640</v>
      </c>
      <c r="C381" s="1" t="n">
        <v>45648</v>
      </c>
      <c r="D381" t="inlineStr">
        <is>
          <t>JÄMTLANDS LÄN</t>
        </is>
      </c>
      <c r="E381" t="inlineStr">
        <is>
          <t>BRÄCKE</t>
        </is>
      </c>
      <c r="F381" t="inlineStr">
        <is>
          <t>SCA</t>
        </is>
      </c>
      <c r="G381" t="n">
        <v>18.7</v>
      </c>
      <c r="H381" t="n">
        <v>0</v>
      </c>
      <c r="I381" t="n">
        <v>0</v>
      </c>
      <c r="J381" t="n">
        <v>0</v>
      </c>
      <c r="K381" t="n">
        <v>0</v>
      </c>
      <c r="L381" t="n">
        <v>0</v>
      </c>
      <c r="M381" t="n">
        <v>0</v>
      </c>
      <c r="N381" t="n">
        <v>0</v>
      </c>
      <c r="O381" t="n">
        <v>0</v>
      </c>
      <c r="P381" t="n">
        <v>0</v>
      </c>
      <c r="Q381" t="n">
        <v>0</v>
      </c>
      <c r="R381" s="2" t="inlineStr"/>
    </row>
    <row r="382" ht="15" customHeight="1">
      <c r="A382" t="inlineStr">
        <is>
          <t>A 32572-2019</t>
        </is>
      </c>
      <c r="B382" s="1" t="n">
        <v>43647</v>
      </c>
      <c r="C382" s="1" t="n">
        <v>45648</v>
      </c>
      <c r="D382" t="inlineStr">
        <is>
          <t>JÄMTLANDS LÄN</t>
        </is>
      </c>
      <c r="E382" t="inlineStr">
        <is>
          <t>BRÄCKE</t>
        </is>
      </c>
      <c r="F382" t="inlineStr">
        <is>
          <t>Övriga Aktiebolag</t>
        </is>
      </c>
      <c r="G382" t="n">
        <v>6.8</v>
      </c>
      <c r="H382" t="n">
        <v>0</v>
      </c>
      <c r="I382" t="n">
        <v>0</v>
      </c>
      <c r="J382" t="n">
        <v>0</v>
      </c>
      <c r="K382" t="n">
        <v>0</v>
      </c>
      <c r="L382" t="n">
        <v>0</v>
      </c>
      <c r="M382" t="n">
        <v>0</v>
      </c>
      <c r="N382" t="n">
        <v>0</v>
      </c>
      <c r="O382" t="n">
        <v>0</v>
      </c>
      <c r="P382" t="n">
        <v>0</v>
      </c>
      <c r="Q382" t="n">
        <v>0</v>
      </c>
      <c r="R382" s="2" t="inlineStr"/>
    </row>
    <row r="383" ht="15" customHeight="1">
      <c r="A383" t="inlineStr">
        <is>
          <t>A 34658-2019</t>
        </is>
      </c>
      <c r="B383" s="1" t="n">
        <v>43648</v>
      </c>
      <c r="C383" s="1" t="n">
        <v>45648</v>
      </c>
      <c r="D383" t="inlineStr">
        <is>
          <t>JÄMTLANDS LÄN</t>
        </is>
      </c>
      <c r="E383" t="inlineStr">
        <is>
          <t>BRÄCKE</t>
        </is>
      </c>
      <c r="G383" t="n">
        <v>1.2</v>
      </c>
      <c r="H383" t="n">
        <v>0</v>
      </c>
      <c r="I383" t="n">
        <v>0</v>
      </c>
      <c r="J383" t="n">
        <v>0</v>
      </c>
      <c r="K383" t="n">
        <v>0</v>
      </c>
      <c r="L383" t="n">
        <v>0</v>
      </c>
      <c r="M383" t="n">
        <v>0</v>
      </c>
      <c r="N383" t="n">
        <v>0</v>
      </c>
      <c r="O383" t="n">
        <v>0</v>
      </c>
      <c r="P383" t="n">
        <v>0</v>
      </c>
      <c r="Q383" t="n">
        <v>0</v>
      </c>
      <c r="R383" s="2" t="inlineStr"/>
    </row>
    <row r="384" ht="15" customHeight="1">
      <c r="A384" t="inlineStr">
        <is>
          <t>A 33222-2019</t>
        </is>
      </c>
      <c r="B384" s="1" t="n">
        <v>43649</v>
      </c>
      <c r="C384" s="1" t="n">
        <v>45648</v>
      </c>
      <c r="D384" t="inlineStr">
        <is>
          <t>JÄMTLANDS LÄN</t>
        </is>
      </c>
      <c r="E384" t="inlineStr">
        <is>
          <t>BRÄCKE</t>
        </is>
      </c>
      <c r="F384" t="inlineStr">
        <is>
          <t>SCA</t>
        </is>
      </c>
      <c r="G384" t="n">
        <v>7.2</v>
      </c>
      <c r="H384" t="n">
        <v>0</v>
      </c>
      <c r="I384" t="n">
        <v>0</v>
      </c>
      <c r="J384" t="n">
        <v>0</v>
      </c>
      <c r="K384" t="n">
        <v>0</v>
      </c>
      <c r="L384" t="n">
        <v>0</v>
      </c>
      <c r="M384" t="n">
        <v>0</v>
      </c>
      <c r="N384" t="n">
        <v>0</v>
      </c>
      <c r="O384" t="n">
        <v>0</v>
      </c>
      <c r="P384" t="n">
        <v>0</v>
      </c>
      <c r="Q384" t="n">
        <v>0</v>
      </c>
      <c r="R384" s="2" t="inlineStr"/>
    </row>
    <row r="385" ht="15" customHeight="1">
      <c r="A385" t="inlineStr">
        <is>
          <t>A 33379-2019</t>
        </is>
      </c>
      <c r="B385" s="1" t="n">
        <v>43650</v>
      </c>
      <c r="C385" s="1" t="n">
        <v>45648</v>
      </c>
      <c r="D385" t="inlineStr">
        <is>
          <t>JÄMTLANDS LÄN</t>
        </is>
      </c>
      <c r="E385" t="inlineStr">
        <is>
          <t>BRÄCKE</t>
        </is>
      </c>
      <c r="F385" t="inlineStr">
        <is>
          <t>Övriga Aktiebolag</t>
        </is>
      </c>
      <c r="G385" t="n">
        <v>32.7</v>
      </c>
      <c r="H385" t="n">
        <v>0</v>
      </c>
      <c r="I385" t="n">
        <v>0</v>
      </c>
      <c r="J385" t="n">
        <v>0</v>
      </c>
      <c r="K385" t="n">
        <v>0</v>
      </c>
      <c r="L385" t="n">
        <v>0</v>
      </c>
      <c r="M385" t="n">
        <v>0</v>
      </c>
      <c r="N385" t="n">
        <v>0</v>
      </c>
      <c r="O385" t="n">
        <v>0</v>
      </c>
      <c r="P385" t="n">
        <v>0</v>
      </c>
      <c r="Q385" t="n">
        <v>0</v>
      </c>
      <c r="R385" s="2" t="inlineStr"/>
    </row>
    <row r="386" ht="15" customHeight="1">
      <c r="A386" t="inlineStr">
        <is>
          <t>A 33830-2019</t>
        </is>
      </c>
      <c r="B386" s="1" t="n">
        <v>43651</v>
      </c>
      <c r="C386" s="1" t="n">
        <v>45648</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34103-2019</t>
        </is>
      </c>
      <c r="B387" s="1" t="n">
        <v>43654</v>
      </c>
      <c r="C387" s="1" t="n">
        <v>45648</v>
      </c>
      <c r="D387" t="inlineStr">
        <is>
          <t>JÄMTLANDS LÄN</t>
        </is>
      </c>
      <c r="E387" t="inlineStr">
        <is>
          <t>BRÄCKE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34987-2019</t>
        </is>
      </c>
      <c r="B388" s="1" t="n">
        <v>43659</v>
      </c>
      <c r="C388" s="1" t="n">
        <v>45648</v>
      </c>
      <c r="D388" t="inlineStr">
        <is>
          <t>JÄMTLANDS LÄN</t>
        </is>
      </c>
      <c r="E388" t="inlineStr">
        <is>
          <t>BRÄCKE</t>
        </is>
      </c>
      <c r="G388" t="n">
        <v>0.5</v>
      </c>
      <c r="H388" t="n">
        <v>0</v>
      </c>
      <c r="I388" t="n">
        <v>0</v>
      </c>
      <c r="J388" t="n">
        <v>0</v>
      </c>
      <c r="K388" t="n">
        <v>0</v>
      </c>
      <c r="L388" t="n">
        <v>0</v>
      </c>
      <c r="M388" t="n">
        <v>0</v>
      </c>
      <c r="N388" t="n">
        <v>0</v>
      </c>
      <c r="O388" t="n">
        <v>0</v>
      </c>
      <c r="P388" t="n">
        <v>0</v>
      </c>
      <c r="Q388" t="n">
        <v>0</v>
      </c>
      <c r="R388" s="2" t="inlineStr"/>
    </row>
    <row r="389" ht="15" customHeight="1">
      <c r="A389" t="inlineStr">
        <is>
          <t>A 36451-2019</t>
        </is>
      </c>
      <c r="B389" s="1" t="n">
        <v>43664</v>
      </c>
      <c r="C389" s="1" t="n">
        <v>45648</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35713-2019</t>
        </is>
      </c>
      <c r="B390" s="1" t="n">
        <v>43664</v>
      </c>
      <c r="C390" s="1" t="n">
        <v>45648</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36182-2019</t>
        </is>
      </c>
      <c r="B391" s="1" t="n">
        <v>43668</v>
      </c>
      <c r="C391" s="1" t="n">
        <v>45648</v>
      </c>
      <c r="D391" t="inlineStr">
        <is>
          <t>JÄMTLANDS LÄN</t>
        </is>
      </c>
      <c r="E391" t="inlineStr">
        <is>
          <t>BRÄCKE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36953-2019</t>
        </is>
      </c>
      <c r="B392" s="1" t="n">
        <v>43675</v>
      </c>
      <c r="C392" s="1" t="n">
        <v>45648</v>
      </c>
      <c r="D392" t="inlineStr">
        <is>
          <t>JÄMTLANDS LÄN</t>
        </is>
      </c>
      <c r="E392" t="inlineStr">
        <is>
          <t>BRÄCKE</t>
        </is>
      </c>
      <c r="G392" t="n">
        <v>0.9</v>
      </c>
      <c r="H392" t="n">
        <v>0</v>
      </c>
      <c r="I392" t="n">
        <v>0</v>
      </c>
      <c r="J392" t="n">
        <v>0</v>
      </c>
      <c r="K392" t="n">
        <v>0</v>
      </c>
      <c r="L392" t="n">
        <v>0</v>
      </c>
      <c r="M392" t="n">
        <v>0</v>
      </c>
      <c r="N392" t="n">
        <v>0</v>
      </c>
      <c r="O392" t="n">
        <v>0</v>
      </c>
      <c r="P392" t="n">
        <v>0</v>
      </c>
      <c r="Q392" t="n">
        <v>0</v>
      </c>
      <c r="R392" s="2" t="inlineStr"/>
    </row>
    <row r="393" ht="15" customHeight="1">
      <c r="A393" t="inlineStr">
        <is>
          <t>A 37133-2019</t>
        </is>
      </c>
      <c r="B393" s="1" t="n">
        <v>43676</v>
      </c>
      <c r="C393" s="1" t="n">
        <v>45648</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37129-2019</t>
        </is>
      </c>
      <c r="B394" s="1" t="n">
        <v>43676</v>
      </c>
      <c r="C394" s="1" t="n">
        <v>45648</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37295-2019</t>
        </is>
      </c>
      <c r="B395" s="1" t="n">
        <v>43677</v>
      </c>
      <c r="C395" s="1" t="n">
        <v>45648</v>
      </c>
      <c r="D395" t="inlineStr">
        <is>
          <t>JÄMTLANDS LÄN</t>
        </is>
      </c>
      <c r="E395" t="inlineStr">
        <is>
          <t>BRÄCKE</t>
        </is>
      </c>
      <c r="G395" t="n">
        <v>1</v>
      </c>
      <c r="H395" t="n">
        <v>0</v>
      </c>
      <c r="I395" t="n">
        <v>0</v>
      </c>
      <c r="J395" t="n">
        <v>0</v>
      </c>
      <c r="K395" t="n">
        <v>0</v>
      </c>
      <c r="L395" t="n">
        <v>0</v>
      </c>
      <c r="M395" t="n">
        <v>0</v>
      </c>
      <c r="N395" t="n">
        <v>0</v>
      </c>
      <c r="O395" t="n">
        <v>0</v>
      </c>
      <c r="P395" t="n">
        <v>0</v>
      </c>
      <c r="Q395" t="n">
        <v>0</v>
      </c>
      <c r="R395" s="2" t="inlineStr"/>
    </row>
    <row r="396" ht="15" customHeight="1">
      <c r="A396" t="inlineStr">
        <is>
          <t>A 38320-2019</t>
        </is>
      </c>
      <c r="B396" s="1" t="n">
        <v>43685</v>
      </c>
      <c r="C396" s="1" t="n">
        <v>45648</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38777-2019</t>
        </is>
      </c>
      <c r="B397" s="1" t="n">
        <v>43686</v>
      </c>
      <c r="C397" s="1" t="n">
        <v>45648</v>
      </c>
      <c r="D397" t="inlineStr">
        <is>
          <t>JÄMTLANDS LÄN</t>
        </is>
      </c>
      <c r="E397" t="inlineStr">
        <is>
          <t>BRÄCKE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39111-2019</t>
        </is>
      </c>
      <c r="B398" s="1" t="n">
        <v>43689</v>
      </c>
      <c r="C398" s="1" t="n">
        <v>45648</v>
      </c>
      <c r="D398" t="inlineStr">
        <is>
          <t>JÄMTLANDS LÄN</t>
        </is>
      </c>
      <c r="E398" t="inlineStr">
        <is>
          <t>BRÄCKE</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39113-2019</t>
        </is>
      </c>
      <c r="B399" s="1" t="n">
        <v>43690</v>
      </c>
      <c r="C399" s="1" t="n">
        <v>45648</v>
      </c>
      <c r="D399" t="inlineStr">
        <is>
          <t>JÄMTLANDS LÄN</t>
        </is>
      </c>
      <c r="E399" t="inlineStr">
        <is>
          <t>BRÄCKE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39645-2019</t>
        </is>
      </c>
      <c r="B400" s="1" t="n">
        <v>43691</v>
      </c>
      <c r="C400" s="1" t="n">
        <v>45648</v>
      </c>
      <c r="D400" t="inlineStr">
        <is>
          <t>JÄMTLANDS LÄN</t>
        </is>
      </c>
      <c r="E400" t="inlineStr">
        <is>
          <t>BRÄCKE</t>
        </is>
      </c>
      <c r="G400" t="n">
        <v>2.7</v>
      </c>
      <c r="H400" t="n">
        <v>0</v>
      </c>
      <c r="I400" t="n">
        <v>0</v>
      </c>
      <c r="J400" t="n">
        <v>0</v>
      </c>
      <c r="K400" t="n">
        <v>0</v>
      </c>
      <c r="L400" t="n">
        <v>0</v>
      </c>
      <c r="M400" t="n">
        <v>0</v>
      </c>
      <c r="N400" t="n">
        <v>0</v>
      </c>
      <c r="O400" t="n">
        <v>0</v>
      </c>
      <c r="P400" t="n">
        <v>0</v>
      </c>
      <c r="Q400" t="n">
        <v>0</v>
      </c>
      <c r="R400" s="2" t="inlineStr"/>
    </row>
    <row r="401" ht="15" customHeight="1">
      <c r="A401" t="inlineStr">
        <is>
          <t>A 40668-2019</t>
        </is>
      </c>
      <c r="B401" s="1" t="n">
        <v>43696</v>
      </c>
      <c r="C401" s="1" t="n">
        <v>45648</v>
      </c>
      <c r="D401" t="inlineStr">
        <is>
          <t>JÄMTLANDS LÄN</t>
        </is>
      </c>
      <c r="E401" t="inlineStr">
        <is>
          <t>BRÄCKE</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40667-2019</t>
        </is>
      </c>
      <c r="B402" s="1" t="n">
        <v>43697</v>
      </c>
      <c r="C402" s="1" t="n">
        <v>45648</v>
      </c>
      <c r="D402" t="inlineStr">
        <is>
          <t>JÄMTLANDS LÄN</t>
        </is>
      </c>
      <c r="E402" t="inlineStr">
        <is>
          <t>BRÄCKE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41033-2019</t>
        </is>
      </c>
      <c r="B403" s="1" t="n">
        <v>43697</v>
      </c>
      <c r="C403" s="1" t="n">
        <v>45648</v>
      </c>
      <c r="D403" t="inlineStr">
        <is>
          <t>JÄMTLANDS LÄN</t>
        </is>
      </c>
      <c r="E403" t="inlineStr">
        <is>
          <t>BRÄCKE</t>
        </is>
      </c>
      <c r="F403" t="inlineStr">
        <is>
          <t>SCA</t>
        </is>
      </c>
      <c r="G403" t="n">
        <v>27.1</v>
      </c>
      <c r="H403" t="n">
        <v>0</v>
      </c>
      <c r="I403" t="n">
        <v>0</v>
      </c>
      <c r="J403" t="n">
        <v>0</v>
      </c>
      <c r="K403" t="n">
        <v>0</v>
      </c>
      <c r="L403" t="n">
        <v>0</v>
      </c>
      <c r="M403" t="n">
        <v>0</v>
      </c>
      <c r="N403" t="n">
        <v>0</v>
      </c>
      <c r="O403" t="n">
        <v>0</v>
      </c>
      <c r="P403" t="n">
        <v>0</v>
      </c>
      <c r="Q403" t="n">
        <v>0</v>
      </c>
      <c r="R403" s="2" t="inlineStr"/>
    </row>
    <row r="404" ht="15" customHeight="1">
      <c r="A404" t="inlineStr">
        <is>
          <t>A 41028-2019</t>
        </is>
      </c>
      <c r="B404" s="1" t="n">
        <v>43697</v>
      </c>
      <c r="C404" s="1" t="n">
        <v>45648</v>
      </c>
      <c r="D404" t="inlineStr">
        <is>
          <t>JÄMTLANDS LÄN</t>
        </is>
      </c>
      <c r="E404" t="inlineStr">
        <is>
          <t>BRÄCKE</t>
        </is>
      </c>
      <c r="F404" t="inlineStr">
        <is>
          <t>SCA</t>
        </is>
      </c>
      <c r="G404" t="n">
        <v>16.5</v>
      </c>
      <c r="H404" t="n">
        <v>0</v>
      </c>
      <c r="I404" t="n">
        <v>0</v>
      </c>
      <c r="J404" t="n">
        <v>0</v>
      </c>
      <c r="K404" t="n">
        <v>0</v>
      </c>
      <c r="L404" t="n">
        <v>0</v>
      </c>
      <c r="M404" t="n">
        <v>0</v>
      </c>
      <c r="N404" t="n">
        <v>0</v>
      </c>
      <c r="O404" t="n">
        <v>0</v>
      </c>
      <c r="P404" t="n">
        <v>0</v>
      </c>
      <c r="Q404" t="n">
        <v>0</v>
      </c>
      <c r="R404" s="2" t="inlineStr"/>
    </row>
    <row r="405" ht="15" customHeight="1">
      <c r="A405" t="inlineStr">
        <is>
          <t>A 41029-2019</t>
        </is>
      </c>
      <c r="B405" s="1" t="n">
        <v>43697</v>
      </c>
      <c r="C405" s="1" t="n">
        <v>45648</v>
      </c>
      <c r="D405" t="inlineStr">
        <is>
          <t>JÄMTLANDS LÄN</t>
        </is>
      </c>
      <c r="E405" t="inlineStr">
        <is>
          <t>BRÄCKE</t>
        </is>
      </c>
      <c r="F405" t="inlineStr">
        <is>
          <t>SCA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41332-2019</t>
        </is>
      </c>
      <c r="B406" s="1" t="n">
        <v>43698</v>
      </c>
      <c r="C406" s="1" t="n">
        <v>45648</v>
      </c>
      <c r="D406" t="inlineStr">
        <is>
          <t>JÄMTLANDS LÄN</t>
        </is>
      </c>
      <c r="E406" t="inlineStr">
        <is>
          <t>BRÄCKE</t>
        </is>
      </c>
      <c r="G406" t="n">
        <v>1.3</v>
      </c>
      <c r="H406" t="n">
        <v>0</v>
      </c>
      <c r="I406" t="n">
        <v>0</v>
      </c>
      <c r="J406" t="n">
        <v>0</v>
      </c>
      <c r="K406" t="n">
        <v>0</v>
      </c>
      <c r="L406" t="n">
        <v>0</v>
      </c>
      <c r="M406" t="n">
        <v>0</v>
      </c>
      <c r="N406" t="n">
        <v>0</v>
      </c>
      <c r="O406" t="n">
        <v>0</v>
      </c>
      <c r="P406" t="n">
        <v>0</v>
      </c>
      <c r="Q406" t="n">
        <v>0</v>
      </c>
      <c r="R406" s="2" t="inlineStr"/>
    </row>
    <row r="407" ht="15" customHeight="1">
      <c r="A407" t="inlineStr">
        <is>
          <t>A 41781-2019</t>
        </is>
      </c>
      <c r="B407" s="1" t="n">
        <v>43699</v>
      </c>
      <c r="C407" s="1" t="n">
        <v>45648</v>
      </c>
      <c r="D407" t="inlineStr">
        <is>
          <t>JÄMTLANDS LÄN</t>
        </is>
      </c>
      <c r="E407" t="inlineStr">
        <is>
          <t>BRÄCKE</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41896-2019</t>
        </is>
      </c>
      <c r="B408" s="1" t="n">
        <v>43700</v>
      </c>
      <c r="C408" s="1" t="n">
        <v>45648</v>
      </c>
      <c r="D408" t="inlineStr">
        <is>
          <t>JÄMTLANDS LÄN</t>
        </is>
      </c>
      <c r="E408" t="inlineStr">
        <is>
          <t>BRÄCKE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43208-2019</t>
        </is>
      </c>
      <c r="B409" s="1" t="n">
        <v>43705</v>
      </c>
      <c r="C409" s="1" t="n">
        <v>45648</v>
      </c>
      <c r="D409" t="inlineStr">
        <is>
          <t>JÄMTLANDS LÄN</t>
        </is>
      </c>
      <c r="E409" t="inlineStr">
        <is>
          <t>BRÄCKE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43206-2019</t>
        </is>
      </c>
      <c r="B410" s="1" t="n">
        <v>43705</v>
      </c>
      <c r="C410" s="1" t="n">
        <v>45648</v>
      </c>
      <c r="D410" t="inlineStr">
        <is>
          <t>JÄMTLANDS LÄN</t>
        </is>
      </c>
      <c r="E410" t="inlineStr">
        <is>
          <t>BRÄCKE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42875-2019</t>
        </is>
      </c>
      <c r="B411" s="1" t="n">
        <v>43705</v>
      </c>
      <c r="C411" s="1" t="n">
        <v>45648</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45054-2019</t>
        </is>
      </c>
      <c r="B412" s="1" t="n">
        <v>43713</v>
      </c>
      <c r="C412" s="1" t="n">
        <v>45648</v>
      </c>
      <c r="D412" t="inlineStr">
        <is>
          <t>JÄMTLANDS LÄN</t>
        </is>
      </c>
      <c r="E412" t="inlineStr">
        <is>
          <t>BRÄCKE</t>
        </is>
      </c>
      <c r="G412" t="n">
        <v>0.5</v>
      </c>
      <c r="H412" t="n">
        <v>0</v>
      </c>
      <c r="I412" t="n">
        <v>0</v>
      </c>
      <c r="J412" t="n">
        <v>0</v>
      </c>
      <c r="K412" t="n">
        <v>0</v>
      </c>
      <c r="L412" t="n">
        <v>0</v>
      </c>
      <c r="M412" t="n">
        <v>0</v>
      </c>
      <c r="N412" t="n">
        <v>0</v>
      </c>
      <c r="O412" t="n">
        <v>0</v>
      </c>
      <c r="P412" t="n">
        <v>0</v>
      </c>
      <c r="Q412" t="n">
        <v>0</v>
      </c>
      <c r="R412" s="2" t="inlineStr"/>
    </row>
    <row r="413" ht="15" customHeight="1">
      <c r="A413" t="inlineStr">
        <is>
          <t>A 45539-2019</t>
        </is>
      </c>
      <c r="B413" s="1" t="n">
        <v>43714</v>
      </c>
      <c r="C413" s="1" t="n">
        <v>45648</v>
      </c>
      <c r="D413" t="inlineStr">
        <is>
          <t>JÄMTLANDS LÄN</t>
        </is>
      </c>
      <c r="E413" t="inlineStr">
        <is>
          <t>BRÄCKE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46844-2019</t>
        </is>
      </c>
      <c r="B414" s="1" t="n">
        <v>43720</v>
      </c>
      <c r="C414" s="1" t="n">
        <v>45648</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47074-2019</t>
        </is>
      </c>
      <c r="B415" s="1" t="n">
        <v>43720</v>
      </c>
      <c r="C415" s="1" t="n">
        <v>45648</v>
      </c>
      <c r="D415" t="inlineStr">
        <is>
          <t>JÄMTLANDS LÄN</t>
        </is>
      </c>
      <c r="E415" t="inlineStr">
        <is>
          <t>BRÄCKE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49690-2019</t>
        </is>
      </c>
      <c r="B416" s="1" t="n">
        <v>43732</v>
      </c>
      <c r="C416" s="1" t="n">
        <v>45648</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50292-2019</t>
        </is>
      </c>
      <c r="B417" s="1" t="n">
        <v>43735</v>
      </c>
      <c r="C417" s="1" t="n">
        <v>45648</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50584-2019</t>
        </is>
      </c>
      <c r="B418" s="1" t="n">
        <v>43735</v>
      </c>
      <c r="C418" s="1" t="n">
        <v>45648</v>
      </c>
      <c r="D418" t="inlineStr">
        <is>
          <t>JÄMTLANDS LÄN</t>
        </is>
      </c>
      <c r="E418" t="inlineStr">
        <is>
          <t>BRÄCKE</t>
        </is>
      </c>
      <c r="F418" t="inlineStr">
        <is>
          <t>SCA</t>
        </is>
      </c>
      <c r="G418" t="n">
        <v>19.1</v>
      </c>
      <c r="H418" t="n">
        <v>0</v>
      </c>
      <c r="I418" t="n">
        <v>0</v>
      </c>
      <c r="J418" t="n">
        <v>0</v>
      </c>
      <c r="K418" t="n">
        <v>0</v>
      </c>
      <c r="L418" t="n">
        <v>0</v>
      </c>
      <c r="M418" t="n">
        <v>0</v>
      </c>
      <c r="N418" t="n">
        <v>0</v>
      </c>
      <c r="O418" t="n">
        <v>0</v>
      </c>
      <c r="P418" t="n">
        <v>0</v>
      </c>
      <c r="Q418" t="n">
        <v>0</v>
      </c>
      <c r="R418" s="2" t="inlineStr"/>
    </row>
    <row r="419" ht="15" customHeight="1">
      <c r="A419" t="inlineStr">
        <is>
          <t>A 50580-2019</t>
        </is>
      </c>
      <c r="B419" s="1" t="n">
        <v>43735</v>
      </c>
      <c r="C419" s="1" t="n">
        <v>45648</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51257-2019</t>
        </is>
      </c>
      <c r="B420" s="1" t="n">
        <v>43739</v>
      </c>
      <c r="C420" s="1" t="n">
        <v>45648</v>
      </c>
      <c r="D420" t="inlineStr">
        <is>
          <t>JÄMTLANDS LÄN</t>
        </is>
      </c>
      <c r="E420" t="inlineStr">
        <is>
          <t>BRÄCKE</t>
        </is>
      </c>
      <c r="F420" t="inlineStr">
        <is>
          <t>Övriga Aktiebolag</t>
        </is>
      </c>
      <c r="G420" t="n">
        <v>6</v>
      </c>
      <c r="H420" t="n">
        <v>0</v>
      </c>
      <c r="I420" t="n">
        <v>0</v>
      </c>
      <c r="J420" t="n">
        <v>0</v>
      </c>
      <c r="K420" t="n">
        <v>0</v>
      </c>
      <c r="L420" t="n">
        <v>0</v>
      </c>
      <c r="M420" t="n">
        <v>0</v>
      </c>
      <c r="N420" t="n">
        <v>0</v>
      </c>
      <c r="O420" t="n">
        <v>0</v>
      </c>
      <c r="P420" t="n">
        <v>0</v>
      </c>
      <c r="Q420" t="n">
        <v>0</v>
      </c>
      <c r="R420" s="2" t="inlineStr"/>
    </row>
    <row r="421" ht="15" customHeight="1">
      <c r="A421" t="inlineStr">
        <is>
          <t>A 51329-2019</t>
        </is>
      </c>
      <c r="B421" s="1" t="n">
        <v>43739</v>
      </c>
      <c r="C421" s="1" t="n">
        <v>45648</v>
      </c>
      <c r="D421" t="inlineStr">
        <is>
          <t>JÄMTLANDS LÄN</t>
        </is>
      </c>
      <c r="E421" t="inlineStr">
        <is>
          <t>BRÄCKE</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51328-2019</t>
        </is>
      </c>
      <c r="B422" s="1" t="n">
        <v>43739</v>
      </c>
      <c r="C422" s="1" t="n">
        <v>45648</v>
      </c>
      <c r="D422" t="inlineStr">
        <is>
          <t>JÄMTLANDS LÄN</t>
        </is>
      </c>
      <c r="E422" t="inlineStr">
        <is>
          <t>BRÄCKE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52882-2019</t>
        </is>
      </c>
      <c r="B423" s="1" t="n">
        <v>43746</v>
      </c>
      <c r="C423" s="1" t="n">
        <v>45648</v>
      </c>
      <c r="D423" t="inlineStr">
        <is>
          <t>JÄMTLANDS LÄN</t>
        </is>
      </c>
      <c r="E423" t="inlineStr">
        <is>
          <t>BRÄCKE</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53485-2019</t>
        </is>
      </c>
      <c r="B424" s="1" t="n">
        <v>43748</v>
      </c>
      <c r="C424" s="1" t="n">
        <v>45648</v>
      </c>
      <c r="D424" t="inlineStr">
        <is>
          <t>JÄMTLANDS LÄN</t>
        </is>
      </c>
      <c r="E424" t="inlineStr">
        <is>
          <t>BRÄCKE</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56063-2019</t>
        </is>
      </c>
      <c r="B425" s="1" t="n">
        <v>43759</v>
      </c>
      <c r="C425" s="1" t="n">
        <v>45648</v>
      </c>
      <c r="D425" t="inlineStr">
        <is>
          <t>JÄMTLANDS LÄN</t>
        </is>
      </c>
      <c r="E425" t="inlineStr">
        <is>
          <t>BRÄCKE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56511-2019</t>
        </is>
      </c>
      <c r="B426" s="1" t="n">
        <v>43762</v>
      </c>
      <c r="C426" s="1" t="n">
        <v>45648</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57395-2019</t>
        </is>
      </c>
      <c r="B427" s="1" t="n">
        <v>43767</v>
      </c>
      <c r="C427" s="1" t="n">
        <v>45648</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57749-2019</t>
        </is>
      </c>
      <c r="B428" s="1" t="n">
        <v>43768</v>
      </c>
      <c r="C428" s="1" t="n">
        <v>45648</v>
      </c>
      <c r="D428" t="inlineStr">
        <is>
          <t>JÄMTLANDS LÄN</t>
        </is>
      </c>
      <c r="E428" t="inlineStr">
        <is>
          <t>BRÄCKE</t>
        </is>
      </c>
      <c r="G428" t="n">
        <v>3.3</v>
      </c>
      <c r="H428" t="n">
        <v>0</v>
      </c>
      <c r="I428" t="n">
        <v>0</v>
      </c>
      <c r="J428" t="n">
        <v>0</v>
      </c>
      <c r="K428" t="n">
        <v>0</v>
      </c>
      <c r="L428" t="n">
        <v>0</v>
      </c>
      <c r="M428" t="n">
        <v>0</v>
      </c>
      <c r="N428" t="n">
        <v>0</v>
      </c>
      <c r="O428" t="n">
        <v>0</v>
      </c>
      <c r="P428" t="n">
        <v>0</v>
      </c>
      <c r="Q428" t="n">
        <v>0</v>
      </c>
      <c r="R428" s="2" t="inlineStr"/>
    </row>
    <row r="429" ht="15" customHeight="1">
      <c r="A429" t="inlineStr">
        <is>
          <t>A 58354-2019</t>
        </is>
      </c>
      <c r="B429" s="1" t="n">
        <v>43770</v>
      </c>
      <c r="C429" s="1" t="n">
        <v>45648</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58635-2019</t>
        </is>
      </c>
      <c r="B430" s="1" t="n">
        <v>43773</v>
      </c>
      <c r="C430" s="1" t="n">
        <v>45648</v>
      </c>
      <c r="D430" t="inlineStr">
        <is>
          <t>JÄMTLANDS LÄN</t>
        </is>
      </c>
      <c r="E430" t="inlineStr">
        <is>
          <t>BRÄCKE</t>
        </is>
      </c>
      <c r="G430" t="n">
        <v>3.5</v>
      </c>
      <c r="H430" t="n">
        <v>0</v>
      </c>
      <c r="I430" t="n">
        <v>0</v>
      </c>
      <c r="J430" t="n">
        <v>0</v>
      </c>
      <c r="K430" t="n">
        <v>0</v>
      </c>
      <c r="L430" t="n">
        <v>0</v>
      </c>
      <c r="M430" t="n">
        <v>0</v>
      </c>
      <c r="N430" t="n">
        <v>0</v>
      </c>
      <c r="O430" t="n">
        <v>0</v>
      </c>
      <c r="P430" t="n">
        <v>0</v>
      </c>
      <c r="Q430" t="n">
        <v>0</v>
      </c>
      <c r="R430" s="2" t="inlineStr"/>
    </row>
    <row r="431" ht="15" customHeight="1">
      <c r="A431" t="inlineStr">
        <is>
          <t>A 60186-2019</t>
        </is>
      </c>
      <c r="B431" s="1" t="n">
        <v>43776</v>
      </c>
      <c r="C431" s="1" t="n">
        <v>45648</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60018-2019</t>
        </is>
      </c>
      <c r="B432" s="1" t="n">
        <v>43777</v>
      </c>
      <c r="C432" s="1" t="n">
        <v>45648</v>
      </c>
      <c r="D432" t="inlineStr">
        <is>
          <t>JÄMTLANDS LÄN</t>
        </is>
      </c>
      <c r="E432" t="inlineStr">
        <is>
          <t>BRÄCKE</t>
        </is>
      </c>
      <c r="F432" t="inlineStr">
        <is>
          <t>Övriga Aktiebolag</t>
        </is>
      </c>
      <c r="G432" t="n">
        <v>15.2</v>
      </c>
      <c r="H432" t="n">
        <v>0</v>
      </c>
      <c r="I432" t="n">
        <v>0</v>
      </c>
      <c r="J432" t="n">
        <v>0</v>
      </c>
      <c r="K432" t="n">
        <v>0</v>
      </c>
      <c r="L432" t="n">
        <v>0</v>
      </c>
      <c r="M432" t="n">
        <v>0</v>
      </c>
      <c r="N432" t="n">
        <v>0</v>
      </c>
      <c r="O432" t="n">
        <v>0</v>
      </c>
      <c r="P432" t="n">
        <v>0</v>
      </c>
      <c r="Q432" t="n">
        <v>0</v>
      </c>
      <c r="R432" s="2" t="inlineStr"/>
    </row>
    <row r="433" ht="15" customHeight="1">
      <c r="A433" t="inlineStr">
        <is>
          <t>A 60155-2019</t>
        </is>
      </c>
      <c r="B433" s="1" t="n">
        <v>43780</v>
      </c>
      <c r="C433" s="1" t="n">
        <v>45648</v>
      </c>
      <c r="D433" t="inlineStr">
        <is>
          <t>JÄMTLANDS LÄN</t>
        </is>
      </c>
      <c r="E433" t="inlineStr">
        <is>
          <t>BRÄCKE</t>
        </is>
      </c>
      <c r="G433" t="n">
        <v>2.4</v>
      </c>
      <c r="H433" t="n">
        <v>0</v>
      </c>
      <c r="I433" t="n">
        <v>0</v>
      </c>
      <c r="J433" t="n">
        <v>0</v>
      </c>
      <c r="K433" t="n">
        <v>0</v>
      </c>
      <c r="L433" t="n">
        <v>0</v>
      </c>
      <c r="M433" t="n">
        <v>0</v>
      </c>
      <c r="N433" t="n">
        <v>0</v>
      </c>
      <c r="O433" t="n">
        <v>0</v>
      </c>
      <c r="P433" t="n">
        <v>0</v>
      </c>
      <c r="Q433" t="n">
        <v>0</v>
      </c>
      <c r="R433" s="2" t="inlineStr"/>
    </row>
    <row r="434" ht="15" customHeight="1">
      <c r="A434" t="inlineStr">
        <is>
          <t>A 61082-2019</t>
        </is>
      </c>
      <c r="B434" s="1" t="n">
        <v>43782</v>
      </c>
      <c r="C434" s="1" t="n">
        <v>45648</v>
      </c>
      <c r="D434" t="inlineStr">
        <is>
          <t>JÄMTLANDS LÄN</t>
        </is>
      </c>
      <c r="E434" t="inlineStr">
        <is>
          <t>BRÄCKE</t>
        </is>
      </c>
      <c r="G434" t="n">
        <v>20.1</v>
      </c>
      <c r="H434" t="n">
        <v>0</v>
      </c>
      <c r="I434" t="n">
        <v>0</v>
      </c>
      <c r="J434" t="n">
        <v>0</v>
      </c>
      <c r="K434" t="n">
        <v>0</v>
      </c>
      <c r="L434" t="n">
        <v>0</v>
      </c>
      <c r="M434" t="n">
        <v>0</v>
      </c>
      <c r="N434" t="n">
        <v>0</v>
      </c>
      <c r="O434" t="n">
        <v>0</v>
      </c>
      <c r="P434" t="n">
        <v>0</v>
      </c>
      <c r="Q434" t="n">
        <v>0</v>
      </c>
      <c r="R434" s="2" t="inlineStr"/>
    </row>
    <row r="435" ht="15" customHeight="1">
      <c r="A435" t="inlineStr">
        <is>
          <t>A 62335-2019</t>
        </is>
      </c>
      <c r="B435" s="1" t="n">
        <v>43782</v>
      </c>
      <c r="C435" s="1" t="n">
        <v>45648</v>
      </c>
      <c r="D435" t="inlineStr">
        <is>
          <t>JÄMTLANDS LÄN</t>
        </is>
      </c>
      <c r="E435" t="inlineStr">
        <is>
          <t>BRÄCKE</t>
        </is>
      </c>
      <c r="G435" t="n">
        <v>5.7</v>
      </c>
      <c r="H435" t="n">
        <v>0</v>
      </c>
      <c r="I435" t="n">
        <v>0</v>
      </c>
      <c r="J435" t="n">
        <v>0</v>
      </c>
      <c r="K435" t="n">
        <v>0</v>
      </c>
      <c r="L435" t="n">
        <v>0</v>
      </c>
      <c r="M435" t="n">
        <v>0</v>
      </c>
      <c r="N435" t="n">
        <v>0</v>
      </c>
      <c r="O435" t="n">
        <v>0</v>
      </c>
      <c r="P435" t="n">
        <v>0</v>
      </c>
      <c r="Q435" t="n">
        <v>0</v>
      </c>
      <c r="R435" s="2" t="inlineStr"/>
    </row>
    <row r="436" ht="15" customHeight="1">
      <c r="A436" t="inlineStr">
        <is>
          <t>A 64133-2019</t>
        </is>
      </c>
      <c r="B436" s="1" t="n">
        <v>43796</v>
      </c>
      <c r="C436" s="1" t="n">
        <v>45648</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64475-2019</t>
        </is>
      </c>
      <c r="B437" s="1" t="n">
        <v>43797</v>
      </c>
      <c r="C437" s="1" t="n">
        <v>45648</v>
      </c>
      <c r="D437" t="inlineStr">
        <is>
          <t>JÄMTLANDS LÄN</t>
        </is>
      </c>
      <c r="E437" t="inlineStr">
        <is>
          <t>BRÄCKE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65038-2019</t>
        </is>
      </c>
      <c r="B438" s="1" t="n">
        <v>43801</v>
      </c>
      <c r="C438" s="1" t="n">
        <v>45648</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66377-2019</t>
        </is>
      </c>
      <c r="B439" s="1" t="n">
        <v>43808</v>
      </c>
      <c r="C439" s="1" t="n">
        <v>45648</v>
      </c>
      <c r="D439" t="inlineStr">
        <is>
          <t>JÄMTLANDS LÄN</t>
        </is>
      </c>
      <c r="E439" t="inlineStr">
        <is>
          <t>BRÄCKE</t>
        </is>
      </c>
      <c r="G439" t="n">
        <v>0.7</v>
      </c>
      <c r="H439" t="n">
        <v>0</v>
      </c>
      <c r="I439" t="n">
        <v>0</v>
      </c>
      <c r="J439" t="n">
        <v>0</v>
      </c>
      <c r="K439" t="n">
        <v>0</v>
      </c>
      <c r="L439" t="n">
        <v>0</v>
      </c>
      <c r="M439" t="n">
        <v>0</v>
      </c>
      <c r="N439" t="n">
        <v>0</v>
      </c>
      <c r="O439" t="n">
        <v>0</v>
      </c>
      <c r="P439" t="n">
        <v>0</v>
      </c>
      <c r="Q439" t="n">
        <v>0</v>
      </c>
      <c r="R439" s="2" t="inlineStr"/>
    </row>
    <row r="440" ht="15" customHeight="1">
      <c r="A440" t="inlineStr">
        <is>
          <t>A 66376-2019</t>
        </is>
      </c>
      <c r="B440" s="1" t="n">
        <v>43808</v>
      </c>
      <c r="C440" s="1" t="n">
        <v>45648</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68001-2019</t>
        </is>
      </c>
      <c r="B441" s="1" t="n">
        <v>43810</v>
      </c>
      <c r="C441" s="1" t="n">
        <v>45648</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67214-2019</t>
        </is>
      </c>
      <c r="B442" s="1" t="n">
        <v>43811</v>
      </c>
      <c r="C442" s="1" t="n">
        <v>45648</v>
      </c>
      <c r="D442" t="inlineStr">
        <is>
          <t>JÄMTLANDS LÄN</t>
        </is>
      </c>
      <c r="E442" t="inlineStr">
        <is>
          <t>BRÄCKE</t>
        </is>
      </c>
      <c r="G442" t="n">
        <v>0.2</v>
      </c>
      <c r="H442" t="n">
        <v>0</v>
      </c>
      <c r="I442" t="n">
        <v>0</v>
      </c>
      <c r="J442" t="n">
        <v>0</v>
      </c>
      <c r="K442" t="n">
        <v>0</v>
      </c>
      <c r="L442" t="n">
        <v>0</v>
      </c>
      <c r="M442" t="n">
        <v>0</v>
      </c>
      <c r="N442" t="n">
        <v>0</v>
      </c>
      <c r="O442" t="n">
        <v>0</v>
      </c>
      <c r="P442" t="n">
        <v>0</v>
      </c>
      <c r="Q442" t="n">
        <v>0</v>
      </c>
      <c r="R442" s="2" t="inlineStr"/>
    </row>
    <row r="443" ht="15" customHeight="1">
      <c r="A443" t="inlineStr">
        <is>
          <t>A 67818-2019</t>
        </is>
      </c>
      <c r="B443" s="1" t="n">
        <v>43815</v>
      </c>
      <c r="C443" s="1" t="n">
        <v>45648</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69041-2019</t>
        </is>
      </c>
      <c r="B444" s="1" t="n">
        <v>43826</v>
      </c>
      <c r="C444" s="1" t="n">
        <v>45648</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208-2020</t>
        </is>
      </c>
      <c r="B445" s="1" t="n">
        <v>43833</v>
      </c>
      <c r="C445" s="1" t="n">
        <v>45648</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325-2020</t>
        </is>
      </c>
      <c r="B446" s="1" t="n">
        <v>43837</v>
      </c>
      <c r="C446" s="1" t="n">
        <v>45648</v>
      </c>
      <c r="D446" t="inlineStr">
        <is>
          <t>JÄMTLANDS LÄN</t>
        </is>
      </c>
      <c r="E446" t="inlineStr">
        <is>
          <t>BRÄCKE</t>
        </is>
      </c>
      <c r="G446" t="n">
        <v>0.3</v>
      </c>
      <c r="H446" t="n">
        <v>0</v>
      </c>
      <c r="I446" t="n">
        <v>0</v>
      </c>
      <c r="J446" t="n">
        <v>0</v>
      </c>
      <c r="K446" t="n">
        <v>0</v>
      </c>
      <c r="L446" t="n">
        <v>0</v>
      </c>
      <c r="M446" t="n">
        <v>0</v>
      </c>
      <c r="N446" t="n">
        <v>0</v>
      </c>
      <c r="O446" t="n">
        <v>0</v>
      </c>
      <c r="P446" t="n">
        <v>0</v>
      </c>
      <c r="Q446" t="n">
        <v>0</v>
      </c>
      <c r="R446" s="2" t="inlineStr"/>
    </row>
    <row r="447" ht="15" customHeight="1">
      <c r="A447" t="inlineStr">
        <is>
          <t>A 1267-2020</t>
        </is>
      </c>
      <c r="B447" s="1" t="n">
        <v>43840</v>
      </c>
      <c r="C447" s="1" t="n">
        <v>45648</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3488-2020</t>
        </is>
      </c>
      <c r="B448" s="1" t="n">
        <v>43852</v>
      </c>
      <c r="C448" s="1" t="n">
        <v>45648</v>
      </c>
      <c r="D448" t="inlineStr">
        <is>
          <t>JÄMTLANDS LÄN</t>
        </is>
      </c>
      <c r="E448" t="inlineStr">
        <is>
          <t>BRÄCKE</t>
        </is>
      </c>
      <c r="G448" t="n">
        <v>9.1</v>
      </c>
      <c r="H448" t="n">
        <v>0</v>
      </c>
      <c r="I448" t="n">
        <v>0</v>
      </c>
      <c r="J448" t="n">
        <v>0</v>
      </c>
      <c r="K448" t="n">
        <v>0</v>
      </c>
      <c r="L448" t="n">
        <v>0</v>
      </c>
      <c r="M448" t="n">
        <v>0</v>
      </c>
      <c r="N448" t="n">
        <v>0</v>
      </c>
      <c r="O448" t="n">
        <v>0</v>
      </c>
      <c r="P448" t="n">
        <v>0</v>
      </c>
      <c r="Q448" t="n">
        <v>0</v>
      </c>
      <c r="R448" s="2" t="inlineStr"/>
    </row>
    <row r="449" ht="15" customHeight="1">
      <c r="A449" t="inlineStr">
        <is>
          <t>A 3483-2020</t>
        </is>
      </c>
      <c r="B449" s="1" t="n">
        <v>43852</v>
      </c>
      <c r="C449" s="1" t="n">
        <v>45648</v>
      </c>
      <c r="D449" t="inlineStr">
        <is>
          <t>JÄMTLANDS LÄN</t>
        </is>
      </c>
      <c r="E449" t="inlineStr">
        <is>
          <t>BRÄCKE</t>
        </is>
      </c>
      <c r="G449" t="n">
        <v>5.8</v>
      </c>
      <c r="H449" t="n">
        <v>0</v>
      </c>
      <c r="I449" t="n">
        <v>0</v>
      </c>
      <c r="J449" t="n">
        <v>0</v>
      </c>
      <c r="K449" t="n">
        <v>0</v>
      </c>
      <c r="L449" t="n">
        <v>0</v>
      </c>
      <c r="M449" t="n">
        <v>0</v>
      </c>
      <c r="N449" t="n">
        <v>0</v>
      </c>
      <c r="O449" t="n">
        <v>0</v>
      </c>
      <c r="P449" t="n">
        <v>0</v>
      </c>
      <c r="Q449" t="n">
        <v>0</v>
      </c>
      <c r="R449" s="2" t="inlineStr"/>
    </row>
    <row r="450" ht="15" customHeight="1">
      <c r="A450" t="inlineStr">
        <is>
          <t>A 3489-2020</t>
        </is>
      </c>
      <c r="B450" s="1" t="n">
        <v>43852</v>
      </c>
      <c r="C450" s="1" t="n">
        <v>45648</v>
      </c>
      <c r="D450" t="inlineStr">
        <is>
          <t>JÄMTLANDS LÄN</t>
        </is>
      </c>
      <c r="E450" t="inlineStr">
        <is>
          <t>BRÄCKE</t>
        </is>
      </c>
      <c r="G450" t="n">
        <v>3.8</v>
      </c>
      <c r="H450" t="n">
        <v>0</v>
      </c>
      <c r="I450" t="n">
        <v>0</v>
      </c>
      <c r="J450" t="n">
        <v>0</v>
      </c>
      <c r="K450" t="n">
        <v>0</v>
      </c>
      <c r="L450" t="n">
        <v>0</v>
      </c>
      <c r="M450" t="n">
        <v>0</v>
      </c>
      <c r="N450" t="n">
        <v>0</v>
      </c>
      <c r="O450" t="n">
        <v>0</v>
      </c>
      <c r="P450" t="n">
        <v>0</v>
      </c>
      <c r="Q450" t="n">
        <v>0</v>
      </c>
      <c r="R450" s="2" t="inlineStr"/>
    </row>
    <row r="451" ht="15" customHeight="1">
      <c r="A451" t="inlineStr">
        <is>
          <t>A 3772-2020</t>
        </is>
      </c>
      <c r="B451" s="1" t="n">
        <v>43854</v>
      </c>
      <c r="C451" s="1" t="n">
        <v>45648</v>
      </c>
      <c r="D451" t="inlineStr">
        <is>
          <t>JÄMTLANDS LÄN</t>
        </is>
      </c>
      <c r="E451" t="inlineStr">
        <is>
          <t>BRÄCKE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6265-2020</t>
        </is>
      </c>
      <c r="B452" s="1" t="n">
        <v>43866</v>
      </c>
      <c r="C452" s="1" t="n">
        <v>45648</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7045-2020</t>
        </is>
      </c>
      <c r="B453" s="1" t="n">
        <v>43868</v>
      </c>
      <c r="C453" s="1" t="n">
        <v>45648</v>
      </c>
      <c r="D453" t="inlineStr">
        <is>
          <t>JÄMTLANDS LÄN</t>
        </is>
      </c>
      <c r="E453" t="inlineStr">
        <is>
          <t>BRÄCKE</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7782-2020</t>
        </is>
      </c>
      <c r="B454" s="1" t="n">
        <v>43872</v>
      </c>
      <c r="C454" s="1" t="n">
        <v>45648</v>
      </c>
      <c r="D454" t="inlineStr">
        <is>
          <t>JÄMTLANDS LÄN</t>
        </is>
      </c>
      <c r="E454" t="inlineStr">
        <is>
          <t>BRÄCKE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7783-2020</t>
        </is>
      </c>
      <c r="B455" s="1" t="n">
        <v>43872</v>
      </c>
      <c r="C455" s="1" t="n">
        <v>45648</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7792-2020</t>
        </is>
      </c>
      <c r="B456" s="1" t="n">
        <v>43872</v>
      </c>
      <c r="C456" s="1" t="n">
        <v>45648</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9825-2020</t>
        </is>
      </c>
      <c r="B457" s="1" t="n">
        <v>43881</v>
      </c>
      <c r="C457" s="1" t="n">
        <v>45648</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13890-2020</t>
        </is>
      </c>
      <c r="B458" s="1" t="n">
        <v>43906</v>
      </c>
      <c r="C458" s="1" t="n">
        <v>45648</v>
      </c>
      <c r="D458" t="inlineStr">
        <is>
          <t>JÄMTLANDS LÄN</t>
        </is>
      </c>
      <c r="E458" t="inlineStr">
        <is>
          <t>BRÄCKE</t>
        </is>
      </c>
      <c r="G458" t="n">
        <v>2.6</v>
      </c>
      <c r="H458" t="n">
        <v>0</v>
      </c>
      <c r="I458" t="n">
        <v>0</v>
      </c>
      <c r="J458" t="n">
        <v>0</v>
      </c>
      <c r="K458" t="n">
        <v>0</v>
      </c>
      <c r="L458" t="n">
        <v>0</v>
      </c>
      <c r="M458" t="n">
        <v>0</v>
      </c>
      <c r="N458" t="n">
        <v>0</v>
      </c>
      <c r="O458" t="n">
        <v>0</v>
      </c>
      <c r="P458" t="n">
        <v>0</v>
      </c>
      <c r="Q458" t="n">
        <v>0</v>
      </c>
      <c r="R458" s="2" t="inlineStr"/>
    </row>
    <row r="459" ht="15" customHeight="1">
      <c r="A459" t="inlineStr">
        <is>
          <t>A 15404-2020</t>
        </is>
      </c>
      <c r="B459" s="1" t="n">
        <v>43913</v>
      </c>
      <c r="C459" s="1" t="n">
        <v>45648</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15405-2020</t>
        </is>
      </c>
      <c r="B460" s="1" t="n">
        <v>43913</v>
      </c>
      <c r="C460" s="1" t="n">
        <v>45648</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15898-2020</t>
        </is>
      </c>
      <c r="B461" s="1" t="n">
        <v>43915</v>
      </c>
      <c r="C461" s="1" t="n">
        <v>45648</v>
      </c>
      <c r="D461" t="inlineStr">
        <is>
          <t>JÄMTLANDS LÄN</t>
        </is>
      </c>
      <c r="E461" t="inlineStr">
        <is>
          <t>BRÄCKE</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16158-2020</t>
        </is>
      </c>
      <c r="B462" s="1" t="n">
        <v>43916</v>
      </c>
      <c r="C462" s="1" t="n">
        <v>45648</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16769-2020</t>
        </is>
      </c>
      <c r="B463" s="1" t="n">
        <v>43920</v>
      </c>
      <c r="C463" s="1" t="n">
        <v>45648</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17081-2020</t>
        </is>
      </c>
      <c r="B464" s="1" t="n">
        <v>43921</v>
      </c>
      <c r="C464" s="1" t="n">
        <v>45648</v>
      </c>
      <c r="D464" t="inlineStr">
        <is>
          <t>JÄMTLANDS LÄN</t>
        </is>
      </c>
      <c r="E464" t="inlineStr">
        <is>
          <t>BRÄCKE</t>
        </is>
      </c>
      <c r="G464" t="n">
        <v>13.6</v>
      </c>
      <c r="H464" t="n">
        <v>0</v>
      </c>
      <c r="I464" t="n">
        <v>0</v>
      </c>
      <c r="J464" t="n">
        <v>0</v>
      </c>
      <c r="K464" t="n">
        <v>0</v>
      </c>
      <c r="L464" t="n">
        <v>0</v>
      </c>
      <c r="M464" t="n">
        <v>0</v>
      </c>
      <c r="N464" t="n">
        <v>0</v>
      </c>
      <c r="O464" t="n">
        <v>0</v>
      </c>
      <c r="P464" t="n">
        <v>0</v>
      </c>
      <c r="Q464" t="n">
        <v>0</v>
      </c>
      <c r="R464" s="2" t="inlineStr"/>
    </row>
    <row r="465" ht="15" customHeight="1">
      <c r="A465" t="inlineStr">
        <is>
          <t>A 17082-2020</t>
        </is>
      </c>
      <c r="B465" s="1" t="n">
        <v>43921</v>
      </c>
      <c r="C465" s="1" t="n">
        <v>45648</v>
      </c>
      <c r="D465" t="inlineStr">
        <is>
          <t>JÄMTLANDS LÄN</t>
        </is>
      </c>
      <c r="E465" t="inlineStr">
        <is>
          <t>BRÄCKE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17078-2020</t>
        </is>
      </c>
      <c r="B466" s="1" t="n">
        <v>43921</v>
      </c>
      <c r="C466" s="1" t="n">
        <v>45648</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17677-2020</t>
        </is>
      </c>
      <c r="B467" s="1" t="n">
        <v>43923</v>
      </c>
      <c r="C467" s="1" t="n">
        <v>45648</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17887-2020</t>
        </is>
      </c>
      <c r="B468" s="1" t="n">
        <v>43924</v>
      </c>
      <c r="C468" s="1" t="n">
        <v>45648</v>
      </c>
      <c r="D468" t="inlineStr">
        <is>
          <t>JÄMTLANDS LÄN</t>
        </is>
      </c>
      <c r="E468" t="inlineStr">
        <is>
          <t>BRÄCKE</t>
        </is>
      </c>
      <c r="F468" t="inlineStr">
        <is>
          <t>SCA</t>
        </is>
      </c>
      <c r="G468" t="n">
        <v>18.4</v>
      </c>
      <c r="H468" t="n">
        <v>0</v>
      </c>
      <c r="I468" t="n">
        <v>0</v>
      </c>
      <c r="J468" t="n">
        <v>0</v>
      </c>
      <c r="K468" t="n">
        <v>0</v>
      </c>
      <c r="L468" t="n">
        <v>0</v>
      </c>
      <c r="M468" t="n">
        <v>0</v>
      </c>
      <c r="N468" t="n">
        <v>0</v>
      </c>
      <c r="O468" t="n">
        <v>0</v>
      </c>
      <c r="P468" t="n">
        <v>0</v>
      </c>
      <c r="Q468" t="n">
        <v>0</v>
      </c>
      <c r="R468" s="2" t="inlineStr"/>
    </row>
    <row r="469" ht="15" customHeight="1">
      <c r="A469" t="inlineStr">
        <is>
          <t>A 18654-2020</t>
        </is>
      </c>
      <c r="B469" s="1" t="n">
        <v>43927</v>
      </c>
      <c r="C469" s="1" t="n">
        <v>45648</v>
      </c>
      <c r="D469" t="inlineStr">
        <is>
          <t>JÄMTLANDS LÄN</t>
        </is>
      </c>
      <c r="E469" t="inlineStr">
        <is>
          <t>BRÄCKE</t>
        </is>
      </c>
      <c r="G469" t="n">
        <v>0.4</v>
      </c>
      <c r="H469" t="n">
        <v>0</v>
      </c>
      <c r="I469" t="n">
        <v>0</v>
      </c>
      <c r="J469" t="n">
        <v>0</v>
      </c>
      <c r="K469" t="n">
        <v>0</v>
      </c>
      <c r="L469" t="n">
        <v>0</v>
      </c>
      <c r="M469" t="n">
        <v>0</v>
      </c>
      <c r="N469" t="n">
        <v>0</v>
      </c>
      <c r="O469" t="n">
        <v>0</v>
      </c>
      <c r="P469" t="n">
        <v>0</v>
      </c>
      <c r="Q469" t="n">
        <v>0</v>
      </c>
      <c r="R469" s="2" t="inlineStr"/>
    </row>
    <row r="470" ht="15" customHeight="1">
      <c r="A470" t="inlineStr">
        <is>
          <t>A 19314-2020</t>
        </is>
      </c>
      <c r="B470" s="1" t="n">
        <v>43937</v>
      </c>
      <c r="C470" s="1" t="n">
        <v>45648</v>
      </c>
      <c r="D470" t="inlineStr">
        <is>
          <t>JÄMTLANDS LÄN</t>
        </is>
      </c>
      <c r="E470" t="inlineStr">
        <is>
          <t>BRÄCKE</t>
        </is>
      </c>
      <c r="F470" t="inlineStr">
        <is>
          <t>SCA</t>
        </is>
      </c>
      <c r="G470" t="n">
        <v>5.2</v>
      </c>
      <c r="H470" t="n">
        <v>0</v>
      </c>
      <c r="I470" t="n">
        <v>0</v>
      </c>
      <c r="J470" t="n">
        <v>0</v>
      </c>
      <c r="K470" t="n">
        <v>0</v>
      </c>
      <c r="L470" t="n">
        <v>0</v>
      </c>
      <c r="M470" t="n">
        <v>0</v>
      </c>
      <c r="N470" t="n">
        <v>0</v>
      </c>
      <c r="O470" t="n">
        <v>0</v>
      </c>
      <c r="P470" t="n">
        <v>0</v>
      </c>
      <c r="Q470" t="n">
        <v>0</v>
      </c>
      <c r="R470" s="2" t="inlineStr"/>
    </row>
    <row r="471" ht="15" customHeight="1">
      <c r="A471" t="inlineStr">
        <is>
          <t>A 20034-2020</t>
        </is>
      </c>
      <c r="B471" s="1" t="n">
        <v>43943</v>
      </c>
      <c r="C471" s="1" t="n">
        <v>45648</v>
      </c>
      <c r="D471" t="inlineStr">
        <is>
          <t>JÄMTLANDS LÄN</t>
        </is>
      </c>
      <c r="E471" t="inlineStr">
        <is>
          <t>BRÄCKE</t>
        </is>
      </c>
      <c r="G471" t="n">
        <v>3.2</v>
      </c>
      <c r="H471" t="n">
        <v>0</v>
      </c>
      <c r="I471" t="n">
        <v>0</v>
      </c>
      <c r="J471" t="n">
        <v>0</v>
      </c>
      <c r="K471" t="n">
        <v>0</v>
      </c>
      <c r="L471" t="n">
        <v>0</v>
      </c>
      <c r="M471" t="n">
        <v>0</v>
      </c>
      <c r="N471" t="n">
        <v>0</v>
      </c>
      <c r="O471" t="n">
        <v>0</v>
      </c>
      <c r="P471" t="n">
        <v>0</v>
      </c>
      <c r="Q471" t="n">
        <v>0</v>
      </c>
      <c r="R471" s="2" t="inlineStr"/>
    </row>
    <row r="472" ht="15" customHeight="1">
      <c r="A472" t="inlineStr">
        <is>
          <t>A 20426-2020</t>
        </is>
      </c>
      <c r="B472" s="1" t="n">
        <v>43945</v>
      </c>
      <c r="C472" s="1" t="n">
        <v>45648</v>
      </c>
      <c r="D472" t="inlineStr">
        <is>
          <t>JÄMTLANDS LÄN</t>
        </is>
      </c>
      <c r="E472" t="inlineStr">
        <is>
          <t>BRÄCKE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20617-2020</t>
        </is>
      </c>
      <c r="B473" s="1" t="n">
        <v>43948</v>
      </c>
      <c r="C473" s="1" t="n">
        <v>45648</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21426-2020</t>
        </is>
      </c>
      <c r="B474" s="1" t="n">
        <v>43955</v>
      </c>
      <c r="C474" s="1" t="n">
        <v>45648</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21425-2020</t>
        </is>
      </c>
      <c r="B475" s="1" t="n">
        <v>43955</v>
      </c>
      <c r="C475" s="1" t="n">
        <v>45648</v>
      </c>
      <c r="D475" t="inlineStr">
        <is>
          <t>JÄMTLANDS LÄN</t>
        </is>
      </c>
      <c r="E475" t="inlineStr">
        <is>
          <t>BRÄCKE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22081-2020</t>
        </is>
      </c>
      <c r="B476" s="1" t="n">
        <v>43959</v>
      </c>
      <c r="C476" s="1" t="n">
        <v>45648</v>
      </c>
      <c r="D476" t="inlineStr">
        <is>
          <t>JÄMTLANDS LÄN</t>
        </is>
      </c>
      <c r="E476" t="inlineStr">
        <is>
          <t>BRÄCKE</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24038-2020</t>
        </is>
      </c>
      <c r="B477" s="1" t="n">
        <v>43972</v>
      </c>
      <c r="C477" s="1" t="n">
        <v>45648</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24244-2020</t>
        </is>
      </c>
      <c r="B478" s="1" t="n">
        <v>43976</v>
      </c>
      <c r="C478" s="1" t="n">
        <v>45648</v>
      </c>
      <c r="D478" t="inlineStr">
        <is>
          <t>JÄMTLANDS LÄN</t>
        </is>
      </c>
      <c r="E478" t="inlineStr">
        <is>
          <t>BRÄCKE</t>
        </is>
      </c>
      <c r="G478" t="n">
        <v>1.4</v>
      </c>
      <c r="H478" t="n">
        <v>0</v>
      </c>
      <c r="I478" t="n">
        <v>0</v>
      </c>
      <c r="J478" t="n">
        <v>0</v>
      </c>
      <c r="K478" t="n">
        <v>0</v>
      </c>
      <c r="L478" t="n">
        <v>0</v>
      </c>
      <c r="M478" t="n">
        <v>0</v>
      </c>
      <c r="N478" t="n">
        <v>0</v>
      </c>
      <c r="O478" t="n">
        <v>0</v>
      </c>
      <c r="P478" t="n">
        <v>0</v>
      </c>
      <c r="Q478" t="n">
        <v>0</v>
      </c>
      <c r="R478" s="2" t="inlineStr"/>
    </row>
    <row r="479" ht="15" customHeight="1">
      <c r="A479" t="inlineStr">
        <is>
          <t>A 24429-2020</t>
        </is>
      </c>
      <c r="B479" s="1" t="n">
        <v>43976</v>
      </c>
      <c r="C479" s="1" t="n">
        <v>45648</v>
      </c>
      <c r="D479" t="inlineStr">
        <is>
          <t>JÄMTLANDS LÄN</t>
        </is>
      </c>
      <c r="E479" t="inlineStr">
        <is>
          <t>BRÄCKE</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24863-2020</t>
        </is>
      </c>
      <c r="B480" s="1" t="n">
        <v>43978</v>
      </c>
      <c r="C480" s="1" t="n">
        <v>45648</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25382-2020</t>
        </is>
      </c>
      <c r="B481" s="1" t="n">
        <v>43980</v>
      </c>
      <c r="C481" s="1" t="n">
        <v>45648</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25906-2020</t>
        </is>
      </c>
      <c r="B482" s="1" t="n">
        <v>43984</v>
      </c>
      <c r="C482" s="1" t="n">
        <v>45648</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25772-2020</t>
        </is>
      </c>
      <c r="B483" s="1" t="n">
        <v>43984</v>
      </c>
      <c r="C483" s="1" t="n">
        <v>45648</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26168-2020</t>
        </is>
      </c>
      <c r="B484" s="1" t="n">
        <v>43985</v>
      </c>
      <c r="C484" s="1" t="n">
        <v>45648</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26169-2020</t>
        </is>
      </c>
      <c r="B485" s="1" t="n">
        <v>43985</v>
      </c>
      <c r="C485" s="1" t="n">
        <v>45648</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27191-2020</t>
        </is>
      </c>
      <c r="B486" s="1" t="n">
        <v>43991</v>
      </c>
      <c r="C486" s="1" t="n">
        <v>45648</v>
      </c>
      <c r="D486" t="inlineStr">
        <is>
          <t>JÄMTLANDS LÄN</t>
        </is>
      </c>
      <c r="E486" t="inlineStr">
        <is>
          <t>BRÄCKE</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27190-2020</t>
        </is>
      </c>
      <c r="B487" s="1" t="n">
        <v>43991</v>
      </c>
      <c r="C487" s="1" t="n">
        <v>45648</v>
      </c>
      <c r="D487" t="inlineStr">
        <is>
          <t>JÄMTLANDS LÄN</t>
        </is>
      </c>
      <c r="E487" t="inlineStr">
        <is>
          <t>BRÄCKE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28213-2020</t>
        </is>
      </c>
      <c r="B488" s="1" t="n">
        <v>43997</v>
      </c>
      <c r="C488" s="1" t="n">
        <v>45648</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28701-2020</t>
        </is>
      </c>
      <c r="B489" s="1" t="n">
        <v>43997</v>
      </c>
      <c r="C489" s="1" t="n">
        <v>45648</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28174-2020</t>
        </is>
      </c>
      <c r="B490" s="1" t="n">
        <v>43997</v>
      </c>
      <c r="C490" s="1" t="n">
        <v>45648</v>
      </c>
      <c r="D490" t="inlineStr">
        <is>
          <t>JÄMTLANDS LÄN</t>
        </is>
      </c>
      <c r="E490" t="inlineStr">
        <is>
          <t>BRÄCKE</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29259-2020</t>
        </is>
      </c>
      <c r="B491" s="1" t="n">
        <v>44004</v>
      </c>
      <c r="C491" s="1" t="n">
        <v>45648</v>
      </c>
      <c r="D491" t="inlineStr">
        <is>
          <t>JÄMTLANDS LÄN</t>
        </is>
      </c>
      <c r="E491" t="inlineStr">
        <is>
          <t>BRÄCKE</t>
        </is>
      </c>
      <c r="F491" t="inlineStr">
        <is>
          <t>Övriga Aktiebolag</t>
        </is>
      </c>
      <c r="G491" t="n">
        <v>40.6</v>
      </c>
      <c r="H491" t="n">
        <v>0</v>
      </c>
      <c r="I491" t="n">
        <v>0</v>
      </c>
      <c r="J491" t="n">
        <v>0</v>
      </c>
      <c r="K491" t="n">
        <v>0</v>
      </c>
      <c r="L491" t="n">
        <v>0</v>
      </c>
      <c r="M491" t="n">
        <v>0</v>
      </c>
      <c r="N491" t="n">
        <v>0</v>
      </c>
      <c r="O491" t="n">
        <v>0</v>
      </c>
      <c r="P491" t="n">
        <v>0</v>
      </c>
      <c r="Q491" t="n">
        <v>0</v>
      </c>
      <c r="R491" s="2" t="inlineStr"/>
    </row>
    <row r="492" ht="15" customHeight="1">
      <c r="A492" t="inlineStr">
        <is>
          <t>A 29489-2020</t>
        </is>
      </c>
      <c r="B492" s="1" t="n">
        <v>44004</v>
      </c>
      <c r="C492" s="1" t="n">
        <v>45648</v>
      </c>
      <c r="D492" t="inlineStr">
        <is>
          <t>JÄMTLANDS LÄN</t>
        </is>
      </c>
      <c r="E492" t="inlineStr">
        <is>
          <t>BRÄCKE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29863-2020</t>
        </is>
      </c>
      <c r="B493" s="1" t="n">
        <v>44005</v>
      </c>
      <c r="C493" s="1" t="n">
        <v>45648</v>
      </c>
      <c r="D493" t="inlineStr">
        <is>
          <t>JÄMTLANDS LÄN</t>
        </is>
      </c>
      <c r="E493" t="inlineStr">
        <is>
          <t>BRÄCKE</t>
        </is>
      </c>
      <c r="G493" t="n">
        <v>2.2</v>
      </c>
      <c r="H493" t="n">
        <v>0</v>
      </c>
      <c r="I493" t="n">
        <v>0</v>
      </c>
      <c r="J493" t="n">
        <v>0</v>
      </c>
      <c r="K493" t="n">
        <v>0</v>
      </c>
      <c r="L493" t="n">
        <v>0</v>
      </c>
      <c r="M493" t="n">
        <v>0</v>
      </c>
      <c r="N493" t="n">
        <v>0</v>
      </c>
      <c r="O493" t="n">
        <v>0</v>
      </c>
      <c r="P493" t="n">
        <v>0</v>
      </c>
      <c r="Q493" t="n">
        <v>0</v>
      </c>
      <c r="R493" s="2" t="inlineStr"/>
    </row>
    <row r="494" ht="15" customHeight="1">
      <c r="A494" t="inlineStr">
        <is>
          <t>A 30471-2020</t>
        </is>
      </c>
      <c r="B494" s="1" t="n">
        <v>44007</v>
      </c>
      <c r="C494" s="1" t="n">
        <v>45648</v>
      </c>
      <c r="D494" t="inlineStr">
        <is>
          <t>JÄMTLANDS LÄN</t>
        </is>
      </c>
      <c r="E494" t="inlineStr">
        <is>
          <t>BRÄCKE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30474-2020</t>
        </is>
      </c>
      <c r="B495" s="1" t="n">
        <v>44007</v>
      </c>
      <c r="C495" s="1" t="n">
        <v>45648</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30475-2020</t>
        </is>
      </c>
      <c r="B496" s="1" t="n">
        <v>44007</v>
      </c>
      <c r="C496" s="1" t="n">
        <v>45648</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30472-2020</t>
        </is>
      </c>
      <c r="B497" s="1" t="n">
        <v>44007</v>
      </c>
      <c r="C497" s="1" t="n">
        <v>45648</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31021-2020</t>
        </is>
      </c>
      <c r="B498" s="1" t="n">
        <v>44011</v>
      </c>
      <c r="C498" s="1" t="n">
        <v>45648</v>
      </c>
      <c r="D498" t="inlineStr">
        <is>
          <t>JÄMTLANDS LÄN</t>
        </is>
      </c>
      <c r="E498" t="inlineStr">
        <is>
          <t>BRÄCKE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31448-2020</t>
        </is>
      </c>
      <c r="B499" s="1" t="n">
        <v>44012</v>
      </c>
      <c r="C499" s="1" t="n">
        <v>45648</v>
      </c>
      <c r="D499" t="inlineStr">
        <is>
          <t>JÄMTLANDS LÄN</t>
        </is>
      </c>
      <c r="E499" t="inlineStr">
        <is>
          <t>BRÄCKE</t>
        </is>
      </c>
      <c r="G499" t="n">
        <v>4.5</v>
      </c>
      <c r="H499" t="n">
        <v>0</v>
      </c>
      <c r="I499" t="n">
        <v>0</v>
      </c>
      <c r="J499" t="n">
        <v>0</v>
      </c>
      <c r="K499" t="n">
        <v>0</v>
      </c>
      <c r="L499" t="n">
        <v>0</v>
      </c>
      <c r="M499" t="n">
        <v>0</v>
      </c>
      <c r="N499" t="n">
        <v>0</v>
      </c>
      <c r="O499" t="n">
        <v>0</v>
      </c>
      <c r="P499" t="n">
        <v>0</v>
      </c>
      <c r="Q499" t="n">
        <v>0</v>
      </c>
      <c r="R499" s="2" t="inlineStr"/>
    </row>
    <row r="500" ht="15" customHeight="1">
      <c r="A500" t="inlineStr">
        <is>
          <t>A 31602-2020</t>
        </is>
      </c>
      <c r="B500" s="1" t="n">
        <v>44013</v>
      </c>
      <c r="C500" s="1" t="n">
        <v>45648</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32272-2020</t>
        </is>
      </c>
      <c r="B501" s="1" t="n">
        <v>44015</v>
      </c>
      <c r="C501" s="1" t="n">
        <v>45648</v>
      </c>
      <c r="D501" t="inlineStr">
        <is>
          <t>JÄMTLANDS LÄN</t>
        </is>
      </c>
      <c r="E501" t="inlineStr">
        <is>
          <t>BRÄCKE</t>
        </is>
      </c>
      <c r="G501" t="n">
        <v>2.5</v>
      </c>
      <c r="H501" t="n">
        <v>0</v>
      </c>
      <c r="I501" t="n">
        <v>0</v>
      </c>
      <c r="J501" t="n">
        <v>0</v>
      </c>
      <c r="K501" t="n">
        <v>0</v>
      </c>
      <c r="L501" t="n">
        <v>0</v>
      </c>
      <c r="M501" t="n">
        <v>0</v>
      </c>
      <c r="N501" t="n">
        <v>0</v>
      </c>
      <c r="O501" t="n">
        <v>0</v>
      </c>
      <c r="P501" t="n">
        <v>0</v>
      </c>
      <c r="Q501" t="n">
        <v>0</v>
      </c>
      <c r="R501" s="2" t="inlineStr"/>
    </row>
    <row r="502" ht="15" customHeight="1">
      <c r="A502" t="inlineStr">
        <is>
          <t>A 32710-2020</t>
        </is>
      </c>
      <c r="B502" s="1" t="n">
        <v>44018</v>
      </c>
      <c r="C502" s="1" t="n">
        <v>45648</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33198-2020</t>
        </is>
      </c>
      <c r="B503" s="1" t="n">
        <v>44021</v>
      </c>
      <c r="C503" s="1" t="n">
        <v>45648</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34660-2020</t>
        </is>
      </c>
      <c r="B504" s="1" t="n">
        <v>44034</v>
      </c>
      <c r="C504" s="1" t="n">
        <v>45648</v>
      </c>
      <c r="D504" t="inlineStr">
        <is>
          <t>JÄMTLANDS LÄN</t>
        </is>
      </c>
      <c r="E504" t="inlineStr">
        <is>
          <t>BRÄCKE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34659-2020</t>
        </is>
      </c>
      <c r="B505" s="1" t="n">
        <v>44034</v>
      </c>
      <c r="C505" s="1" t="n">
        <v>45648</v>
      </c>
      <c r="D505" t="inlineStr">
        <is>
          <t>JÄMTLANDS LÄN</t>
        </is>
      </c>
      <c r="E505" t="inlineStr">
        <is>
          <t>BRÄCKE</t>
        </is>
      </c>
      <c r="G505" t="n">
        <v>4.7</v>
      </c>
      <c r="H505" t="n">
        <v>0</v>
      </c>
      <c r="I505" t="n">
        <v>0</v>
      </c>
      <c r="J505" t="n">
        <v>0</v>
      </c>
      <c r="K505" t="n">
        <v>0</v>
      </c>
      <c r="L505" t="n">
        <v>0</v>
      </c>
      <c r="M505" t="n">
        <v>0</v>
      </c>
      <c r="N505" t="n">
        <v>0</v>
      </c>
      <c r="O505" t="n">
        <v>0</v>
      </c>
      <c r="P505" t="n">
        <v>0</v>
      </c>
      <c r="Q505" t="n">
        <v>0</v>
      </c>
      <c r="R505" s="2" t="inlineStr"/>
    </row>
    <row r="506" ht="15" customHeight="1">
      <c r="A506" t="inlineStr">
        <is>
          <t>A 34870-2020</t>
        </is>
      </c>
      <c r="B506" s="1" t="n">
        <v>44036</v>
      </c>
      <c r="C506" s="1" t="n">
        <v>45648</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35250-2020</t>
        </is>
      </c>
      <c r="B507" s="1" t="n">
        <v>44041</v>
      </c>
      <c r="C507" s="1" t="n">
        <v>45648</v>
      </c>
      <c r="D507" t="inlineStr">
        <is>
          <t>JÄMTLANDS LÄN</t>
        </is>
      </c>
      <c r="E507" t="inlineStr">
        <is>
          <t>BRÄCKE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35364-2020</t>
        </is>
      </c>
      <c r="B508" s="1" t="n">
        <v>44041</v>
      </c>
      <c r="C508" s="1" t="n">
        <v>45648</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35423-2020</t>
        </is>
      </c>
      <c r="B509" s="1" t="n">
        <v>44042</v>
      </c>
      <c r="C509" s="1" t="n">
        <v>45648</v>
      </c>
      <c r="D509" t="inlineStr">
        <is>
          <t>JÄMTLANDS LÄN</t>
        </is>
      </c>
      <c r="E509" t="inlineStr">
        <is>
          <t>BRÄCKE</t>
        </is>
      </c>
      <c r="G509" t="n">
        <v>13.2</v>
      </c>
      <c r="H509" t="n">
        <v>0</v>
      </c>
      <c r="I509" t="n">
        <v>0</v>
      </c>
      <c r="J509" t="n">
        <v>0</v>
      </c>
      <c r="K509" t="n">
        <v>0</v>
      </c>
      <c r="L509" t="n">
        <v>0</v>
      </c>
      <c r="M509" t="n">
        <v>0</v>
      </c>
      <c r="N509" t="n">
        <v>0</v>
      </c>
      <c r="O509" t="n">
        <v>0</v>
      </c>
      <c r="P509" t="n">
        <v>0</v>
      </c>
      <c r="Q509" t="n">
        <v>0</v>
      </c>
      <c r="R509" s="2" t="inlineStr"/>
    </row>
    <row r="510" ht="15" customHeight="1">
      <c r="A510" t="inlineStr">
        <is>
          <t>A 35799-2020</t>
        </is>
      </c>
      <c r="B510" s="1" t="n">
        <v>44046</v>
      </c>
      <c r="C510" s="1" t="n">
        <v>45648</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35800-2020</t>
        </is>
      </c>
      <c r="B511" s="1" t="n">
        <v>44046</v>
      </c>
      <c r="C511" s="1" t="n">
        <v>45648</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35808-2020</t>
        </is>
      </c>
      <c r="B512" s="1" t="n">
        <v>44046</v>
      </c>
      <c r="C512" s="1" t="n">
        <v>45648</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36671-2020</t>
        </is>
      </c>
      <c r="B513" s="1" t="n">
        <v>44050</v>
      </c>
      <c r="C513" s="1" t="n">
        <v>45648</v>
      </c>
      <c r="D513" t="inlineStr">
        <is>
          <t>JÄMTLANDS LÄN</t>
        </is>
      </c>
      <c r="E513" t="inlineStr">
        <is>
          <t>BRÄCKE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36661-2020</t>
        </is>
      </c>
      <c r="B514" s="1" t="n">
        <v>44050</v>
      </c>
      <c r="C514" s="1" t="n">
        <v>45648</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36971-2020</t>
        </is>
      </c>
      <c r="B515" s="1" t="n">
        <v>44053</v>
      </c>
      <c r="C515" s="1" t="n">
        <v>45648</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37236-2020</t>
        </is>
      </c>
      <c r="B516" s="1" t="n">
        <v>44055</v>
      </c>
      <c r="C516" s="1" t="n">
        <v>45648</v>
      </c>
      <c r="D516" t="inlineStr">
        <is>
          <t>JÄMTLANDS LÄN</t>
        </is>
      </c>
      <c r="E516" t="inlineStr">
        <is>
          <t>BRÄCKE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37229-2020</t>
        </is>
      </c>
      <c r="B517" s="1" t="n">
        <v>44054</v>
      </c>
      <c r="C517" s="1" t="n">
        <v>45648</v>
      </c>
      <c r="D517" t="inlineStr">
        <is>
          <t>JÄMTLANDS LÄN</t>
        </is>
      </c>
      <c r="E517" t="inlineStr">
        <is>
          <t>BRÄCKE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38084-2020</t>
        </is>
      </c>
      <c r="B518" s="1" t="n">
        <v>44057</v>
      </c>
      <c r="C518" s="1" t="n">
        <v>45648</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38082-2020</t>
        </is>
      </c>
      <c r="B519" s="1" t="n">
        <v>44057</v>
      </c>
      <c r="C519" s="1" t="n">
        <v>45648</v>
      </c>
      <c r="D519" t="inlineStr">
        <is>
          <t>JÄMTLANDS LÄN</t>
        </is>
      </c>
      <c r="E519" t="inlineStr">
        <is>
          <t>BRÄCKE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38101-2020</t>
        </is>
      </c>
      <c r="B520" s="1" t="n">
        <v>44057</v>
      </c>
      <c r="C520" s="1" t="n">
        <v>45648</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38105-2020</t>
        </is>
      </c>
      <c r="B521" s="1" t="n">
        <v>44057</v>
      </c>
      <c r="C521" s="1" t="n">
        <v>45648</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38459-2020</t>
        </is>
      </c>
      <c r="B522" s="1" t="n">
        <v>44060</v>
      </c>
      <c r="C522" s="1" t="n">
        <v>45648</v>
      </c>
      <c r="D522" t="inlineStr">
        <is>
          <t>JÄMTLANDS LÄN</t>
        </is>
      </c>
      <c r="E522" t="inlineStr">
        <is>
          <t>BRÄCKE</t>
        </is>
      </c>
      <c r="G522" t="n">
        <v>4.9</v>
      </c>
      <c r="H522" t="n">
        <v>0</v>
      </c>
      <c r="I522" t="n">
        <v>0</v>
      </c>
      <c r="J522" t="n">
        <v>0</v>
      </c>
      <c r="K522" t="n">
        <v>0</v>
      </c>
      <c r="L522" t="n">
        <v>0</v>
      </c>
      <c r="M522" t="n">
        <v>0</v>
      </c>
      <c r="N522" t="n">
        <v>0</v>
      </c>
      <c r="O522" t="n">
        <v>0</v>
      </c>
      <c r="P522" t="n">
        <v>0</v>
      </c>
      <c r="Q522" t="n">
        <v>0</v>
      </c>
      <c r="R522" s="2" t="inlineStr"/>
    </row>
    <row r="523" ht="15" customHeight="1">
      <c r="A523" t="inlineStr">
        <is>
          <t>A 38787-2020</t>
        </is>
      </c>
      <c r="B523" s="1" t="n">
        <v>44061</v>
      </c>
      <c r="C523" s="1" t="n">
        <v>45648</v>
      </c>
      <c r="D523" t="inlineStr">
        <is>
          <t>JÄMTLANDS LÄN</t>
        </is>
      </c>
      <c r="E523" t="inlineStr">
        <is>
          <t>BRÄCKE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39053-2020</t>
        </is>
      </c>
      <c r="B524" s="1" t="n">
        <v>44062</v>
      </c>
      <c r="C524" s="1" t="n">
        <v>45648</v>
      </c>
      <c r="D524" t="inlineStr">
        <is>
          <t>JÄMTLANDS LÄN</t>
        </is>
      </c>
      <c r="E524" t="inlineStr">
        <is>
          <t>BRÄCKE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39043-2020</t>
        </is>
      </c>
      <c r="B525" s="1" t="n">
        <v>44062</v>
      </c>
      <c r="C525" s="1" t="n">
        <v>45648</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39052-2020</t>
        </is>
      </c>
      <c r="B526" s="1" t="n">
        <v>44062</v>
      </c>
      <c r="C526" s="1" t="n">
        <v>45648</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39350-2020</t>
        </is>
      </c>
      <c r="B527" s="1" t="n">
        <v>44063</v>
      </c>
      <c r="C527" s="1" t="n">
        <v>45648</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39337-2020</t>
        </is>
      </c>
      <c r="B528" s="1" t="n">
        <v>44063</v>
      </c>
      <c r="C528" s="1" t="n">
        <v>45648</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39351-2020</t>
        </is>
      </c>
      <c r="B529" s="1" t="n">
        <v>44063</v>
      </c>
      <c r="C529" s="1" t="n">
        <v>45648</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39998-2020</t>
        </is>
      </c>
      <c r="B530" s="1" t="n">
        <v>44067</v>
      </c>
      <c r="C530" s="1" t="n">
        <v>45648</v>
      </c>
      <c r="D530" t="inlineStr">
        <is>
          <t>JÄMTLANDS LÄN</t>
        </is>
      </c>
      <c r="E530" t="inlineStr">
        <is>
          <t>BRÄCKE</t>
        </is>
      </c>
      <c r="G530" t="n">
        <v>3.9</v>
      </c>
      <c r="H530" t="n">
        <v>0</v>
      </c>
      <c r="I530" t="n">
        <v>0</v>
      </c>
      <c r="J530" t="n">
        <v>0</v>
      </c>
      <c r="K530" t="n">
        <v>0</v>
      </c>
      <c r="L530" t="n">
        <v>0</v>
      </c>
      <c r="M530" t="n">
        <v>0</v>
      </c>
      <c r="N530" t="n">
        <v>0</v>
      </c>
      <c r="O530" t="n">
        <v>0</v>
      </c>
      <c r="P530" t="n">
        <v>0</v>
      </c>
      <c r="Q530" t="n">
        <v>0</v>
      </c>
      <c r="R530" s="2" t="inlineStr"/>
    </row>
    <row r="531" ht="15" customHeight="1">
      <c r="A531" t="inlineStr">
        <is>
          <t>A 40057-2020</t>
        </is>
      </c>
      <c r="B531" s="1" t="n">
        <v>44068</v>
      </c>
      <c r="C531" s="1" t="n">
        <v>45648</v>
      </c>
      <c r="D531" t="inlineStr">
        <is>
          <t>JÄMTLANDS LÄN</t>
        </is>
      </c>
      <c r="E531" t="inlineStr">
        <is>
          <t>BRÄCKE</t>
        </is>
      </c>
      <c r="G531" t="n">
        <v>25.5</v>
      </c>
      <c r="H531" t="n">
        <v>0</v>
      </c>
      <c r="I531" t="n">
        <v>0</v>
      </c>
      <c r="J531" t="n">
        <v>0</v>
      </c>
      <c r="K531" t="n">
        <v>0</v>
      </c>
      <c r="L531" t="n">
        <v>0</v>
      </c>
      <c r="M531" t="n">
        <v>0</v>
      </c>
      <c r="N531" t="n">
        <v>0</v>
      </c>
      <c r="O531" t="n">
        <v>0</v>
      </c>
      <c r="P531" t="n">
        <v>0</v>
      </c>
      <c r="Q531" t="n">
        <v>0</v>
      </c>
      <c r="R531" s="2" t="inlineStr"/>
    </row>
    <row r="532" ht="15" customHeight="1">
      <c r="A532" t="inlineStr">
        <is>
          <t>A 40083-2020</t>
        </is>
      </c>
      <c r="B532" s="1" t="n">
        <v>44067</v>
      </c>
      <c r="C532" s="1" t="n">
        <v>45648</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40387-2020</t>
        </is>
      </c>
      <c r="B533" s="1" t="n">
        <v>44068</v>
      </c>
      <c r="C533" s="1" t="n">
        <v>45648</v>
      </c>
      <c r="D533" t="inlineStr">
        <is>
          <t>JÄMTLANDS LÄN</t>
        </is>
      </c>
      <c r="E533" t="inlineStr">
        <is>
          <t>BRÄCKE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41025-2020</t>
        </is>
      </c>
      <c r="B534" s="1" t="n">
        <v>44071</v>
      </c>
      <c r="C534" s="1" t="n">
        <v>45648</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41352-2020</t>
        </is>
      </c>
      <c r="B535" s="1" t="n">
        <v>44071</v>
      </c>
      <c r="C535" s="1" t="n">
        <v>45648</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41349-2020</t>
        </is>
      </c>
      <c r="B536" s="1" t="n">
        <v>44071</v>
      </c>
      <c r="C536" s="1" t="n">
        <v>45648</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42204-2020</t>
        </is>
      </c>
      <c r="B537" s="1" t="n">
        <v>44075</v>
      </c>
      <c r="C537" s="1" t="n">
        <v>45648</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42203-2020</t>
        </is>
      </c>
      <c r="B538" s="1" t="n">
        <v>44075</v>
      </c>
      <c r="C538" s="1" t="n">
        <v>45648</v>
      </c>
      <c r="D538" t="inlineStr">
        <is>
          <t>JÄMTLANDS LÄN</t>
        </is>
      </c>
      <c r="E538" t="inlineStr">
        <is>
          <t>BRÄCKE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42202-2020</t>
        </is>
      </c>
      <c r="B539" s="1" t="n">
        <v>44075</v>
      </c>
      <c r="C539" s="1" t="n">
        <v>45648</v>
      </c>
      <c r="D539" t="inlineStr">
        <is>
          <t>JÄMTLANDS LÄN</t>
        </is>
      </c>
      <c r="E539" t="inlineStr">
        <is>
          <t>BRÄCKE</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42897-2020</t>
        </is>
      </c>
      <c r="B540" s="1" t="n">
        <v>44078</v>
      </c>
      <c r="C540" s="1" t="n">
        <v>45648</v>
      </c>
      <c r="D540" t="inlineStr">
        <is>
          <t>JÄMTLANDS LÄN</t>
        </is>
      </c>
      <c r="E540" t="inlineStr">
        <is>
          <t>BRÄCKE</t>
        </is>
      </c>
      <c r="G540" t="n">
        <v>12.9</v>
      </c>
      <c r="H540" t="n">
        <v>0</v>
      </c>
      <c r="I540" t="n">
        <v>0</v>
      </c>
      <c r="J540" t="n">
        <v>0</v>
      </c>
      <c r="K540" t="n">
        <v>0</v>
      </c>
      <c r="L540" t="n">
        <v>0</v>
      </c>
      <c r="M540" t="n">
        <v>0</v>
      </c>
      <c r="N540" t="n">
        <v>0</v>
      </c>
      <c r="O540" t="n">
        <v>0</v>
      </c>
      <c r="P540" t="n">
        <v>0</v>
      </c>
      <c r="Q540" t="n">
        <v>0</v>
      </c>
      <c r="R540" s="2" t="inlineStr"/>
    </row>
    <row r="541" ht="15" customHeight="1">
      <c r="A541" t="inlineStr">
        <is>
          <t>A 43070-2020</t>
        </is>
      </c>
      <c r="B541" s="1" t="n">
        <v>44078</v>
      </c>
      <c r="C541" s="1" t="n">
        <v>45648</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43075-2020</t>
        </is>
      </c>
      <c r="B542" s="1" t="n">
        <v>44078</v>
      </c>
      <c r="C542" s="1" t="n">
        <v>45648</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43085-2020</t>
        </is>
      </c>
      <c r="B543" s="1" t="n">
        <v>44078</v>
      </c>
      <c r="C543" s="1" t="n">
        <v>45648</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44065-2020</t>
        </is>
      </c>
      <c r="B544" s="1" t="n">
        <v>44083</v>
      </c>
      <c r="C544" s="1" t="n">
        <v>45648</v>
      </c>
      <c r="D544" t="inlineStr">
        <is>
          <t>JÄMTLANDS LÄN</t>
        </is>
      </c>
      <c r="E544" t="inlineStr">
        <is>
          <t>BRÄCKE</t>
        </is>
      </c>
      <c r="G544" t="n">
        <v>1.9</v>
      </c>
      <c r="H544" t="n">
        <v>0</v>
      </c>
      <c r="I544" t="n">
        <v>0</v>
      </c>
      <c r="J544" t="n">
        <v>0</v>
      </c>
      <c r="K544" t="n">
        <v>0</v>
      </c>
      <c r="L544" t="n">
        <v>0</v>
      </c>
      <c r="M544" t="n">
        <v>0</v>
      </c>
      <c r="N544" t="n">
        <v>0</v>
      </c>
      <c r="O544" t="n">
        <v>0</v>
      </c>
      <c r="P544" t="n">
        <v>0</v>
      </c>
      <c r="Q544" t="n">
        <v>0</v>
      </c>
      <c r="R544" s="2" t="inlineStr"/>
    </row>
    <row r="545" ht="15" customHeight="1">
      <c r="A545" t="inlineStr">
        <is>
          <t>A 44218-2020</t>
        </is>
      </c>
      <c r="B545" s="1" t="n">
        <v>44084</v>
      </c>
      <c r="C545" s="1" t="n">
        <v>45648</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44908-2020</t>
        </is>
      </c>
      <c r="B546" s="1" t="n">
        <v>44088</v>
      </c>
      <c r="C546" s="1" t="n">
        <v>45648</v>
      </c>
      <c r="D546" t="inlineStr">
        <is>
          <t>JÄMTLANDS LÄN</t>
        </is>
      </c>
      <c r="E546" t="inlineStr">
        <is>
          <t>BRÄCKE</t>
        </is>
      </c>
      <c r="G546" t="n">
        <v>6.1</v>
      </c>
      <c r="H546" t="n">
        <v>0</v>
      </c>
      <c r="I546" t="n">
        <v>0</v>
      </c>
      <c r="J546" t="n">
        <v>0</v>
      </c>
      <c r="K546" t="n">
        <v>0</v>
      </c>
      <c r="L546" t="n">
        <v>0</v>
      </c>
      <c r="M546" t="n">
        <v>0</v>
      </c>
      <c r="N546" t="n">
        <v>0</v>
      </c>
      <c r="O546" t="n">
        <v>0</v>
      </c>
      <c r="P546" t="n">
        <v>0</v>
      </c>
      <c r="Q546" t="n">
        <v>0</v>
      </c>
      <c r="R546" s="2" t="inlineStr"/>
    </row>
    <row r="547" ht="15" customHeight="1">
      <c r="A547" t="inlineStr">
        <is>
          <t>A 45832-2020</t>
        </is>
      </c>
      <c r="B547" s="1" t="n">
        <v>44090</v>
      </c>
      <c r="C547" s="1" t="n">
        <v>45648</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47838-2020</t>
        </is>
      </c>
      <c r="B548" s="1" t="n">
        <v>44098</v>
      </c>
      <c r="C548" s="1" t="n">
        <v>45648</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48667-2020</t>
        </is>
      </c>
      <c r="B549" s="1" t="n">
        <v>44098</v>
      </c>
      <c r="C549" s="1" t="n">
        <v>45648</v>
      </c>
      <c r="D549" t="inlineStr">
        <is>
          <t>JÄMTLANDS LÄN</t>
        </is>
      </c>
      <c r="E549" t="inlineStr">
        <is>
          <t>BRÄCKE</t>
        </is>
      </c>
      <c r="F549" t="inlineStr">
        <is>
          <t>SCA</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49212-2020</t>
        </is>
      </c>
      <c r="B550" s="1" t="n">
        <v>44099</v>
      </c>
      <c r="C550" s="1" t="n">
        <v>45648</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48479-2020</t>
        </is>
      </c>
      <c r="B551" s="1" t="n">
        <v>44103</v>
      </c>
      <c r="C551" s="1" t="n">
        <v>45648</v>
      </c>
      <c r="D551" t="inlineStr">
        <is>
          <t>JÄMTLANDS LÄN</t>
        </is>
      </c>
      <c r="E551" t="inlineStr">
        <is>
          <t>BRÄCKE</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48799-2020</t>
        </is>
      </c>
      <c r="B552" s="1" t="n">
        <v>44103</v>
      </c>
      <c r="C552" s="1" t="n">
        <v>45648</v>
      </c>
      <c r="D552" t="inlineStr">
        <is>
          <t>JÄMTLANDS LÄN</t>
        </is>
      </c>
      <c r="E552" t="inlineStr">
        <is>
          <t>BRÄCKE</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49164-2020</t>
        </is>
      </c>
      <c r="B553" s="1" t="n">
        <v>44104</v>
      </c>
      <c r="C553" s="1" t="n">
        <v>45648</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50983-2020</t>
        </is>
      </c>
      <c r="B554" s="1" t="n">
        <v>44111</v>
      </c>
      <c r="C554" s="1" t="n">
        <v>45648</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50981-2020</t>
        </is>
      </c>
      <c r="B555" s="1" t="n">
        <v>44111</v>
      </c>
      <c r="C555" s="1" t="n">
        <v>45648</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53176-2020</t>
        </is>
      </c>
      <c r="B556" s="1" t="n">
        <v>44120</v>
      </c>
      <c r="C556" s="1" t="n">
        <v>45648</v>
      </c>
      <c r="D556" t="inlineStr">
        <is>
          <t>JÄMTLANDS LÄN</t>
        </is>
      </c>
      <c r="E556" t="inlineStr">
        <is>
          <t>BRÄCKE</t>
        </is>
      </c>
      <c r="F556" t="inlineStr">
        <is>
          <t>SCA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53196-2020</t>
        </is>
      </c>
      <c r="B557" s="1" t="n">
        <v>44122</v>
      </c>
      <c r="C557" s="1" t="n">
        <v>45648</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53826-2020</t>
        </is>
      </c>
      <c r="B558" s="1" t="n">
        <v>44124</v>
      </c>
      <c r="C558" s="1" t="n">
        <v>45648</v>
      </c>
      <c r="D558" t="inlineStr">
        <is>
          <t>JÄMTLANDS LÄN</t>
        </is>
      </c>
      <c r="E558" t="inlineStr">
        <is>
          <t>BRÄCKE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53839-2020</t>
        </is>
      </c>
      <c r="B559" s="1" t="n">
        <v>44124</v>
      </c>
      <c r="C559" s="1" t="n">
        <v>45648</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54587-2020</t>
        </is>
      </c>
      <c r="B560" s="1" t="n">
        <v>44126</v>
      </c>
      <c r="C560" s="1" t="n">
        <v>45648</v>
      </c>
      <c r="D560" t="inlineStr">
        <is>
          <t>JÄMTLANDS LÄN</t>
        </is>
      </c>
      <c r="E560" t="inlineStr">
        <is>
          <t>BRÄCKE</t>
        </is>
      </c>
      <c r="F560" t="inlineStr">
        <is>
          <t>SCA</t>
        </is>
      </c>
      <c r="G560" t="n">
        <v>24.9</v>
      </c>
      <c r="H560" t="n">
        <v>0</v>
      </c>
      <c r="I560" t="n">
        <v>0</v>
      </c>
      <c r="J560" t="n">
        <v>0</v>
      </c>
      <c r="K560" t="n">
        <v>0</v>
      </c>
      <c r="L560" t="n">
        <v>0</v>
      </c>
      <c r="M560" t="n">
        <v>0</v>
      </c>
      <c r="N560" t="n">
        <v>0</v>
      </c>
      <c r="O560" t="n">
        <v>0</v>
      </c>
      <c r="P560" t="n">
        <v>0</v>
      </c>
      <c r="Q560" t="n">
        <v>0</v>
      </c>
      <c r="R560" s="2" t="inlineStr"/>
      <c r="U560">
        <f>HYPERLINK("https://klasma.github.io/Logging_2305/knärot/A 54587-2020 karta knärot.png", "A 54587-2020")</f>
        <v/>
      </c>
      <c r="V560">
        <f>HYPERLINK("https://klasma.github.io/Logging_2305/klagomål/A 54587-2020 FSC-klagomål.docx", "A 54587-2020")</f>
        <v/>
      </c>
      <c r="W560">
        <f>HYPERLINK("https://klasma.github.io/Logging_2305/klagomålsmail/A 54587-2020 FSC-klagomål mail.docx", "A 54587-2020")</f>
        <v/>
      </c>
      <c r="X560">
        <f>HYPERLINK("https://klasma.github.io/Logging_2305/tillsyn/A 54587-2020 tillsynsbegäran.docx", "A 54587-2020")</f>
        <v/>
      </c>
      <c r="Y560">
        <f>HYPERLINK("https://klasma.github.io/Logging_2305/tillsynsmail/A 54587-2020 tillsynsbegäran mail.docx", "A 54587-2020")</f>
        <v/>
      </c>
    </row>
    <row r="561" ht="15" customHeight="1">
      <c r="A561" t="inlineStr">
        <is>
          <t>A 55340-2020</t>
        </is>
      </c>
      <c r="B561" s="1" t="n">
        <v>44130</v>
      </c>
      <c r="C561" s="1" t="n">
        <v>45648</v>
      </c>
      <c r="D561" t="inlineStr">
        <is>
          <t>JÄMTLANDS LÄN</t>
        </is>
      </c>
      <c r="E561" t="inlineStr">
        <is>
          <t>BRÄCKE</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55655-2020</t>
        </is>
      </c>
      <c r="B562" s="1" t="n">
        <v>44131</v>
      </c>
      <c r="C562" s="1" t="n">
        <v>45648</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55658-2020</t>
        </is>
      </c>
      <c r="B563" s="1" t="n">
        <v>44131</v>
      </c>
      <c r="C563" s="1" t="n">
        <v>45648</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55654-2020</t>
        </is>
      </c>
      <c r="B564" s="1" t="n">
        <v>44131</v>
      </c>
      <c r="C564" s="1" t="n">
        <v>45648</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55657-2020</t>
        </is>
      </c>
      <c r="B565" s="1" t="n">
        <v>44131</v>
      </c>
      <c r="C565" s="1" t="n">
        <v>45648</v>
      </c>
      <c r="D565" t="inlineStr">
        <is>
          <t>JÄMTLANDS LÄN</t>
        </is>
      </c>
      <c r="E565" t="inlineStr">
        <is>
          <t>BRÄCKE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56416-2020</t>
        </is>
      </c>
      <c r="B566" s="1" t="n">
        <v>44137</v>
      </c>
      <c r="C566" s="1" t="n">
        <v>45648</v>
      </c>
      <c r="D566" t="inlineStr">
        <is>
          <t>JÄMTLANDS LÄN</t>
        </is>
      </c>
      <c r="E566" t="inlineStr">
        <is>
          <t>BRÄCKE</t>
        </is>
      </c>
      <c r="G566" t="n">
        <v>0.5</v>
      </c>
      <c r="H566" t="n">
        <v>0</v>
      </c>
      <c r="I566" t="n">
        <v>0</v>
      </c>
      <c r="J566" t="n">
        <v>0</v>
      </c>
      <c r="K566" t="n">
        <v>0</v>
      </c>
      <c r="L566" t="n">
        <v>0</v>
      </c>
      <c r="M566" t="n">
        <v>0</v>
      </c>
      <c r="N566" t="n">
        <v>0</v>
      </c>
      <c r="O566" t="n">
        <v>0</v>
      </c>
      <c r="P566" t="n">
        <v>0</v>
      </c>
      <c r="Q566" t="n">
        <v>0</v>
      </c>
      <c r="R566" s="2" t="inlineStr"/>
    </row>
    <row r="567" ht="15" customHeight="1">
      <c r="A567" t="inlineStr">
        <is>
          <t>A 56598-2020</t>
        </is>
      </c>
      <c r="B567" s="1" t="n">
        <v>44137</v>
      </c>
      <c r="C567" s="1" t="n">
        <v>45648</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56758-2020</t>
        </is>
      </c>
      <c r="B568" s="1" t="n">
        <v>44137</v>
      </c>
      <c r="C568" s="1" t="n">
        <v>45648</v>
      </c>
      <c r="D568" t="inlineStr">
        <is>
          <t>JÄMTLANDS LÄN</t>
        </is>
      </c>
      <c r="E568" t="inlineStr">
        <is>
          <t>BRÄCKE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56777-2020</t>
        </is>
      </c>
      <c r="B569" s="1" t="n">
        <v>44137</v>
      </c>
      <c r="C569" s="1" t="n">
        <v>45648</v>
      </c>
      <c r="D569" t="inlineStr">
        <is>
          <t>JÄMTLANDS LÄN</t>
        </is>
      </c>
      <c r="E569" t="inlineStr">
        <is>
          <t>BRÄCKE</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56782-2020</t>
        </is>
      </c>
      <c r="B570" s="1" t="n">
        <v>44137</v>
      </c>
      <c r="C570" s="1" t="n">
        <v>45648</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56773-2020</t>
        </is>
      </c>
      <c r="B571" s="1" t="n">
        <v>44137</v>
      </c>
      <c r="C571" s="1" t="n">
        <v>45648</v>
      </c>
      <c r="D571" t="inlineStr">
        <is>
          <t>JÄMTLANDS LÄN</t>
        </is>
      </c>
      <c r="E571" t="inlineStr">
        <is>
          <t>BRÄCKE</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56778-2020</t>
        </is>
      </c>
      <c r="B572" s="1" t="n">
        <v>44137</v>
      </c>
      <c r="C572" s="1" t="n">
        <v>45648</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56776-2020</t>
        </is>
      </c>
      <c r="B573" s="1" t="n">
        <v>44137</v>
      </c>
      <c r="C573" s="1" t="n">
        <v>45648</v>
      </c>
      <c r="D573" t="inlineStr">
        <is>
          <t>JÄMTLANDS LÄN</t>
        </is>
      </c>
      <c r="E573" t="inlineStr">
        <is>
          <t>BRÄCKE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56781-2020</t>
        </is>
      </c>
      <c r="B574" s="1" t="n">
        <v>44137</v>
      </c>
      <c r="C574" s="1" t="n">
        <v>45648</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56774-2020</t>
        </is>
      </c>
      <c r="B575" s="1" t="n">
        <v>44137</v>
      </c>
      <c r="C575" s="1" t="n">
        <v>45648</v>
      </c>
      <c r="D575" t="inlineStr">
        <is>
          <t>JÄMTLANDS LÄN</t>
        </is>
      </c>
      <c r="E575" t="inlineStr">
        <is>
          <t>BRÄCKE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56780-2020</t>
        </is>
      </c>
      <c r="B576" s="1" t="n">
        <v>44137</v>
      </c>
      <c r="C576" s="1" t="n">
        <v>45648</v>
      </c>
      <c r="D576" t="inlineStr">
        <is>
          <t>JÄMTLANDS LÄN</t>
        </is>
      </c>
      <c r="E576" t="inlineStr">
        <is>
          <t>BRÄCKE</t>
        </is>
      </c>
      <c r="G576" t="n">
        <v>0.5</v>
      </c>
      <c r="H576" t="n">
        <v>0</v>
      </c>
      <c r="I576" t="n">
        <v>0</v>
      </c>
      <c r="J576" t="n">
        <v>0</v>
      </c>
      <c r="K576" t="n">
        <v>0</v>
      </c>
      <c r="L576" t="n">
        <v>0</v>
      </c>
      <c r="M576" t="n">
        <v>0</v>
      </c>
      <c r="N576" t="n">
        <v>0</v>
      </c>
      <c r="O576" t="n">
        <v>0</v>
      </c>
      <c r="P576" t="n">
        <v>0</v>
      </c>
      <c r="Q576" t="n">
        <v>0</v>
      </c>
      <c r="R576" s="2" t="inlineStr"/>
    </row>
    <row r="577" ht="15" customHeight="1">
      <c r="A577" t="inlineStr">
        <is>
          <t>A 57072-2020</t>
        </is>
      </c>
      <c r="B577" s="1" t="n">
        <v>44138</v>
      </c>
      <c r="C577" s="1" t="n">
        <v>45648</v>
      </c>
      <c r="D577" t="inlineStr">
        <is>
          <t>JÄMTLANDS LÄN</t>
        </is>
      </c>
      <c r="E577" t="inlineStr">
        <is>
          <t>BRÄCKE</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56938-2020</t>
        </is>
      </c>
      <c r="B578" s="1" t="n">
        <v>44138</v>
      </c>
      <c r="C578" s="1" t="n">
        <v>45648</v>
      </c>
      <c r="D578" t="inlineStr">
        <is>
          <t>JÄMTLANDS LÄN</t>
        </is>
      </c>
      <c r="E578" t="inlineStr">
        <is>
          <t>BRÄCKE</t>
        </is>
      </c>
      <c r="G578" t="n">
        <v>7.3</v>
      </c>
      <c r="H578" t="n">
        <v>0</v>
      </c>
      <c r="I578" t="n">
        <v>0</v>
      </c>
      <c r="J578" t="n">
        <v>0</v>
      </c>
      <c r="K578" t="n">
        <v>0</v>
      </c>
      <c r="L578" t="n">
        <v>0</v>
      </c>
      <c r="M578" t="n">
        <v>0</v>
      </c>
      <c r="N578" t="n">
        <v>0</v>
      </c>
      <c r="O578" t="n">
        <v>0</v>
      </c>
      <c r="P578" t="n">
        <v>0</v>
      </c>
      <c r="Q578" t="n">
        <v>0</v>
      </c>
      <c r="R578" s="2" t="inlineStr"/>
    </row>
    <row r="579" ht="15" customHeight="1">
      <c r="A579" t="inlineStr">
        <is>
          <t>A 57073-2020</t>
        </is>
      </c>
      <c r="B579" s="1" t="n">
        <v>44138</v>
      </c>
      <c r="C579" s="1" t="n">
        <v>45648</v>
      </c>
      <c r="D579" t="inlineStr">
        <is>
          <t>JÄMTLANDS LÄN</t>
        </is>
      </c>
      <c r="E579" t="inlineStr">
        <is>
          <t>BRÄCKE</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57716-2020</t>
        </is>
      </c>
      <c r="B580" s="1" t="n">
        <v>44140</v>
      </c>
      <c r="C580" s="1" t="n">
        <v>45648</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59331-2020</t>
        </is>
      </c>
      <c r="B581" s="1" t="n">
        <v>44147</v>
      </c>
      <c r="C581" s="1" t="n">
        <v>45648</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59397-2020</t>
        </is>
      </c>
      <c r="B582" s="1" t="n">
        <v>44148</v>
      </c>
      <c r="C582" s="1" t="n">
        <v>45648</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61141-2020</t>
        </is>
      </c>
      <c r="B583" s="1" t="n">
        <v>44154</v>
      </c>
      <c r="C583" s="1" t="n">
        <v>45648</v>
      </c>
      <c r="D583" t="inlineStr">
        <is>
          <t>JÄMTLANDS LÄN</t>
        </is>
      </c>
      <c r="E583" t="inlineStr">
        <is>
          <t>BRÄCKE</t>
        </is>
      </c>
      <c r="G583" t="n">
        <v>4.3</v>
      </c>
      <c r="H583" t="n">
        <v>0</v>
      </c>
      <c r="I583" t="n">
        <v>0</v>
      </c>
      <c r="J583" t="n">
        <v>0</v>
      </c>
      <c r="K583" t="n">
        <v>0</v>
      </c>
      <c r="L583" t="n">
        <v>0</v>
      </c>
      <c r="M583" t="n">
        <v>0</v>
      </c>
      <c r="N583" t="n">
        <v>0</v>
      </c>
      <c r="O583" t="n">
        <v>0</v>
      </c>
      <c r="P583" t="n">
        <v>0</v>
      </c>
      <c r="Q583" t="n">
        <v>0</v>
      </c>
      <c r="R583" s="2" t="inlineStr"/>
    </row>
    <row r="584" ht="15" customHeight="1">
      <c r="A584" t="inlineStr">
        <is>
          <t>A 61140-2020</t>
        </is>
      </c>
      <c r="B584" s="1" t="n">
        <v>44154</v>
      </c>
      <c r="C584" s="1" t="n">
        <v>45648</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61144-2020</t>
        </is>
      </c>
      <c r="B585" s="1" t="n">
        <v>44154</v>
      </c>
      <c r="C585" s="1" t="n">
        <v>45648</v>
      </c>
      <c r="D585" t="inlineStr">
        <is>
          <t>JÄMTLANDS LÄN</t>
        </is>
      </c>
      <c r="E585" t="inlineStr">
        <is>
          <t>BRÄCKE</t>
        </is>
      </c>
      <c r="G585" t="n">
        <v>12.8</v>
      </c>
      <c r="H585" t="n">
        <v>0</v>
      </c>
      <c r="I585" t="n">
        <v>0</v>
      </c>
      <c r="J585" t="n">
        <v>0</v>
      </c>
      <c r="K585" t="n">
        <v>0</v>
      </c>
      <c r="L585" t="n">
        <v>0</v>
      </c>
      <c r="M585" t="n">
        <v>0</v>
      </c>
      <c r="N585" t="n">
        <v>0</v>
      </c>
      <c r="O585" t="n">
        <v>0</v>
      </c>
      <c r="P585" t="n">
        <v>0</v>
      </c>
      <c r="Q585" t="n">
        <v>0</v>
      </c>
      <c r="R585" s="2" t="inlineStr"/>
    </row>
    <row r="586" ht="15" customHeight="1">
      <c r="A586" t="inlineStr">
        <is>
          <t>A 61143-2020</t>
        </is>
      </c>
      <c r="B586" s="1" t="n">
        <v>44154</v>
      </c>
      <c r="C586" s="1" t="n">
        <v>45648</v>
      </c>
      <c r="D586" t="inlineStr">
        <is>
          <t>JÄMTLANDS LÄN</t>
        </is>
      </c>
      <c r="E586" t="inlineStr">
        <is>
          <t>BRÄCKE</t>
        </is>
      </c>
      <c r="G586" t="n">
        <v>12.6</v>
      </c>
      <c r="H586" t="n">
        <v>0</v>
      </c>
      <c r="I586" t="n">
        <v>0</v>
      </c>
      <c r="J586" t="n">
        <v>0</v>
      </c>
      <c r="K586" t="n">
        <v>0</v>
      </c>
      <c r="L586" t="n">
        <v>0</v>
      </c>
      <c r="M586" t="n">
        <v>0</v>
      </c>
      <c r="N586" t="n">
        <v>0</v>
      </c>
      <c r="O586" t="n">
        <v>0</v>
      </c>
      <c r="P586" t="n">
        <v>0</v>
      </c>
      <c r="Q586" t="n">
        <v>0</v>
      </c>
      <c r="R586" s="2" t="inlineStr"/>
    </row>
    <row r="587" ht="15" customHeight="1">
      <c r="A587" t="inlineStr">
        <is>
          <t>A 61602-2020</t>
        </is>
      </c>
      <c r="B587" s="1" t="n">
        <v>44158</v>
      </c>
      <c r="C587" s="1" t="n">
        <v>45648</v>
      </c>
      <c r="D587" t="inlineStr">
        <is>
          <t>JÄMTLANDS LÄN</t>
        </is>
      </c>
      <c r="E587" t="inlineStr">
        <is>
          <t>BRÄCKE</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61817-2020</t>
        </is>
      </c>
      <c r="B588" s="1" t="n">
        <v>44158</v>
      </c>
      <c r="C588" s="1" t="n">
        <v>45648</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62871-2020</t>
        </is>
      </c>
      <c r="B589" s="1" t="n">
        <v>44161</v>
      </c>
      <c r="C589" s="1" t="n">
        <v>45648</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62970-2020</t>
        </is>
      </c>
      <c r="B590" s="1" t="n">
        <v>44162</v>
      </c>
      <c r="C590" s="1" t="n">
        <v>45648</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64494-2020</t>
        </is>
      </c>
      <c r="B591" s="1" t="n">
        <v>44168</v>
      </c>
      <c r="C591" s="1" t="n">
        <v>45648</v>
      </c>
      <c r="D591" t="inlineStr">
        <is>
          <t>JÄMTLANDS LÄN</t>
        </is>
      </c>
      <c r="E591" t="inlineStr">
        <is>
          <t>BRÄCKE</t>
        </is>
      </c>
      <c r="G591" t="n">
        <v>4.4</v>
      </c>
      <c r="H591" t="n">
        <v>0</v>
      </c>
      <c r="I591" t="n">
        <v>0</v>
      </c>
      <c r="J591" t="n">
        <v>0</v>
      </c>
      <c r="K591" t="n">
        <v>0</v>
      </c>
      <c r="L591" t="n">
        <v>0</v>
      </c>
      <c r="M591" t="n">
        <v>0</v>
      </c>
      <c r="N591" t="n">
        <v>0</v>
      </c>
      <c r="O591" t="n">
        <v>0</v>
      </c>
      <c r="P591" t="n">
        <v>0</v>
      </c>
      <c r="Q591" t="n">
        <v>0</v>
      </c>
      <c r="R591" s="2" t="inlineStr"/>
    </row>
    <row r="592" ht="15" customHeight="1">
      <c r="A592" t="inlineStr">
        <is>
          <t>A 64495-2020</t>
        </is>
      </c>
      <c r="B592" s="1" t="n">
        <v>44168</v>
      </c>
      <c r="C592" s="1" t="n">
        <v>45648</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64805-2020</t>
        </is>
      </c>
      <c r="B593" s="1" t="n">
        <v>44169</v>
      </c>
      <c r="C593" s="1" t="n">
        <v>45648</v>
      </c>
      <c r="D593" t="inlineStr">
        <is>
          <t>JÄMTLANDS LÄN</t>
        </is>
      </c>
      <c r="E593" t="inlineStr">
        <is>
          <t>BRÄCKE</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64809-2020</t>
        </is>
      </c>
      <c r="B594" s="1" t="n">
        <v>44169</v>
      </c>
      <c r="C594" s="1" t="n">
        <v>45648</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66443-2020</t>
        </is>
      </c>
      <c r="B595" s="1" t="n">
        <v>44176</v>
      </c>
      <c r="C595" s="1" t="n">
        <v>45648</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66859-2020</t>
        </is>
      </c>
      <c r="B596" s="1" t="n">
        <v>44179</v>
      </c>
      <c r="C596" s="1" t="n">
        <v>45648</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67080-2020</t>
        </is>
      </c>
      <c r="B597" s="1" t="n">
        <v>44179</v>
      </c>
      <c r="C597" s="1" t="n">
        <v>45648</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67581-2020</t>
        </is>
      </c>
      <c r="B598" s="1" t="n">
        <v>44181</v>
      </c>
      <c r="C598" s="1" t="n">
        <v>45648</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67612-2020</t>
        </is>
      </c>
      <c r="B599" s="1" t="n">
        <v>44181</v>
      </c>
      <c r="C599" s="1" t="n">
        <v>45648</v>
      </c>
      <c r="D599" t="inlineStr">
        <is>
          <t>JÄMTLANDS LÄN</t>
        </is>
      </c>
      <c r="E599" t="inlineStr">
        <is>
          <t>BRÄCKE</t>
        </is>
      </c>
      <c r="G599" t="n">
        <v>1.8</v>
      </c>
      <c r="H599" t="n">
        <v>0</v>
      </c>
      <c r="I599" t="n">
        <v>0</v>
      </c>
      <c r="J599" t="n">
        <v>0</v>
      </c>
      <c r="K599" t="n">
        <v>0</v>
      </c>
      <c r="L599" t="n">
        <v>0</v>
      </c>
      <c r="M599" t="n">
        <v>0</v>
      </c>
      <c r="N599" t="n">
        <v>0</v>
      </c>
      <c r="O599" t="n">
        <v>0</v>
      </c>
      <c r="P599" t="n">
        <v>0</v>
      </c>
      <c r="Q599" t="n">
        <v>0</v>
      </c>
      <c r="R599" s="2" t="inlineStr"/>
    </row>
    <row r="600" ht="15" customHeight="1">
      <c r="A600" t="inlineStr">
        <is>
          <t>A 67613-2020</t>
        </is>
      </c>
      <c r="B600" s="1" t="n">
        <v>44181</v>
      </c>
      <c r="C600" s="1" t="n">
        <v>45648</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67622-2020</t>
        </is>
      </c>
      <c r="B601" s="1" t="n">
        <v>44181</v>
      </c>
      <c r="C601" s="1" t="n">
        <v>45648</v>
      </c>
      <c r="D601" t="inlineStr">
        <is>
          <t>JÄMTLANDS LÄN</t>
        </is>
      </c>
      <c r="E601" t="inlineStr">
        <is>
          <t>BRÄCKE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68362-2020</t>
        </is>
      </c>
      <c r="B602" s="1" t="n">
        <v>44186</v>
      </c>
      <c r="C602" s="1" t="n">
        <v>45648</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68968-2020</t>
        </is>
      </c>
      <c r="B603" s="1" t="n">
        <v>44187</v>
      </c>
      <c r="C603" s="1" t="n">
        <v>45648</v>
      </c>
      <c r="D603" t="inlineStr">
        <is>
          <t>JÄMTLANDS LÄN</t>
        </is>
      </c>
      <c r="E603" t="inlineStr">
        <is>
          <t>BRÄCKE</t>
        </is>
      </c>
      <c r="G603" t="n">
        <v>14.2</v>
      </c>
      <c r="H603" t="n">
        <v>0</v>
      </c>
      <c r="I603" t="n">
        <v>0</v>
      </c>
      <c r="J603" t="n">
        <v>0</v>
      </c>
      <c r="K603" t="n">
        <v>0</v>
      </c>
      <c r="L603" t="n">
        <v>0</v>
      </c>
      <c r="M603" t="n">
        <v>0</v>
      </c>
      <c r="N603" t="n">
        <v>0</v>
      </c>
      <c r="O603" t="n">
        <v>0</v>
      </c>
      <c r="P603" t="n">
        <v>0</v>
      </c>
      <c r="Q603" t="n">
        <v>0</v>
      </c>
      <c r="R603" s="2" t="inlineStr"/>
    </row>
    <row r="604" ht="15" customHeight="1">
      <c r="A604" t="inlineStr">
        <is>
          <t>A 1027-2021</t>
        </is>
      </c>
      <c r="B604" s="1" t="n">
        <v>44207</v>
      </c>
      <c r="C604" s="1" t="n">
        <v>45648</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1772-2021</t>
        </is>
      </c>
      <c r="B605" s="1" t="n">
        <v>44209</v>
      </c>
      <c r="C605" s="1" t="n">
        <v>45648</v>
      </c>
      <c r="D605" t="inlineStr">
        <is>
          <t>JÄMTLANDS LÄN</t>
        </is>
      </c>
      <c r="E605" t="inlineStr">
        <is>
          <t>BRÄCKE</t>
        </is>
      </c>
      <c r="G605" t="n">
        <v>1.1</v>
      </c>
      <c r="H605" t="n">
        <v>0</v>
      </c>
      <c r="I605" t="n">
        <v>0</v>
      </c>
      <c r="J605" t="n">
        <v>0</v>
      </c>
      <c r="K605" t="n">
        <v>0</v>
      </c>
      <c r="L605" t="n">
        <v>0</v>
      </c>
      <c r="M605" t="n">
        <v>0</v>
      </c>
      <c r="N605" t="n">
        <v>0</v>
      </c>
      <c r="O605" t="n">
        <v>0</v>
      </c>
      <c r="P605" t="n">
        <v>0</v>
      </c>
      <c r="Q605" t="n">
        <v>0</v>
      </c>
      <c r="R605" s="2" t="inlineStr"/>
    </row>
    <row r="606" ht="15" customHeight="1">
      <c r="A606" t="inlineStr">
        <is>
          <t>A 2829-2021</t>
        </is>
      </c>
      <c r="B606" s="1" t="n">
        <v>44215</v>
      </c>
      <c r="C606" s="1" t="n">
        <v>45648</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2831-2021</t>
        </is>
      </c>
      <c r="B607" s="1" t="n">
        <v>44215</v>
      </c>
      <c r="C607" s="1" t="n">
        <v>45648</v>
      </c>
      <c r="D607" t="inlineStr">
        <is>
          <t>JÄMTLANDS LÄN</t>
        </is>
      </c>
      <c r="E607" t="inlineStr">
        <is>
          <t>BRÄCKE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2830-2021</t>
        </is>
      </c>
      <c r="B608" s="1" t="n">
        <v>44215</v>
      </c>
      <c r="C608" s="1" t="n">
        <v>45648</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3025-2021</t>
        </is>
      </c>
      <c r="B609" s="1" t="n">
        <v>44216</v>
      </c>
      <c r="C609" s="1" t="n">
        <v>45648</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5472-2021</t>
        </is>
      </c>
      <c r="B610" s="1" t="n">
        <v>44229</v>
      </c>
      <c r="C610" s="1" t="n">
        <v>45648</v>
      </c>
      <c r="D610" t="inlineStr">
        <is>
          <t>JÄMTLANDS LÄN</t>
        </is>
      </c>
      <c r="E610" t="inlineStr">
        <is>
          <t>BRÄCKE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5796-2021</t>
        </is>
      </c>
      <c r="B611" s="1" t="n">
        <v>44230</v>
      </c>
      <c r="C611" s="1" t="n">
        <v>45648</v>
      </c>
      <c r="D611" t="inlineStr">
        <is>
          <t>JÄMTLANDS LÄN</t>
        </is>
      </c>
      <c r="E611" t="inlineStr">
        <is>
          <t>BRÄCKE</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6016-2021</t>
        </is>
      </c>
      <c r="B612" s="1" t="n">
        <v>44231</v>
      </c>
      <c r="C612" s="1" t="n">
        <v>45648</v>
      </c>
      <c r="D612" t="inlineStr">
        <is>
          <t>JÄMTLANDS LÄN</t>
        </is>
      </c>
      <c r="E612" t="inlineStr">
        <is>
          <t>BRÄCKE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6399-2021</t>
        </is>
      </c>
      <c r="B613" s="1" t="n">
        <v>44232</v>
      </c>
      <c r="C613" s="1" t="n">
        <v>45648</v>
      </c>
      <c r="D613" t="inlineStr">
        <is>
          <t>JÄMTLANDS LÄN</t>
        </is>
      </c>
      <c r="E613" t="inlineStr">
        <is>
          <t>BRÄCKE</t>
        </is>
      </c>
      <c r="G613" t="n">
        <v>3.1</v>
      </c>
      <c r="H613" t="n">
        <v>0</v>
      </c>
      <c r="I613" t="n">
        <v>0</v>
      </c>
      <c r="J613" t="n">
        <v>0</v>
      </c>
      <c r="K613" t="n">
        <v>0</v>
      </c>
      <c r="L613" t="n">
        <v>0</v>
      </c>
      <c r="M613" t="n">
        <v>0</v>
      </c>
      <c r="N613" t="n">
        <v>0</v>
      </c>
      <c r="O613" t="n">
        <v>0</v>
      </c>
      <c r="P613" t="n">
        <v>0</v>
      </c>
      <c r="Q613" t="n">
        <v>0</v>
      </c>
      <c r="R613" s="2" t="inlineStr"/>
    </row>
    <row r="614" ht="15" customHeight="1">
      <c r="A614" t="inlineStr">
        <is>
          <t>A 9994-2021</t>
        </is>
      </c>
      <c r="B614" s="1" t="n">
        <v>44254</v>
      </c>
      <c r="C614" s="1" t="n">
        <v>45648</v>
      </c>
      <c r="D614" t="inlineStr">
        <is>
          <t>JÄMTLANDS LÄN</t>
        </is>
      </c>
      <c r="E614" t="inlineStr">
        <is>
          <t>BRÄCKE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11140-2021</t>
        </is>
      </c>
      <c r="B615" s="1" t="n">
        <v>44260</v>
      </c>
      <c r="C615" s="1" t="n">
        <v>45648</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13316-2021</t>
        </is>
      </c>
      <c r="B616" s="1" t="n">
        <v>44272</v>
      </c>
      <c r="C616" s="1" t="n">
        <v>45648</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13506-2021</t>
        </is>
      </c>
      <c r="B617" s="1" t="n">
        <v>44273</v>
      </c>
      <c r="C617" s="1" t="n">
        <v>45648</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14079-2021</t>
        </is>
      </c>
      <c r="B618" s="1" t="n">
        <v>44277</v>
      </c>
      <c r="C618" s="1" t="n">
        <v>45648</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14868-2021</t>
        </is>
      </c>
      <c r="B619" s="1" t="n">
        <v>44280</v>
      </c>
      <c r="C619" s="1" t="n">
        <v>45648</v>
      </c>
      <c r="D619" t="inlineStr">
        <is>
          <t>JÄMTLANDS LÄN</t>
        </is>
      </c>
      <c r="E619" t="inlineStr">
        <is>
          <t>BRÄCKE</t>
        </is>
      </c>
      <c r="F619" t="inlineStr">
        <is>
          <t>SCA</t>
        </is>
      </c>
      <c r="G619" t="n">
        <v>10.8</v>
      </c>
      <c r="H619" t="n">
        <v>0</v>
      </c>
      <c r="I619" t="n">
        <v>0</v>
      </c>
      <c r="J619" t="n">
        <v>0</v>
      </c>
      <c r="K619" t="n">
        <v>0</v>
      </c>
      <c r="L619" t="n">
        <v>0</v>
      </c>
      <c r="M619" t="n">
        <v>0</v>
      </c>
      <c r="N619" t="n">
        <v>0</v>
      </c>
      <c r="O619" t="n">
        <v>0</v>
      </c>
      <c r="P619" t="n">
        <v>0</v>
      </c>
      <c r="Q619" t="n">
        <v>0</v>
      </c>
      <c r="R619" s="2" t="inlineStr"/>
    </row>
    <row r="620" ht="15" customHeight="1">
      <c r="A620" t="inlineStr">
        <is>
          <t>A 16073-2021</t>
        </is>
      </c>
      <c r="B620" s="1" t="n">
        <v>44287</v>
      </c>
      <c r="C620" s="1" t="n">
        <v>45648</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16117-2021</t>
        </is>
      </c>
      <c r="B621" s="1" t="n">
        <v>44291</v>
      </c>
      <c r="C621" s="1" t="n">
        <v>45648</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16336-2021</t>
        </is>
      </c>
      <c r="B622" s="1" t="n">
        <v>44293</v>
      </c>
      <c r="C622" s="1" t="n">
        <v>45648</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16733-2021</t>
        </is>
      </c>
      <c r="B623" s="1" t="n">
        <v>44293</v>
      </c>
      <c r="C623" s="1" t="n">
        <v>45648</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16723-2021</t>
        </is>
      </c>
      <c r="B624" s="1" t="n">
        <v>44293</v>
      </c>
      <c r="C624" s="1" t="n">
        <v>45648</v>
      </c>
      <c r="D624" t="inlineStr">
        <is>
          <t>JÄMTLANDS LÄN</t>
        </is>
      </c>
      <c r="E624" t="inlineStr">
        <is>
          <t>BRÄCKE</t>
        </is>
      </c>
      <c r="G624" t="n">
        <v>1.7</v>
      </c>
      <c r="H624" t="n">
        <v>0</v>
      </c>
      <c r="I624" t="n">
        <v>0</v>
      </c>
      <c r="J624" t="n">
        <v>0</v>
      </c>
      <c r="K624" t="n">
        <v>0</v>
      </c>
      <c r="L624" t="n">
        <v>0</v>
      </c>
      <c r="M624" t="n">
        <v>0</v>
      </c>
      <c r="N624" t="n">
        <v>0</v>
      </c>
      <c r="O624" t="n">
        <v>0</v>
      </c>
      <c r="P624" t="n">
        <v>0</v>
      </c>
      <c r="Q624" t="n">
        <v>0</v>
      </c>
      <c r="R624" s="2" t="inlineStr"/>
    </row>
    <row r="625" ht="15" customHeight="1">
      <c r="A625" t="inlineStr">
        <is>
          <t>A 16619-2021</t>
        </is>
      </c>
      <c r="B625" s="1" t="n">
        <v>44294</v>
      </c>
      <c r="C625" s="1" t="n">
        <v>45648</v>
      </c>
      <c r="D625" t="inlineStr">
        <is>
          <t>JÄMTLANDS LÄN</t>
        </is>
      </c>
      <c r="E625" t="inlineStr">
        <is>
          <t>BRÄCKE</t>
        </is>
      </c>
      <c r="G625" t="n">
        <v>10.3</v>
      </c>
      <c r="H625" t="n">
        <v>0</v>
      </c>
      <c r="I625" t="n">
        <v>0</v>
      </c>
      <c r="J625" t="n">
        <v>0</v>
      </c>
      <c r="K625" t="n">
        <v>0</v>
      </c>
      <c r="L625" t="n">
        <v>0</v>
      </c>
      <c r="M625" t="n">
        <v>0</v>
      </c>
      <c r="N625" t="n">
        <v>0</v>
      </c>
      <c r="O625" t="n">
        <v>0</v>
      </c>
      <c r="P625" t="n">
        <v>0</v>
      </c>
      <c r="Q625" t="n">
        <v>0</v>
      </c>
      <c r="R625" s="2" t="inlineStr"/>
    </row>
    <row r="626" ht="15" customHeight="1">
      <c r="A626" t="inlineStr">
        <is>
          <t>A 16781-2021</t>
        </is>
      </c>
      <c r="B626" s="1" t="n">
        <v>44295</v>
      </c>
      <c r="C626" s="1" t="n">
        <v>45648</v>
      </c>
      <c r="D626" t="inlineStr">
        <is>
          <t>JÄMTLANDS LÄN</t>
        </is>
      </c>
      <c r="E626" t="inlineStr">
        <is>
          <t>BRÄCKE</t>
        </is>
      </c>
      <c r="F626" t="inlineStr">
        <is>
          <t>SCA</t>
        </is>
      </c>
      <c r="G626" t="n">
        <v>11.2</v>
      </c>
      <c r="H626" t="n">
        <v>0</v>
      </c>
      <c r="I626" t="n">
        <v>0</v>
      </c>
      <c r="J626" t="n">
        <v>0</v>
      </c>
      <c r="K626" t="n">
        <v>0</v>
      </c>
      <c r="L626" t="n">
        <v>0</v>
      </c>
      <c r="M626" t="n">
        <v>0</v>
      </c>
      <c r="N626" t="n">
        <v>0</v>
      </c>
      <c r="O626" t="n">
        <v>0</v>
      </c>
      <c r="P626" t="n">
        <v>0</v>
      </c>
      <c r="Q626" t="n">
        <v>0</v>
      </c>
      <c r="R626" s="2" t="inlineStr"/>
    </row>
    <row r="627" ht="15" customHeight="1">
      <c r="A627" t="inlineStr">
        <is>
          <t>A 17173-2021</t>
        </is>
      </c>
      <c r="B627" s="1" t="n">
        <v>44295</v>
      </c>
      <c r="C627" s="1" t="n">
        <v>45648</v>
      </c>
      <c r="D627" t="inlineStr">
        <is>
          <t>JÄMTLANDS LÄN</t>
        </is>
      </c>
      <c r="E627" t="inlineStr">
        <is>
          <t>BRÄCKE</t>
        </is>
      </c>
      <c r="G627" t="n">
        <v>4.3</v>
      </c>
      <c r="H627" t="n">
        <v>0</v>
      </c>
      <c r="I627" t="n">
        <v>0</v>
      </c>
      <c r="J627" t="n">
        <v>0</v>
      </c>
      <c r="K627" t="n">
        <v>0</v>
      </c>
      <c r="L627" t="n">
        <v>0</v>
      </c>
      <c r="M627" t="n">
        <v>0</v>
      </c>
      <c r="N627" t="n">
        <v>0</v>
      </c>
      <c r="O627" t="n">
        <v>0</v>
      </c>
      <c r="P627" t="n">
        <v>0</v>
      </c>
      <c r="Q627" t="n">
        <v>0</v>
      </c>
      <c r="R627" s="2" t="inlineStr"/>
    </row>
    <row r="628" ht="15" customHeight="1">
      <c r="A628" t="inlineStr">
        <is>
          <t>A 18006-2021</t>
        </is>
      </c>
      <c r="B628" s="1" t="n">
        <v>44301</v>
      </c>
      <c r="C628" s="1" t="n">
        <v>45648</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19088-2021</t>
        </is>
      </c>
      <c r="B629" s="1" t="n">
        <v>44308</v>
      </c>
      <c r="C629" s="1" t="n">
        <v>45648</v>
      </c>
      <c r="D629" t="inlineStr">
        <is>
          <t>JÄMTLANDS LÄN</t>
        </is>
      </c>
      <c r="E629" t="inlineStr">
        <is>
          <t>BRÄCKE</t>
        </is>
      </c>
      <c r="G629" t="n">
        <v>3.6</v>
      </c>
      <c r="H629" t="n">
        <v>0</v>
      </c>
      <c r="I629" t="n">
        <v>0</v>
      </c>
      <c r="J629" t="n">
        <v>0</v>
      </c>
      <c r="K629" t="n">
        <v>0</v>
      </c>
      <c r="L629" t="n">
        <v>0</v>
      </c>
      <c r="M629" t="n">
        <v>0</v>
      </c>
      <c r="N629" t="n">
        <v>0</v>
      </c>
      <c r="O629" t="n">
        <v>0</v>
      </c>
      <c r="P629" t="n">
        <v>0</v>
      </c>
      <c r="Q629" t="n">
        <v>0</v>
      </c>
      <c r="R629" s="2" t="inlineStr"/>
    </row>
    <row r="630" ht="15" customHeight="1">
      <c r="A630" t="inlineStr">
        <is>
          <t>A 20803-2021</t>
        </is>
      </c>
      <c r="B630" s="1" t="n">
        <v>44316</v>
      </c>
      <c r="C630" s="1" t="n">
        <v>45648</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21034-2021</t>
        </is>
      </c>
      <c r="B631" s="1" t="n">
        <v>44319</v>
      </c>
      <c r="C631" s="1" t="n">
        <v>45648</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21019-2021</t>
        </is>
      </c>
      <c r="B632" s="1" t="n">
        <v>44319</v>
      </c>
      <c r="C632" s="1" t="n">
        <v>45648</v>
      </c>
      <c r="D632" t="inlineStr">
        <is>
          <t>JÄMTLANDS LÄN</t>
        </is>
      </c>
      <c r="E632" t="inlineStr">
        <is>
          <t>BRÄCKE</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21366-2021</t>
        </is>
      </c>
      <c r="B633" s="1" t="n">
        <v>44320</v>
      </c>
      <c r="C633" s="1" t="n">
        <v>45648</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21637-2021</t>
        </is>
      </c>
      <c r="B634" s="1" t="n">
        <v>44321</v>
      </c>
      <c r="C634" s="1" t="n">
        <v>45648</v>
      </c>
      <c r="D634" t="inlineStr">
        <is>
          <t>JÄMTLANDS LÄN</t>
        </is>
      </c>
      <c r="E634" t="inlineStr">
        <is>
          <t>BRÄCKE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21940-2021</t>
        </is>
      </c>
      <c r="B635" s="1" t="n">
        <v>44323</v>
      </c>
      <c r="C635" s="1" t="n">
        <v>45648</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22124-2021</t>
        </is>
      </c>
      <c r="B636" s="1" t="n">
        <v>44323</v>
      </c>
      <c r="C636" s="1" t="n">
        <v>45648</v>
      </c>
      <c r="D636" t="inlineStr">
        <is>
          <t>JÄMTLANDS LÄN</t>
        </is>
      </c>
      <c r="E636" t="inlineStr">
        <is>
          <t>BRÄCKE</t>
        </is>
      </c>
      <c r="G636" t="n">
        <v>1.7</v>
      </c>
      <c r="H636" t="n">
        <v>0</v>
      </c>
      <c r="I636" t="n">
        <v>0</v>
      </c>
      <c r="J636" t="n">
        <v>0</v>
      </c>
      <c r="K636" t="n">
        <v>0</v>
      </c>
      <c r="L636" t="n">
        <v>0</v>
      </c>
      <c r="M636" t="n">
        <v>0</v>
      </c>
      <c r="N636" t="n">
        <v>0</v>
      </c>
      <c r="O636" t="n">
        <v>0</v>
      </c>
      <c r="P636" t="n">
        <v>0</v>
      </c>
      <c r="Q636" t="n">
        <v>0</v>
      </c>
      <c r="R636" s="2" t="inlineStr"/>
    </row>
    <row r="637" ht="15" customHeight="1">
      <c r="A637" t="inlineStr">
        <is>
          <t>A 23013-2021</t>
        </is>
      </c>
      <c r="B637" s="1" t="n">
        <v>44328</v>
      </c>
      <c r="C637" s="1" t="n">
        <v>45648</v>
      </c>
      <c r="D637" t="inlineStr">
        <is>
          <t>JÄMTLANDS LÄN</t>
        </is>
      </c>
      <c r="E637" t="inlineStr">
        <is>
          <t>BRÄCKE</t>
        </is>
      </c>
      <c r="G637" t="n">
        <v>8.4</v>
      </c>
      <c r="H637" t="n">
        <v>0</v>
      </c>
      <c r="I637" t="n">
        <v>0</v>
      </c>
      <c r="J637" t="n">
        <v>0</v>
      </c>
      <c r="K637" t="n">
        <v>0</v>
      </c>
      <c r="L637" t="n">
        <v>0</v>
      </c>
      <c r="M637" t="n">
        <v>0</v>
      </c>
      <c r="N637" t="n">
        <v>0</v>
      </c>
      <c r="O637" t="n">
        <v>0</v>
      </c>
      <c r="P637" t="n">
        <v>0</v>
      </c>
      <c r="Q637" t="n">
        <v>0</v>
      </c>
      <c r="R637" s="2" t="inlineStr"/>
    </row>
    <row r="638" ht="15" customHeight="1">
      <c r="A638" t="inlineStr">
        <is>
          <t>A 23746-2021</t>
        </is>
      </c>
      <c r="B638" s="1" t="n">
        <v>44335</v>
      </c>
      <c r="C638" s="1" t="n">
        <v>45648</v>
      </c>
      <c r="D638" t="inlineStr">
        <is>
          <t>JÄMTLANDS LÄN</t>
        </is>
      </c>
      <c r="E638" t="inlineStr">
        <is>
          <t>BRÄCKE</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23747-2021</t>
        </is>
      </c>
      <c r="B639" s="1" t="n">
        <v>44334</v>
      </c>
      <c r="C639" s="1" t="n">
        <v>45648</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24254-2021</t>
        </is>
      </c>
      <c r="B640" s="1" t="n">
        <v>44337</v>
      </c>
      <c r="C640" s="1" t="n">
        <v>45648</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24240-2021</t>
        </is>
      </c>
      <c r="B641" s="1" t="n">
        <v>44336</v>
      </c>
      <c r="C641" s="1" t="n">
        <v>45648</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24950-2021</t>
        </is>
      </c>
      <c r="B642" s="1" t="n">
        <v>44341</v>
      </c>
      <c r="C642" s="1" t="n">
        <v>45648</v>
      </c>
      <c r="D642" t="inlineStr">
        <is>
          <t>JÄMTLANDS LÄN</t>
        </is>
      </c>
      <c r="E642" t="inlineStr">
        <is>
          <t>BRÄCKE</t>
        </is>
      </c>
      <c r="F642" t="inlineStr">
        <is>
          <t>Kyrkan</t>
        </is>
      </c>
      <c r="G642" t="n">
        <v>15.3</v>
      </c>
      <c r="H642" t="n">
        <v>0</v>
      </c>
      <c r="I642" t="n">
        <v>0</v>
      </c>
      <c r="J642" t="n">
        <v>0</v>
      </c>
      <c r="K642" t="n">
        <v>0</v>
      </c>
      <c r="L642" t="n">
        <v>0</v>
      </c>
      <c r="M642" t="n">
        <v>0</v>
      </c>
      <c r="N642" t="n">
        <v>0</v>
      </c>
      <c r="O642" t="n">
        <v>0</v>
      </c>
      <c r="P642" t="n">
        <v>0</v>
      </c>
      <c r="Q642" t="n">
        <v>0</v>
      </c>
      <c r="R642" s="2" t="inlineStr"/>
    </row>
    <row r="643" ht="15" customHeight="1">
      <c r="A643" t="inlineStr">
        <is>
          <t>A 26664-2021</t>
        </is>
      </c>
      <c r="B643" s="1" t="n">
        <v>44348</v>
      </c>
      <c r="C643" s="1" t="n">
        <v>45648</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26665-2021</t>
        </is>
      </c>
      <c r="B644" s="1" t="n">
        <v>44348</v>
      </c>
      <c r="C644" s="1" t="n">
        <v>45648</v>
      </c>
      <c r="D644" t="inlineStr">
        <is>
          <t>JÄMTLANDS LÄN</t>
        </is>
      </c>
      <c r="E644" t="inlineStr">
        <is>
          <t>BRÄCKE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26666-2021</t>
        </is>
      </c>
      <c r="B645" s="1" t="n">
        <v>44349</v>
      </c>
      <c r="C645" s="1" t="n">
        <v>45648</v>
      </c>
      <c r="D645" t="inlineStr">
        <is>
          <t>JÄMTLANDS LÄN</t>
        </is>
      </c>
      <c r="E645" t="inlineStr">
        <is>
          <t>BRÄCKE</t>
        </is>
      </c>
      <c r="G645" t="n">
        <v>26.3</v>
      </c>
      <c r="H645" t="n">
        <v>0</v>
      </c>
      <c r="I645" t="n">
        <v>0</v>
      </c>
      <c r="J645" t="n">
        <v>0</v>
      </c>
      <c r="K645" t="n">
        <v>0</v>
      </c>
      <c r="L645" t="n">
        <v>0</v>
      </c>
      <c r="M645" t="n">
        <v>0</v>
      </c>
      <c r="N645" t="n">
        <v>0</v>
      </c>
      <c r="O645" t="n">
        <v>0</v>
      </c>
      <c r="P645" t="n">
        <v>0</v>
      </c>
      <c r="Q645" t="n">
        <v>0</v>
      </c>
      <c r="R645" s="2" t="inlineStr"/>
    </row>
    <row r="646" ht="15" customHeight="1">
      <c r="A646" t="inlineStr">
        <is>
          <t>A 27257-2021</t>
        </is>
      </c>
      <c r="B646" s="1" t="n">
        <v>44350</v>
      </c>
      <c r="C646" s="1" t="n">
        <v>45648</v>
      </c>
      <c r="D646" t="inlineStr">
        <is>
          <t>JÄMTLANDS LÄN</t>
        </is>
      </c>
      <c r="E646" t="inlineStr">
        <is>
          <t>BRÄCKE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27261-2021</t>
        </is>
      </c>
      <c r="B647" s="1" t="n">
        <v>44351</v>
      </c>
      <c r="C647" s="1" t="n">
        <v>45648</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27258-2021</t>
        </is>
      </c>
      <c r="B648" s="1" t="n">
        <v>44351</v>
      </c>
      <c r="C648" s="1" t="n">
        <v>45648</v>
      </c>
      <c r="D648" t="inlineStr">
        <is>
          <t>JÄMTLANDS LÄN</t>
        </is>
      </c>
      <c r="E648" t="inlineStr">
        <is>
          <t>BRÄCKE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27256-2021</t>
        </is>
      </c>
      <c r="B649" s="1" t="n">
        <v>44350</v>
      </c>
      <c r="C649" s="1" t="n">
        <v>45648</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28616-2021</t>
        </is>
      </c>
      <c r="B650" s="1" t="n">
        <v>44357</v>
      </c>
      <c r="C650" s="1" t="n">
        <v>45648</v>
      </c>
      <c r="D650" t="inlineStr">
        <is>
          <t>JÄMTLANDS LÄN</t>
        </is>
      </c>
      <c r="E650" t="inlineStr">
        <is>
          <t>BRÄCKE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28617-2021</t>
        </is>
      </c>
      <c r="B651" s="1" t="n">
        <v>44356</v>
      </c>
      <c r="C651" s="1" t="n">
        <v>45648</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28619-2021</t>
        </is>
      </c>
      <c r="B652" s="1" t="n">
        <v>44356</v>
      </c>
      <c r="C652" s="1" t="n">
        <v>45648</v>
      </c>
      <c r="D652" t="inlineStr">
        <is>
          <t>JÄMTLANDS LÄN</t>
        </is>
      </c>
      <c r="E652" t="inlineStr">
        <is>
          <t>BRÄCKE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28909-2021</t>
        </is>
      </c>
      <c r="B653" s="1" t="n">
        <v>44357</v>
      </c>
      <c r="C653" s="1" t="n">
        <v>45648</v>
      </c>
      <c r="D653" t="inlineStr">
        <is>
          <t>JÄMTLANDS LÄN</t>
        </is>
      </c>
      <c r="E653" t="inlineStr">
        <is>
          <t>BRÄCKE</t>
        </is>
      </c>
      <c r="F653" t="inlineStr">
        <is>
          <t>SCA</t>
        </is>
      </c>
      <c r="G653" t="n">
        <v>11.2</v>
      </c>
      <c r="H653" t="n">
        <v>0</v>
      </c>
      <c r="I653" t="n">
        <v>0</v>
      </c>
      <c r="J653" t="n">
        <v>0</v>
      </c>
      <c r="K653" t="n">
        <v>0</v>
      </c>
      <c r="L653" t="n">
        <v>0</v>
      </c>
      <c r="M653" t="n">
        <v>0</v>
      </c>
      <c r="N653" t="n">
        <v>0</v>
      </c>
      <c r="O653" t="n">
        <v>0</v>
      </c>
      <c r="P653" t="n">
        <v>0</v>
      </c>
      <c r="Q653" t="n">
        <v>0</v>
      </c>
      <c r="R653" s="2" t="inlineStr"/>
      <c r="U653">
        <f>HYPERLINK("https://klasma.github.io/Logging_2305/knärot/A 28909-2021 karta knärot.png", "A 28909-2021")</f>
        <v/>
      </c>
      <c r="V653">
        <f>HYPERLINK("https://klasma.github.io/Logging_2305/klagomål/A 28909-2021 FSC-klagomål.docx", "A 28909-2021")</f>
        <v/>
      </c>
      <c r="W653">
        <f>HYPERLINK("https://klasma.github.io/Logging_2305/klagomålsmail/A 28909-2021 FSC-klagomål mail.docx", "A 28909-2021")</f>
        <v/>
      </c>
      <c r="X653">
        <f>HYPERLINK("https://klasma.github.io/Logging_2305/tillsyn/A 28909-2021 tillsynsbegäran.docx", "A 28909-2021")</f>
        <v/>
      </c>
      <c r="Y653">
        <f>HYPERLINK("https://klasma.github.io/Logging_2305/tillsynsmail/A 28909-2021 tillsynsbegäran mail.docx", "A 28909-2021")</f>
        <v/>
      </c>
    </row>
    <row r="654" ht="15" customHeight="1">
      <c r="A654" t="inlineStr">
        <is>
          <t>A 28903-2021</t>
        </is>
      </c>
      <c r="B654" s="1" t="n">
        <v>44357</v>
      </c>
      <c r="C654" s="1" t="n">
        <v>45648</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45648</v>
      </c>
      <c r="D655" t="inlineStr">
        <is>
          <t>JÄMTLANDS LÄN</t>
        </is>
      </c>
      <c r="E655" t="inlineStr">
        <is>
          <t>BRÄCKE</t>
        </is>
      </c>
      <c r="G655" t="n">
        <v>10.7</v>
      </c>
      <c r="H655" t="n">
        <v>0</v>
      </c>
      <c r="I655" t="n">
        <v>0</v>
      </c>
      <c r="J655" t="n">
        <v>0</v>
      </c>
      <c r="K655" t="n">
        <v>0</v>
      </c>
      <c r="L655" t="n">
        <v>0</v>
      </c>
      <c r="M655" t="n">
        <v>0</v>
      </c>
      <c r="N655" t="n">
        <v>0</v>
      </c>
      <c r="O655" t="n">
        <v>0</v>
      </c>
      <c r="P655" t="n">
        <v>0</v>
      </c>
      <c r="Q655" t="n">
        <v>0</v>
      </c>
      <c r="R655" s="2" t="inlineStr"/>
    </row>
    <row r="656" ht="15" customHeight="1">
      <c r="A656" t="inlineStr">
        <is>
          <t>A 29603-2021</t>
        </is>
      </c>
      <c r="B656" s="1" t="n">
        <v>44361</v>
      </c>
      <c r="C656" s="1" t="n">
        <v>45648</v>
      </c>
      <c r="D656" t="inlineStr">
        <is>
          <t>JÄMTLANDS LÄN</t>
        </is>
      </c>
      <c r="E656" t="inlineStr">
        <is>
          <t>BRÄCKE</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29611-2021</t>
        </is>
      </c>
      <c r="B657" s="1" t="n">
        <v>44361</v>
      </c>
      <c r="C657" s="1" t="n">
        <v>45648</v>
      </c>
      <c r="D657" t="inlineStr">
        <is>
          <t>JÄMTLANDS LÄN</t>
        </is>
      </c>
      <c r="E657" t="inlineStr">
        <is>
          <t>BRÄCKE</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29929-2021</t>
        </is>
      </c>
      <c r="B658" s="1" t="n">
        <v>44362</v>
      </c>
      <c r="C658" s="1" t="n">
        <v>45648</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29930-2021</t>
        </is>
      </c>
      <c r="B659" s="1" t="n">
        <v>44362</v>
      </c>
      <c r="C659" s="1" t="n">
        <v>45648</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30108-2021</t>
        </is>
      </c>
      <c r="B660" s="1" t="n">
        <v>44363</v>
      </c>
      <c r="C660" s="1" t="n">
        <v>45648</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30102-2021</t>
        </is>
      </c>
      <c r="B661" s="1" t="n">
        <v>44363</v>
      </c>
      <c r="C661" s="1" t="n">
        <v>45648</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30592-2021</t>
        </is>
      </c>
      <c r="B662" s="1" t="n">
        <v>44365</v>
      </c>
      <c r="C662" s="1" t="n">
        <v>45648</v>
      </c>
      <c r="D662" t="inlineStr">
        <is>
          <t>JÄMTLANDS LÄN</t>
        </is>
      </c>
      <c r="E662" t="inlineStr">
        <is>
          <t>BRÄCKE</t>
        </is>
      </c>
      <c r="F662" t="inlineStr">
        <is>
          <t>SCA</t>
        </is>
      </c>
      <c r="G662" t="n">
        <v>22.4</v>
      </c>
      <c r="H662" t="n">
        <v>0</v>
      </c>
      <c r="I662" t="n">
        <v>0</v>
      </c>
      <c r="J662" t="n">
        <v>0</v>
      </c>
      <c r="K662" t="n">
        <v>0</v>
      </c>
      <c r="L662" t="n">
        <v>0</v>
      </c>
      <c r="M662" t="n">
        <v>0</v>
      </c>
      <c r="N662" t="n">
        <v>0</v>
      </c>
      <c r="O662" t="n">
        <v>0</v>
      </c>
      <c r="P662" t="n">
        <v>0</v>
      </c>
      <c r="Q662" t="n">
        <v>0</v>
      </c>
      <c r="R662" s="2" t="inlineStr"/>
    </row>
    <row r="663" ht="15" customHeight="1">
      <c r="A663" t="inlineStr">
        <is>
          <t>A 31093-2021</t>
        </is>
      </c>
      <c r="B663" s="1" t="n">
        <v>44368</v>
      </c>
      <c r="C663" s="1" t="n">
        <v>45648</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31342-2021</t>
        </is>
      </c>
      <c r="B664" s="1" t="n">
        <v>44369</v>
      </c>
      <c r="C664" s="1" t="n">
        <v>45648</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32101-2021</t>
        </is>
      </c>
      <c r="B665" s="1" t="n">
        <v>44371</v>
      </c>
      <c r="C665" s="1" t="n">
        <v>45648</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32471-2021</t>
        </is>
      </c>
      <c r="B666" s="1" t="n">
        <v>44371</v>
      </c>
      <c r="C666" s="1" t="n">
        <v>45648</v>
      </c>
      <c r="D666" t="inlineStr">
        <is>
          <t>JÄMTLANDS LÄN</t>
        </is>
      </c>
      <c r="E666" t="inlineStr">
        <is>
          <t>BRÄCKE</t>
        </is>
      </c>
      <c r="F666" t="inlineStr">
        <is>
          <t>SCA</t>
        </is>
      </c>
      <c r="G666" t="n">
        <v>0.2</v>
      </c>
      <c r="H666" t="n">
        <v>0</v>
      </c>
      <c r="I666" t="n">
        <v>0</v>
      </c>
      <c r="J666" t="n">
        <v>0</v>
      </c>
      <c r="K666" t="n">
        <v>0</v>
      </c>
      <c r="L666" t="n">
        <v>0</v>
      </c>
      <c r="M666" t="n">
        <v>0</v>
      </c>
      <c r="N666" t="n">
        <v>0</v>
      </c>
      <c r="O666" t="n">
        <v>0</v>
      </c>
      <c r="P666" t="n">
        <v>0</v>
      </c>
      <c r="Q666" t="n">
        <v>0</v>
      </c>
      <c r="R666" s="2" t="inlineStr"/>
    </row>
    <row r="667" ht="15" customHeight="1">
      <c r="A667" t="inlineStr">
        <is>
          <t>A 33221-2021</t>
        </is>
      </c>
      <c r="B667" s="1" t="n">
        <v>44376</v>
      </c>
      <c r="C667" s="1" t="n">
        <v>45648</v>
      </c>
      <c r="D667" t="inlineStr">
        <is>
          <t>JÄMTLANDS LÄN</t>
        </is>
      </c>
      <c r="E667" t="inlineStr">
        <is>
          <t>BRÄCKE</t>
        </is>
      </c>
      <c r="F667" t="inlineStr">
        <is>
          <t>SCA</t>
        </is>
      </c>
      <c r="G667" t="n">
        <v>11.4</v>
      </c>
      <c r="H667" t="n">
        <v>0</v>
      </c>
      <c r="I667" t="n">
        <v>0</v>
      </c>
      <c r="J667" t="n">
        <v>0</v>
      </c>
      <c r="K667" t="n">
        <v>0</v>
      </c>
      <c r="L667" t="n">
        <v>0</v>
      </c>
      <c r="M667" t="n">
        <v>0</v>
      </c>
      <c r="N667" t="n">
        <v>0</v>
      </c>
      <c r="O667" t="n">
        <v>0</v>
      </c>
      <c r="P667" t="n">
        <v>0</v>
      </c>
      <c r="Q667" t="n">
        <v>0</v>
      </c>
      <c r="R667" s="2" t="inlineStr"/>
    </row>
    <row r="668" ht="15" customHeight="1">
      <c r="A668" t="inlineStr">
        <is>
          <t>A 33538-2021</t>
        </is>
      </c>
      <c r="B668" s="1" t="n">
        <v>44377</v>
      </c>
      <c r="C668" s="1" t="n">
        <v>45648</v>
      </c>
      <c r="D668" t="inlineStr">
        <is>
          <t>JÄMTLANDS LÄN</t>
        </is>
      </c>
      <c r="E668" t="inlineStr">
        <is>
          <t>BRÄCKE</t>
        </is>
      </c>
      <c r="G668" t="n">
        <v>6.9</v>
      </c>
      <c r="H668" t="n">
        <v>0</v>
      </c>
      <c r="I668" t="n">
        <v>0</v>
      </c>
      <c r="J668" t="n">
        <v>0</v>
      </c>
      <c r="K668" t="n">
        <v>0</v>
      </c>
      <c r="L668" t="n">
        <v>0</v>
      </c>
      <c r="M668" t="n">
        <v>0</v>
      </c>
      <c r="N668" t="n">
        <v>0</v>
      </c>
      <c r="O668" t="n">
        <v>0</v>
      </c>
      <c r="P668" t="n">
        <v>0</v>
      </c>
      <c r="Q668" t="n">
        <v>0</v>
      </c>
      <c r="R668" s="2" t="inlineStr"/>
    </row>
    <row r="669" ht="15" customHeight="1">
      <c r="A669" t="inlineStr">
        <is>
          <t>A 34409-2021</t>
        </is>
      </c>
      <c r="B669" s="1" t="n">
        <v>44379</v>
      </c>
      <c r="C669" s="1" t="n">
        <v>45648</v>
      </c>
      <c r="D669" t="inlineStr">
        <is>
          <t>JÄMTLANDS LÄN</t>
        </is>
      </c>
      <c r="E669" t="inlineStr">
        <is>
          <t>BRÄCKE</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34410-2021</t>
        </is>
      </c>
      <c r="B670" s="1" t="n">
        <v>44380</v>
      </c>
      <c r="C670" s="1" t="n">
        <v>45648</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34873-2021</t>
        </is>
      </c>
      <c r="B671" s="1" t="n">
        <v>44382</v>
      </c>
      <c r="C671" s="1" t="n">
        <v>45648</v>
      </c>
      <c r="D671" t="inlineStr">
        <is>
          <t>JÄMTLANDS LÄN</t>
        </is>
      </c>
      <c r="E671" t="inlineStr">
        <is>
          <t>BRÄCKE</t>
        </is>
      </c>
      <c r="G671" t="n">
        <v>2</v>
      </c>
      <c r="H671" t="n">
        <v>0</v>
      </c>
      <c r="I671" t="n">
        <v>0</v>
      </c>
      <c r="J671" t="n">
        <v>0</v>
      </c>
      <c r="K671" t="n">
        <v>0</v>
      </c>
      <c r="L671" t="n">
        <v>0</v>
      </c>
      <c r="M671" t="n">
        <v>0</v>
      </c>
      <c r="N671" t="n">
        <v>0</v>
      </c>
      <c r="O671" t="n">
        <v>0</v>
      </c>
      <c r="P671" t="n">
        <v>0</v>
      </c>
      <c r="Q671" t="n">
        <v>0</v>
      </c>
      <c r="R671" s="2" t="inlineStr"/>
    </row>
    <row r="672" ht="15" customHeight="1">
      <c r="A672" t="inlineStr">
        <is>
          <t>A 35244-2021</t>
        </is>
      </c>
      <c r="B672" s="1" t="n">
        <v>44384</v>
      </c>
      <c r="C672" s="1" t="n">
        <v>45648</v>
      </c>
      <c r="D672" t="inlineStr">
        <is>
          <t>JÄMTLANDS LÄN</t>
        </is>
      </c>
      <c r="E672" t="inlineStr">
        <is>
          <t>BRÄCKE</t>
        </is>
      </c>
      <c r="G672" t="n">
        <v>0.5</v>
      </c>
      <c r="H672" t="n">
        <v>0</v>
      </c>
      <c r="I672" t="n">
        <v>0</v>
      </c>
      <c r="J672" t="n">
        <v>0</v>
      </c>
      <c r="K672" t="n">
        <v>0</v>
      </c>
      <c r="L672" t="n">
        <v>0</v>
      </c>
      <c r="M672" t="n">
        <v>0</v>
      </c>
      <c r="N672" t="n">
        <v>0</v>
      </c>
      <c r="O672" t="n">
        <v>0</v>
      </c>
      <c r="P672" t="n">
        <v>0</v>
      </c>
      <c r="Q672" t="n">
        <v>0</v>
      </c>
      <c r="R672" s="2" t="inlineStr"/>
    </row>
    <row r="673" ht="15" customHeight="1">
      <c r="A673" t="inlineStr">
        <is>
          <t>A 35252-2021</t>
        </is>
      </c>
      <c r="B673" s="1" t="n">
        <v>44384</v>
      </c>
      <c r="C673" s="1" t="n">
        <v>45648</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35564-2021</t>
        </is>
      </c>
      <c r="B674" s="1" t="n">
        <v>44386</v>
      </c>
      <c r="C674" s="1" t="n">
        <v>45648</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36445-2021</t>
        </is>
      </c>
      <c r="B675" s="1" t="n">
        <v>44391</v>
      </c>
      <c r="C675" s="1" t="n">
        <v>45648</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36819-2021</t>
        </is>
      </c>
      <c r="B676" s="1" t="n">
        <v>44392</v>
      </c>
      <c r="C676" s="1" t="n">
        <v>45648</v>
      </c>
      <c r="D676" t="inlineStr">
        <is>
          <t>JÄMTLANDS LÄN</t>
        </is>
      </c>
      <c r="E676" t="inlineStr">
        <is>
          <t>BRÄCKE</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37053-2021</t>
        </is>
      </c>
      <c r="B677" s="1" t="n">
        <v>44394</v>
      </c>
      <c r="C677" s="1" t="n">
        <v>45648</v>
      </c>
      <c r="D677" t="inlineStr">
        <is>
          <t>JÄMTLANDS LÄN</t>
        </is>
      </c>
      <c r="E677" t="inlineStr">
        <is>
          <t>BRÄCKE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37048-2021</t>
        </is>
      </c>
      <c r="B678" s="1" t="n">
        <v>44394</v>
      </c>
      <c r="C678" s="1" t="n">
        <v>45648</v>
      </c>
      <c r="D678" t="inlineStr">
        <is>
          <t>JÄMTLANDS LÄN</t>
        </is>
      </c>
      <c r="E678" t="inlineStr">
        <is>
          <t>BRÄCKE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37238-2021</t>
        </is>
      </c>
      <c r="B679" s="1" t="n">
        <v>44397</v>
      </c>
      <c r="C679" s="1" t="n">
        <v>45648</v>
      </c>
      <c r="D679" t="inlineStr">
        <is>
          <t>JÄMTLANDS LÄN</t>
        </is>
      </c>
      <c r="E679" t="inlineStr">
        <is>
          <t>BRÄCKE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37376-2021</t>
        </is>
      </c>
      <c r="B680" s="1" t="n">
        <v>44397</v>
      </c>
      <c r="C680" s="1" t="n">
        <v>45648</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37375-2021</t>
        </is>
      </c>
      <c r="B681" s="1" t="n">
        <v>44397</v>
      </c>
      <c r="C681" s="1" t="n">
        <v>45648</v>
      </c>
      <c r="D681" t="inlineStr">
        <is>
          <t>JÄMTLANDS LÄN</t>
        </is>
      </c>
      <c r="E681" t="inlineStr">
        <is>
          <t>BRÄCKE</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37479-2021</t>
        </is>
      </c>
      <c r="B682" s="1" t="n">
        <v>44398</v>
      </c>
      <c r="C682" s="1" t="n">
        <v>45648</v>
      </c>
      <c r="D682" t="inlineStr">
        <is>
          <t>JÄMTLANDS LÄN</t>
        </is>
      </c>
      <c r="E682" t="inlineStr">
        <is>
          <t>BRÄCKE</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37957-2021</t>
        </is>
      </c>
      <c r="B683" s="1" t="n">
        <v>44403</v>
      </c>
      <c r="C683" s="1" t="n">
        <v>45648</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38280-2021</t>
        </is>
      </c>
      <c r="B684" s="1" t="n">
        <v>44405</v>
      </c>
      <c r="C684" s="1" t="n">
        <v>45648</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38285-2021</t>
        </is>
      </c>
      <c r="B685" s="1" t="n">
        <v>44405</v>
      </c>
      <c r="C685" s="1" t="n">
        <v>45648</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38281-2021</t>
        </is>
      </c>
      <c r="B686" s="1" t="n">
        <v>44405</v>
      </c>
      <c r="C686" s="1" t="n">
        <v>45648</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38424-2021</t>
        </is>
      </c>
      <c r="B687" s="1" t="n">
        <v>44407</v>
      </c>
      <c r="C687" s="1" t="n">
        <v>45648</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38593-2021</t>
        </is>
      </c>
      <c r="B688" s="1" t="n">
        <v>44407</v>
      </c>
      <c r="C688" s="1" t="n">
        <v>45648</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38956-2021</t>
        </is>
      </c>
      <c r="B689" s="1" t="n">
        <v>44411</v>
      </c>
      <c r="C689" s="1" t="n">
        <v>45648</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39934-2021</t>
        </is>
      </c>
      <c r="B690" s="1" t="n">
        <v>44417</v>
      </c>
      <c r="C690" s="1" t="n">
        <v>45648</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40313-2021</t>
        </is>
      </c>
      <c r="B691" s="1" t="n">
        <v>44419</v>
      </c>
      <c r="C691" s="1" t="n">
        <v>45648</v>
      </c>
      <c r="D691" t="inlineStr">
        <is>
          <t>JÄMTLANDS LÄN</t>
        </is>
      </c>
      <c r="E691" t="inlineStr">
        <is>
          <t>BRÄCKE</t>
        </is>
      </c>
      <c r="G691" t="n">
        <v>5.7</v>
      </c>
      <c r="H691" t="n">
        <v>0</v>
      </c>
      <c r="I691" t="n">
        <v>0</v>
      </c>
      <c r="J691" t="n">
        <v>0</v>
      </c>
      <c r="K691" t="n">
        <v>0</v>
      </c>
      <c r="L691" t="n">
        <v>0</v>
      </c>
      <c r="M691" t="n">
        <v>0</v>
      </c>
      <c r="N691" t="n">
        <v>0</v>
      </c>
      <c r="O691" t="n">
        <v>0</v>
      </c>
      <c r="P691" t="n">
        <v>0</v>
      </c>
      <c r="Q691" t="n">
        <v>0</v>
      </c>
      <c r="R691" s="2" t="inlineStr"/>
    </row>
    <row r="692" ht="15" customHeight="1">
      <c r="A692" t="inlineStr">
        <is>
          <t>A 40467-2021</t>
        </is>
      </c>
      <c r="B692" s="1" t="n">
        <v>44420</v>
      </c>
      <c r="C692" s="1" t="n">
        <v>45648</v>
      </c>
      <c r="D692" t="inlineStr">
        <is>
          <t>JÄMTLANDS LÄN</t>
        </is>
      </c>
      <c r="E692" t="inlineStr">
        <is>
          <t>BRÄCKE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40482-2021</t>
        </is>
      </c>
      <c r="B693" s="1" t="n">
        <v>44420</v>
      </c>
      <c r="C693" s="1" t="n">
        <v>45648</v>
      </c>
      <c r="D693" t="inlineStr">
        <is>
          <t>JÄMTLANDS LÄN</t>
        </is>
      </c>
      <c r="E693" t="inlineStr">
        <is>
          <t>BRÄCKE</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40481-2021</t>
        </is>
      </c>
      <c r="B694" s="1" t="n">
        <v>44420</v>
      </c>
      <c r="C694" s="1" t="n">
        <v>45648</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40769-2021</t>
        </is>
      </c>
      <c r="B695" s="1" t="n">
        <v>44420</v>
      </c>
      <c r="C695" s="1" t="n">
        <v>45648</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41060-2021</t>
        </is>
      </c>
      <c r="B696" s="1" t="n">
        <v>44422</v>
      </c>
      <c r="C696" s="1" t="n">
        <v>45648</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41474-2021</t>
        </is>
      </c>
      <c r="B697" s="1" t="n">
        <v>44424</v>
      </c>
      <c r="C697" s="1" t="n">
        <v>45648</v>
      </c>
      <c r="D697" t="inlineStr">
        <is>
          <t>JÄMTLANDS LÄN</t>
        </is>
      </c>
      <c r="E697" t="inlineStr">
        <is>
          <t>BRÄCKE</t>
        </is>
      </c>
      <c r="G697" t="n">
        <v>2.3</v>
      </c>
      <c r="H697" t="n">
        <v>0</v>
      </c>
      <c r="I697" t="n">
        <v>0</v>
      </c>
      <c r="J697" t="n">
        <v>0</v>
      </c>
      <c r="K697" t="n">
        <v>0</v>
      </c>
      <c r="L697" t="n">
        <v>0</v>
      </c>
      <c r="M697" t="n">
        <v>0</v>
      </c>
      <c r="N697" t="n">
        <v>0</v>
      </c>
      <c r="O697" t="n">
        <v>0</v>
      </c>
      <c r="P697" t="n">
        <v>0</v>
      </c>
      <c r="Q697" t="n">
        <v>0</v>
      </c>
      <c r="R697" s="2" t="inlineStr"/>
    </row>
    <row r="698" ht="15" customHeight="1">
      <c r="A698" t="inlineStr">
        <is>
          <t>A 42806-2021</t>
        </is>
      </c>
      <c r="B698" s="1" t="n">
        <v>44429</v>
      </c>
      <c r="C698" s="1" t="n">
        <v>45648</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43831-2021</t>
        </is>
      </c>
      <c r="B699" s="1" t="n">
        <v>44433</v>
      </c>
      <c r="C699" s="1" t="n">
        <v>45648</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43832-2021</t>
        </is>
      </c>
      <c r="B700" s="1" t="n">
        <v>44434</v>
      </c>
      <c r="C700" s="1" t="n">
        <v>45648</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44244-2021</t>
        </is>
      </c>
      <c r="B701" s="1" t="n">
        <v>44434</v>
      </c>
      <c r="C701" s="1" t="n">
        <v>45648</v>
      </c>
      <c r="D701" t="inlineStr">
        <is>
          <t>JÄMTLANDS LÄN</t>
        </is>
      </c>
      <c r="E701" t="inlineStr">
        <is>
          <t>BRÄCKE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44243-2021</t>
        </is>
      </c>
      <c r="B702" s="1" t="n">
        <v>44434</v>
      </c>
      <c r="C702" s="1" t="n">
        <v>45648</v>
      </c>
      <c r="D702" t="inlineStr">
        <is>
          <t>JÄMTLANDS LÄN</t>
        </is>
      </c>
      <c r="E702" t="inlineStr">
        <is>
          <t>BRÄCKE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46793-2021</t>
        </is>
      </c>
      <c r="B703" s="1" t="n">
        <v>44445</v>
      </c>
      <c r="C703" s="1" t="n">
        <v>45648</v>
      </c>
      <c r="D703" t="inlineStr">
        <is>
          <t>JÄMTLANDS LÄN</t>
        </is>
      </c>
      <c r="E703" t="inlineStr">
        <is>
          <t>BRÄCKE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46792-2021</t>
        </is>
      </c>
      <c r="B704" s="1" t="n">
        <v>44445</v>
      </c>
      <c r="C704" s="1" t="n">
        <v>45648</v>
      </c>
      <c r="D704" t="inlineStr">
        <is>
          <t>JÄMTLANDS LÄN</t>
        </is>
      </c>
      <c r="E704" t="inlineStr">
        <is>
          <t>BRÄCKE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46952-2021</t>
        </is>
      </c>
      <c r="B705" s="1" t="n">
        <v>44446</v>
      </c>
      <c r="C705" s="1" t="n">
        <v>45648</v>
      </c>
      <c r="D705" t="inlineStr">
        <is>
          <t>JÄMTLANDS LÄN</t>
        </is>
      </c>
      <c r="E705" t="inlineStr">
        <is>
          <t>BRÄCKE</t>
        </is>
      </c>
      <c r="G705" t="n">
        <v>2.1</v>
      </c>
      <c r="H705" t="n">
        <v>0</v>
      </c>
      <c r="I705" t="n">
        <v>0</v>
      </c>
      <c r="J705" t="n">
        <v>0</v>
      </c>
      <c r="K705" t="n">
        <v>0</v>
      </c>
      <c r="L705" t="n">
        <v>0</v>
      </c>
      <c r="M705" t="n">
        <v>0</v>
      </c>
      <c r="N705" t="n">
        <v>0</v>
      </c>
      <c r="O705" t="n">
        <v>0</v>
      </c>
      <c r="P705" t="n">
        <v>0</v>
      </c>
      <c r="Q705" t="n">
        <v>0</v>
      </c>
      <c r="R705" s="2" t="inlineStr"/>
    </row>
    <row r="706" ht="15" customHeight="1">
      <c r="A706" t="inlineStr">
        <is>
          <t>A 47559-2021</t>
        </is>
      </c>
      <c r="B706" s="1" t="n">
        <v>44447</v>
      </c>
      <c r="C706" s="1" t="n">
        <v>45648</v>
      </c>
      <c r="D706" t="inlineStr">
        <is>
          <t>JÄMTLANDS LÄN</t>
        </is>
      </c>
      <c r="E706" t="inlineStr">
        <is>
          <t>BRÄCKE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47558-2021</t>
        </is>
      </c>
      <c r="B707" s="1" t="n">
        <v>44448</v>
      </c>
      <c r="C707" s="1" t="n">
        <v>45648</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47560-2021</t>
        </is>
      </c>
      <c r="B708" s="1" t="n">
        <v>44448</v>
      </c>
      <c r="C708" s="1" t="n">
        <v>45648</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47983-2021</t>
        </is>
      </c>
      <c r="B709" s="1" t="n">
        <v>44448</v>
      </c>
      <c r="C709" s="1" t="n">
        <v>45648</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48284-2021</t>
        </is>
      </c>
      <c r="B710" s="1" t="n">
        <v>44449</v>
      </c>
      <c r="C710" s="1" t="n">
        <v>45648</v>
      </c>
      <c r="D710" t="inlineStr">
        <is>
          <t>JÄMTLANDS LÄN</t>
        </is>
      </c>
      <c r="E710" t="inlineStr">
        <is>
          <t>BRÄCKE</t>
        </is>
      </c>
      <c r="G710" t="n">
        <v>12.9</v>
      </c>
      <c r="H710" t="n">
        <v>0</v>
      </c>
      <c r="I710" t="n">
        <v>0</v>
      </c>
      <c r="J710" t="n">
        <v>0</v>
      </c>
      <c r="K710" t="n">
        <v>0</v>
      </c>
      <c r="L710" t="n">
        <v>0</v>
      </c>
      <c r="M710" t="n">
        <v>0</v>
      </c>
      <c r="N710" t="n">
        <v>0</v>
      </c>
      <c r="O710" t="n">
        <v>0</v>
      </c>
      <c r="P710" t="n">
        <v>0</v>
      </c>
      <c r="Q710" t="n">
        <v>0</v>
      </c>
      <c r="R710" s="2" t="inlineStr"/>
    </row>
    <row r="711" ht="15" customHeight="1">
      <c r="A711" t="inlineStr">
        <is>
          <t>A 49937-2021</t>
        </is>
      </c>
      <c r="B711" s="1" t="n">
        <v>44455</v>
      </c>
      <c r="C711" s="1" t="n">
        <v>45648</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51095-2021</t>
        </is>
      </c>
      <c r="B712" s="1" t="n">
        <v>44461</v>
      </c>
      <c r="C712" s="1" t="n">
        <v>45648</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51957-2021</t>
        </is>
      </c>
      <c r="B713" s="1" t="n">
        <v>44463</v>
      </c>
      <c r="C713" s="1" t="n">
        <v>45648</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52022-2021</t>
        </is>
      </c>
      <c r="B714" s="1" t="n">
        <v>44463</v>
      </c>
      <c r="C714" s="1" t="n">
        <v>45648</v>
      </c>
      <c r="D714" t="inlineStr">
        <is>
          <t>JÄMTLANDS LÄN</t>
        </is>
      </c>
      <c r="E714" t="inlineStr">
        <is>
          <t>BRÄCKE</t>
        </is>
      </c>
      <c r="G714" t="n">
        <v>8.4</v>
      </c>
      <c r="H714" t="n">
        <v>0</v>
      </c>
      <c r="I714" t="n">
        <v>0</v>
      </c>
      <c r="J714" t="n">
        <v>0</v>
      </c>
      <c r="K714" t="n">
        <v>0</v>
      </c>
      <c r="L714" t="n">
        <v>0</v>
      </c>
      <c r="M714" t="n">
        <v>0</v>
      </c>
      <c r="N714" t="n">
        <v>0</v>
      </c>
      <c r="O714" t="n">
        <v>0</v>
      </c>
      <c r="P714" t="n">
        <v>0</v>
      </c>
      <c r="Q714" t="n">
        <v>0</v>
      </c>
      <c r="R714" s="2" t="inlineStr"/>
    </row>
    <row r="715" ht="15" customHeight="1">
      <c r="A715" t="inlineStr">
        <is>
          <t>A 52323-2021</t>
        </is>
      </c>
      <c r="B715" s="1" t="n">
        <v>44464</v>
      </c>
      <c r="C715" s="1" t="n">
        <v>45648</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53516-2021</t>
        </is>
      </c>
      <c r="B716" s="1" t="n">
        <v>44468</v>
      </c>
      <c r="C716" s="1" t="n">
        <v>45648</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53612-2021</t>
        </is>
      </c>
      <c r="B717" s="1" t="n">
        <v>44469</v>
      </c>
      <c r="C717" s="1" t="n">
        <v>45648</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53949-2021</t>
        </is>
      </c>
      <c r="B718" s="1" t="n">
        <v>44470</v>
      </c>
      <c r="C718" s="1" t="n">
        <v>45648</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54035-2021</t>
        </is>
      </c>
      <c r="B719" s="1" t="n">
        <v>44470</v>
      </c>
      <c r="C719" s="1" t="n">
        <v>45648</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54571-2021</t>
        </is>
      </c>
      <c r="B720" s="1" t="n">
        <v>44473</v>
      </c>
      <c r="C720" s="1" t="n">
        <v>45648</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54809-2021</t>
        </is>
      </c>
      <c r="B721" s="1" t="n">
        <v>44474</v>
      </c>
      <c r="C721" s="1" t="n">
        <v>45648</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56221-2021</t>
        </is>
      </c>
      <c r="B722" s="1" t="n">
        <v>44477</v>
      </c>
      <c r="C722" s="1" t="n">
        <v>45648</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56114-2021</t>
        </is>
      </c>
      <c r="B723" s="1" t="n">
        <v>44477</v>
      </c>
      <c r="C723" s="1" t="n">
        <v>45648</v>
      </c>
      <c r="D723" t="inlineStr">
        <is>
          <t>JÄMTLANDS LÄN</t>
        </is>
      </c>
      <c r="E723" t="inlineStr">
        <is>
          <t>BRÄCKE</t>
        </is>
      </c>
      <c r="G723" t="n">
        <v>12.7</v>
      </c>
      <c r="H723" t="n">
        <v>0</v>
      </c>
      <c r="I723" t="n">
        <v>0</v>
      </c>
      <c r="J723" t="n">
        <v>0</v>
      </c>
      <c r="K723" t="n">
        <v>0</v>
      </c>
      <c r="L723" t="n">
        <v>0</v>
      </c>
      <c r="M723" t="n">
        <v>0</v>
      </c>
      <c r="N723" t="n">
        <v>0</v>
      </c>
      <c r="O723" t="n">
        <v>0</v>
      </c>
      <c r="P723" t="n">
        <v>0</v>
      </c>
      <c r="Q723" t="n">
        <v>0</v>
      </c>
      <c r="R723" s="2" t="inlineStr"/>
    </row>
    <row r="724" ht="15" customHeight="1">
      <c r="A724" t="inlineStr">
        <is>
          <t>A 56639-2021</t>
        </is>
      </c>
      <c r="B724" s="1" t="n">
        <v>44480</v>
      </c>
      <c r="C724" s="1" t="n">
        <v>45648</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56648-2021</t>
        </is>
      </c>
      <c r="B725" s="1" t="n">
        <v>44481</v>
      </c>
      <c r="C725" s="1" t="n">
        <v>45648</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56649-2021</t>
        </is>
      </c>
      <c r="B726" s="1" t="n">
        <v>44480</v>
      </c>
      <c r="C726" s="1" t="n">
        <v>45648</v>
      </c>
      <c r="D726" t="inlineStr">
        <is>
          <t>JÄMTLANDS LÄN</t>
        </is>
      </c>
      <c r="E726" t="inlineStr">
        <is>
          <t>BRÄCKE</t>
        </is>
      </c>
      <c r="G726" t="n">
        <v>6</v>
      </c>
      <c r="H726" t="n">
        <v>0</v>
      </c>
      <c r="I726" t="n">
        <v>0</v>
      </c>
      <c r="J726" t="n">
        <v>0</v>
      </c>
      <c r="K726" t="n">
        <v>0</v>
      </c>
      <c r="L726" t="n">
        <v>0</v>
      </c>
      <c r="M726" t="n">
        <v>0</v>
      </c>
      <c r="N726" t="n">
        <v>0</v>
      </c>
      <c r="O726" t="n">
        <v>0</v>
      </c>
      <c r="P726" t="n">
        <v>0</v>
      </c>
      <c r="Q726" t="n">
        <v>0</v>
      </c>
      <c r="R726" s="2" t="inlineStr"/>
    </row>
    <row r="727" ht="15" customHeight="1">
      <c r="A727" t="inlineStr">
        <is>
          <t>A 56640-2021</t>
        </is>
      </c>
      <c r="B727" s="1" t="n">
        <v>44480</v>
      </c>
      <c r="C727" s="1" t="n">
        <v>45648</v>
      </c>
      <c r="D727" t="inlineStr">
        <is>
          <t>JÄMTLANDS LÄN</t>
        </is>
      </c>
      <c r="E727" t="inlineStr">
        <is>
          <t>BRÄCKE</t>
        </is>
      </c>
      <c r="G727" t="n">
        <v>2.7</v>
      </c>
      <c r="H727" t="n">
        <v>0</v>
      </c>
      <c r="I727" t="n">
        <v>0</v>
      </c>
      <c r="J727" t="n">
        <v>0</v>
      </c>
      <c r="K727" t="n">
        <v>0</v>
      </c>
      <c r="L727" t="n">
        <v>0</v>
      </c>
      <c r="M727" t="n">
        <v>0</v>
      </c>
      <c r="N727" t="n">
        <v>0</v>
      </c>
      <c r="O727" t="n">
        <v>0</v>
      </c>
      <c r="P727" t="n">
        <v>0</v>
      </c>
      <c r="Q727" t="n">
        <v>0</v>
      </c>
      <c r="R727" s="2" t="inlineStr"/>
    </row>
    <row r="728" ht="15" customHeight="1">
      <c r="A728" t="inlineStr">
        <is>
          <t>A 56895-2021</t>
        </is>
      </c>
      <c r="B728" s="1" t="n">
        <v>44482</v>
      </c>
      <c r="C728" s="1" t="n">
        <v>45648</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56896-2021</t>
        </is>
      </c>
      <c r="B729" s="1" t="n">
        <v>44482</v>
      </c>
      <c r="C729" s="1" t="n">
        <v>45648</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58039-2021</t>
        </is>
      </c>
      <c r="B730" s="1" t="n">
        <v>44487</v>
      </c>
      <c r="C730" s="1" t="n">
        <v>45648</v>
      </c>
      <c r="D730" t="inlineStr">
        <is>
          <t>JÄMTLANDS LÄN</t>
        </is>
      </c>
      <c r="E730" t="inlineStr">
        <is>
          <t>BRÄCKE</t>
        </is>
      </c>
      <c r="G730" t="n">
        <v>7.4</v>
      </c>
      <c r="H730" t="n">
        <v>0</v>
      </c>
      <c r="I730" t="n">
        <v>0</v>
      </c>
      <c r="J730" t="n">
        <v>0</v>
      </c>
      <c r="K730" t="n">
        <v>0</v>
      </c>
      <c r="L730" t="n">
        <v>0</v>
      </c>
      <c r="M730" t="n">
        <v>0</v>
      </c>
      <c r="N730" t="n">
        <v>0</v>
      </c>
      <c r="O730" t="n">
        <v>0</v>
      </c>
      <c r="P730" t="n">
        <v>0</v>
      </c>
      <c r="Q730" t="n">
        <v>0</v>
      </c>
      <c r="R730" s="2" t="inlineStr"/>
    </row>
    <row r="731" ht="15" customHeight="1">
      <c r="A731" t="inlineStr">
        <is>
          <t>A 58269-2021</t>
        </is>
      </c>
      <c r="B731" s="1" t="n">
        <v>44487</v>
      </c>
      <c r="C731" s="1" t="n">
        <v>45648</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58272-2021</t>
        </is>
      </c>
      <c r="B732" s="1" t="n">
        <v>44487</v>
      </c>
      <c r="C732" s="1" t="n">
        <v>45648</v>
      </c>
      <c r="D732" t="inlineStr">
        <is>
          <t>JÄMTLANDS LÄN</t>
        </is>
      </c>
      <c r="E732" t="inlineStr">
        <is>
          <t>BRÄCKE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58311-2021</t>
        </is>
      </c>
      <c r="B733" s="1" t="n">
        <v>44487</v>
      </c>
      <c r="C733" s="1" t="n">
        <v>45648</v>
      </c>
      <c r="D733" t="inlineStr">
        <is>
          <t>JÄMTLANDS LÄN</t>
        </is>
      </c>
      <c r="E733" t="inlineStr">
        <is>
          <t>BRÄCKE</t>
        </is>
      </c>
      <c r="G733" t="n">
        <v>9.1</v>
      </c>
      <c r="H733" t="n">
        <v>0</v>
      </c>
      <c r="I733" t="n">
        <v>0</v>
      </c>
      <c r="J733" t="n">
        <v>0</v>
      </c>
      <c r="K733" t="n">
        <v>0</v>
      </c>
      <c r="L733" t="n">
        <v>0</v>
      </c>
      <c r="M733" t="n">
        <v>0</v>
      </c>
      <c r="N733" t="n">
        <v>0</v>
      </c>
      <c r="O733" t="n">
        <v>0</v>
      </c>
      <c r="P733" t="n">
        <v>0</v>
      </c>
      <c r="Q733" t="n">
        <v>0</v>
      </c>
      <c r="R733" s="2" t="inlineStr"/>
    </row>
    <row r="734" ht="15" customHeight="1">
      <c r="A734" t="inlineStr">
        <is>
          <t>A 58584-2021</t>
        </is>
      </c>
      <c r="B734" s="1" t="n">
        <v>44488</v>
      </c>
      <c r="C734" s="1" t="n">
        <v>45648</v>
      </c>
      <c r="D734" t="inlineStr">
        <is>
          <t>JÄMTLANDS LÄN</t>
        </is>
      </c>
      <c r="E734" t="inlineStr">
        <is>
          <t>BRÄCKE</t>
        </is>
      </c>
      <c r="G734" t="n">
        <v>32</v>
      </c>
      <c r="H734" t="n">
        <v>0</v>
      </c>
      <c r="I734" t="n">
        <v>0</v>
      </c>
      <c r="J734" t="n">
        <v>0</v>
      </c>
      <c r="K734" t="n">
        <v>0</v>
      </c>
      <c r="L734" t="n">
        <v>0</v>
      </c>
      <c r="M734" t="n">
        <v>0</v>
      </c>
      <c r="N734" t="n">
        <v>0</v>
      </c>
      <c r="O734" t="n">
        <v>0</v>
      </c>
      <c r="P734" t="n">
        <v>0</v>
      </c>
      <c r="Q734" t="n">
        <v>0</v>
      </c>
      <c r="R734" s="2" t="inlineStr"/>
    </row>
    <row r="735" ht="15" customHeight="1">
      <c r="A735" t="inlineStr">
        <is>
          <t>A 59315-2021</t>
        </is>
      </c>
      <c r="B735" s="1" t="n">
        <v>44491</v>
      </c>
      <c r="C735" s="1" t="n">
        <v>45648</v>
      </c>
      <c r="D735" t="inlineStr">
        <is>
          <t>JÄMTLANDS LÄN</t>
        </is>
      </c>
      <c r="E735" t="inlineStr">
        <is>
          <t>BRÄCKE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59322-2021</t>
        </is>
      </c>
      <c r="B736" s="1" t="n">
        <v>44491</v>
      </c>
      <c r="C736" s="1" t="n">
        <v>45648</v>
      </c>
      <c r="D736" t="inlineStr">
        <is>
          <t>JÄMTLANDS LÄN</t>
        </is>
      </c>
      <c r="E736" t="inlineStr">
        <is>
          <t>BRÄCKE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59316-2021</t>
        </is>
      </c>
      <c r="B737" s="1" t="n">
        <v>44491</v>
      </c>
      <c r="C737" s="1" t="n">
        <v>45648</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60015-2021</t>
        </is>
      </c>
      <c r="B738" s="1" t="n">
        <v>44495</v>
      </c>
      <c r="C738" s="1" t="n">
        <v>45648</v>
      </c>
      <c r="D738" t="inlineStr">
        <is>
          <t>JÄMTLANDS LÄN</t>
        </is>
      </c>
      <c r="E738" t="inlineStr">
        <is>
          <t>BRÄCKE</t>
        </is>
      </c>
      <c r="G738" t="n">
        <v>18.7</v>
      </c>
      <c r="H738" t="n">
        <v>0</v>
      </c>
      <c r="I738" t="n">
        <v>0</v>
      </c>
      <c r="J738" t="n">
        <v>0</v>
      </c>
      <c r="K738" t="n">
        <v>0</v>
      </c>
      <c r="L738" t="n">
        <v>0</v>
      </c>
      <c r="M738" t="n">
        <v>0</v>
      </c>
      <c r="N738" t="n">
        <v>0</v>
      </c>
      <c r="O738" t="n">
        <v>0</v>
      </c>
      <c r="P738" t="n">
        <v>0</v>
      </c>
      <c r="Q738" t="n">
        <v>0</v>
      </c>
      <c r="R738" s="2" t="inlineStr"/>
    </row>
    <row r="739" ht="15" customHeight="1">
      <c r="A739" t="inlineStr">
        <is>
          <t>A 60325-2021</t>
        </is>
      </c>
      <c r="B739" s="1" t="n">
        <v>44496</v>
      </c>
      <c r="C739" s="1" t="n">
        <v>45648</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61415-2021</t>
        </is>
      </c>
      <c r="B740" s="1" t="n">
        <v>44500</v>
      </c>
      <c r="C740" s="1" t="n">
        <v>45648</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62270-2021</t>
        </is>
      </c>
      <c r="B741" s="1" t="n">
        <v>44503</v>
      </c>
      <c r="C741" s="1" t="n">
        <v>45648</v>
      </c>
      <c r="D741" t="inlineStr">
        <is>
          <t>JÄMTLANDS LÄN</t>
        </is>
      </c>
      <c r="E741" t="inlineStr">
        <is>
          <t>BRÄCKE</t>
        </is>
      </c>
      <c r="G741" t="n">
        <v>6.6</v>
      </c>
      <c r="H741" t="n">
        <v>0</v>
      </c>
      <c r="I741" t="n">
        <v>0</v>
      </c>
      <c r="J741" t="n">
        <v>0</v>
      </c>
      <c r="K741" t="n">
        <v>0</v>
      </c>
      <c r="L741" t="n">
        <v>0</v>
      </c>
      <c r="M741" t="n">
        <v>0</v>
      </c>
      <c r="N741" t="n">
        <v>0</v>
      </c>
      <c r="O741" t="n">
        <v>0</v>
      </c>
      <c r="P741" t="n">
        <v>0</v>
      </c>
      <c r="Q741" t="n">
        <v>0</v>
      </c>
      <c r="R741" s="2" t="inlineStr"/>
    </row>
    <row r="742" ht="15" customHeight="1">
      <c r="A742" t="inlineStr">
        <is>
          <t>A 62249-2021</t>
        </is>
      </c>
      <c r="B742" s="1" t="n">
        <v>44503</v>
      </c>
      <c r="C742" s="1" t="n">
        <v>45648</v>
      </c>
      <c r="D742" t="inlineStr">
        <is>
          <t>JÄMTLANDS LÄN</t>
        </is>
      </c>
      <c r="E742" t="inlineStr">
        <is>
          <t>BRÄCKE</t>
        </is>
      </c>
      <c r="G742" t="n">
        <v>2.9</v>
      </c>
      <c r="H742" t="n">
        <v>0</v>
      </c>
      <c r="I742" t="n">
        <v>0</v>
      </c>
      <c r="J742" t="n">
        <v>0</v>
      </c>
      <c r="K742" t="n">
        <v>0</v>
      </c>
      <c r="L742" t="n">
        <v>0</v>
      </c>
      <c r="M742" t="n">
        <v>0</v>
      </c>
      <c r="N742" t="n">
        <v>0</v>
      </c>
      <c r="O742" t="n">
        <v>0</v>
      </c>
      <c r="P742" t="n">
        <v>0</v>
      </c>
      <c r="Q742" t="n">
        <v>0</v>
      </c>
      <c r="R742" s="2" t="inlineStr"/>
    </row>
    <row r="743" ht="15" customHeight="1">
      <c r="A743" t="inlineStr">
        <is>
          <t>A 62675-2021</t>
        </is>
      </c>
      <c r="B743" s="1" t="n">
        <v>44503</v>
      </c>
      <c r="C743" s="1" t="n">
        <v>45648</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62664-2021</t>
        </is>
      </c>
      <c r="B744" s="1" t="n">
        <v>44503</v>
      </c>
      <c r="C744" s="1" t="n">
        <v>45648</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62674-2021</t>
        </is>
      </c>
      <c r="B745" s="1" t="n">
        <v>44503</v>
      </c>
      <c r="C745" s="1" t="n">
        <v>45648</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62953-2021</t>
        </is>
      </c>
      <c r="B746" s="1" t="n">
        <v>44504</v>
      </c>
      <c r="C746" s="1" t="n">
        <v>45648</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62954-2021</t>
        </is>
      </c>
      <c r="B747" s="1" t="n">
        <v>44504</v>
      </c>
      <c r="C747" s="1" t="n">
        <v>45648</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63346-2021</t>
        </is>
      </c>
      <c r="B748" s="1" t="n">
        <v>44508</v>
      </c>
      <c r="C748" s="1" t="n">
        <v>45648</v>
      </c>
      <c r="D748" t="inlineStr">
        <is>
          <t>JÄMTLANDS LÄN</t>
        </is>
      </c>
      <c r="E748" t="inlineStr">
        <is>
          <t>BRÄCKE</t>
        </is>
      </c>
      <c r="G748" t="n">
        <v>0.9</v>
      </c>
      <c r="H748" t="n">
        <v>0</v>
      </c>
      <c r="I748" t="n">
        <v>0</v>
      </c>
      <c r="J748" t="n">
        <v>0</v>
      </c>
      <c r="K748" t="n">
        <v>0</v>
      </c>
      <c r="L748" t="n">
        <v>0</v>
      </c>
      <c r="M748" t="n">
        <v>0</v>
      </c>
      <c r="N748" t="n">
        <v>0</v>
      </c>
      <c r="O748" t="n">
        <v>0</v>
      </c>
      <c r="P748" t="n">
        <v>0</v>
      </c>
      <c r="Q748" t="n">
        <v>0</v>
      </c>
      <c r="R748" s="2" t="inlineStr"/>
    </row>
    <row r="749" ht="15" customHeight="1">
      <c r="A749" t="inlineStr">
        <is>
          <t>A 63600-2021</t>
        </is>
      </c>
      <c r="B749" s="1" t="n">
        <v>44508</v>
      </c>
      <c r="C749" s="1" t="n">
        <v>45648</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63579-2021</t>
        </is>
      </c>
      <c r="B750" s="1" t="n">
        <v>44508</v>
      </c>
      <c r="C750" s="1" t="n">
        <v>45648</v>
      </c>
      <c r="D750" t="inlineStr">
        <is>
          <t>JÄMTLANDS LÄN</t>
        </is>
      </c>
      <c r="E750" t="inlineStr">
        <is>
          <t>BRÄCKE</t>
        </is>
      </c>
      <c r="G750" t="n">
        <v>1.4</v>
      </c>
      <c r="H750" t="n">
        <v>0</v>
      </c>
      <c r="I750" t="n">
        <v>0</v>
      </c>
      <c r="J750" t="n">
        <v>0</v>
      </c>
      <c r="K750" t="n">
        <v>0</v>
      </c>
      <c r="L750" t="n">
        <v>0</v>
      </c>
      <c r="M750" t="n">
        <v>0</v>
      </c>
      <c r="N750" t="n">
        <v>0</v>
      </c>
      <c r="O750" t="n">
        <v>0</v>
      </c>
      <c r="P750" t="n">
        <v>0</v>
      </c>
      <c r="Q750" t="n">
        <v>0</v>
      </c>
      <c r="R750" s="2" t="inlineStr"/>
    </row>
    <row r="751" ht="15" customHeight="1">
      <c r="A751" t="inlineStr">
        <is>
          <t>A 63534-2021</t>
        </is>
      </c>
      <c r="B751" s="1" t="n">
        <v>44508</v>
      </c>
      <c r="C751" s="1" t="n">
        <v>45648</v>
      </c>
      <c r="D751" t="inlineStr">
        <is>
          <t>JÄMTLANDS LÄN</t>
        </is>
      </c>
      <c r="E751" t="inlineStr">
        <is>
          <t>BRÄCKE</t>
        </is>
      </c>
      <c r="G751" t="n">
        <v>6.6</v>
      </c>
      <c r="H751" t="n">
        <v>0</v>
      </c>
      <c r="I751" t="n">
        <v>0</v>
      </c>
      <c r="J751" t="n">
        <v>0</v>
      </c>
      <c r="K751" t="n">
        <v>0</v>
      </c>
      <c r="L751" t="n">
        <v>0</v>
      </c>
      <c r="M751" t="n">
        <v>0</v>
      </c>
      <c r="N751" t="n">
        <v>0</v>
      </c>
      <c r="O751" t="n">
        <v>0</v>
      </c>
      <c r="P751" t="n">
        <v>0</v>
      </c>
      <c r="Q751" t="n">
        <v>0</v>
      </c>
      <c r="R751" s="2" t="inlineStr"/>
    </row>
    <row r="752" ht="15" customHeight="1">
      <c r="A752" t="inlineStr">
        <is>
          <t>A 63590-2021</t>
        </is>
      </c>
      <c r="B752" s="1" t="n">
        <v>44508</v>
      </c>
      <c r="C752" s="1" t="n">
        <v>45648</v>
      </c>
      <c r="D752" t="inlineStr">
        <is>
          <t>JÄMTLANDS LÄN</t>
        </is>
      </c>
      <c r="E752" t="inlineStr">
        <is>
          <t>BRÄCKE</t>
        </is>
      </c>
      <c r="G752" t="n">
        <v>9.1</v>
      </c>
      <c r="H752" t="n">
        <v>0</v>
      </c>
      <c r="I752" t="n">
        <v>0</v>
      </c>
      <c r="J752" t="n">
        <v>0</v>
      </c>
      <c r="K752" t="n">
        <v>0</v>
      </c>
      <c r="L752" t="n">
        <v>0</v>
      </c>
      <c r="M752" t="n">
        <v>0</v>
      </c>
      <c r="N752" t="n">
        <v>0</v>
      </c>
      <c r="O752" t="n">
        <v>0</v>
      </c>
      <c r="P752" t="n">
        <v>0</v>
      </c>
      <c r="Q752" t="n">
        <v>0</v>
      </c>
      <c r="R752" s="2" t="inlineStr"/>
    </row>
    <row r="753" ht="15" customHeight="1">
      <c r="A753" t="inlineStr">
        <is>
          <t>A 63995-2021</t>
        </is>
      </c>
      <c r="B753" s="1" t="n">
        <v>44509</v>
      </c>
      <c r="C753" s="1" t="n">
        <v>45648</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64002-2021</t>
        </is>
      </c>
      <c r="B754" s="1" t="n">
        <v>44510</v>
      </c>
      <c r="C754" s="1" t="n">
        <v>45648</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64721-2021</t>
        </is>
      </c>
      <c r="B755" s="1" t="n">
        <v>44512</v>
      </c>
      <c r="C755" s="1" t="n">
        <v>45648</v>
      </c>
      <c r="D755" t="inlineStr">
        <is>
          <t>JÄMTLANDS LÄN</t>
        </is>
      </c>
      <c r="E755" t="inlineStr">
        <is>
          <t>BRÄCKE</t>
        </is>
      </c>
      <c r="G755" t="n">
        <v>8</v>
      </c>
      <c r="H755" t="n">
        <v>0</v>
      </c>
      <c r="I755" t="n">
        <v>0</v>
      </c>
      <c r="J755" t="n">
        <v>0</v>
      </c>
      <c r="K755" t="n">
        <v>0</v>
      </c>
      <c r="L755" t="n">
        <v>0</v>
      </c>
      <c r="M755" t="n">
        <v>0</v>
      </c>
      <c r="N755" t="n">
        <v>0</v>
      </c>
      <c r="O755" t="n">
        <v>0</v>
      </c>
      <c r="P755" t="n">
        <v>0</v>
      </c>
      <c r="Q755" t="n">
        <v>0</v>
      </c>
      <c r="R755" s="2" t="inlineStr"/>
    </row>
    <row r="756" ht="15" customHeight="1">
      <c r="A756" t="inlineStr">
        <is>
          <t>A 65433-2021</t>
        </is>
      </c>
      <c r="B756" s="1" t="n">
        <v>44515</v>
      </c>
      <c r="C756" s="1" t="n">
        <v>45648</v>
      </c>
      <c r="D756" t="inlineStr">
        <is>
          <t>JÄMTLANDS LÄN</t>
        </is>
      </c>
      <c r="E756" t="inlineStr">
        <is>
          <t>BRÄCKE</t>
        </is>
      </c>
      <c r="G756" t="n">
        <v>2.2</v>
      </c>
      <c r="H756" t="n">
        <v>0</v>
      </c>
      <c r="I756" t="n">
        <v>0</v>
      </c>
      <c r="J756" t="n">
        <v>0</v>
      </c>
      <c r="K756" t="n">
        <v>0</v>
      </c>
      <c r="L756" t="n">
        <v>0</v>
      </c>
      <c r="M756" t="n">
        <v>0</v>
      </c>
      <c r="N756" t="n">
        <v>0</v>
      </c>
      <c r="O756" t="n">
        <v>0</v>
      </c>
      <c r="P756" t="n">
        <v>0</v>
      </c>
      <c r="Q756" t="n">
        <v>0</v>
      </c>
      <c r="R756" s="2" t="inlineStr"/>
    </row>
    <row r="757" ht="15" customHeight="1">
      <c r="A757" t="inlineStr">
        <is>
          <t>A 66177-2021</t>
        </is>
      </c>
      <c r="B757" s="1" t="n">
        <v>44517</v>
      </c>
      <c r="C757" s="1" t="n">
        <v>45648</v>
      </c>
      <c r="D757" t="inlineStr">
        <is>
          <t>JÄMTLANDS LÄN</t>
        </is>
      </c>
      <c r="E757" t="inlineStr">
        <is>
          <t>BRÄCKE</t>
        </is>
      </c>
      <c r="G757" t="n">
        <v>24.8</v>
      </c>
      <c r="H757" t="n">
        <v>0</v>
      </c>
      <c r="I757" t="n">
        <v>0</v>
      </c>
      <c r="J757" t="n">
        <v>0</v>
      </c>
      <c r="K757" t="n">
        <v>0</v>
      </c>
      <c r="L757" t="n">
        <v>0</v>
      </c>
      <c r="M757" t="n">
        <v>0</v>
      </c>
      <c r="N757" t="n">
        <v>0</v>
      </c>
      <c r="O757" t="n">
        <v>0</v>
      </c>
      <c r="P757" t="n">
        <v>0</v>
      </c>
      <c r="Q757" t="n">
        <v>0</v>
      </c>
      <c r="R757" s="2" t="inlineStr"/>
    </row>
    <row r="758" ht="15" customHeight="1">
      <c r="A758" t="inlineStr">
        <is>
          <t>A 66285-2021</t>
        </is>
      </c>
      <c r="B758" s="1" t="n">
        <v>44518</v>
      </c>
      <c r="C758" s="1" t="n">
        <v>45648</v>
      </c>
      <c r="D758" t="inlineStr">
        <is>
          <t>JÄMTLANDS LÄN</t>
        </is>
      </c>
      <c r="E758" t="inlineStr">
        <is>
          <t>BRÄCKE</t>
        </is>
      </c>
      <c r="G758" t="n">
        <v>11.9</v>
      </c>
      <c r="H758" t="n">
        <v>0</v>
      </c>
      <c r="I758" t="n">
        <v>0</v>
      </c>
      <c r="J758" t="n">
        <v>0</v>
      </c>
      <c r="K758" t="n">
        <v>0</v>
      </c>
      <c r="L758" t="n">
        <v>0</v>
      </c>
      <c r="M758" t="n">
        <v>0</v>
      </c>
      <c r="N758" t="n">
        <v>0</v>
      </c>
      <c r="O758" t="n">
        <v>0</v>
      </c>
      <c r="P758" t="n">
        <v>0</v>
      </c>
      <c r="Q758" t="n">
        <v>0</v>
      </c>
      <c r="R758" s="2" t="inlineStr"/>
    </row>
    <row r="759" ht="15" customHeight="1">
      <c r="A759" t="inlineStr">
        <is>
          <t>A 67343-2021</t>
        </is>
      </c>
      <c r="B759" s="1" t="n">
        <v>44523</v>
      </c>
      <c r="C759" s="1" t="n">
        <v>45648</v>
      </c>
      <c r="D759" t="inlineStr">
        <is>
          <t>JÄMTLANDS LÄN</t>
        </is>
      </c>
      <c r="E759" t="inlineStr">
        <is>
          <t>BRÄCKE</t>
        </is>
      </c>
      <c r="G759" t="n">
        <v>4.4</v>
      </c>
      <c r="H759" t="n">
        <v>0</v>
      </c>
      <c r="I759" t="n">
        <v>0</v>
      </c>
      <c r="J759" t="n">
        <v>0</v>
      </c>
      <c r="K759" t="n">
        <v>0</v>
      </c>
      <c r="L759" t="n">
        <v>0</v>
      </c>
      <c r="M759" t="n">
        <v>0</v>
      </c>
      <c r="N759" t="n">
        <v>0</v>
      </c>
      <c r="O759" t="n">
        <v>0</v>
      </c>
      <c r="P759" t="n">
        <v>0</v>
      </c>
      <c r="Q759" t="n">
        <v>0</v>
      </c>
      <c r="R759" s="2" t="inlineStr"/>
    </row>
    <row r="760" ht="15" customHeight="1">
      <c r="A760" t="inlineStr">
        <is>
          <t>A 67687-2021</t>
        </is>
      </c>
      <c r="B760" s="1" t="n">
        <v>44524</v>
      </c>
      <c r="C760" s="1" t="n">
        <v>45648</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68319-2021</t>
        </is>
      </c>
      <c r="B761" s="1" t="n">
        <v>44526</v>
      </c>
      <c r="C761" s="1" t="n">
        <v>45648</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68901-2021</t>
        </is>
      </c>
      <c r="B762" s="1" t="n">
        <v>44526</v>
      </c>
      <c r="C762" s="1" t="n">
        <v>45648</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68769-2021</t>
        </is>
      </c>
      <c r="B763" s="1" t="n">
        <v>44529</v>
      </c>
      <c r="C763" s="1" t="n">
        <v>45648</v>
      </c>
      <c r="D763" t="inlineStr">
        <is>
          <t>JÄMTLANDS LÄN</t>
        </is>
      </c>
      <c r="E763" t="inlineStr">
        <is>
          <t>BRÄCKE</t>
        </is>
      </c>
      <c r="G763" t="n">
        <v>2.3</v>
      </c>
      <c r="H763" t="n">
        <v>0</v>
      </c>
      <c r="I763" t="n">
        <v>0</v>
      </c>
      <c r="J763" t="n">
        <v>0</v>
      </c>
      <c r="K763" t="n">
        <v>0</v>
      </c>
      <c r="L763" t="n">
        <v>0</v>
      </c>
      <c r="M763" t="n">
        <v>0</v>
      </c>
      <c r="N763" t="n">
        <v>0</v>
      </c>
      <c r="O763" t="n">
        <v>0</v>
      </c>
      <c r="P763" t="n">
        <v>0</v>
      </c>
      <c r="Q763" t="n">
        <v>0</v>
      </c>
      <c r="R763" s="2" t="inlineStr"/>
    </row>
    <row r="764" ht="15" customHeight="1">
      <c r="A764" t="inlineStr">
        <is>
          <t>A 68763-2021</t>
        </is>
      </c>
      <c r="B764" s="1" t="n">
        <v>44529</v>
      </c>
      <c r="C764" s="1" t="n">
        <v>45648</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68765-2021</t>
        </is>
      </c>
      <c r="B765" s="1" t="n">
        <v>44529</v>
      </c>
      <c r="C765" s="1" t="n">
        <v>45648</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69155-2021</t>
        </is>
      </c>
      <c r="B766" s="1" t="n">
        <v>44530</v>
      </c>
      <c r="C766" s="1" t="n">
        <v>45648</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69550-2021</t>
        </is>
      </c>
      <c r="B767" s="1" t="n">
        <v>44531</v>
      </c>
      <c r="C767" s="1" t="n">
        <v>45648</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69549-2021</t>
        </is>
      </c>
      <c r="B768" s="1" t="n">
        <v>44531</v>
      </c>
      <c r="C768" s="1" t="n">
        <v>45648</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70812-2021</t>
        </is>
      </c>
      <c r="B769" s="1" t="n">
        <v>44537</v>
      </c>
      <c r="C769" s="1" t="n">
        <v>45648</v>
      </c>
      <c r="D769" t="inlineStr">
        <is>
          <t>JÄMTLANDS LÄN</t>
        </is>
      </c>
      <c r="E769" t="inlineStr">
        <is>
          <t>BRÄCKE</t>
        </is>
      </c>
      <c r="G769" t="n">
        <v>3.4</v>
      </c>
      <c r="H769" t="n">
        <v>0</v>
      </c>
      <c r="I769" t="n">
        <v>0</v>
      </c>
      <c r="J769" t="n">
        <v>0</v>
      </c>
      <c r="K769" t="n">
        <v>0</v>
      </c>
      <c r="L769" t="n">
        <v>0</v>
      </c>
      <c r="M769" t="n">
        <v>0</v>
      </c>
      <c r="N769" t="n">
        <v>0</v>
      </c>
      <c r="O769" t="n">
        <v>0</v>
      </c>
      <c r="P769" t="n">
        <v>0</v>
      </c>
      <c r="Q769" t="n">
        <v>0</v>
      </c>
      <c r="R769" s="2" t="inlineStr"/>
    </row>
    <row r="770" ht="15" customHeight="1">
      <c r="A770" t="inlineStr">
        <is>
          <t>A 70807-2021</t>
        </is>
      </c>
      <c r="B770" s="1" t="n">
        <v>44537</v>
      </c>
      <c r="C770" s="1" t="n">
        <v>45648</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70813-2021</t>
        </is>
      </c>
      <c r="B771" s="1" t="n">
        <v>44537</v>
      </c>
      <c r="C771" s="1" t="n">
        <v>45648</v>
      </c>
      <c r="D771" t="inlineStr">
        <is>
          <t>JÄMTLANDS LÄN</t>
        </is>
      </c>
      <c r="E771" t="inlineStr">
        <is>
          <t>BRÄCKE</t>
        </is>
      </c>
      <c r="G771" t="n">
        <v>5.2</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45648</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72044-2021</t>
        </is>
      </c>
      <c r="B773" s="1" t="n">
        <v>44540</v>
      </c>
      <c r="C773" s="1" t="n">
        <v>45648</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72757-2021</t>
        </is>
      </c>
      <c r="B774" s="1" t="n">
        <v>44546</v>
      </c>
      <c r="C774" s="1" t="n">
        <v>45648</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72750-2021</t>
        </is>
      </c>
      <c r="B775" s="1" t="n">
        <v>44546</v>
      </c>
      <c r="C775" s="1" t="n">
        <v>45648</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72754-2021</t>
        </is>
      </c>
      <c r="B776" s="1" t="n">
        <v>44546</v>
      </c>
      <c r="C776" s="1" t="n">
        <v>45648</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72758-2021</t>
        </is>
      </c>
      <c r="B777" s="1" t="n">
        <v>44546</v>
      </c>
      <c r="C777" s="1" t="n">
        <v>45648</v>
      </c>
      <c r="D777" t="inlineStr">
        <is>
          <t>JÄMTLANDS LÄN</t>
        </is>
      </c>
      <c r="E777" t="inlineStr">
        <is>
          <t>BRÄCKE</t>
        </is>
      </c>
      <c r="G777" t="n">
        <v>3.4</v>
      </c>
      <c r="H777" t="n">
        <v>0</v>
      </c>
      <c r="I777" t="n">
        <v>0</v>
      </c>
      <c r="J777" t="n">
        <v>0</v>
      </c>
      <c r="K777" t="n">
        <v>0</v>
      </c>
      <c r="L777" t="n">
        <v>0</v>
      </c>
      <c r="M777" t="n">
        <v>0</v>
      </c>
      <c r="N777" t="n">
        <v>0</v>
      </c>
      <c r="O777" t="n">
        <v>0</v>
      </c>
      <c r="P777" t="n">
        <v>0</v>
      </c>
      <c r="Q777" t="n">
        <v>0</v>
      </c>
      <c r="R777" s="2" t="inlineStr"/>
    </row>
    <row r="778" ht="15" customHeight="1">
      <c r="A778" t="inlineStr">
        <is>
          <t>A 73106-2021</t>
        </is>
      </c>
      <c r="B778" s="1" t="n">
        <v>44550</v>
      </c>
      <c r="C778" s="1" t="n">
        <v>45648</v>
      </c>
      <c r="D778" t="inlineStr">
        <is>
          <t>JÄMTLANDS LÄN</t>
        </is>
      </c>
      <c r="E778" t="inlineStr">
        <is>
          <t>BRÄCKE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73109-2021</t>
        </is>
      </c>
      <c r="B779" s="1" t="n">
        <v>44550</v>
      </c>
      <c r="C779" s="1" t="n">
        <v>45648</v>
      </c>
      <c r="D779" t="inlineStr">
        <is>
          <t>JÄMTLANDS LÄN</t>
        </is>
      </c>
      <c r="E779" t="inlineStr">
        <is>
          <t>BRÄCKE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73102-2021</t>
        </is>
      </c>
      <c r="B780" s="1" t="n">
        <v>44550</v>
      </c>
      <c r="C780" s="1" t="n">
        <v>45648</v>
      </c>
      <c r="D780" t="inlineStr">
        <is>
          <t>JÄMTLANDS LÄN</t>
        </is>
      </c>
      <c r="E780" t="inlineStr">
        <is>
          <t>BRÄCKE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73281-2021</t>
        </is>
      </c>
      <c r="B781" s="1" t="n">
        <v>44550</v>
      </c>
      <c r="C781" s="1" t="n">
        <v>45648</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73280-2021</t>
        </is>
      </c>
      <c r="B782" s="1" t="n">
        <v>44550</v>
      </c>
      <c r="C782" s="1" t="n">
        <v>45648</v>
      </c>
      <c r="D782" t="inlineStr">
        <is>
          <t>JÄMTLANDS LÄN</t>
        </is>
      </c>
      <c r="E782" t="inlineStr">
        <is>
          <t>BRÄCKE</t>
        </is>
      </c>
      <c r="G782" t="n">
        <v>2.5</v>
      </c>
      <c r="H782" t="n">
        <v>0</v>
      </c>
      <c r="I782" t="n">
        <v>0</v>
      </c>
      <c r="J782" t="n">
        <v>0</v>
      </c>
      <c r="K782" t="n">
        <v>0</v>
      </c>
      <c r="L782" t="n">
        <v>0</v>
      </c>
      <c r="M782" t="n">
        <v>0</v>
      </c>
      <c r="N782" t="n">
        <v>0</v>
      </c>
      <c r="O782" t="n">
        <v>0</v>
      </c>
      <c r="P782" t="n">
        <v>0</v>
      </c>
      <c r="Q782" t="n">
        <v>0</v>
      </c>
      <c r="R782" s="2" t="inlineStr"/>
    </row>
    <row r="783" ht="15" customHeight="1">
      <c r="A783" t="inlineStr">
        <is>
          <t>A 1087-2022</t>
        </is>
      </c>
      <c r="B783" s="1" t="n">
        <v>44571</v>
      </c>
      <c r="C783" s="1" t="n">
        <v>45648</v>
      </c>
      <c r="D783" t="inlineStr">
        <is>
          <t>JÄMTLANDS LÄN</t>
        </is>
      </c>
      <c r="E783" t="inlineStr">
        <is>
          <t>BRÄCKE</t>
        </is>
      </c>
      <c r="G783" t="n">
        <v>3.7</v>
      </c>
      <c r="H783" t="n">
        <v>0</v>
      </c>
      <c r="I783" t="n">
        <v>0</v>
      </c>
      <c r="J783" t="n">
        <v>0</v>
      </c>
      <c r="K783" t="n">
        <v>0</v>
      </c>
      <c r="L783" t="n">
        <v>0</v>
      </c>
      <c r="M783" t="n">
        <v>0</v>
      </c>
      <c r="N783" t="n">
        <v>0</v>
      </c>
      <c r="O783" t="n">
        <v>0</v>
      </c>
      <c r="P783" t="n">
        <v>0</v>
      </c>
      <c r="Q783" t="n">
        <v>0</v>
      </c>
      <c r="R783" s="2" t="inlineStr"/>
    </row>
    <row r="784" ht="15" customHeight="1">
      <c r="A784" t="inlineStr">
        <is>
          <t>A 1201-2022</t>
        </is>
      </c>
      <c r="B784" s="1" t="n">
        <v>44572</v>
      </c>
      <c r="C784" s="1" t="n">
        <v>45648</v>
      </c>
      <c r="D784" t="inlineStr">
        <is>
          <t>JÄMTLANDS LÄN</t>
        </is>
      </c>
      <c r="E784" t="inlineStr">
        <is>
          <t>BRÄCKE</t>
        </is>
      </c>
      <c r="G784" t="n">
        <v>13.7</v>
      </c>
      <c r="H784" t="n">
        <v>0</v>
      </c>
      <c r="I784" t="n">
        <v>0</v>
      </c>
      <c r="J784" t="n">
        <v>0</v>
      </c>
      <c r="K784" t="n">
        <v>0</v>
      </c>
      <c r="L784" t="n">
        <v>0</v>
      </c>
      <c r="M784" t="n">
        <v>0</v>
      </c>
      <c r="N784" t="n">
        <v>0</v>
      </c>
      <c r="O784" t="n">
        <v>0</v>
      </c>
      <c r="P784" t="n">
        <v>0</v>
      </c>
      <c r="Q784" t="n">
        <v>0</v>
      </c>
      <c r="R784" s="2" t="inlineStr"/>
    </row>
    <row r="785" ht="15" customHeight="1">
      <c r="A785" t="inlineStr">
        <is>
          <t>A 1340-2022</t>
        </is>
      </c>
      <c r="B785" s="1" t="n">
        <v>44572</v>
      </c>
      <c r="C785" s="1" t="n">
        <v>45648</v>
      </c>
      <c r="D785" t="inlineStr">
        <is>
          <t>JÄMTLANDS LÄN</t>
        </is>
      </c>
      <c r="E785" t="inlineStr">
        <is>
          <t>BRÄCKE</t>
        </is>
      </c>
      <c r="F785" t="inlineStr">
        <is>
          <t>SCA</t>
        </is>
      </c>
      <c r="G785" t="n">
        <v>23.7</v>
      </c>
      <c r="H785" t="n">
        <v>0</v>
      </c>
      <c r="I785" t="n">
        <v>0</v>
      </c>
      <c r="J785" t="n">
        <v>0</v>
      </c>
      <c r="K785" t="n">
        <v>0</v>
      </c>
      <c r="L785" t="n">
        <v>0</v>
      </c>
      <c r="M785" t="n">
        <v>0</v>
      </c>
      <c r="N785" t="n">
        <v>0</v>
      </c>
      <c r="O785" t="n">
        <v>0</v>
      </c>
      <c r="P785" t="n">
        <v>0</v>
      </c>
      <c r="Q785" t="n">
        <v>0</v>
      </c>
      <c r="R785" s="2" t="inlineStr"/>
    </row>
    <row r="786" ht="15" customHeight="1">
      <c r="A786" t="inlineStr">
        <is>
          <t>A 1865-2022</t>
        </is>
      </c>
      <c r="B786" s="1" t="n">
        <v>44574</v>
      </c>
      <c r="C786" s="1" t="n">
        <v>45648</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1863-2022</t>
        </is>
      </c>
      <c r="B787" s="1" t="n">
        <v>44574</v>
      </c>
      <c r="C787" s="1" t="n">
        <v>45648</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1866-2022</t>
        </is>
      </c>
      <c r="B788" s="1" t="n">
        <v>44574</v>
      </c>
      <c r="C788" s="1" t="n">
        <v>45648</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1864-2022</t>
        </is>
      </c>
      <c r="B789" s="1" t="n">
        <v>44574</v>
      </c>
      <c r="C789" s="1" t="n">
        <v>45648</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2035-2022</t>
        </is>
      </c>
      <c r="B790" s="1" t="n">
        <v>44575</v>
      </c>
      <c r="C790" s="1" t="n">
        <v>45648</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2645-2022</t>
        </is>
      </c>
      <c r="B791" s="1" t="n">
        <v>44580</v>
      </c>
      <c r="C791" s="1" t="n">
        <v>45648</v>
      </c>
      <c r="D791" t="inlineStr">
        <is>
          <t>JÄMTLANDS LÄN</t>
        </is>
      </c>
      <c r="E791" t="inlineStr">
        <is>
          <t>BRÄCKE</t>
        </is>
      </c>
      <c r="G791" t="n">
        <v>2.9</v>
      </c>
      <c r="H791" t="n">
        <v>0</v>
      </c>
      <c r="I791" t="n">
        <v>0</v>
      </c>
      <c r="J791" t="n">
        <v>0</v>
      </c>
      <c r="K791" t="n">
        <v>0</v>
      </c>
      <c r="L791" t="n">
        <v>0</v>
      </c>
      <c r="M791" t="n">
        <v>0</v>
      </c>
      <c r="N791" t="n">
        <v>0</v>
      </c>
      <c r="O791" t="n">
        <v>0</v>
      </c>
      <c r="P791" t="n">
        <v>0</v>
      </c>
      <c r="Q791" t="n">
        <v>0</v>
      </c>
      <c r="R791" s="2" t="inlineStr"/>
    </row>
    <row r="792" ht="15" customHeight="1">
      <c r="A792" t="inlineStr">
        <is>
          <t>A 3239-2022</t>
        </is>
      </c>
      <c r="B792" s="1" t="n">
        <v>44582</v>
      </c>
      <c r="C792" s="1" t="n">
        <v>45648</v>
      </c>
      <c r="D792" t="inlineStr">
        <is>
          <t>JÄMTLANDS LÄN</t>
        </is>
      </c>
      <c r="E792" t="inlineStr">
        <is>
          <t>BRÄCKE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3224-2022</t>
        </is>
      </c>
      <c r="B793" s="1" t="n">
        <v>44582</v>
      </c>
      <c r="C793" s="1" t="n">
        <v>45648</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3694-2022</t>
        </is>
      </c>
      <c r="B794" s="1" t="n">
        <v>44586</v>
      </c>
      <c r="C794" s="1" t="n">
        <v>45648</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3947-2022</t>
        </is>
      </c>
      <c r="B795" s="1" t="n">
        <v>44587</v>
      </c>
      <c r="C795" s="1" t="n">
        <v>45648</v>
      </c>
      <c r="D795" t="inlineStr">
        <is>
          <t>JÄMTLANDS LÄN</t>
        </is>
      </c>
      <c r="E795" t="inlineStr">
        <is>
          <t>BRÄCKE</t>
        </is>
      </c>
      <c r="G795" t="n">
        <v>0.4</v>
      </c>
      <c r="H795" t="n">
        <v>0</v>
      </c>
      <c r="I795" t="n">
        <v>0</v>
      </c>
      <c r="J795" t="n">
        <v>0</v>
      </c>
      <c r="K795" t="n">
        <v>0</v>
      </c>
      <c r="L795" t="n">
        <v>0</v>
      </c>
      <c r="M795" t="n">
        <v>0</v>
      </c>
      <c r="N795" t="n">
        <v>0</v>
      </c>
      <c r="O795" t="n">
        <v>0</v>
      </c>
      <c r="P795" t="n">
        <v>0</v>
      </c>
      <c r="Q795" t="n">
        <v>0</v>
      </c>
      <c r="R795" s="2" t="inlineStr"/>
    </row>
    <row r="796" ht="15" customHeight="1">
      <c r="A796" t="inlineStr">
        <is>
          <t>A 4338-2022</t>
        </is>
      </c>
      <c r="B796" s="1" t="n">
        <v>44588</v>
      </c>
      <c r="C796" s="1" t="n">
        <v>45648</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4542-2022</t>
        </is>
      </c>
      <c r="B797" s="1" t="n">
        <v>44590</v>
      </c>
      <c r="C797" s="1" t="n">
        <v>45648</v>
      </c>
      <c r="D797" t="inlineStr">
        <is>
          <t>JÄMTLANDS LÄN</t>
        </is>
      </c>
      <c r="E797" t="inlineStr">
        <is>
          <t>BRÄCKE</t>
        </is>
      </c>
      <c r="G797" t="n">
        <v>18.5</v>
      </c>
      <c r="H797" t="n">
        <v>0</v>
      </c>
      <c r="I797" t="n">
        <v>0</v>
      </c>
      <c r="J797" t="n">
        <v>0</v>
      </c>
      <c r="K797" t="n">
        <v>0</v>
      </c>
      <c r="L797" t="n">
        <v>0</v>
      </c>
      <c r="M797" t="n">
        <v>0</v>
      </c>
      <c r="N797" t="n">
        <v>0</v>
      </c>
      <c r="O797" t="n">
        <v>0</v>
      </c>
      <c r="P797" t="n">
        <v>0</v>
      </c>
      <c r="Q797" t="n">
        <v>0</v>
      </c>
      <c r="R797" s="2" t="inlineStr"/>
    </row>
    <row r="798" ht="15" customHeight="1">
      <c r="A798" t="inlineStr">
        <is>
          <t>A 4635-2022</t>
        </is>
      </c>
      <c r="B798" s="1" t="n">
        <v>44592</v>
      </c>
      <c r="C798" s="1" t="n">
        <v>45648</v>
      </c>
      <c r="D798" t="inlineStr">
        <is>
          <t>JÄMTLANDS LÄN</t>
        </is>
      </c>
      <c r="E798" t="inlineStr">
        <is>
          <t>BRÄCKE</t>
        </is>
      </c>
      <c r="G798" t="n">
        <v>3.7</v>
      </c>
      <c r="H798" t="n">
        <v>0</v>
      </c>
      <c r="I798" t="n">
        <v>0</v>
      </c>
      <c r="J798" t="n">
        <v>0</v>
      </c>
      <c r="K798" t="n">
        <v>0</v>
      </c>
      <c r="L798" t="n">
        <v>0</v>
      </c>
      <c r="M798" t="n">
        <v>0</v>
      </c>
      <c r="N798" t="n">
        <v>0</v>
      </c>
      <c r="O798" t="n">
        <v>0</v>
      </c>
      <c r="P798" t="n">
        <v>0</v>
      </c>
      <c r="Q798" t="n">
        <v>0</v>
      </c>
      <c r="R798" s="2" t="inlineStr"/>
    </row>
    <row r="799" ht="15" customHeight="1">
      <c r="A799" t="inlineStr">
        <is>
          <t>A 4850-2022</t>
        </is>
      </c>
      <c r="B799" s="1" t="n">
        <v>44592</v>
      </c>
      <c r="C799" s="1" t="n">
        <v>45648</v>
      </c>
      <c r="D799" t="inlineStr">
        <is>
          <t>JÄMTLANDS LÄN</t>
        </is>
      </c>
      <c r="E799" t="inlineStr">
        <is>
          <t>BRÄCKE</t>
        </is>
      </c>
      <c r="G799" t="n">
        <v>7.6</v>
      </c>
      <c r="H799" t="n">
        <v>0</v>
      </c>
      <c r="I799" t="n">
        <v>0</v>
      </c>
      <c r="J799" t="n">
        <v>0</v>
      </c>
      <c r="K799" t="n">
        <v>0</v>
      </c>
      <c r="L799" t="n">
        <v>0</v>
      </c>
      <c r="M799" t="n">
        <v>0</v>
      </c>
      <c r="N799" t="n">
        <v>0</v>
      </c>
      <c r="O799" t="n">
        <v>0</v>
      </c>
      <c r="P799" t="n">
        <v>0</v>
      </c>
      <c r="Q799" t="n">
        <v>0</v>
      </c>
      <c r="R799" s="2" t="inlineStr"/>
    </row>
    <row r="800" ht="15" customHeight="1">
      <c r="A800" t="inlineStr">
        <is>
          <t>A 5377-2022</t>
        </is>
      </c>
      <c r="B800" s="1" t="n">
        <v>44594</v>
      </c>
      <c r="C800" s="1" t="n">
        <v>45648</v>
      </c>
      <c r="D800" t="inlineStr">
        <is>
          <t>JÄMTLANDS LÄN</t>
        </is>
      </c>
      <c r="E800" t="inlineStr">
        <is>
          <t>BRÄCKE</t>
        </is>
      </c>
      <c r="G800" t="n">
        <v>40.3</v>
      </c>
      <c r="H800" t="n">
        <v>0</v>
      </c>
      <c r="I800" t="n">
        <v>0</v>
      </c>
      <c r="J800" t="n">
        <v>0</v>
      </c>
      <c r="K800" t="n">
        <v>0</v>
      </c>
      <c r="L800" t="n">
        <v>0</v>
      </c>
      <c r="M800" t="n">
        <v>0</v>
      </c>
      <c r="N800" t="n">
        <v>0</v>
      </c>
      <c r="O800" t="n">
        <v>0</v>
      </c>
      <c r="P800" t="n">
        <v>0</v>
      </c>
      <c r="Q800" t="n">
        <v>0</v>
      </c>
      <c r="R800" s="2" t="inlineStr"/>
    </row>
    <row r="801" ht="15" customHeight="1">
      <c r="A801" t="inlineStr">
        <is>
          <t>A 5380-2022</t>
        </is>
      </c>
      <c r="B801" s="1" t="n">
        <v>44594</v>
      </c>
      <c r="C801" s="1" t="n">
        <v>45648</v>
      </c>
      <c r="D801" t="inlineStr">
        <is>
          <t>JÄMTLANDS LÄN</t>
        </is>
      </c>
      <c r="E801" t="inlineStr">
        <is>
          <t>BRÄCKE</t>
        </is>
      </c>
      <c r="F801" t="inlineStr">
        <is>
          <t>SCA</t>
        </is>
      </c>
      <c r="G801" t="n">
        <v>18.3</v>
      </c>
      <c r="H801" t="n">
        <v>0</v>
      </c>
      <c r="I801" t="n">
        <v>0</v>
      </c>
      <c r="J801" t="n">
        <v>0</v>
      </c>
      <c r="K801" t="n">
        <v>0</v>
      </c>
      <c r="L801" t="n">
        <v>0</v>
      </c>
      <c r="M801" t="n">
        <v>0</v>
      </c>
      <c r="N801" t="n">
        <v>0</v>
      </c>
      <c r="O801" t="n">
        <v>0</v>
      </c>
      <c r="P801" t="n">
        <v>0</v>
      </c>
      <c r="Q801" t="n">
        <v>0</v>
      </c>
      <c r="R801" s="2" t="inlineStr"/>
      <c r="U801">
        <f>HYPERLINK("https://klasma.github.io/Logging_2305/knärot/A 5380-2022 karta knärot.png", "A 5380-2022")</f>
        <v/>
      </c>
      <c r="V801">
        <f>HYPERLINK("https://klasma.github.io/Logging_2305/klagomål/A 5380-2022 FSC-klagomål.docx", "A 5380-2022")</f>
        <v/>
      </c>
      <c r="W801">
        <f>HYPERLINK("https://klasma.github.io/Logging_2305/klagomålsmail/A 5380-2022 FSC-klagomål mail.docx", "A 5380-2022")</f>
        <v/>
      </c>
      <c r="X801">
        <f>HYPERLINK("https://klasma.github.io/Logging_2305/tillsyn/A 5380-2022 tillsynsbegäran.docx", "A 5380-2022")</f>
        <v/>
      </c>
      <c r="Y801">
        <f>HYPERLINK("https://klasma.github.io/Logging_2305/tillsynsmail/A 5380-2022 tillsynsbegäran mail.docx", "A 5380-2022")</f>
        <v/>
      </c>
    </row>
    <row r="802" ht="15" customHeight="1">
      <c r="A802" t="inlineStr">
        <is>
          <t>A 5378-2022</t>
        </is>
      </c>
      <c r="B802" s="1" t="n">
        <v>44594</v>
      </c>
      <c r="C802" s="1" t="n">
        <v>45648</v>
      </c>
      <c r="D802" t="inlineStr">
        <is>
          <t>JÄMTLANDS LÄN</t>
        </is>
      </c>
      <c r="E802" t="inlineStr">
        <is>
          <t>BRÄCKE</t>
        </is>
      </c>
      <c r="G802" t="n">
        <v>4.6</v>
      </c>
      <c r="H802" t="n">
        <v>0</v>
      </c>
      <c r="I802" t="n">
        <v>0</v>
      </c>
      <c r="J802" t="n">
        <v>0</v>
      </c>
      <c r="K802" t="n">
        <v>0</v>
      </c>
      <c r="L802" t="n">
        <v>0</v>
      </c>
      <c r="M802" t="n">
        <v>0</v>
      </c>
      <c r="N802" t="n">
        <v>0</v>
      </c>
      <c r="O802" t="n">
        <v>0</v>
      </c>
      <c r="P802" t="n">
        <v>0</v>
      </c>
      <c r="Q802" t="n">
        <v>0</v>
      </c>
      <c r="R802" s="2" t="inlineStr"/>
    </row>
    <row r="803" ht="15" customHeight="1">
      <c r="A803" t="inlineStr">
        <is>
          <t>A 6460-2022</t>
        </is>
      </c>
      <c r="B803" s="1" t="n">
        <v>44601</v>
      </c>
      <c r="C803" s="1" t="n">
        <v>45648</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6461-2022</t>
        </is>
      </c>
      <c r="B804" s="1" t="n">
        <v>44601</v>
      </c>
      <c r="C804" s="1" t="n">
        <v>45648</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6648-2022</t>
        </is>
      </c>
      <c r="B805" s="1" t="n">
        <v>44601</v>
      </c>
      <c r="C805" s="1" t="n">
        <v>45648</v>
      </c>
      <c r="D805" t="inlineStr">
        <is>
          <t>JÄMTLANDS LÄN</t>
        </is>
      </c>
      <c r="E805" t="inlineStr">
        <is>
          <t>BRÄCKE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7027-2022</t>
        </is>
      </c>
      <c r="B806" s="1" t="n">
        <v>44603</v>
      </c>
      <c r="C806" s="1" t="n">
        <v>45648</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8052-2022</t>
        </is>
      </c>
      <c r="B807" s="1" t="n">
        <v>44609</v>
      </c>
      <c r="C807" s="1" t="n">
        <v>45648</v>
      </c>
      <c r="D807" t="inlineStr">
        <is>
          <t>JÄMTLANDS LÄN</t>
        </is>
      </c>
      <c r="E807" t="inlineStr">
        <is>
          <t>BRÄCKE</t>
        </is>
      </c>
      <c r="G807" t="n">
        <v>0.6</v>
      </c>
      <c r="H807" t="n">
        <v>0</v>
      </c>
      <c r="I807" t="n">
        <v>0</v>
      </c>
      <c r="J807" t="n">
        <v>0</v>
      </c>
      <c r="K807" t="n">
        <v>0</v>
      </c>
      <c r="L807" t="n">
        <v>0</v>
      </c>
      <c r="M807" t="n">
        <v>0</v>
      </c>
      <c r="N807" t="n">
        <v>0</v>
      </c>
      <c r="O807" t="n">
        <v>0</v>
      </c>
      <c r="P807" t="n">
        <v>0</v>
      </c>
      <c r="Q807" t="n">
        <v>0</v>
      </c>
      <c r="R807" s="2" t="inlineStr"/>
    </row>
    <row r="808" ht="15" customHeight="1">
      <c r="A808" t="inlineStr">
        <is>
          <t>A 8422-2022</t>
        </is>
      </c>
      <c r="B808" s="1" t="n">
        <v>44610</v>
      </c>
      <c r="C808" s="1" t="n">
        <v>45648</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10130-2022</t>
        </is>
      </c>
      <c r="B809" s="1" t="n">
        <v>44621</v>
      </c>
      <c r="C809" s="1" t="n">
        <v>45648</v>
      </c>
      <c r="D809" t="inlineStr">
        <is>
          <t>JÄMTLANDS LÄN</t>
        </is>
      </c>
      <c r="E809" t="inlineStr">
        <is>
          <t>BRÄCKE</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10129-2022</t>
        </is>
      </c>
      <c r="B810" s="1" t="n">
        <v>44621</v>
      </c>
      <c r="C810" s="1" t="n">
        <v>45648</v>
      </c>
      <c r="D810" t="inlineStr">
        <is>
          <t>JÄMTLANDS LÄN</t>
        </is>
      </c>
      <c r="E810" t="inlineStr">
        <is>
          <t>BRÄCKE</t>
        </is>
      </c>
      <c r="F810" t="inlineStr">
        <is>
          <t>SCA</t>
        </is>
      </c>
      <c r="G810" t="n">
        <v>15.6</v>
      </c>
      <c r="H810" t="n">
        <v>0</v>
      </c>
      <c r="I810" t="n">
        <v>0</v>
      </c>
      <c r="J810" t="n">
        <v>0</v>
      </c>
      <c r="K810" t="n">
        <v>0</v>
      </c>
      <c r="L810" t="n">
        <v>0</v>
      </c>
      <c r="M810" t="n">
        <v>0</v>
      </c>
      <c r="N810" t="n">
        <v>0</v>
      </c>
      <c r="O810" t="n">
        <v>0</v>
      </c>
      <c r="P810" t="n">
        <v>0</v>
      </c>
      <c r="Q810" t="n">
        <v>0</v>
      </c>
      <c r="R810" s="2" t="inlineStr"/>
    </row>
    <row r="811" ht="15" customHeight="1">
      <c r="A811" t="inlineStr">
        <is>
          <t>A 10476-2022</t>
        </is>
      </c>
      <c r="B811" s="1" t="n">
        <v>44623</v>
      </c>
      <c r="C811" s="1" t="n">
        <v>45648</v>
      </c>
      <c r="D811" t="inlineStr">
        <is>
          <t>JÄMTLANDS LÄN</t>
        </is>
      </c>
      <c r="E811" t="inlineStr">
        <is>
          <t>BRÄCKE</t>
        </is>
      </c>
      <c r="G811" t="n">
        <v>3.8</v>
      </c>
      <c r="H811" t="n">
        <v>0</v>
      </c>
      <c r="I811" t="n">
        <v>0</v>
      </c>
      <c r="J811" t="n">
        <v>0</v>
      </c>
      <c r="K811" t="n">
        <v>0</v>
      </c>
      <c r="L811" t="n">
        <v>0</v>
      </c>
      <c r="M811" t="n">
        <v>0</v>
      </c>
      <c r="N811" t="n">
        <v>0</v>
      </c>
      <c r="O811" t="n">
        <v>0</v>
      </c>
      <c r="P811" t="n">
        <v>0</v>
      </c>
      <c r="Q811" t="n">
        <v>0</v>
      </c>
      <c r="R811" s="2" t="inlineStr"/>
    </row>
    <row r="812" ht="15" customHeight="1">
      <c r="A812" t="inlineStr">
        <is>
          <t>A 10532-2022</t>
        </is>
      </c>
      <c r="B812" s="1" t="n">
        <v>44623</v>
      </c>
      <c r="C812" s="1" t="n">
        <v>45648</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10536-2022</t>
        </is>
      </c>
      <c r="B813" s="1" t="n">
        <v>44623</v>
      </c>
      <c r="C813" s="1" t="n">
        <v>45648</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10540-2022</t>
        </is>
      </c>
      <c r="B814" s="1" t="n">
        <v>44623</v>
      </c>
      <c r="C814" s="1" t="n">
        <v>45648</v>
      </c>
      <c r="D814" t="inlineStr">
        <is>
          <t>JÄMTLANDS LÄN</t>
        </is>
      </c>
      <c r="E814" t="inlineStr">
        <is>
          <t>BRÄCKE</t>
        </is>
      </c>
      <c r="G814" t="n">
        <v>2.1</v>
      </c>
      <c r="H814" t="n">
        <v>0</v>
      </c>
      <c r="I814" t="n">
        <v>0</v>
      </c>
      <c r="J814" t="n">
        <v>0</v>
      </c>
      <c r="K814" t="n">
        <v>0</v>
      </c>
      <c r="L814" t="n">
        <v>0</v>
      </c>
      <c r="M814" t="n">
        <v>0</v>
      </c>
      <c r="N814" t="n">
        <v>0</v>
      </c>
      <c r="O814" t="n">
        <v>0</v>
      </c>
      <c r="P814" t="n">
        <v>0</v>
      </c>
      <c r="Q814" t="n">
        <v>0</v>
      </c>
      <c r="R814" s="2" t="inlineStr"/>
    </row>
    <row r="815" ht="15" customHeight="1">
      <c r="A815" t="inlineStr">
        <is>
          <t>A 10535-2022</t>
        </is>
      </c>
      <c r="B815" s="1" t="n">
        <v>44623</v>
      </c>
      <c r="C815" s="1" t="n">
        <v>45648</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10539-2022</t>
        </is>
      </c>
      <c r="B816" s="1" t="n">
        <v>44623</v>
      </c>
      <c r="C816" s="1" t="n">
        <v>45648</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10543-2022</t>
        </is>
      </c>
      <c r="B817" s="1" t="n">
        <v>44623</v>
      </c>
      <c r="C817" s="1" t="n">
        <v>45648</v>
      </c>
      <c r="D817" t="inlineStr">
        <is>
          <t>JÄMTLANDS LÄN</t>
        </is>
      </c>
      <c r="E817" t="inlineStr">
        <is>
          <t>BRÄCKE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10534-2022</t>
        </is>
      </c>
      <c r="B818" s="1" t="n">
        <v>44623</v>
      </c>
      <c r="C818" s="1" t="n">
        <v>45648</v>
      </c>
      <c r="D818" t="inlineStr">
        <is>
          <t>JÄMTLANDS LÄN</t>
        </is>
      </c>
      <c r="E818" t="inlineStr">
        <is>
          <t>BRÄCKE</t>
        </is>
      </c>
      <c r="G818" t="n">
        <v>2.5</v>
      </c>
      <c r="H818" t="n">
        <v>0</v>
      </c>
      <c r="I818" t="n">
        <v>0</v>
      </c>
      <c r="J818" t="n">
        <v>0</v>
      </c>
      <c r="K818" t="n">
        <v>0</v>
      </c>
      <c r="L818" t="n">
        <v>0</v>
      </c>
      <c r="M818" t="n">
        <v>0</v>
      </c>
      <c r="N818" t="n">
        <v>0</v>
      </c>
      <c r="O818" t="n">
        <v>0</v>
      </c>
      <c r="P818" t="n">
        <v>0</v>
      </c>
      <c r="Q818" t="n">
        <v>0</v>
      </c>
      <c r="R818" s="2" t="inlineStr"/>
    </row>
    <row r="819" ht="15" customHeight="1">
      <c r="A819" t="inlineStr">
        <is>
          <t>A 10538-2022</t>
        </is>
      </c>
      <c r="B819" s="1" t="n">
        <v>44623</v>
      </c>
      <c r="C819" s="1" t="n">
        <v>45648</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10542-2022</t>
        </is>
      </c>
      <c r="B820" s="1" t="n">
        <v>44623</v>
      </c>
      <c r="C820" s="1" t="n">
        <v>45648</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10533-2022</t>
        </is>
      </c>
      <c r="B821" s="1" t="n">
        <v>44623</v>
      </c>
      <c r="C821" s="1" t="n">
        <v>45648</v>
      </c>
      <c r="D821" t="inlineStr">
        <is>
          <t>JÄMTLANDS LÄN</t>
        </is>
      </c>
      <c r="E821" t="inlineStr">
        <is>
          <t>BRÄCKE</t>
        </is>
      </c>
      <c r="G821" t="n">
        <v>5.4</v>
      </c>
      <c r="H821" t="n">
        <v>0</v>
      </c>
      <c r="I821" t="n">
        <v>0</v>
      </c>
      <c r="J821" t="n">
        <v>0</v>
      </c>
      <c r="K821" t="n">
        <v>0</v>
      </c>
      <c r="L821" t="n">
        <v>0</v>
      </c>
      <c r="M821" t="n">
        <v>0</v>
      </c>
      <c r="N821" t="n">
        <v>0</v>
      </c>
      <c r="O821" t="n">
        <v>0</v>
      </c>
      <c r="P821" t="n">
        <v>0</v>
      </c>
      <c r="Q821" t="n">
        <v>0</v>
      </c>
      <c r="R821" s="2" t="inlineStr"/>
    </row>
    <row r="822" ht="15" customHeight="1">
      <c r="A822" t="inlineStr">
        <is>
          <t>A 10537-2022</t>
        </is>
      </c>
      <c r="B822" s="1" t="n">
        <v>44623</v>
      </c>
      <c r="C822" s="1" t="n">
        <v>45648</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10815-2022</t>
        </is>
      </c>
      <c r="B823" s="1" t="n">
        <v>44627</v>
      </c>
      <c r="C823" s="1" t="n">
        <v>45648</v>
      </c>
      <c r="D823" t="inlineStr">
        <is>
          <t>JÄMTLANDS LÄN</t>
        </is>
      </c>
      <c r="E823" t="inlineStr">
        <is>
          <t>BRÄCKE</t>
        </is>
      </c>
      <c r="G823" t="n">
        <v>9</v>
      </c>
      <c r="H823" t="n">
        <v>0</v>
      </c>
      <c r="I823" t="n">
        <v>0</v>
      </c>
      <c r="J823" t="n">
        <v>0</v>
      </c>
      <c r="K823" t="n">
        <v>0</v>
      </c>
      <c r="L823" t="n">
        <v>0</v>
      </c>
      <c r="M823" t="n">
        <v>0</v>
      </c>
      <c r="N823" t="n">
        <v>0</v>
      </c>
      <c r="O823" t="n">
        <v>0</v>
      </c>
      <c r="P823" t="n">
        <v>0</v>
      </c>
      <c r="Q823" t="n">
        <v>0</v>
      </c>
      <c r="R823" s="2" t="inlineStr"/>
    </row>
    <row r="824" ht="15" customHeight="1">
      <c r="A824" t="inlineStr">
        <is>
          <t>A 11093-2022</t>
        </is>
      </c>
      <c r="B824" s="1" t="n">
        <v>44628</v>
      </c>
      <c r="C824" s="1" t="n">
        <v>45648</v>
      </c>
      <c r="D824" t="inlineStr">
        <is>
          <t>JÄMTLANDS LÄN</t>
        </is>
      </c>
      <c r="E824" t="inlineStr">
        <is>
          <t>BRÄCKE</t>
        </is>
      </c>
      <c r="G824" t="n">
        <v>16.4</v>
      </c>
      <c r="H824" t="n">
        <v>0</v>
      </c>
      <c r="I824" t="n">
        <v>0</v>
      </c>
      <c r="J824" t="n">
        <v>0</v>
      </c>
      <c r="K824" t="n">
        <v>0</v>
      </c>
      <c r="L824" t="n">
        <v>0</v>
      </c>
      <c r="M824" t="n">
        <v>0</v>
      </c>
      <c r="N824" t="n">
        <v>0</v>
      </c>
      <c r="O824" t="n">
        <v>0</v>
      </c>
      <c r="P824" t="n">
        <v>0</v>
      </c>
      <c r="Q824" t="n">
        <v>0</v>
      </c>
      <c r="R824" s="2" t="inlineStr"/>
    </row>
    <row r="825" ht="15" customHeight="1">
      <c r="A825" t="inlineStr">
        <is>
          <t>A 11313-2022</t>
        </is>
      </c>
      <c r="B825" s="1" t="n">
        <v>44629</v>
      </c>
      <c r="C825" s="1" t="n">
        <v>45648</v>
      </c>
      <c r="D825" t="inlineStr">
        <is>
          <t>JÄMTLANDS LÄN</t>
        </is>
      </c>
      <c r="E825" t="inlineStr">
        <is>
          <t>BRÄCKE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12388-2022</t>
        </is>
      </c>
      <c r="B826" s="1" t="n">
        <v>44637</v>
      </c>
      <c r="C826" s="1" t="n">
        <v>45648</v>
      </c>
      <c r="D826" t="inlineStr">
        <is>
          <t>JÄMTLANDS LÄN</t>
        </is>
      </c>
      <c r="E826" t="inlineStr">
        <is>
          <t>BRÄCKE</t>
        </is>
      </c>
      <c r="G826" t="n">
        <v>27.6</v>
      </c>
      <c r="H826" t="n">
        <v>0</v>
      </c>
      <c r="I826" t="n">
        <v>0</v>
      </c>
      <c r="J826" t="n">
        <v>0</v>
      </c>
      <c r="K826" t="n">
        <v>0</v>
      </c>
      <c r="L826" t="n">
        <v>0</v>
      </c>
      <c r="M826" t="n">
        <v>0</v>
      </c>
      <c r="N826" t="n">
        <v>0</v>
      </c>
      <c r="O826" t="n">
        <v>0</v>
      </c>
      <c r="P826" t="n">
        <v>0</v>
      </c>
      <c r="Q826" t="n">
        <v>0</v>
      </c>
      <c r="R826" s="2" t="inlineStr"/>
    </row>
    <row r="827" ht="15" customHeight="1">
      <c r="A827" t="inlineStr">
        <is>
          <t>A 12610-2022</t>
        </is>
      </c>
      <c r="B827" s="1" t="n">
        <v>44638</v>
      </c>
      <c r="C827" s="1" t="n">
        <v>45648</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12601-2022</t>
        </is>
      </c>
      <c r="B828" s="1" t="n">
        <v>44638</v>
      </c>
      <c r="C828" s="1" t="n">
        <v>45648</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13525-2022</t>
        </is>
      </c>
      <c r="B829" s="1" t="n">
        <v>44648</v>
      </c>
      <c r="C829" s="1" t="n">
        <v>45648</v>
      </c>
      <c r="D829" t="inlineStr">
        <is>
          <t>JÄMTLANDS LÄN</t>
        </is>
      </c>
      <c r="E829" t="inlineStr">
        <is>
          <t>BRÄCKE</t>
        </is>
      </c>
      <c r="G829" t="n">
        <v>0.5</v>
      </c>
      <c r="H829" t="n">
        <v>0</v>
      </c>
      <c r="I829" t="n">
        <v>0</v>
      </c>
      <c r="J829" t="n">
        <v>0</v>
      </c>
      <c r="K829" t="n">
        <v>0</v>
      </c>
      <c r="L829" t="n">
        <v>0</v>
      </c>
      <c r="M829" t="n">
        <v>0</v>
      </c>
      <c r="N829" t="n">
        <v>0</v>
      </c>
      <c r="O829" t="n">
        <v>0</v>
      </c>
      <c r="P829" t="n">
        <v>0</v>
      </c>
      <c r="Q829" t="n">
        <v>0</v>
      </c>
      <c r="R829" s="2" t="inlineStr"/>
    </row>
    <row r="830" ht="15" customHeight="1">
      <c r="A830" t="inlineStr">
        <is>
          <t>A 15093-2022</t>
        </is>
      </c>
      <c r="B830" s="1" t="n">
        <v>44657</v>
      </c>
      <c r="C830" s="1" t="n">
        <v>45648</v>
      </c>
      <c r="D830" t="inlineStr">
        <is>
          <t>JÄMTLANDS LÄN</t>
        </is>
      </c>
      <c r="E830" t="inlineStr">
        <is>
          <t>BRÄCKE</t>
        </is>
      </c>
      <c r="F830" t="inlineStr">
        <is>
          <t>SCA</t>
        </is>
      </c>
      <c r="G830" t="n">
        <v>14.4</v>
      </c>
      <c r="H830" t="n">
        <v>0</v>
      </c>
      <c r="I830" t="n">
        <v>0</v>
      </c>
      <c r="J830" t="n">
        <v>0</v>
      </c>
      <c r="K830" t="n">
        <v>0</v>
      </c>
      <c r="L830" t="n">
        <v>0</v>
      </c>
      <c r="M830" t="n">
        <v>0</v>
      </c>
      <c r="N830" t="n">
        <v>0</v>
      </c>
      <c r="O830" t="n">
        <v>0</v>
      </c>
      <c r="P830" t="n">
        <v>0</v>
      </c>
      <c r="Q830" t="n">
        <v>0</v>
      </c>
      <c r="R830" s="2" t="inlineStr"/>
    </row>
    <row r="831" ht="15" customHeight="1">
      <c r="A831" t="inlineStr">
        <is>
          <t>A 16526-2022</t>
        </is>
      </c>
      <c r="B831" s="1" t="n">
        <v>44672</v>
      </c>
      <c r="C831" s="1" t="n">
        <v>45648</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17578-2022</t>
        </is>
      </c>
      <c r="B832" s="1" t="n">
        <v>44679</v>
      </c>
      <c r="C832" s="1" t="n">
        <v>45648</v>
      </c>
      <c r="D832" t="inlineStr">
        <is>
          <t>JÄMTLANDS LÄN</t>
        </is>
      </c>
      <c r="E832" t="inlineStr">
        <is>
          <t>BRÄCKE</t>
        </is>
      </c>
      <c r="G832" t="n">
        <v>5.5</v>
      </c>
      <c r="H832" t="n">
        <v>0</v>
      </c>
      <c r="I832" t="n">
        <v>0</v>
      </c>
      <c r="J832" t="n">
        <v>0</v>
      </c>
      <c r="K832" t="n">
        <v>0</v>
      </c>
      <c r="L832" t="n">
        <v>0</v>
      </c>
      <c r="M832" t="n">
        <v>0</v>
      </c>
      <c r="N832" t="n">
        <v>0</v>
      </c>
      <c r="O832" t="n">
        <v>0</v>
      </c>
      <c r="P832" t="n">
        <v>0</v>
      </c>
      <c r="Q832" t="n">
        <v>0</v>
      </c>
      <c r="R832" s="2" t="inlineStr"/>
    </row>
    <row r="833" ht="15" customHeight="1">
      <c r="A833" t="inlineStr">
        <is>
          <t>A 17577-2022</t>
        </is>
      </c>
      <c r="B833" s="1" t="n">
        <v>44679</v>
      </c>
      <c r="C833" s="1" t="n">
        <v>45648</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17738-2022</t>
        </is>
      </c>
      <c r="B834" s="1" t="n">
        <v>44681</v>
      </c>
      <c r="C834" s="1" t="n">
        <v>45648</v>
      </c>
      <c r="D834" t="inlineStr">
        <is>
          <t>JÄMTLANDS LÄN</t>
        </is>
      </c>
      <c r="E834" t="inlineStr">
        <is>
          <t>BRÄCKE</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17996-2022</t>
        </is>
      </c>
      <c r="B835" s="1" t="n">
        <v>44683</v>
      </c>
      <c r="C835" s="1" t="n">
        <v>45648</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18221-2022</t>
        </is>
      </c>
      <c r="B836" s="1" t="n">
        <v>44685</v>
      </c>
      <c r="C836" s="1" t="n">
        <v>45648</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18371-2022</t>
        </is>
      </c>
      <c r="B837" s="1" t="n">
        <v>44686</v>
      </c>
      <c r="C837" s="1" t="n">
        <v>45648</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18977-2022</t>
        </is>
      </c>
      <c r="B838" s="1" t="n">
        <v>44690</v>
      </c>
      <c r="C838" s="1" t="n">
        <v>45648</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18984-2022</t>
        </is>
      </c>
      <c r="B839" s="1" t="n">
        <v>44690</v>
      </c>
      <c r="C839" s="1" t="n">
        <v>45648</v>
      </c>
      <c r="D839" t="inlineStr">
        <is>
          <t>JÄMTLANDS LÄN</t>
        </is>
      </c>
      <c r="E839" t="inlineStr">
        <is>
          <t>BRÄCKE</t>
        </is>
      </c>
      <c r="G839" t="n">
        <v>2.7</v>
      </c>
      <c r="H839" t="n">
        <v>0</v>
      </c>
      <c r="I839" t="n">
        <v>0</v>
      </c>
      <c r="J839" t="n">
        <v>0</v>
      </c>
      <c r="K839" t="n">
        <v>0</v>
      </c>
      <c r="L839" t="n">
        <v>0</v>
      </c>
      <c r="M839" t="n">
        <v>0</v>
      </c>
      <c r="N839" t="n">
        <v>0</v>
      </c>
      <c r="O839" t="n">
        <v>0</v>
      </c>
      <c r="P839" t="n">
        <v>0</v>
      </c>
      <c r="Q839" t="n">
        <v>0</v>
      </c>
      <c r="R839" s="2" t="inlineStr"/>
    </row>
    <row r="840" ht="15" customHeight="1">
      <c r="A840" t="inlineStr">
        <is>
          <t>A 18975-2022</t>
        </is>
      </c>
      <c r="B840" s="1" t="n">
        <v>44691</v>
      </c>
      <c r="C840" s="1" t="n">
        <v>45648</v>
      </c>
      <c r="D840" t="inlineStr">
        <is>
          <t>JÄMTLANDS LÄN</t>
        </is>
      </c>
      <c r="E840" t="inlineStr">
        <is>
          <t>BRÄCKE</t>
        </is>
      </c>
      <c r="G840" t="n">
        <v>1</v>
      </c>
      <c r="H840" t="n">
        <v>0</v>
      </c>
      <c r="I840" t="n">
        <v>0</v>
      </c>
      <c r="J840" t="n">
        <v>0</v>
      </c>
      <c r="K840" t="n">
        <v>0</v>
      </c>
      <c r="L840" t="n">
        <v>0</v>
      </c>
      <c r="M840" t="n">
        <v>0</v>
      </c>
      <c r="N840" t="n">
        <v>0</v>
      </c>
      <c r="O840" t="n">
        <v>0</v>
      </c>
      <c r="P840" t="n">
        <v>0</v>
      </c>
      <c r="Q840" t="n">
        <v>0</v>
      </c>
      <c r="R840" s="2" t="inlineStr"/>
    </row>
    <row r="841" ht="15" customHeight="1">
      <c r="A841" t="inlineStr">
        <is>
          <t>A 18981-2022</t>
        </is>
      </c>
      <c r="B841" s="1" t="n">
        <v>44690</v>
      </c>
      <c r="C841" s="1" t="n">
        <v>45648</v>
      </c>
      <c r="D841" t="inlineStr">
        <is>
          <t>JÄMTLANDS LÄN</t>
        </is>
      </c>
      <c r="E841" t="inlineStr">
        <is>
          <t>BRÄCKE</t>
        </is>
      </c>
      <c r="G841" t="n">
        <v>7.7</v>
      </c>
      <c r="H841" t="n">
        <v>0</v>
      </c>
      <c r="I841" t="n">
        <v>0</v>
      </c>
      <c r="J841" t="n">
        <v>0</v>
      </c>
      <c r="K841" t="n">
        <v>0</v>
      </c>
      <c r="L841" t="n">
        <v>0</v>
      </c>
      <c r="M841" t="n">
        <v>0</v>
      </c>
      <c r="N841" t="n">
        <v>0</v>
      </c>
      <c r="O841" t="n">
        <v>0</v>
      </c>
      <c r="P841" t="n">
        <v>0</v>
      </c>
      <c r="Q841" t="n">
        <v>0</v>
      </c>
      <c r="R841" s="2" t="inlineStr"/>
    </row>
    <row r="842" ht="15" customHeight="1">
      <c r="A842" t="inlineStr">
        <is>
          <t>A 18976-2022</t>
        </is>
      </c>
      <c r="B842" s="1" t="n">
        <v>44691</v>
      </c>
      <c r="C842" s="1" t="n">
        <v>45648</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18982-2022</t>
        </is>
      </c>
      <c r="B843" s="1" t="n">
        <v>44691</v>
      </c>
      <c r="C843" s="1" t="n">
        <v>45648</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19601-2022</t>
        </is>
      </c>
      <c r="B844" s="1" t="n">
        <v>44694</v>
      </c>
      <c r="C844" s="1" t="n">
        <v>45648</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19810-2022</t>
        </is>
      </c>
      <c r="B845" s="1" t="n">
        <v>44695</v>
      </c>
      <c r="C845" s="1" t="n">
        <v>45648</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20014-2022</t>
        </is>
      </c>
      <c r="B846" s="1" t="n">
        <v>44697</v>
      </c>
      <c r="C846" s="1" t="n">
        <v>45648</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20065-2022</t>
        </is>
      </c>
      <c r="B847" s="1" t="n">
        <v>44698</v>
      </c>
      <c r="C847" s="1" t="n">
        <v>45648</v>
      </c>
      <c r="D847" t="inlineStr">
        <is>
          <t>JÄMTLANDS LÄN</t>
        </is>
      </c>
      <c r="E847" t="inlineStr">
        <is>
          <t>BRÄCKE</t>
        </is>
      </c>
      <c r="G847" t="n">
        <v>33</v>
      </c>
      <c r="H847" t="n">
        <v>0</v>
      </c>
      <c r="I847" t="n">
        <v>0</v>
      </c>
      <c r="J847" t="n">
        <v>0</v>
      </c>
      <c r="K847" t="n">
        <v>0</v>
      </c>
      <c r="L847" t="n">
        <v>0</v>
      </c>
      <c r="M847" t="n">
        <v>0</v>
      </c>
      <c r="N847" t="n">
        <v>0</v>
      </c>
      <c r="O847" t="n">
        <v>0</v>
      </c>
      <c r="P847" t="n">
        <v>0</v>
      </c>
      <c r="Q847" t="n">
        <v>0</v>
      </c>
      <c r="R847" s="2" t="inlineStr"/>
    </row>
    <row r="848" ht="15" customHeight="1">
      <c r="A848" t="inlineStr">
        <is>
          <t>A 20067-2022</t>
        </is>
      </c>
      <c r="B848" s="1" t="n">
        <v>44698</v>
      </c>
      <c r="C848" s="1" t="n">
        <v>45648</v>
      </c>
      <c r="D848" t="inlineStr">
        <is>
          <t>JÄMTLANDS LÄN</t>
        </is>
      </c>
      <c r="E848" t="inlineStr">
        <is>
          <t>BRÄCKE</t>
        </is>
      </c>
      <c r="G848" t="n">
        <v>4.1</v>
      </c>
      <c r="H848" t="n">
        <v>0</v>
      </c>
      <c r="I848" t="n">
        <v>0</v>
      </c>
      <c r="J848" t="n">
        <v>0</v>
      </c>
      <c r="K848" t="n">
        <v>0</v>
      </c>
      <c r="L848" t="n">
        <v>0</v>
      </c>
      <c r="M848" t="n">
        <v>0</v>
      </c>
      <c r="N848" t="n">
        <v>0</v>
      </c>
      <c r="O848" t="n">
        <v>0</v>
      </c>
      <c r="P848" t="n">
        <v>0</v>
      </c>
      <c r="Q848" t="n">
        <v>0</v>
      </c>
      <c r="R848" s="2" t="inlineStr"/>
    </row>
    <row r="849" ht="15" customHeight="1">
      <c r="A849" t="inlineStr">
        <is>
          <t>A 20066-2022</t>
        </is>
      </c>
      <c r="B849" s="1" t="n">
        <v>44697</v>
      </c>
      <c r="C849" s="1" t="n">
        <v>45648</v>
      </c>
      <c r="D849" t="inlineStr">
        <is>
          <t>JÄMTLANDS LÄN</t>
        </is>
      </c>
      <c r="E849" t="inlineStr">
        <is>
          <t>BRÄCKE</t>
        </is>
      </c>
      <c r="G849" t="n">
        <v>41.6</v>
      </c>
      <c r="H849" t="n">
        <v>0</v>
      </c>
      <c r="I849" t="n">
        <v>0</v>
      </c>
      <c r="J849" t="n">
        <v>0</v>
      </c>
      <c r="K849" t="n">
        <v>0</v>
      </c>
      <c r="L849" t="n">
        <v>0</v>
      </c>
      <c r="M849" t="n">
        <v>0</v>
      </c>
      <c r="N849" t="n">
        <v>0</v>
      </c>
      <c r="O849" t="n">
        <v>0</v>
      </c>
      <c r="P849" t="n">
        <v>0</v>
      </c>
      <c r="Q849" t="n">
        <v>0</v>
      </c>
      <c r="R849" s="2" t="inlineStr"/>
    </row>
    <row r="850" ht="15" customHeight="1">
      <c r="A850" t="inlineStr">
        <is>
          <t>A 20069-2022</t>
        </is>
      </c>
      <c r="B850" s="1" t="n">
        <v>44698</v>
      </c>
      <c r="C850" s="1" t="n">
        <v>45648</v>
      </c>
      <c r="D850" t="inlineStr">
        <is>
          <t>JÄMTLANDS LÄN</t>
        </is>
      </c>
      <c r="E850" t="inlineStr">
        <is>
          <t>BRÄCKE</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20070-2022</t>
        </is>
      </c>
      <c r="B851" s="1" t="n">
        <v>44698</v>
      </c>
      <c r="C851" s="1" t="n">
        <v>45648</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20300-2022</t>
        </is>
      </c>
      <c r="B852" s="1" t="n">
        <v>44699</v>
      </c>
      <c r="C852" s="1" t="n">
        <v>45648</v>
      </c>
      <c r="D852" t="inlineStr">
        <is>
          <t>JÄMTLANDS LÄN</t>
        </is>
      </c>
      <c r="E852" t="inlineStr">
        <is>
          <t>BRÄCKE</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20399-2022</t>
        </is>
      </c>
      <c r="B853" s="1" t="n">
        <v>44699</v>
      </c>
      <c r="C853" s="1" t="n">
        <v>45648</v>
      </c>
      <c r="D853" t="inlineStr">
        <is>
          <t>JÄMTLANDS LÄN</t>
        </is>
      </c>
      <c r="E853" t="inlineStr">
        <is>
          <t>BRÄCKE</t>
        </is>
      </c>
      <c r="F853" t="inlineStr">
        <is>
          <t>Övriga Aktiebolag</t>
        </is>
      </c>
      <c r="G853" t="n">
        <v>20.9</v>
      </c>
      <c r="H853" t="n">
        <v>0</v>
      </c>
      <c r="I853" t="n">
        <v>0</v>
      </c>
      <c r="J853" t="n">
        <v>0</v>
      </c>
      <c r="K853" t="n">
        <v>0</v>
      </c>
      <c r="L853" t="n">
        <v>0</v>
      </c>
      <c r="M853" t="n">
        <v>0</v>
      </c>
      <c r="N853" t="n">
        <v>0</v>
      </c>
      <c r="O853" t="n">
        <v>0</v>
      </c>
      <c r="P853" t="n">
        <v>0</v>
      </c>
      <c r="Q853" t="n">
        <v>0</v>
      </c>
      <c r="R853" s="2" t="inlineStr"/>
    </row>
    <row r="854" ht="15" customHeight="1">
      <c r="A854" t="inlineStr">
        <is>
          <t>A 20667-2022</t>
        </is>
      </c>
      <c r="B854" s="1" t="n">
        <v>44700</v>
      </c>
      <c r="C854" s="1" t="n">
        <v>45648</v>
      </c>
      <c r="D854" t="inlineStr">
        <is>
          <t>JÄMTLANDS LÄN</t>
        </is>
      </c>
      <c r="E854" t="inlineStr">
        <is>
          <t>BRÄCKE</t>
        </is>
      </c>
      <c r="G854" t="n">
        <v>13.8</v>
      </c>
      <c r="H854" t="n">
        <v>0</v>
      </c>
      <c r="I854" t="n">
        <v>0</v>
      </c>
      <c r="J854" t="n">
        <v>0</v>
      </c>
      <c r="K854" t="n">
        <v>0</v>
      </c>
      <c r="L854" t="n">
        <v>0</v>
      </c>
      <c r="M854" t="n">
        <v>0</v>
      </c>
      <c r="N854" t="n">
        <v>0</v>
      </c>
      <c r="O854" t="n">
        <v>0</v>
      </c>
      <c r="P854" t="n">
        <v>0</v>
      </c>
      <c r="Q854" t="n">
        <v>0</v>
      </c>
      <c r="R854" s="2" t="inlineStr"/>
    </row>
    <row r="855" ht="15" customHeight="1">
      <c r="A855" t="inlineStr">
        <is>
          <t>A 20718-2022</t>
        </is>
      </c>
      <c r="B855" s="1" t="n">
        <v>44700</v>
      </c>
      <c r="C855" s="1" t="n">
        <v>45648</v>
      </c>
      <c r="D855" t="inlineStr">
        <is>
          <t>JÄMTLANDS LÄN</t>
        </is>
      </c>
      <c r="E855" t="inlineStr">
        <is>
          <t>BRÄCKE</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20727-2022</t>
        </is>
      </c>
      <c r="B856" s="1" t="n">
        <v>44700</v>
      </c>
      <c r="C856" s="1" t="n">
        <v>45648</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21655-2022</t>
        </is>
      </c>
      <c r="B857" s="1" t="n">
        <v>44707</v>
      </c>
      <c r="C857" s="1" t="n">
        <v>45648</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21656-2022</t>
        </is>
      </c>
      <c r="B858" s="1" t="n">
        <v>44707</v>
      </c>
      <c r="C858" s="1" t="n">
        <v>45648</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21722-2022</t>
        </is>
      </c>
      <c r="B859" s="1" t="n">
        <v>44706</v>
      </c>
      <c r="C859" s="1" t="n">
        <v>45648</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21654-2022</t>
        </is>
      </c>
      <c r="B860" s="1" t="n">
        <v>44707</v>
      </c>
      <c r="C860" s="1" t="n">
        <v>45648</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21717-2022</t>
        </is>
      </c>
      <c r="B861" s="1" t="n">
        <v>44708</v>
      </c>
      <c r="C861" s="1" t="n">
        <v>45648</v>
      </c>
      <c r="D861" t="inlineStr">
        <is>
          <t>JÄMTLANDS LÄN</t>
        </is>
      </c>
      <c r="E861" t="inlineStr">
        <is>
          <t>BRÄCKE</t>
        </is>
      </c>
      <c r="G861" t="n">
        <v>10.8</v>
      </c>
      <c r="H861" t="n">
        <v>0</v>
      </c>
      <c r="I861" t="n">
        <v>0</v>
      </c>
      <c r="J861" t="n">
        <v>0</v>
      </c>
      <c r="K861" t="n">
        <v>0</v>
      </c>
      <c r="L861" t="n">
        <v>0</v>
      </c>
      <c r="M861" t="n">
        <v>0</v>
      </c>
      <c r="N861" t="n">
        <v>0</v>
      </c>
      <c r="O861" t="n">
        <v>0</v>
      </c>
      <c r="P861" t="n">
        <v>0</v>
      </c>
      <c r="Q861" t="n">
        <v>0</v>
      </c>
      <c r="R861" s="2" t="inlineStr"/>
    </row>
    <row r="862" ht="15" customHeight="1">
      <c r="A862" t="inlineStr">
        <is>
          <t>A 22094-2022</t>
        </is>
      </c>
      <c r="B862" s="1" t="n">
        <v>44712</v>
      </c>
      <c r="C862" s="1" t="n">
        <v>45648</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22095-2022</t>
        </is>
      </c>
      <c r="B863" s="1" t="n">
        <v>44712</v>
      </c>
      <c r="C863" s="1" t="n">
        <v>45648</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22612-2022</t>
        </is>
      </c>
      <c r="B864" s="1" t="n">
        <v>44714</v>
      </c>
      <c r="C864" s="1" t="n">
        <v>45648</v>
      </c>
      <c r="D864" t="inlineStr">
        <is>
          <t>JÄMTLANDS LÄN</t>
        </is>
      </c>
      <c r="E864" t="inlineStr">
        <is>
          <t>BRÄCKE</t>
        </is>
      </c>
      <c r="G864" t="n">
        <v>6.3</v>
      </c>
      <c r="H864" t="n">
        <v>0</v>
      </c>
      <c r="I864" t="n">
        <v>0</v>
      </c>
      <c r="J864" t="n">
        <v>0</v>
      </c>
      <c r="K864" t="n">
        <v>0</v>
      </c>
      <c r="L864" t="n">
        <v>0</v>
      </c>
      <c r="M864" t="n">
        <v>0</v>
      </c>
      <c r="N864" t="n">
        <v>0</v>
      </c>
      <c r="O864" t="n">
        <v>0</v>
      </c>
      <c r="P864" t="n">
        <v>0</v>
      </c>
      <c r="Q864" t="n">
        <v>0</v>
      </c>
      <c r="R864" s="2" t="inlineStr"/>
    </row>
    <row r="865" ht="15" customHeight="1">
      <c r="A865" t="inlineStr">
        <is>
          <t>A 22702-2022</t>
        </is>
      </c>
      <c r="B865" s="1" t="n">
        <v>44714</v>
      </c>
      <c r="C865" s="1" t="n">
        <v>45648</v>
      </c>
      <c r="D865" t="inlineStr">
        <is>
          <t>JÄMTLANDS LÄN</t>
        </is>
      </c>
      <c r="E865" t="inlineStr">
        <is>
          <t>BRÄCKE</t>
        </is>
      </c>
      <c r="G865" t="n">
        <v>4.6</v>
      </c>
      <c r="H865" t="n">
        <v>0</v>
      </c>
      <c r="I865" t="n">
        <v>0</v>
      </c>
      <c r="J865" t="n">
        <v>0</v>
      </c>
      <c r="K865" t="n">
        <v>0</v>
      </c>
      <c r="L865" t="n">
        <v>0</v>
      </c>
      <c r="M865" t="n">
        <v>0</v>
      </c>
      <c r="N865" t="n">
        <v>0</v>
      </c>
      <c r="O865" t="n">
        <v>0</v>
      </c>
      <c r="P865" t="n">
        <v>0</v>
      </c>
      <c r="Q865" t="n">
        <v>0</v>
      </c>
      <c r="R865" s="2" t="inlineStr"/>
    </row>
    <row r="866" ht="15" customHeight="1">
      <c r="A866" t="inlineStr">
        <is>
          <t>A 23426-2022</t>
        </is>
      </c>
      <c r="B866" s="1" t="n">
        <v>44720</v>
      </c>
      <c r="C866" s="1" t="n">
        <v>45648</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23427-2022</t>
        </is>
      </c>
      <c r="B867" s="1" t="n">
        <v>44721</v>
      </c>
      <c r="C867" s="1" t="n">
        <v>45648</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23444-2022</t>
        </is>
      </c>
      <c r="B868" s="1" t="n">
        <v>44721</v>
      </c>
      <c r="C868" s="1" t="n">
        <v>45648</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23441-2022</t>
        </is>
      </c>
      <c r="B869" s="1" t="n">
        <v>44721</v>
      </c>
      <c r="C869" s="1" t="n">
        <v>45648</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23433-2022</t>
        </is>
      </c>
      <c r="B870" s="1" t="n">
        <v>44720</v>
      </c>
      <c r="C870" s="1" t="n">
        <v>45648</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23443-2022</t>
        </is>
      </c>
      <c r="B871" s="1" t="n">
        <v>44721</v>
      </c>
      <c r="C871" s="1" t="n">
        <v>45648</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23687-2022</t>
        </is>
      </c>
      <c r="B872" s="1" t="n">
        <v>44721</v>
      </c>
      <c r="C872" s="1" t="n">
        <v>45648</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24056-2022</t>
        </is>
      </c>
      <c r="B873" s="1" t="n">
        <v>44725</v>
      </c>
      <c r="C873" s="1" t="n">
        <v>45648</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24055-2022</t>
        </is>
      </c>
      <c r="B874" s="1" t="n">
        <v>44725</v>
      </c>
      <c r="C874" s="1" t="n">
        <v>45648</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24054-2022</t>
        </is>
      </c>
      <c r="B875" s="1" t="n">
        <v>44725</v>
      </c>
      <c r="C875" s="1" t="n">
        <v>45648</v>
      </c>
      <c r="D875" t="inlineStr">
        <is>
          <t>JÄMTLANDS LÄN</t>
        </is>
      </c>
      <c r="E875" t="inlineStr">
        <is>
          <t>BRÄCKE</t>
        </is>
      </c>
      <c r="G875" t="n">
        <v>5.5</v>
      </c>
      <c r="H875" t="n">
        <v>0</v>
      </c>
      <c r="I875" t="n">
        <v>0</v>
      </c>
      <c r="J875" t="n">
        <v>0</v>
      </c>
      <c r="K875" t="n">
        <v>0</v>
      </c>
      <c r="L875" t="n">
        <v>0</v>
      </c>
      <c r="M875" t="n">
        <v>0</v>
      </c>
      <c r="N875" t="n">
        <v>0</v>
      </c>
      <c r="O875" t="n">
        <v>0</v>
      </c>
      <c r="P875" t="n">
        <v>0</v>
      </c>
      <c r="Q875" t="n">
        <v>0</v>
      </c>
      <c r="R875" s="2" t="inlineStr"/>
    </row>
    <row r="876" ht="15" customHeight="1">
      <c r="A876" t="inlineStr">
        <is>
          <t>A 24053-2022</t>
        </is>
      </c>
      <c r="B876" s="1" t="n">
        <v>44725</v>
      </c>
      <c r="C876" s="1" t="n">
        <v>45648</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24531-2022</t>
        </is>
      </c>
      <c r="B877" s="1" t="n">
        <v>44726</v>
      </c>
      <c r="C877" s="1" t="n">
        <v>45648</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24718-2022</t>
        </is>
      </c>
      <c r="B878" s="1" t="n">
        <v>44728</v>
      </c>
      <c r="C878" s="1" t="n">
        <v>45648</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24717-2022</t>
        </is>
      </c>
      <c r="B879" s="1" t="n">
        <v>44727</v>
      </c>
      <c r="C879" s="1" t="n">
        <v>45648</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24726-2022</t>
        </is>
      </c>
      <c r="B880" s="1" t="n">
        <v>44727</v>
      </c>
      <c r="C880" s="1" t="n">
        <v>45648</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25150-2022</t>
        </is>
      </c>
      <c r="B881" s="1" t="n">
        <v>44729</v>
      </c>
      <c r="C881" s="1" t="n">
        <v>45648</v>
      </c>
      <c r="D881" t="inlineStr">
        <is>
          <t>JÄMTLANDS LÄN</t>
        </is>
      </c>
      <c r="E881" t="inlineStr">
        <is>
          <t>BRÄCKE</t>
        </is>
      </c>
      <c r="F881" t="inlineStr">
        <is>
          <t>Övriga Aktiebolag</t>
        </is>
      </c>
      <c r="G881" t="n">
        <v>10.4</v>
      </c>
      <c r="H881" t="n">
        <v>0</v>
      </c>
      <c r="I881" t="n">
        <v>0</v>
      </c>
      <c r="J881" t="n">
        <v>0</v>
      </c>
      <c r="K881" t="n">
        <v>0</v>
      </c>
      <c r="L881" t="n">
        <v>0</v>
      </c>
      <c r="M881" t="n">
        <v>0</v>
      </c>
      <c r="N881" t="n">
        <v>0</v>
      </c>
      <c r="O881" t="n">
        <v>0</v>
      </c>
      <c r="P881" t="n">
        <v>0</v>
      </c>
      <c r="Q881" t="n">
        <v>0</v>
      </c>
      <c r="R881" s="2" t="inlineStr"/>
    </row>
    <row r="882" ht="15" customHeight="1">
      <c r="A882" t="inlineStr">
        <is>
          <t>A 25177-2022</t>
        </is>
      </c>
      <c r="B882" s="1" t="n">
        <v>44729</v>
      </c>
      <c r="C882" s="1" t="n">
        <v>45648</v>
      </c>
      <c r="D882" t="inlineStr">
        <is>
          <t>JÄMTLANDS LÄN</t>
        </is>
      </c>
      <c r="E882" t="inlineStr">
        <is>
          <t>BRÄCKE</t>
        </is>
      </c>
      <c r="F882" t="inlineStr">
        <is>
          <t>Övriga Aktiebolag</t>
        </is>
      </c>
      <c r="G882" t="n">
        <v>22.1</v>
      </c>
      <c r="H882" t="n">
        <v>0</v>
      </c>
      <c r="I882" t="n">
        <v>0</v>
      </c>
      <c r="J882" t="n">
        <v>0</v>
      </c>
      <c r="K882" t="n">
        <v>0</v>
      </c>
      <c r="L882" t="n">
        <v>0</v>
      </c>
      <c r="M882" t="n">
        <v>0</v>
      </c>
      <c r="N882" t="n">
        <v>0</v>
      </c>
      <c r="O882" t="n">
        <v>0</v>
      </c>
      <c r="P882" t="n">
        <v>0</v>
      </c>
      <c r="Q882" t="n">
        <v>0</v>
      </c>
      <c r="R882" s="2" t="inlineStr"/>
    </row>
    <row r="883" ht="15" customHeight="1">
      <c r="A883" t="inlineStr">
        <is>
          <t>A 25192-2022</t>
        </is>
      </c>
      <c r="B883" s="1" t="n">
        <v>44729</v>
      </c>
      <c r="C883" s="1" t="n">
        <v>45648</v>
      </c>
      <c r="D883" t="inlineStr">
        <is>
          <t>JÄMTLANDS LÄN</t>
        </is>
      </c>
      <c r="E883" t="inlineStr">
        <is>
          <t>BRÄCKE</t>
        </is>
      </c>
      <c r="F883" t="inlineStr">
        <is>
          <t>Övriga Aktiebolag</t>
        </is>
      </c>
      <c r="G883" t="n">
        <v>5.6</v>
      </c>
      <c r="H883" t="n">
        <v>0</v>
      </c>
      <c r="I883" t="n">
        <v>0</v>
      </c>
      <c r="J883" t="n">
        <v>0</v>
      </c>
      <c r="K883" t="n">
        <v>0</v>
      </c>
      <c r="L883" t="n">
        <v>0</v>
      </c>
      <c r="M883" t="n">
        <v>0</v>
      </c>
      <c r="N883" t="n">
        <v>0</v>
      </c>
      <c r="O883" t="n">
        <v>0</v>
      </c>
      <c r="P883" t="n">
        <v>0</v>
      </c>
      <c r="Q883" t="n">
        <v>0</v>
      </c>
      <c r="R883" s="2" t="inlineStr"/>
    </row>
    <row r="884" ht="15" customHeight="1">
      <c r="A884" t="inlineStr">
        <is>
          <t>A 25883-2022</t>
        </is>
      </c>
      <c r="B884" s="1" t="n">
        <v>44733</v>
      </c>
      <c r="C884" s="1" t="n">
        <v>45648</v>
      </c>
      <c r="D884" t="inlineStr">
        <is>
          <t>JÄMTLANDS LÄN</t>
        </is>
      </c>
      <c r="E884" t="inlineStr">
        <is>
          <t>BRÄCKE</t>
        </is>
      </c>
      <c r="F884" t="inlineStr">
        <is>
          <t>Övriga Aktiebolag</t>
        </is>
      </c>
      <c r="G884" t="n">
        <v>23.4</v>
      </c>
      <c r="H884" t="n">
        <v>0</v>
      </c>
      <c r="I884" t="n">
        <v>0</v>
      </c>
      <c r="J884" t="n">
        <v>0</v>
      </c>
      <c r="K884" t="n">
        <v>0</v>
      </c>
      <c r="L884" t="n">
        <v>0</v>
      </c>
      <c r="M884" t="n">
        <v>0</v>
      </c>
      <c r="N884" t="n">
        <v>0</v>
      </c>
      <c r="O884" t="n">
        <v>0</v>
      </c>
      <c r="P884" t="n">
        <v>0</v>
      </c>
      <c r="Q884" t="n">
        <v>0</v>
      </c>
      <c r="R884" s="2" t="inlineStr"/>
    </row>
    <row r="885" ht="15" customHeight="1">
      <c r="A885" t="inlineStr">
        <is>
          <t>A 26139-2022</t>
        </is>
      </c>
      <c r="B885" s="1" t="n">
        <v>44734</v>
      </c>
      <c r="C885" s="1" t="n">
        <v>45648</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26138-2022</t>
        </is>
      </c>
      <c r="B886" s="1" t="n">
        <v>44734</v>
      </c>
      <c r="C886" s="1" t="n">
        <v>45648</v>
      </c>
      <c r="D886" t="inlineStr">
        <is>
          <t>JÄMTLANDS LÄN</t>
        </is>
      </c>
      <c r="E886" t="inlineStr">
        <is>
          <t>BRÄCKE</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26437-2022</t>
        </is>
      </c>
      <c r="B887" s="1" t="n">
        <v>44737</v>
      </c>
      <c r="C887" s="1" t="n">
        <v>45648</v>
      </c>
      <c r="D887" t="inlineStr">
        <is>
          <t>JÄMTLANDS LÄN</t>
        </is>
      </c>
      <c r="E887" t="inlineStr">
        <is>
          <t>BRÄCKE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26445-2022</t>
        </is>
      </c>
      <c r="B888" s="1" t="n">
        <v>44738</v>
      </c>
      <c r="C888" s="1" t="n">
        <v>45648</v>
      </c>
      <c r="D888" t="inlineStr">
        <is>
          <t>JÄMTLANDS LÄN</t>
        </is>
      </c>
      <c r="E888" t="inlineStr">
        <is>
          <t>BRÄCKE</t>
        </is>
      </c>
      <c r="F888" t="inlineStr">
        <is>
          <t>SCA</t>
        </is>
      </c>
      <c r="G888" t="n">
        <v>62.5</v>
      </c>
      <c r="H888" t="n">
        <v>0</v>
      </c>
      <c r="I888" t="n">
        <v>0</v>
      </c>
      <c r="J888" t="n">
        <v>0</v>
      </c>
      <c r="K888" t="n">
        <v>0</v>
      </c>
      <c r="L888" t="n">
        <v>0</v>
      </c>
      <c r="M888" t="n">
        <v>0</v>
      </c>
      <c r="N888" t="n">
        <v>0</v>
      </c>
      <c r="O888" t="n">
        <v>0</v>
      </c>
      <c r="P888" t="n">
        <v>0</v>
      </c>
      <c r="Q888" t="n">
        <v>0</v>
      </c>
      <c r="R888" s="2" t="inlineStr"/>
    </row>
    <row r="889" ht="15" customHeight="1">
      <c r="A889" t="inlineStr">
        <is>
          <t>A 26444-2022</t>
        </is>
      </c>
      <c r="B889" s="1" t="n">
        <v>44739</v>
      </c>
      <c r="C889" s="1" t="n">
        <v>45648</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26458-2022</t>
        </is>
      </c>
      <c r="B890" s="1" t="n">
        <v>44739</v>
      </c>
      <c r="C890" s="1" t="n">
        <v>45648</v>
      </c>
      <c r="D890" t="inlineStr">
        <is>
          <t>JÄMTLANDS LÄN</t>
        </is>
      </c>
      <c r="E890" t="inlineStr">
        <is>
          <t>BRÄCKE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26750-2022</t>
        </is>
      </c>
      <c r="B891" s="1" t="n">
        <v>44740</v>
      </c>
      <c r="C891" s="1" t="n">
        <v>45648</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26751-2022</t>
        </is>
      </c>
      <c r="B892" s="1" t="n">
        <v>44739</v>
      </c>
      <c r="C892" s="1" t="n">
        <v>45648</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27351-2022</t>
        </is>
      </c>
      <c r="B893" s="1" t="n">
        <v>44742</v>
      </c>
      <c r="C893" s="1" t="n">
        <v>45648</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28285-2022</t>
        </is>
      </c>
      <c r="B894" s="1" t="n">
        <v>44746</v>
      </c>
      <c r="C894" s="1" t="n">
        <v>45648</v>
      </c>
      <c r="D894" t="inlineStr">
        <is>
          <t>JÄMTLANDS LÄN</t>
        </is>
      </c>
      <c r="E894" t="inlineStr">
        <is>
          <t>BRÄCKE</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28296-2022</t>
        </is>
      </c>
      <c r="B895" s="1" t="n">
        <v>44747</v>
      </c>
      <c r="C895" s="1" t="n">
        <v>45648</v>
      </c>
      <c r="D895" t="inlineStr">
        <is>
          <t>JÄMTLANDS LÄN</t>
        </is>
      </c>
      <c r="E895" t="inlineStr">
        <is>
          <t>BRÄCKE</t>
        </is>
      </c>
      <c r="F895" t="inlineStr">
        <is>
          <t>SCA</t>
        </is>
      </c>
      <c r="G895" t="n">
        <v>9.9</v>
      </c>
      <c r="H895" t="n">
        <v>0</v>
      </c>
      <c r="I895" t="n">
        <v>0</v>
      </c>
      <c r="J895" t="n">
        <v>0</v>
      </c>
      <c r="K895" t="n">
        <v>0</v>
      </c>
      <c r="L895" t="n">
        <v>0</v>
      </c>
      <c r="M895" t="n">
        <v>0</v>
      </c>
      <c r="N895" t="n">
        <v>0</v>
      </c>
      <c r="O895" t="n">
        <v>0</v>
      </c>
      <c r="P895" t="n">
        <v>0</v>
      </c>
      <c r="Q895" t="n">
        <v>0</v>
      </c>
      <c r="R895" s="2" t="inlineStr"/>
    </row>
    <row r="896" ht="15" customHeight="1">
      <c r="A896" t="inlineStr">
        <is>
          <t>A 28738-2022</t>
        </is>
      </c>
      <c r="B896" s="1" t="n">
        <v>44749</v>
      </c>
      <c r="C896" s="1" t="n">
        <v>45648</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29325-2022</t>
        </is>
      </c>
      <c r="B897" s="1" t="n">
        <v>44752</v>
      </c>
      <c r="C897" s="1" t="n">
        <v>45648</v>
      </c>
      <c r="D897" t="inlineStr">
        <is>
          <t>JÄMTLANDS LÄN</t>
        </is>
      </c>
      <c r="E897" t="inlineStr">
        <is>
          <t>BRÄCKE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29821-2022</t>
        </is>
      </c>
      <c r="B898" s="1" t="n">
        <v>44756</v>
      </c>
      <c r="C898" s="1" t="n">
        <v>45648</v>
      </c>
      <c r="D898" t="inlineStr">
        <is>
          <t>JÄMTLANDS LÄN</t>
        </is>
      </c>
      <c r="E898" t="inlineStr">
        <is>
          <t>BRÄCKE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29835-2022</t>
        </is>
      </c>
      <c r="B899" s="1" t="n">
        <v>44756</v>
      </c>
      <c r="C899" s="1" t="n">
        <v>45648</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29820-2022</t>
        </is>
      </c>
      <c r="B900" s="1" t="n">
        <v>44756</v>
      </c>
      <c r="C900" s="1" t="n">
        <v>45648</v>
      </c>
      <c r="D900" t="inlineStr">
        <is>
          <t>JÄMTLANDS LÄN</t>
        </is>
      </c>
      <c r="E900" t="inlineStr">
        <is>
          <t>BRÄCKE</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29819-2022</t>
        </is>
      </c>
      <c r="B901" s="1" t="n">
        <v>44755</v>
      </c>
      <c r="C901" s="1" t="n">
        <v>45648</v>
      </c>
      <c r="D901" t="inlineStr">
        <is>
          <t>JÄMTLANDS LÄN</t>
        </is>
      </c>
      <c r="E901" t="inlineStr">
        <is>
          <t>BRÄCKE</t>
        </is>
      </c>
      <c r="F901" t="inlineStr">
        <is>
          <t>SCA</t>
        </is>
      </c>
      <c r="G901" t="n">
        <v>28.8</v>
      </c>
      <c r="H901" t="n">
        <v>0</v>
      </c>
      <c r="I901" t="n">
        <v>0</v>
      </c>
      <c r="J901" t="n">
        <v>0</v>
      </c>
      <c r="K901" t="n">
        <v>0</v>
      </c>
      <c r="L901" t="n">
        <v>0</v>
      </c>
      <c r="M901" t="n">
        <v>0</v>
      </c>
      <c r="N901" t="n">
        <v>0</v>
      </c>
      <c r="O901" t="n">
        <v>0</v>
      </c>
      <c r="P901" t="n">
        <v>0</v>
      </c>
      <c r="Q901" t="n">
        <v>0</v>
      </c>
      <c r="R901" s="2" t="inlineStr"/>
    </row>
    <row r="902" ht="15" customHeight="1">
      <c r="A902" t="inlineStr">
        <is>
          <t>A 30258-2022</t>
        </is>
      </c>
      <c r="B902" s="1" t="n">
        <v>44759</v>
      </c>
      <c r="C902" s="1" t="n">
        <v>45648</v>
      </c>
      <c r="D902" t="inlineStr">
        <is>
          <t>JÄMTLANDS LÄN</t>
        </is>
      </c>
      <c r="E902" t="inlineStr">
        <is>
          <t>BRÄCKE</t>
        </is>
      </c>
      <c r="F902" t="inlineStr">
        <is>
          <t>SCA</t>
        </is>
      </c>
      <c r="G902" t="n">
        <v>5</v>
      </c>
      <c r="H902" t="n">
        <v>0</v>
      </c>
      <c r="I902" t="n">
        <v>0</v>
      </c>
      <c r="J902" t="n">
        <v>0</v>
      </c>
      <c r="K902" t="n">
        <v>0</v>
      </c>
      <c r="L902" t="n">
        <v>0</v>
      </c>
      <c r="M902" t="n">
        <v>0</v>
      </c>
      <c r="N902" t="n">
        <v>0</v>
      </c>
      <c r="O902" t="n">
        <v>0</v>
      </c>
      <c r="P902" t="n">
        <v>0</v>
      </c>
      <c r="Q902" t="n">
        <v>0</v>
      </c>
      <c r="R902" s="2" t="inlineStr"/>
    </row>
    <row r="903" ht="15" customHeight="1">
      <c r="A903" t="inlineStr">
        <is>
          <t>A 30479-2022</t>
        </is>
      </c>
      <c r="B903" s="1" t="n">
        <v>44762</v>
      </c>
      <c r="C903" s="1" t="n">
        <v>45648</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30490-2022</t>
        </is>
      </c>
      <c r="B904" s="1" t="n">
        <v>44761</v>
      </c>
      <c r="C904" s="1" t="n">
        <v>45648</v>
      </c>
      <c r="D904" t="inlineStr">
        <is>
          <t>JÄMTLANDS LÄN</t>
        </is>
      </c>
      <c r="E904" t="inlineStr">
        <is>
          <t>BRÄCKE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30478-2022</t>
        </is>
      </c>
      <c r="B905" s="1" t="n">
        <v>44761</v>
      </c>
      <c r="C905" s="1" t="n">
        <v>45648</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30483-2022</t>
        </is>
      </c>
      <c r="B906" s="1" t="n">
        <v>44762</v>
      </c>
      <c r="C906" s="1" t="n">
        <v>45648</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30480-2022</t>
        </is>
      </c>
      <c r="B907" s="1" t="n">
        <v>44762</v>
      </c>
      <c r="C907" s="1" t="n">
        <v>45648</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30603-2022</t>
        </is>
      </c>
      <c r="B908" s="1" t="n">
        <v>44763</v>
      </c>
      <c r="C908" s="1" t="n">
        <v>45648</v>
      </c>
      <c r="D908" t="inlineStr">
        <is>
          <t>JÄMTLANDS LÄN</t>
        </is>
      </c>
      <c r="E908" t="inlineStr">
        <is>
          <t>BRÄCKE</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30604-2022</t>
        </is>
      </c>
      <c r="B909" s="1" t="n">
        <v>44763</v>
      </c>
      <c r="C909" s="1" t="n">
        <v>45648</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30719-2022</t>
        </is>
      </c>
      <c r="B910" s="1" t="n">
        <v>44764</v>
      </c>
      <c r="C910" s="1" t="n">
        <v>45648</v>
      </c>
      <c r="D910" t="inlineStr">
        <is>
          <t>JÄMTLANDS LÄN</t>
        </is>
      </c>
      <c r="E910" t="inlineStr">
        <is>
          <t>BRÄCKE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30810-2022</t>
        </is>
      </c>
      <c r="B911" s="1" t="n">
        <v>44765</v>
      </c>
      <c r="C911" s="1" t="n">
        <v>45648</v>
      </c>
      <c r="D911" t="inlineStr">
        <is>
          <t>JÄMTLANDS LÄN</t>
        </is>
      </c>
      <c r="E911" t="inlineStr">
        <is>
          <t>BRÄCKE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30811-2022</t>
        </is>
      </c>
      <c r="B912" s="1" t="n">
        <v>44764</v>
      </c>
      <c r="C912" s="1" t="n">
        <v>45648</v>
      </c>
      <c r="D912" t="inlineStr">
        <is>
          <t>JÄMTLANDS LÄN</t>
        </is>
      </c>
      <c r="E912" t="inlineStr">
        <is>
          <t>BRÄCKE</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31467-2022</t>
        </is>
      </c>
      <c r="B913" s="1" t="n">
        <v>44774</v>
      </c>
      <c r="C913" s="1" t="n">
        <v>45648</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31466-2022</t>
        </is>
      </c>
      <c r="B914" s="1" t="n">
        <v>44774</v>
      </c>
      <c r="C914" s="1" t="n">
        <v>45648</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31521-2022</t>
        </is>
      </c>
      <c r="B915" s="1" t="n">
        <v>44775</v>
      </c>
      <c r="C915" s="1" t="n">
        <v>45648</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31520-2022</t>
        </is>
      </c>
      <c r="B916" s="1" t="n">
        <v>44775</v>
      </c>
      <c r="C916" s="1" t="n">
        <v>45648</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31516-2022</t>
        </is>
      </c>
      <c r="B917" s="1" t="n">
        <v>44775</v>
      </c>
      <c r="C917" s="1" t="n">
        <v>45648</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31844-2022</t>
        </is>
      </c>
      <c r="B918" s="1" t="n">
        <v>44777</v>
      </c>
      <c r="C918" s="1" t="n">
        <v>45648</v>
      </c>
      <c r="D918" t="inlineStr">
        <is>
          <t>JÄMTLANDS LÄN</t>
        </is>
      </c>
      <c r="E918" t="inlineStr">
        <is>
          <t>BRÄCKE</t>
        </is>
      </c>
      <c r="G918" t="n">
        <v>13.7</v>
      </c>
      <c r="H918" t="n">
        <v>0</v>
      </c>
      <c r="I918" t="n">
        <v>0</v>
      </c>
      <c r="J918" t="n">
        <v>0</v>
      </c>
      <c r="K918" t="n">
        <v>0</v>
      </c>
      <c r="L918" t="n">
        <v>0</v>
      </c>
      <c r="M918" t="n">
        <v>0</v>
      </c>
      <c r="N918" t="n">
        <v>0</v>
      </c>
      <c r="O918" t="n">
        <v>0</v>
      </c>
      <c r="P918" t="n">
        <v>0</v>
      </c>
      <c r="Q918" t="n">
        <v>0</v>
      </c>
      <c r="R918" s="2" t="inlineStr"/>
    </row>
    <row r="919" ht="15" customHeight="1">
      <c r="A919" t="inlineStr">
        <is>
          <t>A 31853-2022</t>
        </is>
      </c>
      <c r="B919" s="1" t="n">
        <v>44776</v>
      </c>
      <c r="C919" s="1" t="n">
        <v>45648</v>
      </c>
      <c r="D919" t="inlineStr">
        <is>
          <t>JÄMTLANDS LÄN</t>
        </is>
      </c>
      <c r="E919" t="inlineStr">
        <is>
          <t>BRÄCKE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31843-2022</t>
        </is>
      </c>
      <c r="B920" s="1" t="n">
        <v>44777</v>
      </c>
      <c r="C920" s="1" t="n">
        <v>45648</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31978-2022</t>
        </is>
      </c>
      <c r="B921" s="1" t="n">
        <v>44778</v>
      </c>
      <c r="C921" s="1" t="n">
        <v>45648</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31982-2022</t>
        </is>
      </c>
      <c r="B922" s="1" t="n">
        <v>44778</v>
      </c>
      <c r="C922" s="1" t="n">
        <v>45648</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31980-2022</t>
        </is>
      </c>
      <c r="B923" s="1" t="n">
        <v>44777</v>
      </c>
      <c r="C923" s="1" t="n">
        <v>45648</v>
      </c>
      <c r="D923" t="inlineStr">
        <is>
          <t>JÄMTLANDS LÄN</t>
        </is>
      </c>
      <c r="E923" t="inlineStr">
        <is>
          <t>BRÄCKE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32141-2022</t>
        </is>
      </c>
      <c r="B924" s="1" t="n">
        <v>44779</v>
      </c>
      <c r="C924" s="1" t="n">
        <v>45648</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32533-2022</t>
        </is>
      </c>
      <c r="B925" s="1" t="n">
        <v>44783</v>
      </c>
      <c r="C925" s="1" t="n">
        <v>45648</v>
      </c>
      <c r="D925" t="inlineStr">
        <is>
          <t>JÄMTLANDS LÄN</t>
        </is>
      </c>
      <c r="E925" t="inlineStr">
        <is>
          <t>BRÄCKE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32964-2022</t>
        </is>
      </c>
      <c r="B926" s="1" t="n">
        <v>44785</v>
      </c>
      <c r="C926" s="1" t="n">
        <v>45648</v>
      </c>
      <c r="D926" t="inlineStr">
        <is>
          <t>JÄMTLANDS LÄN</t>
        </is>
      </c>
      <c r="E926" t="inlineStr">
        <is>
          <t>BRÄCKE</t>
        </is>
      </c>
      <c r="G926" t="n">
        <v>2.6</v>
      </c>
      <c r="H926" t="n">
        <v>0</v>
      </c>
      <c r="I926" t="n">
        <v>0</v>
      </c>
      <c r="J926" t="n">
        <v>0</v>
      </c>
      <c r="K926" t="n">
        <v>0</v>
      </c>
      <c r="L926" t="n">
        <v>0</v>
      </c>
      <c r="M926" t="n">
        <v>0</v>
      </c>
      <c r="N926" t="n">
        <v>0</v>
      </c>
      <c r="O926" t="n">
        <v>0</v>
      </c>
      <c r="P926" t="n">
        <v>0</v>
      </c>
      <c r="Q926" t="n">
        <v>0</v>
      </c>
      <c r="R926" s="2" t="inlineStr"/>
    </row>
    <row r="927" ht="15" customHeight="1">
      <c r="A927" t="inlineStr">
        <is>
          <t>A 32963-2022</t>
        </is>
      </c>
      <c r="B927" s="1" t="n">
        <v>44785</v>
      </c>
      <c r="C927" s="1" t="n">
        <v>45648</v>
      </c>
      <c r="D927" t="inlineStr">
        <is>
          <t>JÄMTLANDS LÄN</t>
        </is>
      </c>
      <c r="E927" t="inlineStr">
        <is>
          <t>BRÄCKE</t>
        </is>
      </c>
      <c r="G927" t="n">
        <v>5.2</v>
      </c>
      <c r="H927" t="n">
        <v>0</v>
      </c>
      <c r="I927" t="n">
        <v>0</v>
      </c>
      <c r="J927" t="n">
        <v>0</v>
      </c>
      <c r="K927" t="n">
        <v>0</v>
      </c>
      <c r="L927" t="n">
        <v>0</v>
      </c>
      <c r="M927" t="n">
        <v>0</v>
      </c>
      <c r="N927" t="n">
        <v>0</v>
      </c>
      <c r="O927" t="n">
        <v>0</v>
      </c>
      <c r="P927" t="n">
        <v>0</v>
      </c>
      <c r="Q927" t="n">
        <v>0</v>
      </c>
      <c r="R927" s="2" t="inlineStr"/>
    </row>
    <row r="928" ht="15" customHeight="1">
      <c r="A928" t="inlineStr">
        <is>
          <t>A 33234-2022</t>
        </is>
      </c>
      <c r="B928" s="1" t="n">
        <v>44786</v>
      </c>
      <c r="C928" s="1" t="n">
        <v>45648</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33243-2022</t>
        </is>
      </c>
      <c r="B929" s="1" t="n">
        <v>44787</v>
      </c>
      <c r="C929" s="1" t="n">
        <v>45648</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33481-2022</t>
        </is>
      </c>
      <c r="B930" s="1" t="n">
        <v>44788</v>
      </c>
      <c r="C930" s="1" t="n">
        <v>45648</v>
      </c>
      <c r="D930" t="inlineStr">
        <is>
          <t>JÄMTLANDS LÄN</t>
        </is>
      </c>
      <c r="E930" t="inlineStr">
        <is>
          <t>BRÄCKE</t>
        </is>
      </c>
      <c r="F930" t="inlineStr">
        <is>
          <t>Sveaskog</t>
        </is>
      </c>
      <c r="G930" t="n">
        <v>3.4</v>
      </c>
      <c r="H930" t="n">
        <v>0</v>
      </c>
      <c r="I930" t="n">
        <v>0</v>
      </c>
      <c r="J930" t="n">
        <v>0</v>
      </c>
      <c r="K930" t="n">
        <v>0</v>
      </c>
      <c r="L930" t="n">
        <v>0</v>
      </c>
      <c r="M930" t="n">
        <v>0</v>
      </c>
      <c r="N930" t="n">
        <v>0</v>
      </c>
      <c r="O930" t="n">
        <v>0</v>
      </c>
      <c r="P930" t="n">
        <v>0</v>
      </c>
      <c r="Q930" t="n">
        <v>0</v>
      </c>
      <c r="R930" s="2" t="inlineStr"/>
    </row>
    <row r="931" ht="15" customHeight="1">
      <c r="A931" t="inlineStr">
        <is>
          <t>A 33482-2022</t>
        </is>
      </c>
      <c r="B931" s="1" t="n">
        <v>44788</v>
      </c>
      <c r="C931" s="1" t="n">
        <v>45648</v>
      </c>
      <c r="D931" t="inlineStr">
        <is>
          <t>JÄMTLANDS LÄN</t>
        </is>
      </c>
      <c r="E931" t="inlineStr">
        <is>
          <t>BRÄCKE</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33483-2022</t>
        </is>
      </c>
      <c r="B932" s="1" t="n">
        <v>44788</v>
      </c>
      <c r="C932" s="1" t="n">
        <v>45648</v>
      </c>
      <c r="D932" t="inlineStr">
        <is>
          <t>JÄMTLANDS LÄN</t>
        </is>
      </c>
      <c r="E932" t="inlineStr">
        <is>
          <t>BRÄCKE</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36714-2022</t>
        </is>
      </c>
      <c r="B933" s="1" t="n">
        <v>44789</v>
      </c>
      <c r="C933" s="1" t="n">
        <v>45648</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33992-2022</t>
        </is>
      </c>
      <c r="B934" s="1" t="n">
        <v>44791</v>
      </c>
      <c r="C934" s="1" t="n">
        <v>45648</v>
      </c>
      <c r="D934" t="inlineStr">
        <is>
          <t>JÄMTLANDS LÄN</t>
        </is>
      </c>
      <c r="E934" t="inlineStr">
        <is>
          <t>BRÄCKE</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33998-2022</t>
        </is>
      </c>
      <c r="B935" s="1" t="n">
        <v>44791</v>
      </c>
      <c r="C935" s="1" t="n">
        <v>45648</v>
      </c>
      <c r="D935" t="inlineStr">
        <is>
          <t>JÄMTLANDS LÄN</t>
        </is>
      </c>
      <c r="E935" t="inlineStr">
        <is>
          <t>BRÄCKE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33993-2022</t>
        </is>
      </c>
      <c r="B936" s="1" t="n">
        <v>44790</v>
      </c>
      <c r="C936" s="1" t="n">
        <v>45648</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34315-2022</t>
        </is>
      </c>
      <c r="B937" s="1" t="n">
        <v>44792</v>
      </c>
      <c r="C937" s="1" t="n">
        <v>45648</v>
      </c>
      <c r="D937" t="inlineStr">
        <is>
          <t>JÄMTLANDS LÄN</t>
        </is>
      </c>
      <c r="E937" t="inlineStr">
        <is>
          <t>BRÄCKE</t>
        </is>
      </c>
      <c r="G937" t="n">
        <v>4.9</v>
      </c>
      <c r="H937" t="n">
        <v>0</v>
      </c>
      <c r="I937" t="n">
        <v>0</v>
      </c>
      <c r="J937" t="n">
        <v>0</v>
      </c>
      <c r="K937" t="n">
        <v>0</v>
      </c>
      <c r="L937" t="n">
        <v>0</v>
      </c>
      <c r="M937" t="n">
        <v>0</v>
      </c>
      <c r="N937" t="n">
        <v>0</v>
      </c>
      <c r="O937" t="n">
        <v>0</v>
      </c>
      <c r="P937" t="n">
        <v>0</v>
      </c>
      <c r="Q937" t="n">
        <v>0</v>
      </c>
      <c r="R937" s="2" t="inlineStr"/>
    </row>
    <row r="938" ht="15" customHeight="1">
      <c r="A938" t="inlineStr">
        <is>
          <t>A 34531-2022</t>
        </is>
      </c>
      <c r="B938" s="1" t="n">
        <v>44793</v>
      </c>
      <c r="C938" s="1" t="n">
        <v>45648</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34530-2022</t>
        </is>
      </c>
      <c r="B939" s="1" t="n">
        <v>44793</v>
      </c>
      <c r="C939" s="1" t="n">
        <v>45648</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35010-2022</t>
        </is>
      </c>
      <c r="B940" s="1" t="n">
        <v>44797</v>
      </c>
      <c r="C940" s="1" t="n">
        <v>45648</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35182-2022</t>
        </is>
      </c>
      <c r="B941" s="1" t="n">
        <v>44797</v>
      </c>
      <c r="C941" s="1" t="n">
        <v>45648</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35232-2022</t>
        </is>
      </c>
      <c r="B942" s="1" t="n">
        <v>44797</v>
      </c>
      <c r="C942" s="1" t="n">
        <v>45648</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35501-2022</t>
        </is>
      </c>
      <c r="B943" s="1" t="n">
        <v>44799</v>
      </c>
      <c r="C943" s="1" t="n">
        <v>45648</v>
      </c>
      <c r="D943" t="inlineStr">
        <is>
          <t>JÄMTLANDS LÄN</t>
        </is>
      </c>
      <c r="E943" t="inlineStr">
        <is>
          <t>BRÄCKE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35511-2022</t>
        </is>
      </c>
      <c r="B944" s="1" t="n">
        <v>44798</v>
      </c>
      <c r="C944" s="1" t="n">
        <v>45648</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35512-2022</t>
        </is>
      </c>
      <c r="B945" s="1" t="n">
        <v>44799</v>
      </c>
      <c r="C945" s="1" t="n">
        <v>45648</v>
      </c>
      <c r="D945" t="inlineStr">
        <is>
          <t>JÄMTLANDS LÄN</t>
        </is>
      </c>
      <c r="E945" t="inlineStr">
        <is>
          <t>BRÄCKE</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35746-2022</t>
        </is>
      </c>
      <c r="B946" s="1" t="n">
        <v>44800</v>
      </c>
      <c r="C946" s="1" t="n">
        <v>45648</v>
      </c>
      <c r="D946" t="inlineStr">
        <is>
          <t>JÄMTLANDS LÄN</t>
        </is>
      </c>
      <c r="E946" t="inlineStr">
        <is>
          <t>BRÄCKE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36129-2022</t>
        </is>
      </c>
      <c r="B947" s="1" t="n">
        <v>44803</v>
      </c>
      <c r="C947" s="1" t="n">
        <v>45648</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36364-2022</t>
        </is>
      </c>
      <c r="B948" s="1" t="n">
        <v>44804</v>
      </c>
      <c r="C948" s="1" t="n">
        <v>45648</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36392-2022</t>
        </is>
      </c>
      <c r="B949" s="1" t="n">
        <v>44804</v>
      </c>
      <c r="C949" s="1" t="n">
        <v>45648</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36389-2022</t>
        </is>
      </c>
      <c r="B950" s="1" t="n">
        <v>44803</v>
      </c>
      <c r="C950" s="1" t="n">
        <v>45648</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36685-2022</t>
        </is>
      </c>
      <c r="B951" s="1" t="n">
        <v>44804</v>
      </c>
      <c r="C951" s="1" t="n">
        <v>45648</v>
      </c>
      <c r="D951" t="inlineStr">
        <is>
          <t>JÄMTLANDS LÄN</t>
        </is>
      </c>
      <c r="E951" t="inlineStr">
        <is>
          <t>BRÄCKE</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36840-2022</t>
        </is>
      </c>
      <c r="B952" s="1" t="n">
        <v>44805</v>
      </c>
      <c r="C952" s="1" t="n">
        <v>45648</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37032-2022</t>
        </is>
      </c>
      <c r="B953" s="1" t="n">
        <v>44806</v>
      </c>
      <c r="C953" s="1" t="n">
        <v>45648</v>
      </c>
      <c r="D953" t="inlineStr">
        <is>
          <t>JÄMTLANDS LÄN</t>
        </is>
      </c>
      <c r="E953" t="inlineStr">
        <is>
          <t>BRÄCKE</t>
        </is>
      </c>
      <c r="G953" t="n">
        <v>0.7</v>
      </c>
      <c r="H953" t="n">
        <v>0</v>
      </c>
      <c r="I953" t="n">
        <v>0</v>
      </c>
      <c r="J953" t="n">
        <v>0</v>
      </c>
      <c r="K953" t="n">
        <v>0</v>
      </c>
      <c r="L953" t="n">
        <v>0</v>
      </c>
      <c r="M953" t="n">
        <v>0</v>
      </c>
      <c r="N953" t="n">
        <v>0</v>
      </c>
      <c r="O953" t="n">
        <v>0</v>
      </c>
      <c r="P953" t="n">
        <v>0</v>
      </c>
      <c r="Q953" t="n">
        <v>0</v>
      </c>
      <c r="R953" s="2" t="inlineStr"/>
    </row>
    <row r="954" ht="15" customHeight="1">
      <c r="A954" t="inlineStr">
        <is>
          <t>A 37232-2022</t>
        </is>
      </c>
      <c r="B954" s="1" t="n">
        <v>44806</v>
      </c>
      <c r="C954" s="1" t="n">
        <v>45648</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37229-2022</t>
        </is>
      </c>
      <c r="B955" s="1" t="n">
        <v>44807</v>
      </c>
      <c r="C955" s="1" t="n">
        <v>45648</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37234-2022</t>
        </is>
      </c>
      <c r="B956" s="1" t="n">
        <v>44807</v>
      </c>
      <c r="C956" s="1" t="n">
        <v>45648</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37650-2022</t>
        </is>
      </c>
      <c r="B957" s="1" t="n">
        <v>44810</v>
      </c>
      <c r="C957" s="1" t="n">
        <v>45648</v>
      </c>
      <c r="D957" t="inlineStr">
        <is>
          <t>JÄMTLANDS LÄN</t>
        </is>
      </c>
      <c r="E957" t="inlineStr">
        <is>
          <t>BRÄCKE</t>
        </is>
      </c>
      <c r="G957" t="n">
        <v>2.3</v>
      </c>
      <c r="H957" t="n">
        <v>0</v>
      </c>
      <c r="I957" t="n">
        <v>0</v>
      </c>
      <c r="J957" t="n">
        <v>0</v>
      </c>
      <c r="K957" t="n">
        <v>0</v>
      </c>
      <c r="L957" t="n">
        <v>0</v>
      </c>
      <c r="M957" t="n">
        <v>0</v>
      </c>
      <c r="N957" t="n">
        <v>0</v>
      </c>
      <c r="O957" t="n">
        <v>0</v>
      </c>
      <c r="P957" t="n">
        <v>0</v>
      </c>
      <c r="Q957" t="n">
        <v>0</v>
      </c>
      <c r="R957" s="2" t="inlineStr"/>
    </row>
    <row r="958" ht="15" customHeight="1">
      <c r="A958" t="inlineStr">
        <is>
          <t>A 37829-2022</t>
        </is>
      </c>
      <c r="B958" s="1" t="n">
        <v>44811</v>
      </c>
      <c r="C958" s="1" t="n">
        <v>45648</v>
      </c>
      <c r="D958" t="inlineStr">
        <is>
          <t>JÄMTLANDS LÄN</t>
        </is>
      </c>
      <c r="E958" t="inlineStr">
        <is>
          <t>BRÄCKE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37828-2022</t>
        </is>
      </c>
      <c r="B959" s="1" t="n">
        <v>44811</v>
      </c>
      <c r="C959" s="1" t="n">
        <v>45648</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39701-2022</t>
        </is>
      </c>
      <c r="B960" s="1" t="n">
        <v>44818</v>
      </c>
      <c r="C960" s="1" t="n">
        <v>45648</v>
      </c>
      <c r="D960" t="inlineStr">
        <is>
          <t>JÄMTLANDS LÄN</t>
        </is>
      </c>
      <c r="E960" t="inlineStr">
        <is>
          <t>BRÄCKE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39702-2022</t>
        </is>
      </c>
      <c r="B961" s="1" t="n">
        <v>44818</v>
      </c>
      <c r="C961" s="1" t="n">
        <v>45648</v>
      </c>
      <c r="D961" t="inlineStr">
        <is>
          <t>JÄMTLANDS LÄN</t>
        </is>
      </c>
      <c r="E961" t="inlineStr">
        <is>
          <t>BRÄCKE</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39704-2022</t>
        </is>
      </c>
      <c r="B962" s="1" t="n">
        <v>44818</v>
      </c>
      <c r="C962" s="1" t="n">
        <v>45648</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39703-2022</t>
        </is>
      </c>
      <c r="B963" s="1" t="n">
        <v>44818</v>
      </c>
      <c r="C963" s="1" t="n">
        <v>45648</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39937-2022</t>
        </is>
      </c>
      <c r="B964" s="1" t="n">
        <v>44820</v>
      </c>
      <c r="C964" s="1" t="n">
        <v>45648</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39930-2022</t>
        </is>
      </c>
      <c r="B965" s="1" t="n">
        <v>44819</v>
      </c>
      <c r="C965" s="1" t="n">
        <v>45648</v>
      </c>
      <c r="D965" t="inlineStr">
        <is>
          <t>JÄMTLANDS LÄN</t>
        </is>
      </c>
      <c r="E965" t="inlineStr">
        <is>
          <t>BRÄCKE</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40278-2022</t>
        </is>
      </c>
      <c r="B966" s="1" t="n">
        <v>44820</v>
      </c>
      <c r="C966" s="1" t="n">
        <v>45648</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40268-2022</t>
        </is>
      </c>
      <c r="B967" s="1" t="n">
        <v>44821</v>
      </c>
      <c r="C967" s="1" t="n">
        <v>45648</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40285-2022</t>
        </is>
      </c>
      <c r="B968" s="1" t="n">
        <v>44821</v>
      </c>
      <c r="C968" s="1" t="n">
        <v>45648</v>
      </c>
      <c r="D968" t="inlineStr">
        <is>
          <t>JÄMTLANDS LÄN</t>
        </is>
      </c>
      <c r="E968" t="inlineStr">
        <is>
          <t>BRÄCKE</t>
        </is>
      </c>
      <c r="F968" t="inlineStr">
        <is>
          <t>SCA</t>
        </is>
      </c>
      <c r="G968" t="n">
        <v>9.5</v>
      </c>
      <c r="H968" t="n">
        <v>0</v>
      </c>
      <c r="I968" t="n">
        <v>0</v>
      </c>
      <c r="J968" t="n">
        <v>0</v>
      </c>
      <c r="K968" t="n">
        <v>0</v>
      </c>
      <c r="L968" t="n">
        <v>0</v>
      </c>
      <c r="M968" t="n">
        <v>0</v>
      </c>
      <c r="N968" t="n">
        <v>0</v>
      </c>
      <c r="O968" t="n">
        <v>0</v>
      </c>
      <c r="P968" t="n">
        <v>0</v>
      </c>
      <c r="Q968" t="n">
        <v>0</v>
      </c>
      <c r="R968" s="2" t="inlineStr"/>
    </row>
    <row r="969" ht="15" customHeight="1">
      <c r="A969" t="inlineStr">
        <is>
          <t>A 40711-2022</t>
        </is>
      </c>
      <c r="B969" s="1" t="n">
        <v>44820</v>
      </c>
      <c r="C969" s="1" t="n">
        <v>45648</v>
      </c>
      <c r="D969" t="inlineStr">
        <is>
          <t>JÄMTLANDS LÄN</t>
        </is>
      </c>
      <c r="E969" t="inlineStr">
        <is>
          <t>BRÄCKE</t>
        </is>
      </c>
      <c r="G969" t="n">
        <v>5.4</v>
      </c>
      <c r="H969" t="n">
        <v>0</v>
      </c>
      <c r="I969" t="n">
        <v>0</v>
      </c>
      <c r="J969" t="n">
        <v>0</v>
      </c>
      <c r="K969" t="n">
        <v>0</v>
      </c>
      <c r="L969" t="n">
        <v>0</v>
      </c>
      <c r="M969" t="n">
        <v>0</v>
      </c>
      <c r="N969" t="n">
        <v>0</v>
      </c>
      <c r="O969" t="n">
        <v>0</v>
      </c>
      <c r="P969" t="n">
        <v>0</v>
      </c>
      <c r="Q969" t="n">
        <v>0</v>
      </c>
      <c r="R969" s="2" t="inlineStr"/>
    </row>
    <row r="970" ht="15" customHeight="1">
      <c r="A970" t="inlineStr">
        <is>
          <t>A 40440-2022</t>
        </is>
      </c>
      <c r="B970" s="1" t="n">
        <v>44823</v>
      </c>
      <c r="C970" s="1" t="n">
        <v>45648</v>
      </c>
      <c r="D970" t="inlineStr">
        <is>
          <t>JÄMTLANDS LÄN</t>
        </is>
      </c>
      <c r="E970" t="inlineStr">
        <is>
          <t>BRÄCKE</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40675-2022</t>
        </is>
      </c>
      <c r="B971" s="1" t="n">
        <v>44824</v>
      </c>
      <c r="C971" s="1" t="n">
        <v>45648</v>
      </c>
      <c r="D971" t="inlineStr">
        <is>
          <t>JÄMTLANDS LÄN</t>
        </is>
      </c>
      <c r="E971" t="inlineStr">
        <is>
          <t>BRÄCKE</t>
        </is>
      </c>
      <c r="G971" t="n">
        <v>1.6</v>
      </c>
      <c r="H971" t="n">
        <v>0</v>
      </c>
      <c r="I971" t="n">
        <v>0</v>
      </c>
      <c r="J971" t="n">
        <v>0</v>
      </c>
      <c r="K971" t="n">
        <v>0</v>
      </c>
      <c r="L971" t="n">
        <v>0</v>
      </c>
      <c r="M971" t="n">
        <v>0</v>
      </c>
      <c r="N971" t="n">
        <v>0</v>
      </c>
      <c r="O971" t="n">
        <v>0</v>
      </c>
      <c r="P971" t="n">
        <v>0</v>
      </c>
      <c r="Q971" t="n">
        <v>0</v>
      </c>
      <c r="R971" s="2" t="inlineStr"/>
    </row>
    <row r="972" ht="15" customHeight="1">
      <c r="A972" t="inlineStr">
        <is>
          <t>A 40903-2022</t>
        </is>
      </c>
      <c r="B972" s="1" t="n">
        <v>44825</v>
      </c>
      <c r="C972" s="1" t="n">
        <v>45648</v>
      </c>
      <c r="D972" t="inlineStr">
        <is>
          <t>JÄMTLANDS LÄN</t>
        </is>
      </c>
      <c r="E972" t="inlineStr">
        <is>
          <t>BRÄCKE</t>
        </is>
      </c>
      <c r="G972" t="n">
        <v>65.59999999999999</v>
      </c>
      <c r="H972" t="n">
        <v>0</v>
      </c>
      <c r="I972" t="n">
        <v>0</v>
      </c>
      <c r="J972" t="n">
        <v>0</v>
      </c>
      <c r="K972" t="n">
        <v>0</v>
      </c>
      <c r="L972" t="n">
        <v>0</v>
      </c>
      <c r="M972" t="n">
        <v>0</v>
      </c>
      <c r="N972" t="n">
        <v>0</v>
      </c>
      <c r="O972" t="n">
        <v>0</v>
      </c>
      <c r="P972" t="n">
        <v>0</v>
      </c>
      <c r="Q972" t="n">
        <v>0</v>
      </c>
      <c r="R972" s="2" t="inlineStr"/>
    </row>
    <row r="973" ht="15" customHeight="1">
      <c r="A973" t="inlineStr">
        <is>
          <t>A 41175-2022</t>
        </is>
      </c>
      <c r="B973" s="1" t="n">
        <v>44826</v>
      </c>
      <c r="C973" s="1" t="n">
        <v>45648</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41182-2022</t>
        </is>
      </c>
      <c r="B974" s="1" t="n">
        <v>44826</v>
      </c>
      <c r="C974" s="1" t="n">
        <v>45648</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41817-2022</t>
        </is>
      </c>
      <c r="B975" s="1" t="n">
        <v>44827</v>
      </c>
      <c r="C975" s="1" t="n">
        <v>45648</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42113-2022</t>
        </is>
      </c>
      <c r="B976" s="1" t="n">
        <v>44830</v>
      </c>
      <c r="C976" s="1" t="n">
        <v>45648</v>
      </c>
      <c r="D976" t="inlineStr">
        <is>
          <t>JÄMTLANDS LÄN</t>
        </is>
      </c>
      <c r="E976" t="inlineStr">
        <is>
          <t>BRÄCKE</t>
        </is>
      </c>
      <c r="F976" t="inlineStr">
        <is>
          <t>Övriga Aktiebolag</t>
        </is>
      </c>
      <c r="G976" t="n">
        <v>3.6</v>
      </c>
      <c r="H976" t="n">
        <v>0</v>
      </c>
      <c r="I976" t="n">
        <v>0</v>
      </c>
      <c r="J976" t="n">
        <v>0</v>
      </c>
      <c r="K976" t="n">
        <v>0</v>
      </c>
      <c r="L976" t="n">
        <v>0</v>
      </c>
      <c r="M976" t="n">
        <v>0</v>
      </c>
      <c r="N976" t="n">
        <v>0</v>
      </c>
      <c r="O976" t="n">
        <v>0</v>
      </c>
      <c r="P976" t="n">
        <v>0</v>
      </c>
      <c r="Q976" t="n">
        <v>0</v>
      </c>
      <c r="R976" s="2" t="inlineStr"/>
    </row>
    <row r="977" ht="15" customHeight="1">
      <c r="A977" t="inlineStr">
        <is>
          <t>A 42288-2022</t>
        </is>
      </c>
      <c r="B977" s="1" t="n">
        <v>44830</v>
      </c>
      <c r="C977" s="1" t="n">
        <v>45648</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42290-2022</t>
        </is>
      </c>
      <c r="B978" s="1" t="n">
        <v>44830</v>
      </c>
      <c r="C978" s="1" t="n">
        <v>45648</v>
      </c>
      <c r="D978" t="inlineStr">
        <is>
          <t>JÄMTLANDS LÄN</t>
        </is>
      </c>
      <c r="E978" t="inlineStr">
        <is>
          <t>BRÄCKE</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42656-2022</t>
        </is>
      </c>
      <c r="B979" s="1" t="n">
        <v>44831</v>
      </c>
      <c r="C979" s="1" t="n">
        <v>45648</v>
      </c>
      <c r="D979" t="inlineStr">
        <is>
          <t>JÄMTLANDS LÄN</t>
        </is>
      </c>
      <c r="E979" t="inlineStr">
        <is>
          <t>BRÄCKE</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42894-2022</t>
        </is>
      </c>
      <c r="B980" s="1" t="n">
        <v>44833</v>
      </c>
      <c r="C980" s="1" t="n">
        <v>45648</v>
      </c>
      <c r="D980" t="inlineStr">
        <is>
          <t>JÄMTLANDS LÄN</t>
        </is>
      </c>
      <c r="E980" t="inlineStr">
        <is>
          <t>BRÄCKE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43142-2022</t>
        </is>
      </c>
      <c r="B981" s="1" t="n">
        <v>44834</v>
      </c>
      <c r="C981" s="1" t="n">
        <v>45648</v>
      </c>
      <c r="D981" t="inlineStr">
        <is>
          <t>JÄMTLANDS LÄN</t>
        </is>
      </c>
      <c r="E981" t="inlineStr">
        <is>
          <t>BRÄCKE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43126-2022</t>
        </is>
      </c>
      <c r="B982" s="1" t="n">
        <v>44833</v>
      </c>
      <c r="C982" s="1" t="n">
        <v>45648</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43421-2022</t>
        </is>
      </c>
      <c r="B983" s="1" t="n">
        <v>44834</v>
      </c>
      <c r="C983" s="1" t="n">
        <v>45648</v>
      </c>
      <c r="D983" t="inlineStr">
        <is>
          <t>JÄMTLANDS LÄN</t>
        </is>
      </c>
      <c r="E983" t="inlineStr">
        <is>
          <t>BRÄCKE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43789-2022</t>
        </is>
      </c>
      <c r="B984" s="1" t="n">
        <v>44837</v>
      </c>
      <c r="C984" s="1" t="n">
        <v>45648</v>
      </c>
      <c r="D984" t="inlineStr">
        <is>
          <t>JÄMTLANDS LÄN</t>
        </is>
      </c>
      <c r="E984" t="inlineStr">
        <is>
          <t>BRÄCKE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43785-2022</t>
        </is>
      </c>
      <c r="B985" s="1" t="n">
        <v>44837</v>
      </c>
      <c r="C985" s="1" t="n">
        <v>45648</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44445-2022</t>
        </is>
      </c>
      <c r="B986" s="1" t="n">
        <v>44840</v>
      </c>
      <c r="C986" s="1" t="n">
        <v>45648</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44444-2022</t>
        </is>
      </c>
      <c r="B987" s="1" t="n">
        <v>44840</v>
      </c>
      <c r="C987" s="1" t="n">
        <v>45648</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44743-2022</t>
        </is>
      </c>
      <c r="B988" s="1" t="n">
        <v>44840</v>
      </c>
      <c r="C988" s="1" t="n">
        <v>45648</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44752-2022</t>
        </is>
      </c>
      <c r="B989" s="1" t="n">
        <v>44840</v>
      </c>
      <c r="C989" s="1" t="n">
        <v>45648</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44753-2022</t>
        </is>
      </c>
      <c r="B990" s="1" t="n">
        <v>44840</v>
      </c>
      <c r="C990" s="1" t="n">
        <v>45648</v>
      </c>
      <c r="D990" t="inlineStr">
        <is>
          <t>JÄMTLANDS LÄN</t>
        </is>
      </c>
      <c r="E990" t="inlineStr">
        <is>
          <t>BRÄCKE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45304-2022</t>
        </is>
      </c>
      <c r="B991" s="1" t="n">
        <v>44841</v>
      </c>
      <c r="C991" s="1" t="n">
        <v>45648</v>
      </c>
      <c r="D991" t="inlineStr">
        <is>
          <t>JÄMTLANDS LÄN</t>
        </is>
      </c>
      <c r="E991" t="inlineStr">
        <is>
          <t>BRÄCKE</t>
        </is>
      </c>
      <c r="G991" t="n">
        <v>3.8</v>
      </c>
      <c r="H991" t="n">
        <v>0</v>
      </c>
      <c r="I991" t="n">
        <v>0</v>
      </c>
      <c r="J991" t="n">
        <v>0</v>
      </c>
      <c r="K991" t="n">
        <v>0</v>
      </c>
      <c r="L991" t="n">
        <v>0</v>
      </c>
      <c r="M991" t="n">
        <v>0</v>
      </c>
      <c r="N991" t="n">
        <v>0</v>
      </c>
      <c r="O991" t="n">
        <v>0</v>
      </c>
      <c r="P991" t="n">
        <v>0</v>
      </c>
      <c r="Q991" t="n">
        <v>0</v>
      </c>
      <c r="R991" s="2" t="inlineStr"/>
    </row>
    <row r="992" ht="15" customHeight="1">
      <c r="A992" t="inlineStr">
        <is>
          <t>A 45426-2022</t>
        </is>
      </c>
      <c r="B992" s="1" t="n">
        <v>44844</v>
      </c>
      <c r="C992" s="1" t="n">
        <v>45648</v>
      </c>
      <c r="D992" t="inlineStr">
        <is>
          <t>JÄMTLANDS LÄN</t>
        </is>
      </c>
      <c r="E992" t="inlineStr">
        <is>
          <t>BRÄCKE</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45436-2022</t>
        </is>
      </c>
      <c r="B993" s="1" t="n">
        <v>44845</v>
      </c>
      <c r="C993" s="1" t="n">
        <v>45648</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45533-2022</t>
        </is>
      </c>
      <c r="B994" s="1" t="n">
        <v>44845</v>
      </c>
      <c r="C994" s="1" t="n">
        <v>45648</v>
      </c>
      <c r="D994" t="inlineStr">
        <is>
          <t>JÄMTLANDS LÄN</t>
        </is>
      </c>
      <c r="E994" t="inlineStr">
        <is>
          <t>BRÄCKE</t>
        </is>
      </c>
      <c r="F994" t="inlineStr">
        <is>
          <t>Övriga Aktiebolag</t>
        </is>
      </c>
      <c r="G994" t="n">
        <v>13.7</v>
      </c>
      <c r="H994" t="n">
        <v>0</v>
      </c>
      <c r="I994" t="n">
        <v>0</v>
      </c>
      <c r="J994" t="n">
        <v>0</v>
      </c>
      <c r="K994" t="n">
        <v>0</v>
      </c>
      <c r="L994" t="n">
        <v>0</v>
      </c>
      <c r="M994" t="n">
        <v>0</v>
      </c>
      <c r="N994" t="n">
        <v>0</v>
      </c>
      <c r="O994" t="n">
        <v>0</v>
      </c>
      <c r="P994" t="n">
        <v>0</v>
      </c>
      <c r="Q994" t="n">
        <v>0</v>
      </c>
      <c r="R994" s="2" t="inlineStr"/>
    </row>
    <row r="995" ht="15" customHeight="1">
      <c r="A995" t="inlineStr">
        <is>
          <t>A 45701-2022</t>
        </is>
      </c>
      <c r="B995" s="1" t="n">
        <v>44845</v>
      </c>
      <c r="C995" s="1" t="n">
        <v>45648</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45691-2022</t>
        </is>
      </c>
      <c r="B996" s="1" t="n">
        <v>44846</v>
      </c>
      <c r="C996" s="1" t="n">
        <v>45648</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45913-2022</t>
        </is>
      </c>
      <c r="B997" s="1" t="n">
        <v>44845</v>
      </c>
      <c r="C997" s="1" t="n">
        <v>45648</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46024-2022</t>
        </is>
      </c>
      <c r="B998" s="1" t="n">
        <v>44847</v>
      </c>
      <c r="C998" s="1" t="n">
        <v>45648</v>
      </c>
      <c r="D998" t="inlineStr">
        <is>
          <t>JÄMTLANDS LÄN</t>
        </is>
      </c>
      <c r="E998" t="inlineStr">
        <is>
          <t>BRÄCKE</t>
        </is>
      </c>
      <c r="G998" t="n">
        <v>3</v>
      </c>
      <c r="H998" t="n">
        <v>0</v>
      </c>
      <c r="I998" t="n">
        <v>0</v>
      </c>
      <c r="J998" t="n">
        <v>0</v>
      </c>
      <c r="K998" t="n">
        <v>0</v>
      </c>
      <c r="L998" t="n">
        <v>0</v>
      </c>
      <c r="M998" t="n">
        <v>0</v>
      </c>
      <c r="N998" t="n">
        <v>0</v>
      </c>
      <c r="O998" t="n">
        <v>0</v>
      </c>
      <c r="P998" t="n">
        <v>0</v>
      </c>
      <c r="Q998" t="n">
        <v>0</v>
      </c>
      <c r="R998" s="2" t="inlineStr"/>
    </row>
    <row r="999" ht="15" customHeight="1">
      <c r="A999" t="inlineStr">
        <is>
          <t>A 46598-2022</t>
        </is>
      </c>
      <c r="B999" s="1" t="n">
        <v>44848</v>
      </c>
      <c r="C999" s="1" t="n">
        <v>45648</v>
      </c>
      <c r="D999" t="inlineStr">
        <is>
          <t>JÄMTLANDS LÄN</t>
        </is>
      </c>
      <c r="E999" t="inlineStr">
        <is>
          <t>BRÄCKE</t>
        </is>
      </c>
      <c r="G999" t="n">
        <v>2.2</v>
      </c>
      <c r="H999" t="n">
        <v>0</v>
      </c>
      <c r="I999" t="n">
        <v>0</v>
      </c>
      <c r="J999" t="n">
        <v>0</v>
      </c>
      <c r="K999" t="n">
        <v>0</v>
      </c>
      <c r="L999" t="n">
        <v>0</v>
      </c>
      <c r="M999" t="n">
        <v>0</v>
      </c>
      <c r="N999" t="n">
        <v>0</v>
      </c>
      <c r="O999" t="n">
        <v>0</v>
      </c>
      <c r="P999" t="n">
        <v>0</v>
      </c>
      <c r="Q999" t="n">
        <v>0</v>
      </c>
      <c r="R999" s="2" t="inlineStr"/>
    </row>
    <row r="1000" ht="15" customHeight="1">
      <c r="A1000" t="inlineStr">
        <is>
          <t>A 46623-2022</t>
        </is>
      </c>
      <c r="B1000" s="1" t="n">
        <v>44849</v>
      </c>
      <c r="C1000" s="1" t="n">
        <v>45648</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46602-2022</t>
        </is>
      </c>
      <c r="B1001" s="1" t="n">
        <v>44848</v>
      </c>
      <c r="C1001" s="1" t="n">
        <v>45648</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46597-2022</t>
        </is>
      </c>
      <c r="B1002" s="1" t="n">
        <v>44848</v>
      </c>
      <c r="C1002" s="1" t="n">
        <v>45648</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46601-2022</t>
        </is>
      </c>
      <c r="B1003" s="1" t="n">
        <v>44848</v>
      </c>
      <c r="C1003" s="1" t="n">
        <v>45648</v>
      </c>
      <c r="D1003" t="inlineStr">
        <is>
          <t>JÄMTLANDS LÄN</t>
        </is>
      </c>
      <c r="E1003" t="inlineStr">
        <is>
          <t>BRÄCKE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46966-2022</t>
        </is>
      </c>
      <c r="B1004" s="1" t="n">
        <v>44852</v>
      </c>
      <c r="C1004" s="1" t="n">
        <v>45648</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47183-2022</t>
        </is>
      </c>
      <c r="B1005" s="1" t="n">
        <v>44851</v>
      </c>
      <c r="C1005" s="1" t="n">
        <v>45648</v>
      </c>
      <c r="D1005" t="inlineStr">
        <is>
          <t>JÄMTLANDS LÄN</t>
        </is>
      </c>
      <c r="E1005" t="inlineStr">
        <is>
          <t>BRÄCKE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47257-2022</t>
        </is>
      </c>
      <c r="B1006" s="1" t="n">
        <v>44852</v>
      </c>
      <c r="C1006" s="1" t="n">
        <v>45648</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47256-2022</t>
        </is>
      </c>
      <c r="B1007" s="1" t="n">
        <v>44853</v>
      </c>
      <c r="C1007" s="1" t="n">
        <v>45648</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47264-2022</t>
        </is>
      </c>
      <c r="B1008" s="1" t="n">
        <v>44853</v>
      </c>
      <c r="C1008" s="1" t="n">
        <v>45648</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47298-2022</t>
        </is>
      </c>
      <c r="B1009" s="1" t="n">
        <v>44852</v>
      </c>
      <c r="C1009" s="1" t="n">
        <v>45648</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47561-2022</t>
        </is>
      </c>
      <c r="B1010" s="1" t="n">
        <v>44854</v>
      </c>
      <c r="C1010" s="1" t="n">
        <v>45648</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47574-2022</t>
        </is>
      </c>
      <c r="B1011" s="1" t="n">
        <v>44853</v>
      </c>
      <c r="C1011" s="1" t="n">
        <v>45648</v>
      </c>
      <c r="D1011" t="inlineStr">
        <is>
          <t>JÄMTLANDS LÄN</t>
        </is>
      </c>
      <c r="E1011" t="inlineStr">
        <is>
          <t>BRÄCKE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48517-2022</t>
        </is>
      </c>
      <c r="B1012" s="1" t="n">
        <v>44859</v>
      </c>
      <c r="C1012" s="1" t="n">
        <v>45648</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48499-2022</t>
        </is>
      </c>
      <c r="B1013" s="1" t="n">
        <v>44859</v>
      </c>
      <c r="C1013" s="1" t="n">
        <v>45648</v>
      </c>
      <c r="D1013" t="inlineStr">
        <is>
          <t>JÄMTLANDS LÄN</t>
        </is>
      </c>
      <c r="E1013" t="inlineStr">
        <is>
          <t>BRÄCKE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48555-2022</t>
        </is>
      </c>
      <c r="B1014" s="1" t="n">
        <v>44859</v>
      </c>
      <c r="C1014" s="1" t="n">
        <v>45648</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48928-2022</t>
        </is>
      </c>
      <c r="B1015" s="1" t="n">
        <v>44860</v>
      </c>
      <c r="C1015" s="1" t="n">
        <v>45648</v>
      </c>
      <c r="D1015" t="inlineStr">
        <is>
          <t>JÄMTLANDS LÄN</t>
        </is>
      </c>
      <c r="E1015" t="inlineStr">
        <is>
          <t>BRÄCKE</t>
        </is>
      </c>
      <c r="F1015" t="inlineStr">
        <is>
          <t>SCA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48816-2022</t>
        </is>
      </c>
      <c r="B1016" s="1" t="n">
        <v>44859</v>
      </c>
      <c r="C1016" s="1" t="n">
        <v>45648</v>
      </c>
      <c r="D1016" t="inlineStr">
        <is>
          <t>JÄMTLANDS LÄN</t>
        </is>
      </c>
      <c r="E1016" t="inlineStr">
        <is>
          <t>BRÄCKE</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48927-2022</t>
        </is>
      </c>
      <c r="B1017" s="1" t="n">
        <v>44860</v>
      </c>
      <c r="C1017" s="1" t="n">
        <v>45648</v>
      </c>
      <c r="D1017" t="inlineStr">
        <is>
          <t>JÄMTLANDS LÄN</t>
        </is>
      </c>
      <c r="E1017" t="inlineStr">
        <is>
          <t>BRÄCKE</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49191-2022</t>
        </is>
      </c>
      <c r="B1018" s="1" t="n">
        <v>44861</v>
      </c>
      <c r="C1018" s="1" t="n">
        <v>45648</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49523-2022</t>
        </is>
      </c>
      <c r="B1019" s="1" t="n">
        <v>44862</v>
      </c>
      <c r="C1019" s="1" t="n">
        <v>45648</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49516-2022</t>
        </is>
      </c>
      <c r="B1020" s="1" t="n">
        <v>44862</v>
      </c>
      <c r="C1020" s="1" t="n">
        <v>45648</v>
      </c>
      <c r="D1020" t="inlineStr">
        <is>
          <t>JÄMTLANDS LÄN</t>
        </is>
      </c>
      <c r="E1020" t="inlineStr">
        <is>
          <t>BRÄCKE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49839-2022</t>
        </is>
      </c>
      <c r="B1021" s="1" t="n">
        <v>44863</v>
      </c>
      <c r="C1021" s="1" t="n">
        <v>45648</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49858-2022</t>
        </is>
      </c>
      <c r="B1022" s="1" t="n">
        <v>44862</v>
      </c>
      <c r="C1022" s="1" t="n">
        <v>45648</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49838-2022</t>
        </is>
      </c>
      <c r="B1023" s="1" t="n">
        <v>44863</v>
      </c>
      <c r="C1023" s="1" t="n">
        <v>45648</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49864-2022</t>
        </is>
      </c>
      <c r="B1024" s="1" t="n">
        <v>44862</v>
      </c>
      <c r="C1024" s="1" t="n">
        <v>45648</v>
      </c>
      <c r="D1024" t="inlineStr">
        <is>
          <t>JÄMTLANDS LÄN</t>
        </is>
      </c>
      <c r="E1024" t="inlineStr">
        <is>
          <t>BRÄCKE</t>
        </is>
      </c>
      <c r="F1024" t="inlineStr">
        <is>
          <t>SCA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49853-2022</t>
        </is>
      </c>
      <c r="B1025" s="1" t="n">
        <v>44863</v>
      </c>
      <c r="C1025" s="1" t="n">
        <v>45648</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49861-2022</t>
        </is>
      </c>
      <c r="B1026" s="1" t="n">
        <v>44862</v>
      </c>
      <c r="C1026" s="1" t="n">
        <v>45648</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50323-2022</t>
        </is>
      </c>
      <c r="B1027" s="1" t="n">
        <v>44865</v>
      </c>
      <c r="C1027" s="1" t="n">
        <v>45648</v>
      </c>
      <c r="D1027" t="inlineStr">
        <is>
          <t>JÄMTLANDS LÄN</t>
        </is>
      </c>
      <c r="E1027" t="inlineStr">
        <is>
          <t>BRÄCKE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50333-2022</t>
        </is>
      </c>
      <c r="B1028" s="1" t="n">
        <v>44865</v>
      </c>
      <c r="C1028" s="1" t="n">
        <v>45648</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50334-2022</t>
        </is>
      </c>
      <c r="B1029" s="1" t="n">
        <v>44865</v>
      </c>
      <c r="C1029" s="1" t="n">
        <v>45648</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51152-2022</t>
        </is>
      </c>
      <c r="B1030" s="1" t="n">
        <v>44865</v>
      </c>
      <c r="C1030" s="1" t="n">
        <v>45648</v>
      </c>
      <c r="D1030" t="inlineStr">
        <is>
          <t>JÄMTLANDS LÄN</t>
        </is>
      </c>
      <c r="E1030" t="inlineStr">
        <is>
          <t>BRÄCKE</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51270-2022</t>
        </is>
      </c>
      <c r="B1031" s="1" t="n">
        <v>44866</v>
      </c>
      <c r="C1031" s="1" t="n">
        <v>45648</v>
      </c>
      <c r="D1031" t="inlineStr">
        <is>
          <t>JÄMTLANDS LÄN</t>
        </is>
      </c>
      <c r="E1031" t="inlineStr">
        <is>
          <t>BRÄCKE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51022-2022</t>
        </is>
      </c>
      <c r="B1032" s="1" t="n">
        <v>44867</v>
      </c>
      <c r="C1032" s="1" t="n">
        <v>45648</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51020-2022</t>
        </is>
      </c>
      <c r="B1033" s="1" t="n">
        <v>44867</v>
      </c>
      <c r="C1033" s="1" t="n">
        <v>45648</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51558-2022</t>
        </is>
      </c>
      <c r="B1034" s="1" t="n">
        <v>44869</v>
      </c>
      <c r="C1034" s="1" t="n">
        <v>45648</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51559-2022</t>
        </is>
      </c>
      <c r="B1035" s="1" t="n">
        <v>44869</v>
      </c>
      <c r="C1035" s="1" t="n">
        <v>45648</v>
      </c>
      <c r="D1035" t="inlineStr">
        <is>
          <t>JÄMTLANDS LÄN</t>
        </is>
      </c>
      <c r="E1035" t="inlineStr">
        <is>
          <t>BRÄCKE</t>
        </is>
      </c>
      <c r="F1035" t="inlineStr">
        <is>
          <t>SCA</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51787-2022</t>
        </is>
      </c>
      <c r="B1036" s="1" t="n">
        <v>44872</v>
      </c>
      <c r="C1036" s="1" t="n">
        <v>45648</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v>
      </c>
      <c r="C1037" s="1" t="n">
        <v>45648</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52023-2022</t>
        </is>
      </c>
      <c r="B1038" s="1" t="n">
        <v>44872</v>
      </c>
      <c r="C1038" s="1" t="n">
        <v>45648</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52022-2022</t>
        </is>
      </c>
      <c r="B1039" s="1" t="n">
        <v>44872</v>
      </c>
      <c r="C1039" s="1" t="n">
        <v>45648</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52844-2022</t>
        </is>
      </c>
      <c r="B1040" s="1" t="n">
        <v>44872</v>
      </c>
      <c r="C1040" s="1" t="n">
        <v>45648</v>
      </c>
      <c r="D1040" t="inlineStr">
        <is>
          <t>JÄMTLANDS LÄN</t>
        </is>
      </c>
      <c r="E1040" t="inlineStr">
        <is>
          <t>BRÄCKE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52031-2022</t>
        </is>
      </c>
      <c r="B1041" s="1" t="n">
        <v>44872</v>
      </c>
      <c r="C1041" s="1" t="n">
        <v>45648</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52300-2022</t>
        </is>
      </c>
      <c r="B1042" s="1" t="n">
        <v>44873</v>
      </c>
      <c r="C1042" s="1" t="n">
        <v>45648</v>
      </c>
      <c r="D1042" t="inlineStr">
        <is>
          <t>JÄMTLANDS LÄN</t>
        </is>
      </c>
      <c r="E1042" t="inlineStr">
        <is>
          <t>BRÄCKE</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53113-2022</t>
        </is>
      </c>
      <c r="B1043" s="1" t="n">
        <v>44873</v>
      </c>
      <c r="C1043" s="1" t="n">
        <v>45648</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52433-2022</t>
        </is>
      </c>
      <c r="B1044" s="1" t="n">
        <v>44874</v>
      </c>
      <c r="C1044" s="1" t="n">
        <v>45648</v>
      </c>
      <c r="D1044" t="inlineStr">
        <is>
          <t>JÄMTLANDS LÄN</t>
        </is>
      </c>
      <c r="E1044" t="inlineStr">
        <is>
          <t>BRÄCKE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52712-2022</t>
        </is>
      </c>
      <c r="B1045" s="1" t="n">
        <v>44874</v>
      </c>
      <c r="C1045" s="1" t="n">
        <v>45648</v>
      </c>
      <c r="D1045" t="inlineStr">
        <is>
          <t>JÄMTLANDS LÄN</t>
        </is>
      </c>
      <c r="E1045" t="inlineStr">
        <is>
          <t>BRÄCKE</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52721-2022</t>
        </is>
      </c>
      <c r="B1046" s="1" t="n">
        <v>44874</v>
      </c>
      <c r="C1046" s="1" t="n">
        <v>45648</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52713-2022</t>
        </is>
      </c>
      <c r="B1047" s="1" t="n">
        <v>44874</v>
      </c>
      <c r="C1047" s="1" t="n">
        <v>45648</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52722-2022</t>
        </is>
      </c>
      <c r="B1048" s="1" t="n">
        <v>44874</v>
      </c>
      <c r="C1048" s="1" t="n">
        <v>45648</v>
      </c>
      <c r="D1048" t="inlineStr">
        <is>
          <t>JÄMTLANDS LÄN</t>
        </is>
      </c>
      <c r="E1048" t="inlineStr">
        <is>
          <t>BRÄCKE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52714-2022</t>
        </is>
      </c>
      <c r="B1049" s="1" t="n">
        <v>44874</v>
      </c>
      <c r="C1049" s="1" t="n">
        <v>45648</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52724-2022</t>
        </is>
      </c>
      <c r="B1050" s="1" t="n">
        <v>44874</v>
      </c>
      <c r="C1050" s="1" t="n">
        <v>45648</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53407-2022</t>
        </is>
      </c>
      <c r="B1051" s="1" t="n">
        <v>44874</v>
      </c>
      <c r="C1051" s="1" t="n">
        <v>45648</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52846-2022</t>
        </is>
      </c>
      <c r="B1052" s="1" t="n">
        <v>44875</v>
      </c>
      <c r="C1052" s="1" t="n">
        <v>45648</v>
      </c>
      <c r="D1052" t="inlineStr">
        <is>
          <t>JÄMTLANDS LÄN</t>
        </is>
      </c>
      <c r="E1052" t="inlineStr">
        <is>
          <t>BRÄCKE</t>
        </is>
      </c>
      <c r="F1052" t="inlineStr">
        <is>
          <t>Övriga Aktiebolag</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52983-2022</t>
        </is>
      </c>
      <c r="B1053" s="1" t="n">
        <v>44875</v>
      </c>
      <c r="C1053" s="1" t="n">
        <v>45648</v>
      </c>
      <c r="D1053" t="inlineStr">
        <is>
          <t>JÄMTLANDS LÄN</t>
        </is>
      </c>
      <c r="E1053" t="inlineStr">
        <is>
          <t>BRÄCKE</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53026-2022</t>
        </is>
      </c>
      <c r="B1054" s="1" t="n">
        <v>44875</v>
      </c>
      <c r="C1054" s="1" t="n">
        <v>45648</v>
      </c>
      <c r="D1054" t="inlineStr">
        <is>
          <t>JÄMTLANDS LÄN</t>
        </is>
      </c>
      <c r="E1054" t="inlineStr">
        <is>
          <t>BRÄCKE</t>
        </is>
      </c>
      <c r="F1054" t="inlineStr">
        <is>
          <t>Naturvårdsverket</t>
        </is>
      </c>
      <c r="G1054" t="n">
        <v>69.90000000000001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53276-2022</t>
        </is>
      </c>
      <c r="B1055" s="1" t="n">
        <v>44876</v>
      </c>
      <c r="C1055" s="1" t="n">
        <v>45648</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53281-2022</t>
        </is>
      </c>
      <c r="B1056" s="1" t="n">
        <v>44876</v>
      </c>
      <c r="C1056" s="1" t="n">
        <v>45648</v>
      </c>
      <c r="D1056" t="inlineStr">
        <is>
          <t>JÄMTLANDS LÄN</t>
        </is>
      </c>
      <c r="E1056" t="inlineStr">
        <is>
          <t>BRÄCKE</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53274-2022</t>
        </is>
      </c>
      <c r="B1057" s="1" t="n">
        <v>44876</v>
      </c>
      <c r="C1057" s="1" t="n">
        <v>45648</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53283-2022</t>
        </is>
      </c>
      <c r="B1058" s="1" t="n">
        <v>44876</v>
      </c>
      <c r="C1058" s="1" t="n">
        <v>45648</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53278-2022</t>
        </is>
      </c>
      <c r="B1059" s="1" t="n">
        <v>44876</v>
      </c>
      <c r="C1059" s="1" t="n">
        <v>45648</v>
      </c>
      <c r="D1059" t="inlineStr">
        <is>
          <t>JÄMTLANDS LÄN</t>
        </is>
      </c>
      <c r="E1059" t="inlineStr">
        <is>
          <t>BRÄCKE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54274-2022</t>
        </is>
      </c>
      <c r="B1060" s="1" t="n">
        <v>44879</v>
      </c>
      <c r="C1060" s="1" t="n">
        <v>45648</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53662-2022</t>
        </is>
      </c>
      <c r="B1061" s="1" t="n">
        <v>44879</v>
      </c>
      <c r="C1061" s="1" t="n">
        <v>45648</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53941-2022</t>
        </is>
      </c>
      <c r="B1062" s="1" t="n">
        <v>44880</v>
      </c>
      <c r="C1062" s="1" t="n">
        <v>45648</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54243-2022</t>
        </is>
      </c>
      <c r="B1063" s="1" t="n">
        <v>44881</v>
      </c>
      <c r="C1063" s="1" t="n">
        <v>45648</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54520-2022</t>
        </is>
      </c>
      <c r="B1064" s="1" t="n">
        <v>44882</v>
      </c>
      <c r="C1064" s="1" t="n">
        <v>45648</v>
      </c>
      <c r="D1064" t="inlineStr">
        <is>
          <t>JÄMTLANDS LÄN</t>
        </is>
      </c>
      <c r="E1064" t="inlineStr">
        <is>
          <t>BRÄCKE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54566-2022</t>
        </is>
      </c>
      <c r="B1065" s="1" t="n">
        <v>44882</v>
      </c>
      <c r="C1065" s="1" t="n">
        <v>45648</v>
      </c>
      <c r="D1065" t="inlineStr">
        <is>
          <t>JÄMTLANDS LÄN</t>
        </is>
      </c>
      <c r="E1065" t="inlineStr">
        <is>
          <t>BRÄCKE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54524-2022</t>
        </is>
      </c>
      <c r="B1066" s="1" t="n">
        <v>44882</v>
      </c>
      <c r="C1066" s="1" t="n">
        <v>45648</v>
      </c>
      <c r="D1066" t="inlineStr">
        <is>
          <t>JÄMTLANDS LÄN</t>
        </is>
      </c>
      <c r="E1066" t="inlineStr">
        <is>
          <t>BRÄCKE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54568-2022</t>
        </is>
      </c>
      <c r="B1067" s="1" t="n">
        <v>44882</v>
      </c>
      <c r="C1067" s="1" t="n">
        <v>45648</v>
      </c>
      <c r="D1067" t="inlineStr">
        <is>
          <t>JÄMTLANDS LÄN</t>
        </is>
      </c>
      <c r="E1067" t="inlineStr">
        <is>
          <t>BRÄCKE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54565-2022</t>
        </is>
      </c>
      <c r="B1068" s="1" t="n">
        <v>44882</v>
      </c>
      <c r="C1068" s="1" t="n">
        <v>45648</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54567-2022</t>
        </is>
      </c>
      <c r="B1069" s="1" t="n">
        <v>44882</v>
      </c>
      <c r="C1069" s="1" t="n">
        <v>45648</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54668-2022</t>
        </is>
      </c>
      <c r="B1070" s="1" t="n">
        <v>44883</v>
      </c>
      <c r="C1070" s="1" t="n">
        <v>45648</v>
      </c>
      <c r="D1070" t="inlineStr">
        <is>
          <t>JÄMTLANDS LÄN</t>
        </is>
      </c>
      <c r="E1070" t="inlineStr">
        <is>
          <t>BRÄCKE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54829-2022</t>
        </is>
      </c>
      <c r="B1071" s="1" t="n">
        <v>44883</v>
      </c>
      <c r="C1071" s="1" t="n">
        <v>45648</v>
      </c>
      <c r="D1071" t="inlineStr">
        <is>
          <t>JÄMTLANDS LÄN</t>
        </is>
      </c>
      <c r="E1071" t="inlineStr">
        <is>
          <t>BRÄCKE</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54840-2022</t>
        </is>
      </c>
      <c r="B1072" s="1" t="n">
        <v>44883</v>
      </c>
      <c r="C1072" s="1" t="n">
        <v>45648</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54833-2022</t>
        </is>
      </c>
      <c r="B1073" s="1" t="n">
        <v>44883</v>
      </c>
      <c r="C1073" s="1" t="n">
        <v>45648</v>
      </c>
      <c r="D1073" t="inlineStr">
        <is>
          <t>JÄMTLANDS LÄN</t>
        </is>
      </c>
      <c r="E1073" t="inlineStr">
        <is>
          <t>BRÄCKE</t>
        </is>
      </c>
      <c r="F1073" t="inlineStr">
        <is>
          <t>SCA</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55774-2022</t>
        </is>
      </c>
      <c r="B1074" s="1" t="n">
        <v>44886</v>
      </c>
      <c r="C1074" s="1" t="n">
        <v>45648</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55512-2022</t>
        </is>
      </c>
      <c r="B1075" s="1" t="n">
        <v>44887</v>
      </c>
      <c r="C1075" s="1" t="n">
        <v>45648</v>
      </c>
      <c r="D1075" t="inlineStr">
        <is>
          <t>JÄMTLANDS LÄN</t>
        </is>
      </c>
      <c r="E1075" t="inlineStr">
        <is>
          <t>BRÄCKE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55520-2022</t>
        </is>
      </c>
      <c r="B1076" s="1" t="n">
        <v>44887</v>
      </c>
      <c r="C1076" s="1" t="n">
        <v>45648</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55529-2022</t>
        </is>
      </c>
      <c r="B1077" s="1" t="n">
        <v>44887</v>
      </c>
      <c r="C1077" s="1" t="n">
        <v>45648</v>
      </c>
      <c r="D1077" t="inlineStr">
        <is>
          <t>JÄMTLANDS LÄN</t>
        </is>
      </c>
      <c r="E1077" t="inlineStr">
        <is>
          <t>BRÄCKE</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55523-2022</t>
        </is>
      </c>
      <c r="B1078" s="1" t="n">
        <v>44887</v>
      </c>
      <c r="C1078" s="1" t="n">
        <v>45648</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55895-2022</t>
        </is>
      </c>
      <c r="B1079" s="1" t="n">
        <v>44888</v>
      </c>
      <c r="C1079" s="1" t="n">
        <v>45648</v>
      </c>
      <c r="D1079" t="inlineStr">
        <is>
          <t>JÄMTLANDS LÄN</t>
        </is>
      </c>
      <c r="E1079" t="inlineStr">
        <is>
          <t>BRÄCKE</t>
        </is>
      </c>
      <c r="F1079" t="inlineStr">
        <is>
          <t>SCA</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55900-2022</t>
        </is>
      </c>
      <c r="B1080" s="1" t="n">
        <v>44888</v>
      </c>
      <c r="C1080" s="1" t="n">
        <v>45648</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55905-2022</t>
        </is>
      </c>
      <c r="B1081" s="1" t="n">
        <v>44888</v>
      </c>
      <c r="C1081" s="1" t="n">
        <v>45648</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56185-2022</t>
        </is>
      </c>
      <c r="B1082" s="1" t="n">
        <v>44889</v>
      </c>
      <c r="C1082" s="1" t="n">
        <v>45648</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56424-2022</t>
        </is>
      </c>
      <c r="B1083" s="1" t="n">
        <v>44890</v>
      </c>
      <c r="C1083" s="1" t="n">
        <v>45648</v>
      </c>
      <c r="D1083" t="inlineStr">
        <is>
          <t>JÄMTLANDS LÄN</t>
        </is>
      </c>
      <c r="E1083" t="inlineStr">
        <is>
          <t>BRÄCKE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56641-2022</t>
        </is>
      </c>
      <c r="B1084" s="1" t="n">
        <v>44893</v>
      </c>
      <c r="C1084" s="1" t="n">
        <v>45648</v>
      </c>
      <c r="D1084" t="inlineStr">
        <is>
          <t>JÄMTLANDS LÄN</t>
        </is>
      </c>
      <c r="E1084" t="inlineStr">
        <is>
          <t>BRÄCKE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56656-2022</t>
        </is>
      </c>
      <c r="B1085" s="1" t="n">
        <v>44893</v>
      </c>
      <c r="C1085" s="1" t="n">
        <v>45648</v>
      </c>
      <c r="D1085" t="inlineStr">
        <is>
          <t>JÄMTLANDS LÄN</t>
        </is>
      </c>
      <c r="E1085" t="inlineStr">
        <is>
          <t>BRÄCKE</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56732-2022</t>
        </is>
      </c>
      <c r="B1086" s="1" t="n">
        <v>44893</v>
      </c>
      <c r="C1086" s="1" t="n">
        <v>45648</v>
      </c>
      <c r="D1086" t="inlineStr">
        <is>
          <t>JÄMTLANDS LÄN</t>
        </is>
      </c>
      <c r="E1086" t="inlineStr">
        <is>
          <t>BRÄCKE</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56739-2022</t>
        </is>
      </c>
      <c r="B1087" s="1" t="n">
        <v>44893</v>
      </c>
      <c r="C1087" s="1" t="n">
        <v>45648</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57011-2022</t>
        </is>
      </c>
      <c r="B1088" s="1" t="n">
        <v>44894</v>
      </c>
      <c r="C1088" s="1" t="n">
        <v>45648</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56822-2022</t>
        </is>
      </c>
      <c r="B1089" s="1" t="n">
        <v>44894</v>
      </c>
      <c r="C1089" s="1" t="n">
        <v>45648</v>
      </c>
      <c r="D1089" t="inlineStr">
        <is>
          <t>JÄMTLANDS LÄN</t>
        </is>
      </c>
      <c r="E1089" t="inlineStr">
        <is>
          <t>BRÄCKE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57010-2022</t>
        </is>
      </c>
      <c r="B1090" s="1" t="n">
        <v>44894</v>
      </c>
      <c r="C1090" s="1" t="n">
        <v>45648</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58547-2022</t>
        </is>
      </c>
      <c r="B1091" s="1" t="n">
        <v>44894</v>
      </c>
      <c r="C1091" s="1" t="n">
        <v>45648</v>
      </c>
      <c r="D1091" t="inlineStr">
        <is>
          <t>JÄMTLANDS LÄN</t>
        </is>
      </c>
      <c r="E1091" t="inlineStr">
        <is>
          <t>BRÄCKE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57845-2022</t>
        </is>
      </c>
      <c r="B1092" s="1" t="n">
        <v>44897</v>
      </c>
      <c r="C1092" s="1" t="n">
        <v>45648</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58187-2022</t>
        </is>
      </c>
      <c r="B1093" s="1" t="n">
        <v>44900</v>
      </c>
      <c r="C1093" s="1" t="n">
        <v>45648</v>
      </c>
      <c r="D1093" t="inlineStr">
        <is>
          <t>JÄMTLANDS LÄN</t>
        </is>
      </c>
      <c r="E1093" t="inlineStr">
        <is>
          <t>BRÄCKE</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58500-2022</t>
        </is>
      </c>
      <c r="B1094" s="1" t="n">
        <v>44902</v>
      </c>
      <c r="C1094" s="1" t="n">
        <v>45648</v>
      </c>
      <c r="D1094" t="inlineStr">
        <is>
          <t>JÄMTLANDS LÄN</t>
        </is>
      </c>
      <c r="E1094" t="inlineStr">
        <is>
          <t>BRÄCKE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58498-2022</t>
        </is>
      </c>
      <c r="B1095" s="1" t="n">
        <v>44902</v>
      </c>
      <c r="C1095" s="1" t="n">
        <v>45648</v>
      </c>
      <c r="D1095" t="inlineStr">
        <is>
          <t>JÄMTLANDS LÄN</t>
        </is>
      </c>
      <c r="E1095" t="inlineStr">
        <is>
          <t>BRÄCKE</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58503-2022</t>
        </is>
      </c>
      <c r="B1096" s="1" t="n">
        <v>44902</v>
      </c>
      <c r="C1096" s="1" t="n">
        <v>45648</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58497-2022</t>
        </is>
      </c>
      <c r="B1097" s="1" t="n">
        <v>44902</v>
      </c>
      <c r="C1097" s="1" t="n">
        <v>45648</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58728-2022</t>
        </is>
      </c>
      <c r="B1098" s="1" t="n">
        <v>44902</v>
      </c>
      <c r="C1098" s="1" t="n">
        <v>45648</v>
      </c>
      <c r="D1098" t="inlineStr">
        <is>
          <t>JÄMTLANDS LÄN</t>
        </is>
      </c>
      <c r="E1098" t="inlineStr">
        <is>
          <t>BRÄCKE</t>
        </is>
      </c>
      <c r="G1098" t="n">
        <v>21.5</v>
      </c>
      <c r="H1098" t="n">
        <v>0</v>
      </c>
      <c r="I1098" t="n">
        <v>0</v>
      </c>
      <c r="J1098" t="n">
        <v>0</v>
      </c>
      <c r="K1098" t="n">
        <v>0</v>
      </c>
      <c r="L1098" t="n">
        <v>0</v>
      </c>
      <c r="M1098" t="n">
        <v>0</v>
      </c>
      <c r="N1098" t="n">
        <v>0</v>
      </c>
      <c r="O1098" t="n">
        <v>0</v>
      </c>
      <c r="P1098" t="n">
        <v>0</v>
      </c>
      <c r="Q1098" t="n">
        <v>0</v>
      </c>
      <c r="R1098" s="2" t="inlineStr"/>
    </row>
    <row r="1099" ht="15" customHeight="1">
      <c r="A1099" t="inlineStr">
        <is>
          <t>A 58745-2022</t>
        </is>
      </c>
      <c r="B1099" s="1" t="n">
        <v>44902</v>
      </c>
      <c r="C1099" s="1" t="n">
        <v>45648</v>
      </c>
      <c r="D1099" t="inlineStr">
        <is>
          <t>JÄMTLANDS LÄN</t>
        </is>
      </c>
      <c r="E1099" t="inlineStr">
        <is>
          <t>BRÄCKE</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58731-2022</t>
        </is>
      </c>
      <c r="B1100" s="1" t="n">
        <v>44902</v>
      </c>
      <c r="C1100" s="1" t="n">
        <v>45648</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59047-2022</t>
        </is>
      </c>
      <c r="B1101" s="1" t="n">
        <v>44903</v>
      </c>
      <c r="C1101" s="1" t="n">
        <v>45648</v>
      </c>
      <c r="D1101" t="inlineStr">
        <is>
          <t>JÄMTLANDS LÄN</t>
        </is>
      </c>
      <c r="E1101" t="inlineStr">
        <is>
          <t>BRÄCKE</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59369-2022</t>
        </is>
      </c>
      <c r="B1102" s="1" t="n">
        <v>44904</v>
      </c>
      <c r="C1102" s="1" t="n">
        <v>45648</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59405-2022</t>
        </is>
      </c>
      <c r="B1103" s="1" t="n">
        <v>44906</v>
      </c>
      <c r="C1103" s="1" t="n">
        <v>45648</v>
      </c>
      <c r="D1103" t="inlineStr">
        <is>
          <t>JÄMTLANDS LÄN</t>
        </is>
      </c>
      <c r="E1103" t="inlineStr">
        <is>
          <t>BRÄCKE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59427-2022</t>
        </is>
      </c>
      <c r="B1104" s="1" t="n">
        <v>44907</v>
      </c>
      <c r="C1104" s="1" t="n">
        <v>45648</v>
      </c>
      <c r="D1104" t="inlineStr">
        <is>
          <t>JÄMTLANDS LÄN</t>
        </is>
      </c>
      <c r="E1104" t="inlineStr">
        <is>
          <t>BRÄCKE</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59640-2022</t>
        </is>
      </c>
      <c r="B1105" s="1" t="n">
        <v>44908</v>
      </c>
      <c r="C1105" s="1" t="n">
        <v>45648</v>
      </c>
      <c r="D1105" t="inlineStr">
        <is>
          <t>JÄMTLANDS LÄN</t>
        </is>
      </c>
      <c r="E1105" t="inlineStr">
        <is>
          <t>BRÄCKE</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59644-2022</t>
        </is>
      </c>
      <c r="B1106" s="1" t="n">
        <v>44908</v>
      </c>
      <c r="C1106" s="1" t="n">
        <v>45648</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59641-2022</t>
        </is>
      </c>
      <c r="B1107" s="1" t="n">
        <v>44908</v>
      </c>
      <c r="C1107" s="1" t="n">
        <v>45648</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59642-2022</t>
        </is>
      </c>
      <c r="B1108" s="1" t="n">
        <v>44908</v>
      </c>
      <c r="C1108" s="1" t="n">
        <v>45648</v>
      </c>
      <c r="D1108" t="inlineStr">
        <is>
          <t>JÄMTLANDS LÄN</t>
        </is>
      </c>
      <c r="E1108" t="inlineStr">
        <is>
          <t>BRÄCKE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59643-2022</t>
        </is>
      </c>
      <c r="B1109" s="1" t="n">
        <v>44907</v>
      </c>
      <c r="C1109" s="1" t="n">
        <v>45648</v>
      </c>
      <c r="D1109" t="inlineStr">
        <is>
          <t>JÄMTLANDS LÄN</t>
        </is>
      </c>
      <c r="E1109" t="inlineStr">
        <is>
          <t>BRÄCKE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59910-2022</t>
        </is>
      </c>
      <c r="B1110" s="1" t="n">
        <v>44908</v>
      </c>
      <c r="C1110" s="1" t="n">
        <v>45648</v>
      </c>
      <c r="D1110" t="inlineStr">
        <is>
          <t>JÄMTLANDS LÄN</t>
        </is>
      </c>
      <c r="E1110" t="inlineStr">
        <is>
          <t>BRÄCKE</t>
        </is>
      </c>
      <c r="F1110" t="inlineStr">
        <is>
          <t>SCA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59915-2022</t>
        </is>
      </c>
      <c r="B1111" s="1" t="n">
        <v>44909</v>
      </c>
      <c r="C1111" s="1" t="n">
        <v>45648</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59914-2022</t>
        </is>
      </c>
      <c r="B1112" s="1" t="n">
        <v>44909</v>
      </c>
      <c r="C1112" s="1" t="n">
        <v>45648</v>
      </c>
      <c r="D1112" t="inlineStr">
        <is>
          <t>JÄMTLANDS LÄN</t>
        </is>
      </c>
      <c r="E1112" t="inlineStr">
        <is>
          <t>BRÄCKE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59916-2022</t>
        </is>
      </c>
      <c r="B1113" s="1" t="n">
        <v>44909</v>
      </c>
      <c r="C1113" s="1" t="n">
        <v>45648</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59932-2022</t>
        </is>
      </c>
      <c r="B1114" s="1" t="n">
        <v>44909</v>
      </c>
      <c r="C1114" s="1" t="n">
        <v>45648</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60178-2022</t>
        </is>
      </c>
      <c r="B1115" s="1" t="n">
        <v>44909</v>
      </c>
      <c r="C1115" s="1" t="n">
        <v>45648</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60417-2022</t>
        </is>
      </c>
      <c r="B1116" s="1" t="n">
        <v>44911</v>
      </c>
      <c r="C1116" s="1" t="n">
        <v>45648</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60661-2022</t>
        </is>
      </c>
      <c r="B1117" s="1" t="n">
        <v>44911</v>
      </c>
      <c r="C1117" s="1" t="n">
        <v>45648</v>
      </c>
      <c r="D1117" t="inlineStr">
        <is>
          <t>JÄMTLANDS LÄN</t>
        </is>
      </c>
      <c r="E1117" t="inlineStr">
        <is>
          <t>BRÄCKE</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61662-2022</t>
        </is>
      </c>
      <c r="B1118" s="1" t="n">
        <v>44917</v>
      </c>
      <c r="C1118" s="1" t="n">
        <v>45648</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61663-2022</t>
        </is>
      </c>
      <c r="B1119" s="1" t="n">
        <v>44916</v>
      </c>
      <c r="C1119" s="1" t="n">
        <v>45648</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123-2023</t>
        </is>
      </c>
      <c r="B1120" s="1" t="n">
        <v>44928</v>
      </c>
      <c r="C1120" s="1" t="n">
        <v>45648</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1070-2023</t>
        </is>
      </c>
      <c r="B1121" s="1" t="n">
        <v>44929</v>
      </c>
      <c r="C1121" s="1" t="n">
        <v>45648</v>
      </c>
      <c r="D1121" t="inlineStr">
        <is>
          <t>JÄMTLANDS LÄN</t>
        </is>
      </c>
      <c r="E1121" t="inlineStr">
        <is>
          <t>BRÄCKE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643-2023</t>
        </is>
      </c>
      <c r="B1122" s="1" t="n">
        <v>44930</v>
      </c>
      <c r="C1122" s="1" t="n">
        <v>45648</v>
      </c>
      <c r="D1122" t="inlineStr">
        <is>
          <t>JÄMTLANDS LÄN</t>
        </is>
      </c>
      <c r="E1122" t="inlineStr">
        <is>
          <t>BRÄCKE</t>
        </is>
      </c>
      <c r="F1122" t="inlineStr">
        <is>
          <t>Övriga Aktiebolag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1178-2023</t>
        </is>
      </c>
      <c r="B1123" s="1" t="n">
        <v>44930</v>
      </c>
      <c r="C1123" s="1" t="n">
        <v>45648</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676-2023</t>
        </is>
      </c>
      <c r="B1124" s="1" t="n">
        <v>44930</v>
      </c>
      <c r="C1124" s="1" t="n">
        <v>45648</v>
      </c>
      <c r="D1124" t="inlineStr">
        <is>
          <t>JÄMTLANDS LÄN</t>
        </is>
      </c>
      <c r="E1124" t="inlineStr">
        <is>
          <t>BRÄCKE</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724-2023</t>
        </is>
      </c>
      <c r="B1125" s="1" t="n">
        <v>44930</v>
      </c>
      <c r="C1125" s="1" t="n">
        <v>45648</v>
      </c>
      <c r="D1125" t="inlineStr">
        <is>
          <t>JÄMTLANDS LÄN</t>
        </is>
      </c>
      <c r="E1125" t="inlineStr">
        <is>
          <t>BRÄCKE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1204-2023</t>
        </is>
      </c>
      <c r="B1126" s="1" t="n">
        <v>44930</v>
      </c>
      <c r="C1126" s="1" t="n">
        <v>45648</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1230-2023</t>
        </is>
      </c>
      <c r="B1127" s="1" t="n">
        <v>44936</v>
      </c>
      <c r="C1127" s="1" t="n">
        <v>45648</v>
      </c>
      <c r="D1127" t="inlineStr">
        <is>
          <t>JÄMTLANDS LÄN</t>
        </is>
      </c>
      <c r="E1127" t="inlineStr">
        <is>
          <t>BRÄCKE</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2254-2023</t>
        </is>
      </c>
      <c r="B1128" s="1" t="n">
        <v>44939</v>
      </c>
      <c r="C1128" s="1" t="n">
        <v>45648</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2954-2023</t>
        </is>
      </c>
      <c r="B1129" s="1" t="n">
        <v>44945</v>
      </c>
      <c r="C1129" s="1" t="n">
        <v>45648</v>
      </c>
      <c r="D1129" t="inlineStr">
        <is>
          <t>JÄMTLANDS LÄN</t>
        </is>
      </c>
      <c r="E1129" t="inlineStr">
        <is>
          <t>BRÄCKE</t>
        </is>
      </c>
      <c r="F1129" t="inlineStr">
        <is>
          <t>Övriga Aktiebolag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3032-2023</t>
        </is>
      </c>
      <c r="B1130" s="1" t="n">
        <v>44945</v>
      </c>
      <c r="C1130" s="1" t="n">
        <v>45648</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3036-2023</t>
        </is>
      </c>
      <c r="B1131" s="1" t="n">
        <v>44945</v>
      </c>
      <c r="C1131" s="1" t="n">
        <v>45648</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3020-2023</t>
        </is>
      </c>
      <c r="B1132" s="1" t="n">
        <v>44945</v>
      </c>
      <c r="C1132" s="1" t="n">
        <v>45648</v>
      </c>
      <c r="D1132" t="inlineStr">
        <is>
          <t>JÄMTLANDS LÄN</t>
        </is>
      </c>
      <c r="E1132" t="inlineStr">
        <is>
          <t>BRÄCKE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45648</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3035-2023</t>
        </is>
      </c>
      <c r="B1134" s="1" t="n">
        <v>44945</v>
      </c>
      <c r="C1134" s="1" t="n">
        <v>45648</v>
      </c>
      <c r="D1134" t="inlineStr">
        <is>
          <t>JÄMTLANDS LÄN</t>
        </is>
      </c>
      <c r="E1134" t="inlineStr">
        <is>
          <t>BRÄCKE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3033-2023</t>
        </is>
      </c>
      <c r="B1135" s="1" t="n">
        <v>44945</v>
      </c>
      <c r="C1135" s="1" t="n">
        <v>45648</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2985-2023</t>
        </is>
      </c>
      <c r="B1136" s="1" t="n">
        <v>44945</v>
      </c>
      <c r="C1136" s="1" t="n">
        <v>45648</v>
      </c>
      <c r="D1136" t="inlineStr">
        <is>
          <t>JÄMTLANDS LÄN</t>
        </is>
      </c>
      <c r="E1136" t="inlineStr">
        <is>
          <t>BRÄCKE</t>
        </is>
      </c>
      <c r="F1136" t="inlineStr">
        <is>
          <t>Övriga Aktiebolag</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3698-2023</t>
        </is>
      </c>
      <c r="B1137" s="1" t="n">
        <v>44950</v>
      </c>
      <c r="C1137" s="1" t="n">
        <v>45648</v>
      </c>
      <c r="D1137" t="inlineStr">
        <is>
          <t>JÄMTLANDS LÄN</t>
        </is>
      </c>
      <c r="E1137" t="inlineStr">
        <is>
          <t>BRÄCKE</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3702-2023</t>
        </is>
      </c>
      <c r="B1138" s="1" t="n">
        <v>44950</v>
      </c>
      <c r="C1138" s="1" t="n">
        <v>45648</v>
      </c>
      <c r="D1138" t="inlineStr">
        <is>
          <t>JÄMTLANDS LÄN</t>
        </is>
      </c>
      <c r="E1138" t="inlineStr">
        <is>
          <t>BRÄCKE</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3845-2023</t>
        </is>
      </c>
      <c r="B1139" s="1" t="n">
        <v>44950</v>
      </c>
      <c r="C1139" s="1" t="n">
        <v>45648</v>
      </c>
      <c r="D1139" t="inlineStr">
        <is>
          <t>JÄMTLANDS LÄN</t>
        </is>
      </c>
      <c r="E1139" t="inlineStr">
        <is>
          <t>BRÄCKE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3892-2023</t>
        </is>
      </c>
      <c r="B1140" s="1" t="n">
        <v>44951</v>
      </c>
      <c r="C1140" s="1" t="n">
        <v>45648</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3895-2023</t>
        </is>
      </c>
      <c r="B1141" s="1" t="n">
        <v>44951</v>
      </c>
      <c r="C1141" s="1" t="n">
        <v>45648</v>
      </c>
      <c r="D1141" t="inlineStr">
        <is>
          <t>JÄMTLANDS LÄN</t>
        </is>
      </c>
      <c r="E1141" t="inlineStr">
        <is>
          <t>BRÄCKE</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4273-2023</t>
        </is>
      </c>
      <c r="B1142" s="1" t="n">
        <v>44953</v>
      </c>
      <c r="C1142" s="1" t="n">
        <v>45648</v>
      </c>
      <c r="D1142" t="inlineStr">
        <is>
          <t>JÄMTLANDS LÄN</t>
        </is>
      </c>
      <c r="E1142" t="inlineStr">
        <is>
          <t>BRÄCKE</t>
        </is>
      </c>
      <c r="F1142" t="inlineStr">
        <is>
          <t>Övriga Aktiebolag</t>
        </is>
      </c>
      <c r="G1142" t="n">
        <v>24.4</v>
      </c>
      <c r="H1142" t="n">
        <v>0</v>
      </c>
      <c r="I1142" t="n">
        <v>0</v>
      </c>
      <c r="J1142" t="n">
        <v>0</v>
      </c>
      <c r="K1142" t="n">
        <v>0</v>
      </c>
      <c r="L1142" t="n">
        <v>0</v>
      </c>
      <c r="M1142" t="n">
        <v>0</v>
      </c>
      <c r="N1142" t="n">
        <v>0</v>
      </c>
      <c r="O1142" t="n">
        <v>0</v>
      </c>
      <c r="P1142" t="n">
        <v>0</v>
      </c>
      <c r="Q1142" t="n">
        <v>0</v>
      </c>
      <c r="R1142" s="2" t="inlineStr"/>
    </row>
    <row r="1143" ht="15" customHeight="1">
      <c r="A1143" t="inlineStr">
        <is>
          <t>A 4365-2023</t>
        </is>
      </c>
      <c r="B1143" s="1" t="n">
        <v>44954</v>
      </c>
      <c r="C1143" s="1" t="n">
        <v>45648</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4366-2023</t>
        </is>
      </c>
      <c r="B1144" s="1" t="n">
        <v>44954</v>
      </c>
      <c r="C1144" s="1" t="n">
        <v>45648</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4381-2023</t>
        </is>
      </c>
      <c r="B1145" s="1" t="n">
        <v>44955</v>
      </c>
      <c r="C1145" s="1" t="n">
        <v>45648</v>
      </c>
      <c r="D1145" t="inlineStr">
        <is>
          <t>JÄMTLANDS LÄN</t>
        </is>
      </c>
      <c r="E1145" t="inlineStr">
        <is>
          <t>BRÄCKE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5004-2023</t>
        </is>
      </c>
      <c r="B1146" s="1" t="n">
        <v>44956</v>
      </c>
      <c r="C1146" s="1" t="n">
        <v>45648</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5160-2023</t>
        </is>
      </c>
      <c r="B1147" s="1" t="n">
        <v>44958</v>
      </c>
      <c r="C1147" s="1" t="n">
        <v>45648</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5180-2023</t>
        </is>
      </c>
      <c r="B1148" s="1" t="n">
        <v>44958</v>
      </c>
      <c r="C1148" s="1" t="n">
        <v>45648</v>
      </c>
      <c r="D1148" t="inlineStr">
        <is>
          <t>JÄMTLANDS LÄN</t>
        </is>
      </c>
      <c r="E1148" t="inlineStr">
        <is>
          <t>BRÄCKE</t>
        </is>
      </c>
      <c r="F1148" t="inlineStr">
        <is>
          <t>SCA</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6345-2023</t>
        </is>
      </c>
      <c r="B1149" s="1" t="n">
        <v>44960</v>
      </c>
      <c r="C1149" s="1" t="n">
        <v>45648</v>
      </c>
      <c r="D1149" t="inlineStr">
        <is>
          <t>JÄMTLANDS LÄN</t>
        </is>
      </c>
      <c r="E1149" t="inlineStr">
        <is>
          <t>BRÄCKE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6852-2023</t>
        </is>
      </c>
      <c r="B1150" s="1" t="n">
        <v>44964</v>
      </c>
      <c r="C1150" s="1" t="n">
        <v>45648</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6701-2023</t>
        </is>
      </c>
      <c r="B1151" s="1" t="n">
        <v>44964</v>
      </c>
      <c r="C1151" s="1" t="n">
        <v>45648</v>
      </c>
      <c r="D1151" t="inlineStr">
        <is>
          <t>JÄMTLANDS LÄN</t>
        </is>
      </c>
      <c r="E1151" t="inlineStr">
        <is>
          <t>BRÄCKE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6390-2023</t>
        </is>
      </c>
      <c r="B1152" s="1" t="n">
        <v>44965</v>
      </c>
      <c r="C1152" s="1" t="n">
        <v>45648</v>
      </c>
      <c r="D1152" t="inlineStr">
        <is>
          <t>JÄMTLANDS LÄN</t>
        </is>
      </c>
      <c r="E1152" t="inlineStr">
        <is>
          <t>BRÄCKE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6764-2023</t>
        </is>
      </c>
      <c r="B1153" s="1" t="n">
        <v>44966</v>
      </c>
      <c r="C1153" s="1" t="n">
        <v>45648</v>
      </c>
      <c r="D1153" t="inlineStr">
        <is>
          <t>JÄMTLANDS LÄN</t>
        </is>
      </c>
      <c r="E1153" t="inlineStr">
        <is>
          <t>BRÄCKE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6768-2023</t>
        </is>
      </c>
      <c r="B1154" s="1" t="n">
        <v>44966</v>
      </c>
      <c r="C1154" s="1" t="n">
        <v>45648</v>
      </c>
      <c r="D1154" t="inlineStr">
        <is>
          <t>JÄMTLANDS LÄN</t>
        </is>
      </c>
      <c r="E1154" t="inlineStr">
        <is>
          <t>BRÄCKE</t>
        </is>
      </c>
      <c r="G1154" t="n">
        <v>3.4</v>
      </c>
      <c r="H1154" t="n">
        <v>0</v>
      </c>
      <c r="I1154" t="n">
        <v>0</v>
      </c>
      <c r="J1154" t="n">
        <v>0</v>
      </c>
      <c r="K1154" t="n">
        <v>0</v>
      </c>
      <c r="L1154" t="n">
        <v>0</v>
      </c>
      <c r="M1154" t="n">
        <v>0</v>
      </c>
      <c r="N1154" t="n">
        <v>0</v>
      </c>
      <c r="O1154" t="n">
        <v>0</v>
      </c>
      <c r="P1154" t="n">
        <v>0</v>
      </c>
      <c r="Q1154" t="n">
        <v>0</v>
      </c>
      <c r="R1154" s="2" t="inlineStr"/>
      <c r="U1154">
        <f>HYPERLINK("https://klasma.github.io/Logging_2305/knärot/A 6768-2023 karta knärot.png", "A 6768-2023")</f>
        <v/>
      </c>
      <c r="V1154">
        <f>HYPERLINK("https://klasma.github.io/Logging_2305/klagomål/A 6768-2023 FSC-klagomål.docx", "A 6768-2023")</f>
        <v/>
      </c>
      <c r="W1154">
        <f>HYPERLINK("https://klasma.github.io/Logging_2305/klagomålsmail/A 6768-2023 FSC-klagomål mail.docx", "A 6768-2023")</f>
        <v/>
      </c>
      <c r="X1154">
        <f>HYPERLINK("https://klasma.github.io/Logging_2305/tillsyn/A 6768-2023 tillsynsbegäran.docx", "A 6768-2023")</f>
        <v/>
      </c>
      <c r="Y1154">
        <f>HYPERLINK("https://klasma.github.io/Logging_2305/tillsynsmail/A 6768-2023 tillsynsbegäran mail.docx", "A 6768-2023")</f>
        <v/>
      </c>
    </row>
    <row r="1155" ht="15" customHeight="1">
      <c r="A1155" t="inlineStr">
        <is>
          <t>A 6766-2023</t>
        </is>
      </c>
      <c r="B1155" s="1" t="n">
        <v>44966</v>
      </c>
      <c r="C1155" s="1" t="n">
        <v>45648</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6763-2023</t>
        </is>
      </c>
      <c r="B1156" s="1" t="n">
        <v>44966</v>
      </c>
      <c r="C1156" s="1" t="n">
        <v>45648</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6870-2023</t>
        </is>
      </c>
      <c r="B1157" s="1" t="n">
        <v>44967</v>
      </c>
      <c r="C1157" s="1" t="n">
        <v>45648</v>
      </c>
      <c r="D1157" t="inlineStr">
        <is>
          <t>JÄMTLANDS LÄN</t>
        </is>
      </c>
      <c r="E1157" t="inlineStr">
        <is>
          <t>BRÄCKE</t>
        </is>
      </c>
      <c r="F1157" t="inlineStr">
        <is>
          <t>Övriga Aktiebolag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7549-2023</t>
        </is>
      </c>
      <c r="B1158" s="1" t="n">
        <v>44972</v>
      </c>
      <c r="C1158" s="1" t="n">
        <v>45648</v>
      </c>
      <c r="D1158" t="inlineStr">
        <is>
          <t>JÄMTLANDS LÄN</t>
        </is>
      </c>
      <c r="E1158" t="inlineStr">
        <is>
          <t>BRÄCKE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8975-2023</t>
        </is>
      </c>
      <c r="B1159" s="1" t="n">
        <v>44974</v>
      </c>
      <c r="C1159" s="1" t="n">
        <v>45648</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8657-2023</t>
        </is>
      </c>
      <c r="B1160" s="1" t="n">
        <v>44978</v>
      </c>
      <c r="C1160" s="1" t="n">
        <v>45648</v>
      </c>
      <c r="D1160" t="inlineStr">
        <is>
          <t>JÄMTLANDS LÄN</t>
        </is>
      </c>
      <c r="E1160" t="inlineStr">
        <is>
          <t>BRÄCKE</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8674-2023</t>
        </is>
      </c>
      <c r="B1161" s="1" t="n">
        <v>44977</v>
      </c>
      <c r="C1161" s="1" t="n">
        <v>45648</v>
      </c>
      <c r="D1161" t="inlineStr">
        <is>
          <t>JÄMTLANDS LÄN</t>
        </is>
      </c>
      <c r="E1161" t="inlineStr">
        <is>
          <t>BRÄCKE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8864-2023</t>
        </is>
      </c>
      <c r="B1162" s="1" t="n">
        <v>44978</v>
      </c>
      <c r="C1162" s="1" t="n">
        <v>45648</v>
      </c>
      <c r="D1162" t="inlineStr">
        <is>
          <t>JÄMTLANDS LÄN</t>
        </is>
      </c>
      <c r="E1162" t="inlineStr">
        <is>
          <t>BRÄCKE</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8865-2023</t>
        </is>
      </c>
      <c r="B1163" s="1" t="n">
        <v>44978</v>
      </c>
      <c r="C1163" s="1" t="n">
        <v>45648</v>
      </c>
      <c r="D1163" t="inlineStr">
        <is>
          <t>JÄMTLANDS LÄN</t>
        </is>
      </c>
      <c r="E1163" t="inlineStr">
        <is>
          <t>BRÄCKE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8958-2023</t>
        </is>
      </c>
      <c r="B1164" s="1" t="n">
        <v>44979</v>
      </c>
      <c r="C1164" s="1" t="n">
        <v>45648</v>
      </c>
      <c r="D1164" t="inlineStr">
        <is>
          <t>JÄMTLANDS LÄN</t>
        </is>
      </c>
      <c r="E1164" t="inlineStr">
        <is>
          <t>BRÄCKE</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9194-2023</t>
        </is>
      </c>
      <c r="B1165" s="1" t="n">
        <v>44980</v>
      </c>
      <c r="C1165" s="1" t="n">
        <v>45648</v>
      </c>
      <c r="D1165" t="inlineStr">
        <is>
          <t>JÄMTLANDS LÄN</t>
        </is>
      </c>
      <c r="E1165" t="inlineStr">
        <is>
          <t>BRÄCKE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9348-2023</t>
        </is>
      </c>
      <c r="B1166" s="1" t="n">
        <v>44980</v>
      </c>
      <c r="C1166" s="1" t="n">
        <v>45648</v>
      </c>
      <c r="D1166" t="inlineStr">
        <is>
          <t>JÄMTLANDS LÄN</t>
        </is>
      </c>
      <c r="E1166" t="inlineStr">
        <is>
          <t>BRÄCKE</t>
        </is>
      </c>
      <c r="F1166" t="inlineStr">
        <is>
          <t>SCA</t>
        </is>
      </c>
      <c r="G1166" t="n">
        <v>64.5</v>
      </c>
      <c r="H1166" t="n">
        <v>0</v>
      </c>
      <c r="I1166" t="n">
        <v>0</v>
      </c>
      <c r="J1166" t="n">
        <v>0</v>
      </c>
      <c r="K1166" t="n">
        <v>0</v>
      </c>
      <c r="L1166" t="n">
        <v>0</v>
      </c>
      <c r="M1166" t="n">
        <v>0</v>
      </c>
      <c r="N1166" t="n">
        <v>0</v>
      </c>
      <c r="O1166" t="n">
        <v>0</v>
      </c>
      <c r="P1166" t="n">
        <v>0</v>
      </c>
      <c r="Q1166" t="n">
        <v>0</v>
      </c>
      <c r="R1166" s="2" t="inlineStr"/>
    </row>
    <row r="1167" ht="15" customHeight="1">
      <c r="A1167" t="inlineStr">
        <is>
          <t>A 9356-2023</t>
        </is>
      </c>
      <c r="B1167" s="1" t="n">
        <v>44980</v>
      </c>
      <c r="C1167" s="1" t="n">
        <v>45648</v>
      </c>
      <c r="D1167" t="inlineStr">
        <is>
          <t>JÄMTLANDS LÄN</t>
        </is>
      </c>
      <c r="E1167" t="inlineStr">
        <is>
          <t>BRÄCKE</t>
        </is>
      </c>
      <c r="F1167" t="inlineStr">
        <is>
          <t>SCA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9357-2023</t>
        </is>
      </c>
      <c r="B1168" s="1" t="n">
        <v>44980</v>
      </c>
      <c r="C1168" s="1" t="n">
        <v>45648</v>
      </c>
      <c r="D1168" t="inlineStr">
        <is>
          <t>JÄMTLANDS LÄN</t>
        </is>
      </c>
      <c r="E1168" t="inlineStr">
        <is>
          <t>BRÄCKE</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10309-2023</t>
        </is>
      </c>
      <c r="B1169" s="1" t="n">
        <v>44986</v>
      </c>
      <c r="C1169" s="1" t="n">
        <v>45648</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10763-2023</t>
        </is>
      </c>
      <c r="B1170" s="1" t="n">
        <v>44988</v>
      </c>
      <c r="C1170" s="1" t="n">
        <v>45648</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11548-2023</t>
        </is>
      </c>
      <c r="B1171" s="1" t="n">
        <v>44993</v>
      </c>
      <c r="C1171" s="1" t="n">
        <v>45648</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11550-2023</t>
        </is>
      </c>
      <c r="B1172" s="1" t="n">
        <v>44993</v>
      </c>
      <c r="C1172" s="1" t="n">
        <v>45648</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11563-2023</t>
        </is>
      </c>
      <c r="B1173" s="1" t="n">
        <v>44993</v>
      </c>
      <c r="C1173" s="1" t="n">
        <v>45648</v>
      </c>
      <c r="D1173" t="inlineStr">
        <is>
          <t>JÄMTLANDS LÄN</t>
        </is>
      </c>
      <c r="E1173" t="inlineStr">
        <is>
          <t>BRÄCKE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11821-2023</t>
        </is>
      </c>
      <c r="B1174" s="1" t="n">
        <v>44994</v>
      </c>
      <c r="C1174" s="1" t="n">
        <v>45648</v>
      </c>
      <c r="D1174" t="inlineStr">
        <is>
          <t>JÄMTLANDS LÄN</t>
        </is>
      </c>
      <c r="E1174" t="inlineStr">
        <is>
          <t>BRÄCKE</t>
        </is>
      </c>
      <c r="F1174" t="inlineStr">
        <is>
          <t>SCA</t>
        </is>
      </c>
      <c r="G1174" t="n">
        <v>36.6</v>
      </c>
      <c r="H1174" t="n">
        <v>0</v>
      </c>
      <c r="I1174" t="n">
        <v>0</v>
      </c>
      <c r="J1174" t="n">
        <v>0</v>
      </c>
      <c r="K1174" t="n">
        <v>0</v>
      </c>
      <c r="L1174" t="n">
        <v>0</v>
      </c>
      <c r="M1174" t="n">
        <v>0</v>
      </c>
      <c r="N1174" t="n">
        <v>0</v>
      </c>
      <c r="O1174" t="n">
        <v>0</v>
      </c>
      <c r="P1174" t="n">
        <v>0</v>
      </c>
      <c r="Q1174" t="n">
        <v>0</v>
      </c>
      <c r="R1174" s="2" t="inlineStr"/>
    </row>
    <row r="1175" ht="15" customHeight="1">
      <c r="A1175" t="inlineStr">
        <is>
          <t>A 12023-2023</t>
        </is>
      </c>
      <c r="B1175" s="1" t="n">
        <v>44995</v>
      </c>
      <c r="C1175" s="1" t="n">
        <v>45648</v>
      </c>
      <c r="D1175" t="inlineStr">
        <is>
          <t>JÄMTLANDS LÄN</t>
        </is>
      </c>
      <c r="E1175" t="inlineStr">
        <is>
          <t>BRÄCKE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12034-2023</t>
        </is>
      </c>
      <c r="B1176" s="1" t="n">
        <v>44995</v>
      </c>
      <c r="C1176" s="1" t="n">
        <v>45648</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12036-2023</t>
        </is>
      </c>
      <c r="B1177" s="1" t="n">
        <v>44995</v>
      </c>
      <c r="C1177" s="1" t="n">
        <v>45648</v>
      </c>
      <c r="D1177" t="inlineStr">
        <is>
          <t>JÄMTLANDS LÄN</t>
        </is>
      </c>
      <c r="E1177" t="inlineStr">
        <is>
          <t>BRÄCKE</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12063-2023</t>
        </is>
      </c>
      <c r="B1178" s="1" t="n">
        <v>44996</v>
      </c>
      <c r="C1178" s="1" t="n">
        <v>45648</v>
      </c>
      <c r="D1178" t="inlineStr">
        <is>
          <t>JÄMTLANDS LÄN</t>
        </is>
      </c>
      <c r="E1178" t="inlineStr">
        <is>
          <t>BRÄCKE</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12061-2023</t>
        </is>
      </c>
      <c r="B1179" s="1" t="n">
        <v>44996</v>
      </c>
      <c r="C1179" s="1" t="n">
        <v>45648</v>
      </c>
      <c r="D1179" t="inlineStr">
        <is>
          <t>JÄMTLANDS LÄN</t>
        </is>
      </c>
      <c r="E1179" t="inlineStr">
        <is>
          <t>BRÄCKE</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12518-2023</t>
        </is>
      </c>
      <c r="B1180" s="1" t="n">
        <v>45000</v>
      </c>
      <c r="C1180" s="1" t="n">
        <v>45648</v>
      </c>
      <c r="D1180" t="inlineStr">
        <is>
          <t>JÄMTLANDS LÄN</t>
        </is>
      </c>
      <c r="E1180" t="inlineStr">
        <is>
          <t>BRÄCKE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12900-2023</t>
        </is>
      </c>
      <c r="B1181" s="1" t="n">
        <v>45001</v>
      </c>
      <c r="C1181" s="1" t="n">
        <v>45648</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13033-2023</t>
        </is>
      </c>
      <c r="B1182" s="1" t="n">
        <v>45001</v>
      </c>
      <c r="C1182" s="1" t="n">
        <v>45648</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13019-2023</t>
        </is>
      </c>
      <c r="B1183" s="1" t="n">
        <v>45001</v>
      </c>
      <c r="C1183" s="1" t="n">
        <v>45648</v>
      </c>
      <c r="D1183" t="inlineStr">
        <is>
          <t>JÄMTLANDS LÄN</t>
        </is>
      </c>
      <c r="E1183" t="inlineStr">
        <is>
          <t>BRÄCKE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12977-2023</t>
        </is>
      </c>
      <c r="B1184" s="1" t="n">
        <v>45001</v>
      </c>
      <c r="C1184" s="1" t="n">
        <v>45648</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13258-2023</t>
        </is>
      </c>
      <c r="B1185" s="1" t="n">
        <v>45002</v>
      </c>
      <c r="C1185" s="1" t="n">
        <v>45648</v>
      </c>
      <c r="D1185" t="inlineStr">
        <is>
          <t>JÄMTLANDS LÄN</t>
        </is>
      </c>
      <c r="E1185" t="inlineStr">
        <is>
          <t>BRÄCKE</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13244-2023</t>
        </is>
      </c>
      <c r="B1186" s="1" t="n">
        <v>45002</v>
      </c>
      <c r="C1186" s="1" t="n">
        <v>45648</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13709-2023</t>
        </is>
      </c>
      <c r="B1187" s="1" t="n">
        <v>45006</v>
      </c>
      <c r="C1187" s="1" t="n">
        <v>45648</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13708-2023</t>
        </is>
      </c>
      <c r="B1188" s="1" t="n">
        <v>45006</v>
      </c>
      <c r="C1188" s="1" t="n">
        <v>45648</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13707-2023</t>
        </is>
      </c>
      <c r="B1189" s="1" t="n">
        <v>45006</v>
      </c>
      <c r="C1189" s="1" t="n">
        <v>45648</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13925-2023</t>
        </is>
      </c>
      <c r="B1190" s="1" t="n">
        <v>45008</v>
      </c>
      <c r="C1190" s="1" t="n">
        <v>45648</v>
      </c>
      <c r="D1190" t="inlineStr">
        <is>
          <t>JÄMTLANDS LÄN</t>
        </is>
      </c>
      <c r="E1190" t="inlineStr">
        <is>
          <t>BRÄCKE</t>
        </is>
      </c>
      <c r="F1190" t="inlineStr">
        <is>
          <t>Kyrkan</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13999-2023</t>
        </is>
      </c>
      <c r="B1191" s="1" t="n">
        <v>45008</v>
      </c>
      <c r="C1191" s="1" t="n">
        <v>45648</v>
      </c>
      <c r="D1191" t="inlineStr">
        <is>
          <t>JÄMTLANDS LÄN</t>
        </is>
      </c>
      <c r="E1191" t="inlineStr">
        <is>
          <t>BRÄCKE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14262-2023</t>
        </is>
      </c>
      <c r="B1192" s="1" t="n">
        <v>45009</v>
      </c>
      <c r="C1192" s="1" t="n">
        <v>45648</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14266-2023</t>
        </is>
      </c>
      <c r="B1193" s="1" t="n">
        <v>45010</v>
      </c>
      <c r="C1193" s="1" t="n">
        <v>45648</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14274-2023</t>
        </is>
      </c>
      <c r="B1194" s="1" t="n">
        <v>45009</v>
      </c>
      <c r="C1194" s="1" t="n">
        <v>45648</v>
      </c>
      <c r="D1194" t="inlineStr">
        <is>
          <t>JÄMTLANDS LÄN</t>
        </is>
      </c>
      <c r="E1194" t="inlineStr">
        <is>
          <t>BRÄCKE</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14275-2023</t>
        </is>
      </c>
      <c r="B1195" s="1" t="n">
        <v>45009</v>
      </c>
      <c r="C1195" s="1" t="n">
        <v>45648</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14276-2023</t>
        </is>
      </c>
      <c r="B1196" s="1" t="n">
        <v>45010</v>
      </c>
      <c r="C1196" s="1" t="n">
        <v>45648</v>
      </c>
      <c r="D1196" t="inlineStr">
        <is>
          <t>JÄMTLANDS LÄN</t>
        </is>
      </c>
      <c r="E1196" t="inlineStr">
        <is>
          <t>BRÄCKE</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14278-2023</t>
        </is>
      </c>
      <c r="B1197" s="1" t="n">
        <v>45009</v>
      </c>
      <c r="C1197" s="1" t="n">
        <v>45648</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14530-2023</t>
        </is>
      </c>
      <c r="B1198" s="1" t="n">
        <v>45013</v>
      </c>
      <c r="C1198" s="1" t="n">
        <v>45648</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14642-2023</t>
        </is>
      </c>
      <c r="B1199" s="1" t="n">
        <v>45012</v>
      </c>
      <c r="C1199" s="1" t="n">
        <v>45648</v>
      </c>
      <c r="D1199" t="inlineStr">
        <is>
          <t>JÄMTLANDS LÄN</t>
        </is>
      </c>
      <c r="E1199" t="inlineStr">
        <is>
          <t>BRÄCKE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14693-2023</t>
        </is>
      </c>
      <c r="B1200" s="1" t="n">
        <v>45012</v>
      </c>
      <c r="C1200" s="1" t="n">
        <v>45648</v>
      </c>
      <c r="D1200" t="inlineStr">
        <is>
          <t>JÄMTLANDS LÄN</t>
        </is>
      </c>
      <c r="E1200" t="inlineStr">
        <is>
          <t>BRÄCKE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14798-2023</t>
        </is>
      </c>
      <c r="B1201" s="1" t="n">
        <v>45014</v>
      </c>
      <c r="C1201" s="1" t="n">
        <v>45648</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15366-2023</t>
        </is>
      </c>
      <c r="B1202" s="1" t="n">
        <v>45019</v>
      </c>
      <c r="C1202" s="1" t="n">
        <v>45648</v>
      </c>
      <c r="D1202" t="inlineStr">
        <is>
          <t>JÄMTLANDS LÄN</t>
        </is>
      </c>
      <c r="E1202" t="inlineStr">
        <is>
          <t>BRÄCKE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15824-2023</t>
        </is>
      </c>
      <c r="B1203" s="1" t="n">
        <v>45022</v>
      </c>
      <c r="C1203" s="1" t="n">
        <v>45648</v>
      </c>
      <c r="D1203" t="inlineStr">
        <is>
          <t>JÄMTLANDS LÄN</t>
        </is>
      </c>
      <c r="E1203" t="inlineStr">
        <is>
          <t>BRÄCKE</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15813-2023</t>
        </is>
      </c>
      <c r="B1204" s="1" t="n">
        <v>45021</v>
      </c>
      <c r="C1204" s="1" t="n">
        <v>45648</v>
      </c>
      <c r="D1204" t="inlineStr">
        <is>
          <t>JÄMTLANDS LÄN</t>
        </is>
      </c>
      <c r="E1204" t="inlineStr">
        <is>
          <t>BRÄCKE</t>
        </is>
      </c>
      <c r="F1204" t="inlineStr">
        <is>
          <t>SCA</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16180-2023</t>
        </is>
      </c>
      <c r="B1205" s="1" t="n">
        <v>45027</v>
      </c>
      <c r="C1205" s="1" t="n">
        <v>45648</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16232-2023</t>
        </is>
      </c>
      <c r="B1206" s="1" t="n">
        <v>45028</v>
      </c>
      <c r="C1206" s="1" t="n">
        <v>45648</v>
      </c>
      <c r="D1206" t="inlineStr">
        <is>
          <t>JÄMTLANDS LÄN</t>
        </is>
      </c>
      <c r="E1206" t="inlineStr">
        <is>
          <t>BRÄCKE</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16372-2023</t>
        </is>
      </c>
      <c r="B1207" s="1" t="n">
        <v>45029</v>
      </c>
      <c r="C1207" s="1" t="n">
        <v>45648</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16649-2023</t>
        </is>
      </c>
      <c r="B1208" s="1" t="n">
        <v>45028</v>
      </c>
      <c r="C1208" s="1" t="n">
        <v>45648</v>
      </c>
      <c r="D1208" t="inlineStr">
        <is>
          <t>JÄMTLANDS LÄN</t>
        </is>
      </c>
      <c r="E1208" t="inlineStr">
        <is>
          <t>BRÄCKE</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16371-2023</t>
        </is>
      </c>
      <c r="B1209" s="1" t="n">
        <v>45029</v>
      </c>
      <c r="C1209" s="1" t="n">
        <v>45648</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16573-2023</t>
        </is>
      </c>
      <c r="B1210" s="1" t="n">
        <v>45030</v>
      </c>
      <c r="C1210" s="1" t="n">
        <v>45648</v>
      </c>
      <c r="D1210" t="inlineStr">
        <is>
          <t>JÄMTLANDS LÄN</t>
        </is>
      </c>
      <c r="E1210" t="inlineStr">
        <is>
          <t>BRÄCKE</t>
        </is>
      </c>
      <c r="F1210" t="inlineStr">
        <is>
          <t>SCA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16574-2023</t>
        </is>
      </c>
      <c r="B1211" s="1" t="n">
        <v>45029</v>
      </c>
      <c r="C1211" s="1" t="n">
        <v>45648</v>
      </c>
      <c r="D1211" t="inlineStr">
        <is>
          <t>JÄMTLANDS LÄN</t>
        </is>
      </c>
      <c r="E1211" t="inlineStr">
        <is>
          <t>BRÄCKE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16751-2023</t>
        </is>
      </c>
      <c r="B1212" s="1" t="n">
        <v>45030</v>
      </c>
      <c r="C1212" s="1" t="n">
        <v>45648</v>
      </c>
      <c r="D1212" t="inlineStr">
        <is>
          <t>JÄMTLANDS LÄN</t>
        </is>
      </c>
      <c r="E1212" t="inlineStr">
        <is>
          <t>BRÄCKE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16752-2023</t>
        </is>
      </c>
      <c r="B1213" s="1" t="n">
        <v>45030</v>
      </c>
      <c r="C1213" s="1" t="n">
        <v>45648</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16982-2023</t>
        </is>
      </c>
      <c r="B1214" s="1" t="n">
        <v>45033</v>
      </c>
      <c r="C1214" s="1" t="n">
        <v>45648</v>
      </c>
      <c r="D1214" t="inlineStr">
        <is>
          <t>JÄMTLANDS LÄN</t>
        </is>
      </c>
      <c r="E1214" t="inlineStr">
        <is>
          <t>BRÄCKE</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17209-2023</t>
        </is>
      </c>
      <c r="B1215" s="1" t="n">
        <v>45034</v>
      </c>
      <c r="C1215" s="1" t="n">
        <v>45648</v>
      </c>
      <c r="D1215" t="inlineStr">
        <is>
          <t>JÄMTLANDS LÄN</t>
        </is>
      </c>
      <c r="E1215" t="inlineStr">
        <is>
          <t>BRÄCKE</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17223-2023</t>
        </is>
      </c>
      <c r="B1216" s="1" t="n">
        <v>45034</v>
      </c>
      <c r="C1216" s="1" t="n">
        <v>45648</v>
      </c>
      <c r="D1216" t="inlineStr">
        <is>
          <t>JÄMTLANDS LÄN</t>
        </is>
      </c>
      <c r="E1216" t="inlineStr">
        <is>
          <t>BRÄCKE</t>
        </is>
      </c>
      <c r="F1216" t="inlineStr">
        <is>
          <t>SCA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17568-2023</t>
        </is>
      </c>
      <c r="B1217" s="1" t="n">
        <v>45036</v>
      </c>
      <c r="C1217" s="1" t="n">
        <v>45648</v>
      </c>
      <c r="D1217" t="inlineStr">
        <is>
          <t>JÄMTLANDS LÄN</t>
        </is>
      </c>
      <c r="E1217" t="inlineStr">
        <is>
          <t>BRÄCKE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17665-2023</t>
        </is>
      </c>
      <c r="B1218" s="1" t="n">
        <v>45036</v>
      </c>
      <c r="C1218" s="1" t="n">
        <v>45648</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17857-2023</t>
        </is>
      </c>
      <c r="B1219" s="1" t="n">
        <v>45037</v>
      </c>
      <c r="C1219" s="1" t="n">
        <v>45648</v>
      </c>
      <c r="D1219" t="inlineStr">
        <is>
          <t>JÄMTLANDS LÄN</t>
        </is>
      </c>
      <c r="E1219" t="inlineStr">
        <is>
          <t>BRÄCKE</t>
        </is>
      </c>
      <c r="F1219" t="inlineStr">
        <is>
          <t>SCA</t>
        </is>
      </c>
      <c r="G1219" t="n">
        <v>20</v>
      </c>
      <c r="H1219" t="n">
        <v>0</v>
      </c>
      <c r="I1219" t="n">
        <v>0</v>
      </c>
      <c r="J1219" t="n">
        <v>0</v>
      </c>
      <c r="K1219" t="n">
        <v>0</v>
      </c>
      <c r="L1219" t="n">
        <v>0</v>
      </c>
      <c r="M1219" t="n">
        <v>0</v>
      </c>
      <c r="N1219" t="n">
        <v>0</v>
      </c>
      <c r="O1219" t="n">
        <v>0</v>
      </c>
      <c r="P1219" t="n">
        <v>0</v>
      </c>
      <c r="Q1219" t="n">
        <v>0</v>
      </c>
      <c r="R1219" s="2" t="inlineStr"/>
    </row>
    <row r="1220" ht="15" customHeight="1">
      <c r="A1220" t="inlineStr">
        <is>
          <t>A 17888-2023</t>
        </is>
      </c>
      <c r="B1220" s="1" t="n">
        <v>45037</v>
      </c>
      <c r="C1220" s="1" t="n">
        <v>45648</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18152-2023</t>
        </is>
      </c>
      <c r="B1221" s="1" t="n">
        <v>45040</v>
      </c>
      <c r="C1221" s="1" t="n">
        <v>45648</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18150-2023</t>
        </is>
      </c>
      <c r="B1222" s="1" t="n">
        <v>45041</v>
      </c>
      <c r="C1222" s="1" t="n">
        <v>45648</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18164-2023</t>
        </is>
      </c>
      <c r="B1223" s="1" t="n">
        <v>45041</v>
      </c>
      <c r="C1223" s="1" t="n">
        <v>45648</v>
      </c>
      <c r="D1223" t="inlineStr">
        <is>
          <t>JÄMTLANDS LÄN</t>
        </is>
      </c>
      <c r="E1223" t="inlineStr">
        <is>
          <t>BRÄCKE</t>
        </is>
      </c>
      <c r="F1223" t="inlineStr">
        <is>
          <t>SCA</t>
        </is>
      </c>
      <c r="G1223" t="n">
        <v>31.4</v>
      </c>
      <c r="H1223" t="n">
        <v>0</v>
      </c>
      <c r="I1223" t="n">
        <v>0</v>
      </c>
      <c r="J1223" t="n">
        <v>0</v>
      </c>
      <c r="K1223" t="n">
        <v>0</v>
      </c>
      <c r="L1223" t="n">
        <v>0</v>
      </c>
      <c r="M1223" t="n">
        <v>0</v>
      </c>
      <c r="N1223" t="n">
        <v>0</v>
      </c>
      <c r="O1223" t="n">
        <v>0</v>
      </c>
      <c r="P1223" t="n">
        <v>0</v>
      </c>
      <c r="Q1223" t="n">
        <v>0</v>
      </c>
      <c r="R1223" s="2" t="inlineStr"/>
    </row>
    <row r="1224" ht="15" customHeight="1">
      <c r="A1224" t="inlineStr">
        <is>
          <t>A 18229-2023</t>
        </is>
      </c>
      <c r="B1224" s="1" t="n">
        <v>45040</v>
      </c>
      <c r="C1224" s="1" t="n">
        <v>45648</v>
      </c>
      <c r="D1224" t="inlineStr">
        <is>
          <t>JÄMTLANDS LÄN</t>
        </is>
      </c>
      <c r="E1224" t="inlineStr">
        <is>
          <t>BRÄCKE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18151-2023</t>
        </is>
      </c>
      <c r="B1225" s="1" t="n">
        <v>45040</v>
      </c>
      <c r="C1225" s="1" t="n">
        <v>45648</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18236-2023</t>
        </is>
      </c>
      <c r="B1226" s="1" t="n">
        <v>45040</v>
      </c>
      <c r="C1226" s="1" t="n">
        <v>45648</v>
      </c>
      <c r="D1226" t="inlineStr">
        <is>
          <t>JÄMTLANDS LÄN</t>
        </is>
      </c>
      <c r="E1226" t="inlineStr">
        <is>
          <t>BRÄCKE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18206-2023</t>
        </is>
      </c>
      <c r="B1227" s="1" t="n">
        <v>45041</v>
      </c>
      <c r="C1227" s="1" t="n">
        <v>45648</v>
      </c>
      <c r="D1227" t="inlineStr">
        <is>
          <t>JÄMTLANDS LÄN</t>
        </is>
      </c>
      <c r="E1227" t="inlineStr">
        <is>
          <t>BRÄCKE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18559-2023</t>
        </is>
      </c>
      <c r="B1228" s="1" t="n">
        <v>45043</v>
      </c>
      <c r="C1228" s="1" t="n">
        <v>45648</v>
      </c>
      <c r="D1228" t="inlineStr">
        <is>
          <t>JÄMTLANDS LÄN</t>
        </is>
      </c>
      <c r="E1228" t="inlineStr">
        <is>
          <t>BRÄCKE</t>
        </is>
      </c>
      <c r="F1228" t="inlineStr">
        <is>
          <t>SCA</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18552-2023</t>
        </is>
      </c>
      <c r="B1229" s="1" t="n">
        <v>45043</v>
      </c>
      <c r="C1229" s="1" t="n">
        <v>45648</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18698-2023</t>
        </is>
      </c>
      <c r="B1230" s="1" t="n">
        <v>45042</v>
      </c>
      <c r="C1230" s="1" t="n">
        <v>45648</v>
      </c>
      <c r="D1230" t="inlineStr">
        <is>
          <t>JÄMTLANDS LÄN</t>
        </is>
      </c>
      <c r="E1230" t="inlineStr">
        <is>
          <t>BRÄCKE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18555-2023</t>
        </is>
      </c>
      <c r="B1231" s="1" t="n">
        <v>45042</v>
      </c>
      <c r="C1231" s="1" t="n">
        <v>45648</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18674-2023</t>
        </is>
      </c>
      <c r="B1232" s="1" t="n">
        <v>45043</v>
      </c>
      <c r="C1232" s="1" t="n">
        <v>45648</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19237-2023</t>
        </is>
      </c>
      <c r="B1233" s="1" t="n">
        <v>45049</v>
      </c>
      <c r="C1233" s="1" t="n">
        <v>45648</v>
      </c>
      <c r="D1233" t="inlineStr">
        <is>
          <t>JÄMTLANDS LÄN</t>
        </is>
      </c>
      <c r="E1233" t="inlineStr">
        <is>
          <t>BRÄCKE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19436-2023</t>
        </is>
      </c>
      <c r="B1234" s="1" t="n">
        <v>45050</v>
      </c>
      <c r="C1234" s="1" t="n">
        <v>45648</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19465-2023</t>
        </is>
      </c>
      <c r="B1235" s="1" t="n">
        <v>45049</v>
      </c>
      <c r="C1235" s="1" t="n">
        <v>45648</v>
      </c>
      <c r="D1235" t="inlineStr">
        <is>
          <t>JÄMTLANDS LÄN</t>
        </is>
      </c>
      <c r="E1235" t="inlineStr">
        <is>
          <t>BRÄCKE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19486-2023</t>
        </is>
      </c>
      <c r="B1236" s="1" t="n">
        <v>45049</v>
      </c>
      <c r="C1236" s="1" t="n">
        <v>45648</v>
      </c>
      <c r="D1236" t="inlineStr">
        <is>
          <t>JÄMTLANDS LÄN</t>
        </is>
      </c>
      <c r="E1236" t="inlineStr">
        <is>
          <t>BRÄCKE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19485-2023</t>
        </is>
      </c>
      <c r="B1237" s="1" t="n">
        <v>45049</v>
      </c>
      <c r="C1237" s="1" t="n">
        <v>45648</v>
      </c>
      <c r="D1237" t="inlineStr">
        <is>
          <t>JÄMTLANDS LÄN</t>
        </is>
      </c>
      <c r="E1237" t="inlineStr">
        <is>
          <t>BRÄCKE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19496-2023</t>
        </is>
      </c>
      <c r="B1238" s="1" t="n">
        <v>45049</v>
      </c>
      <c r="C1238" s="1" t="n">
        <v>45648</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19533-2023</t>
        </is>
      </c>
      <c r="B1239" s="1" t="n">
        <v>45050</v>
      </c>
      <c r="C1239" s="1" t="n">
        <v>45648</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19461-2023</t>
        </is>
      </c>
      <c r="B1240" s="1" t="n">
        <v>45050</v>
      </c>
      <c r="C1240" s="1" t="n">
        <v>45648</v>
      </c>
      <c r="D1240" t="inlineStr">
        <is>
          <t>JÄMTLANDS LÄN</t>
        </is>
      </c>
      <c r="E1240" t="inlineStr">
        <is>
          <t>BRÄCKE</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19819-2023</t>
        </is>
      </c>
      <c r="B1241" s="1" t="n">
        <v>45052</v>
      </c>
      <c r="C1241" s="1" t="n">
        <v>45648</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19823-2023</t>
        </is>
      </c>
      <c r="B1242" s="1" t="n">
        <v>45052</v>
      </c>
      <c r="C1242" s="1" t="n">
        <v>45648</v>
      </c>
      <c r="D1242" t="inlineStr">
        <is>
          <t>JÄMTLANDS LÄN</t>
        </is>
      </c>
      <c r="E1242" t="inlineStr">
        <is>
          <t>BRÄCKE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19820-2023</t>
        </is>
      </c>
      <c r="B1243" s="1" t="n">
        <v>45051</v>
      </c>
      <c r="C1243" s="1" t="n">
        <v>45648</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19824-2023</t>
        </is>
      </c>
      <c r="B1244" s="1" t="n">
        <v>45051</v>
      </c>
      <c r="C1244" s="1" t="n">
        <v>45648</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19822-2023</t>
        </is>
      </c>
      <c r="B1245" s="1" t="n">
        <v>45052</v>
      </c>
      <c r="C1245" s="1" t="n">
        <v>45648</v>
      </c>
      <c r="D1245" t="inlineStr">
        <is>
          <t>JÄMTLANDS LÄN</t>
        </is>
      </c>
      <c r="E1245" t="inlineStr">
        <is>
          <t>BRÄCKE</t>
        </is>
      </c>
      <c r="F1245" t="inlineStr">
        <is>
          <t>SCA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19821-2023</t>
        </is>
      </c>
      <c r="B1246" s="1" t="n">
        <v>45051</v>
      </c>
      <c r="C1246" s="1" t="n">
        <v>45648</v>
      </c>
      <c r="D1246" t="inlineStr">
        <is>
          <t>JÄMTLANDS LÄN</t>
        </is>
      </c>
      <c r="E1246" t="inlineStr">
        <is>
          <t>BRÄCKE</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19941-2023</t>
        </is>
      </c>
      <c r="B1247" s="1" t="n">
        <v>45051</v>
      </c>
      <c r="C1247" s="1" t="n">
        <v>45648</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20095-2023</t>
        </is>
      </c>
      <c r="B1248" s="1" t="n">
        <v>45055</v>
      </c>
      <c r="C1248" s="1" t="n">
        <v>45648</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20100-2023</t>
        </is>
      </c>
      <c r="B1249" s="1" t="n">
        <v>45055</v>
      </c>
      <c r="C1249" s="1" t="n">
        <v>45648</v>
      </c>
      <c r="D1249" t="inlineStr">
        <is>
          <t>JÄMTLANDS LÄN</t>
        </is>
      </c>
      <c r="E1249" t="inlineStr">
        <is>
          <t>BRÄCKE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20101-2023</t>
        </is>
      </c>
      <c r="B1250" s="1" t="n">
        <v>45055</v>
      </c>
      <c r="C1250" s="1" t="n">
        <v>45648</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20093-2023</t>
        </is>
      </c>
      <c r="B1251" s="1" t="n">
        <v>45055</v>
      </c>
      <c r="C1251" s="1" t="n">
        <v>45648</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20265-2023</t>
        </is>
      </c>
      <c r="B1252" s="1" t="n">
        <v>45056</v>
      </c>
      <c r="C1252" s="1" t="n">
        <v>45648</v>
      </c>
      <c r="D1252" t="inlineStr">
        <is>
          <t>JÄMTLANDS LÄN</t>
        </is>
      </c>
      <c r="E1252" t="inlineStr">
        <is>
          <t>BRÄCKE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20270-2023</t>
        </is>
      </c>
      <c r="B1253" s="1" t="n">
        <v>45056</v>
      </c>
      <c r="C1253" s="1" t="n">
        <v>45648</v>
      </c>
      <c r="D1253" t="inlineStr">
        <is>
          <t>JÄMTLANDS LÄN</t>
        </is>
      </c>
      <c r="E1253" t="inlineStr">
        <is>
          <t>BRÄCKE</t>
        </is>
      </c>
      <c r="F1253" t="inlineStr">
        <is>
          <t>SCA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20276-2023</t>
        </is>
      </c>
      <c r="B1254" s="1" t="n">
        <v>45056</v>
      </c>
      <c r="C1254" s="1" t="n">
        <v>45648</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20603-2023</t>
        </is>
      </c>
      <c r="B1255" s="1" t="n">
        <v>45057</v>
      </c>
      <c r="C1255" s="1" t="n">
        <v>45648</v>
      </c>
      <c r="D1255" t="inlineStr">
        <is>
          <t>JÄMTLANDS LÄN</t>
        </is>
      </c>
      <c r="E1255" t="inlineStr">
        <is>
          <t>BRÄCKE</t>
        </is>
      </c>
      <c r="F1255" t="inlineStr">
        <is>
          <t>SCA</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20612-2023</t>
        </is>
      </c>
      <c r="B1256" s="1" t="n">
        <v>45057</v>
      </c>
      <c r="C1256" s="1" t="n">
        <v>45648</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20616-2023</t>
        </is>
      </c>
      <c r="B1257" s="1" t="n">
        <v>45057</v>
      </c>
      <c r="C1257" s="1" t="n">
        <v>45648</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20602-2023</t>
        </is>
      </c>
      <c r="B1258" s="1" t="n">
        <v>45058</v>
      </c>
      <c r="C1258" s="1" t="n">
        <v>45648</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20615-2023</t>
        </is>
      </c>
      <c r="B1259" s="1" t="n">
        <v>45058</v>
      </c>
      <c r="C1259" s="1" t="n">
        <v>45648</v>
      </c>
      <c r="D1259" t="inlineStr">
        <is>
          <t>JÄMTLANDS LÄN</t>
        </is>
      </c>
      <c r="E1259" t="inlineStr">
        <is>
          <t>BRÄCKE</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20625-2023</t>
        </is>
      </c>
      <c r="B1260" s="1" t="n">
        <v>45058</v>
      </c>
      <c r="C1260" s="1" t="n">
        <v>45648</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20630-2023</t>
        </is>
      </c>
      <c r="B1261" s="1" t="n">
        <v>45057</v>
      </c>
      <c r="C1261" s="1" t="n">
        <v>45648</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20605-2023</t>
        </is>
      </c>
      <c r="B1262" s="1" t="n">
        <v>45057</v>
      </c>
      <c r="C1262" s="1" t="n">
        <v>45648</v>
      </c>
      <c r="D1262" t="inlineStr">
        <is>
          <t>JÄMTLANDS LÄN</t>
        </is>
      </c>
      <c r="E1262" t="inlineStr">
        <is>
          <t>BRÄCKE</t>
        </is>
      </c>
      <c r="F1262" t="inlineStr">
        <is>
          <t>SCA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20614-2023</t>
        </is>
      </c>
      <c r="B1263" s="1" t="n">
        <v>45057</v>
      </c>
      <c r="C1263" s="1" t="n">
        <v>45648</v>
      </c>
      <c r="D1263" t="inlineStr">
        <is>
          <t>JÄMTLANDS LÄN</t>
        </is>
      </c>
      <c r="E1263" t="inlineStr">
        <is>
          <t>BRÄCKE</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20624-2023</t>
        </is>
      </c>
      <c r="B1264" s="1" t="n">
        <v>45058</v>
      </c>
      <c r="C1264" s="1" t="n">
        <v>45648</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20613-2023</t>
        </is>
      </c>
      <c r="B1265" s="1" t="n">
        <v>45057</v>
      </c>
      <c r="C1265" s="1" t="n">
        <v>45648</v>
      </c>
      <c r="D1265" t="inlineStr">
        <is>
          <t>JÄMTLANDS LÄN</t>
        </is>
      </c>
      <c r="E1265" t="inlineStr">
        <is>
          <t>BRÄCKE</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20864-2023</t>
        </is>
      </c>
      <c r="B1266" s="1" t="n">
        <v>45058</v>
      </c>
      <c r="C1266" s="1" t="n">
        <v>45648</v>
      </c>
      <c r="D1266" t="inlineStr">
        <is>
          <t>JÄMTLANDS LÄN</t>
        </is>
      </c>
      <c r="E1266" t="inlineStr">
        <is>
          <t>BRÄCKE</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20866-2023</t>
        </is>
      </c>
      <c r="B1267" s="1" t="n">
        <v>45058</v>
      </c>
      <c r="C1267" s="1" t="n">
        <v>45648</v>
      </c>
      <c r="D1267" t="inlineStr">
        <is>
          <t>JÄMTLANDS LÄN</t>
        </is>
      </c>
      <c r="E1267" t="inlineStr">
        <is>
          <t>BRÄCKE</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20863-2023</t>
        </is>
      </c>
      <c r="B1268" s="1" t="n">
        <v>45058</v>
      </c>
      <c r="C1268" s="1" t="n">
        <v>45648</v>
      </c>
      <c r="D1268" t="inlineStr">
        <is>
          <t>JÄMTLANDS LÄN</t>
        </is>
      </c>
      <c r="E1268" t="inlineStr">
        <is>
          <t>BRÄCKE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20867-2023</t>
        </is>
      </c>
      <c r="B1269" s="1" t="n">
        <v>45058</v>
      </c>
      <c r="C1269" s="1" t="n">
        <v>45648</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20865-2023</t>
        </is>
      </c>
      <c r="B1270" s="1" t="n">
        <v>45059</v>
      </c>
      <c r="C1270" s="1" t="n">
        <v>45648</v>
      </c>
      <c r="D1270" t="inlineStr">
        <is>
          <t>JÄMTLANDS LÄN</t>
        </is>
      </c>
      <c r="E1270" t="inlineStr">
        <is>
          <t>BRÄCKE</t>
        </is>
      </c>
      <c r="F1270" t="inlineStr">
        <is>
          <t>SCA</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20869-2023</t>
        </is>
      </c>
      <c r="B1271" s="1" t="n">
        <v>45058</v>
      </c>
      <c r="C1271" s="1" t="n">
        <v>45648</v>
      </c>
      <c r="D1271" t="inlineStr">
        <is>
          <t>JÄMTLANDS LÄN</t>
        </is>
      </c>
      <c r="E1271" t="inlineStr">
        <is>
          <t>BRÄCKE</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20870-2023</t>
        </is>
      </c>
      <c r="B1272" s="1" t="n">
        <v>45059</v>
      </c>
      <c r="C1272" s="1" t="n">
        <v>45648</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20868-2023</t>
        </is>
      </c>
      <c r="B1273" s="1" t="n">
        <v>45059</v>
      </c>
      <c r="C1273" s="1" t="n">
        <v>45648</v>
      </c>
      <c r="D1273" t="inlineStr">
        <is>
          <t>JÄMTLANDS LÄN</t>
        </is>
      </c>
      <c r="E1273" t="inlineStr">
        <is>
          <t>BRÄCKE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20879-2023</t>
        </is>
      </c>
      <c r="B1274" s="1" t="n">
        <v>45059</v>
      </c>
      <c r="C1274" s="1" t="n">
        <v>45648</v>
      </c>
      <c r="D1274" t="inlineStr">
        <is>
          <t>JÄMTLANDS LÄN</t>
        </is>
      </c>
      <c r="E1274" t="inlineStr">
        <is>
          <t>BRÄCKE</t>
        </is>
      </c>
      <c r="F1274" t="inlineStr">
        <is>
          <t>Naturvårdsverket</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21183-2023</t>
        </is>
      </c>
      <c r="B1275" s="1" t="n">
        <v>45058</v>
      </c>
      <c r="C1275" s="1" t="n">
        <v>45648</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21243-2023</t>
        </is>
      </c>
      <c r="B1276" s="1" t="n">
        <v>45058</v>
      </c>
      <c r="C1276" s="1" t="n">
        <v>45648</v>
      </c>
      <c r="D1276" t="inlineStr">
        <is>
          <t>JÄMTLANDS LÄN</t>
        </is>
      </c>
      <c r="E1276" t="inlineStr">
        <is>
          <t>BRÄCKE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21114-2023</t>
        </is>
      </c>
      <c r="B1277" s="1" t="n">
        <v>45062</v>
      </c>
      <c r="C1277" s="1" t="n">
        <v>45648</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21118-2023</t>
        </is>
      </c>
      <c r="B1278" s="1" t="n">
        <v>45062</v>
      </c>
      <c r="C1278" s="1" t="n">
        <v>45648</v>
      </c>
      <c r="D1278" t="inlineStr">
        <is>
          <t>JÄMTLANDS LÄN</t>
        </is>
      </c>
      <c r="E1278" t="inlineStr">
        <is>
          <t>BRÄCKE</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21116-2023</t>
        </is>
      </c>
      <c r="B1279" s="1" t="n">
        <v>45062</v>
      </c>
      <c r="C1279" s="1" t="n">
        <v>45648</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21113-2023</t>
        </is>
      </c>
      <c r="B1280" s="1" t="n">
        <v>45062</v>
      </c>
      <c r="C1280" s="1" t="n">
        <v>45648</v>
      </c>
      <c r="D1280" t="inlineStr">
        <is>
          <t>JÄMTLANDS LÄN</t>
        </is>
      </c>
      <c r="E1280" t="inlineStr">
        <is>
          <t>BRÄCKE</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21117-2023</t>
        </is>
      </c>
      <c r="B1281" s="1" t="n">
        <v>45061</v>
      </c>
      <c r="C1281" s="1" t="n">
        <v>45648</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21308-2023</t>
        </is>
      </c>
      <c r="B1282" s="1" t="n">
        <v>45062</v>
      </c>
      <c r="C1282" s="1" t="n">
        <v>45648</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21350-2023</t>
        </is>
      </c>
      <c r="B1283" s="1" t="n">
        <v>45063</v>
      </c>
      <c r="C1283" s="1" t="n">
        <v>45648</v>
      </c>
      <c r="D1283" t="inlineStr">
        <is>
          <t>JÄMTLANDS LÄN</t>
        </is>
      </c>
      <c r="E1283" t="inlineStr">
        <is>
          <t>BRÄCKE</t>
        </is>
      </c>
      <c r="F1283" t="inlineStr">
        <is>
          <t>Naturvårdsverket</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21359-2023</t>
        </is>
      </c>
      <c r="B1284" s="1" t="n">
        <v>45062</v>
      </c>
      <c r="C1284" s="1" t="n">
        <v>45648</v>
      </c>
      <c r="D1284" t="inlineStr">
        <is>
          <t>JÄMTLANDS LÄN</t>
        </is>
      </c>
      <c r="E1284" t="inlineStr">
        <is>
          <t>BRÄCKE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21360-2023</t>
        </is>
      </c>
      <c r="B1285" s="1" t="n">
        <v>45062</v>
      </c>
      <c r="C1285" s="1" t="n">
        <v>45648</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21673-2023</t>
        </is>
      </c>
      <c r="B1286" s="1" t="n">
        <v>45064</v>
      </c>
      <c r="C1286" s="1" t="n">
        <v>45648</v>
      </c>
      <c r="D1286" t="inlineStr">
        <is>
          <t>JÄMTLANDS LÄN</t>
        </is>
      </c>
      <c r="E1286" t="inlineStr">
        <is>
          <t>BRÄCKE</t>
        </is>
      </c>
      <c r="F1286" t="inlineStr">
        <is>
          <t>SCA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21780-2023</t>
        </is>
      </c>
      <c r="B1287" s="1" t="n">
        <v>45066</v>
      </c>
      <c r="C1287" s="1" t="n">
        <v>45648</v>
      </c>
      <c r="D1287" t="inlineStr">
        <is>
          <t>JÄMTLANDS LÄN</t>
        </is>
      </c>
      <c r="E1287" t="inlineStr">
        <is>
          <t>BRÄCKE</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21781-2023</t>
        </is>
      </c>
      <c r="B1288" s="1" t="n">
        <v>45065</v>
      </c>
      <c r="C1288" s="1" t="n">
        <v>45648</v>
      </c>
      <c r="D1288" t="inlineStr">
        <is>
          <t>JÄMTLANDS LÄN</t>
        </is>
      </c>
      <c r="E1288" t="inlineStr">
        <is>
          <t>BRÄCKE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21779-2023</t>
        </is>
      </c>
      <c r="B1289" s="1" t="n">
        <v>45065</v>
      </c>
      <c r="C1289" s="1" t="n">
        <v>45648</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21782-2023</t>
        </is>
      </c>
      <c r="B1290" s="1" t="n">
        <v>45066</v>
      </c>
      <c r="C1290" s="1" t="n">
        <v>45648</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22012-2023</t>
        </is>
      </c>
      <c r="B1291" s="1" t="n">
        <v>45069</v>
      </c>
      <c r="C1291" s="1" t="n">
        <v>45648</v>
      </c>
      <c r="D1291" t="inlineStr">
        <is>
          <t>JÄMTLANDS LÄN</t>
        </is>
      </c>
      <c r="E1291" t="inlineStr">
        <is>
          <t>BRÄCKE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22010-2023</t>
        </is>
      </c>
      <c r="B1292" s="1" t="n">
        <v>45068</v>
      </c>
      <c r="C1292" s="1" t="n">
        <v>45648</v>
      </c>
      <c r="D1292" t="inlineStr">
        <is>
          <t>JÄMTLANDS LÄN</t>
        </is>
      </c>
      <c r="E1292" t="inlineStr">
        <is>
          <t>BRÄCKE</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22231-2023</t>
        </is>
      </c>
      <c r="B1293" s="1" t="n">
        <v>45069</v>
      </c>
      <c r="C1293" s="1" t="n">
        <v>45648</v>
      </c>
      <c r="D1293" t="inlineStr">
        <is>
          <t>JÄMTLANDS LÄN</t>
        </is>
      </c>
      <c r="E1293" t="inlineStr">
        <is>
          <t>BRÄCKE</t>
        </is>
      </c>
      <c r="F1293" t="inlineStr">
        <is>
          <t>SCA</t>
        </is>
      </c>
      <c r="G1293" t="n">
        <v>30.6</v>
      </c>
      <c r="H1293" t="n">
        <v>0</v>
      </c>
      <c r="I1293" t="n">
        <v>0</v>
      </c>
      <c r="J1293" t="n">
        <v>0</v>
      </c>
      <c r="K1293" t="n">
        <v>0</v>
      </c>
      <c r="L1293" t="n">
        <v>0</v>
      </c>
      <c r="M1293" t="n">
        <v>0</v>
      </c>
      <c r="N1293" t="n">
        <v>0</v>
      </c>
      <c r="O1293" t="n">
        <v>0</v>
      </c>
      <c r="P1293" t="n">
        <v>0</v>
      </c>
      <c r="Q1293" t="n">
        <v>0</v>
      </c>
      <c r="R1293" s="2" t="inlineStr"/>
    </row>
    <row r="1294" ht="15" customHeight="1">
      <c r="A1294" t="inlineStr">
        <is>
          <t>A 22232-2023</t>
        </is>
      </c>
      <c r="B1294" s="1" t="n">
        <v>45069</v>
      </c>
      <c r="C1294" s="1" t="n">
        <v>45648</v>
      </c>
      <c r="D1294" t="inlineStr">
        <is>
          <t>JÄMTLANDS LÄN</t>
        </is>
      </c>
      <c r="E1294" t="inlineStr">
        <is>
          <t>BRÄCKE</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22471-2023</t>
        </is>
      </c>
      <c r="B1295" s="1" t="n">
        <v>45070</v>
      </c>
      <c r="C1295" s="1" t="n">
        <v>45648</v>
      </c>
      <c r="D1295" t="inlineStr">
        <is>
          <t>JÄMTLANDS LÄN</t>
        </is>
      </c>
      <c r="E1295" t="inlineStr">
        <is>
          <t>BRÄCKE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22748-2023</t>
        </is>
      </c>
      <c r="B1296" s="1" t="n">
        <v>45071</v>
      </c>
      <c r="C1296" s="1" t="n">
        <v>45648</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22986-2023</t>
        </is>
      </c>
      <c r="B1297" s="1" t="n">
        <v>45073</v>
      </c>
      <c r="C1297" s="1" t="n">
        <v>45648</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22983-2023</t>
        </is>
      </c>
      <c r="B1298" s="1" t="n">
        <v>45073</v>
      </c>
      <c r="C1298" s="1" t="n">
        <v>45648</v>
      </c>
      <c r="D1298" t="inlineStr">
        <is>
          <t>JÄMTLANDS LÄN</t>
        </is>
      </c>
      <c r="E1298" t="inlineStr">
        <is>
          <t>BRÄCKE</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22988-2023</t>
        </is>
      </c>
      <c r="B1299" s="1" t="n">
        <v>45072</v>
      </c>
      <c r="C1299" s="1" t="n">
        <v>45648</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23000-2023</t>
        </is>
      </c>
      <c r="B1300" s="1" t="n">
        <v>45073</v>
      </c>
      <c r="C1300" s="1" t="n">
        <v>45648</v>
      </c>
      <c r="D1300" t="inlineStr">
        <is>
          <t>JÄMTLANDS LÄN</t>
        </is>
      </c>
      <c r="E1300" t="inlineStr">
        <is>
          <t>BRÄCKE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22985-2023</t>
        </is>
      </c>
      <c r="B1301" s="1" t="n">
        <v>45072</v>
      </c>
      <c r="C1301" s="1" t="n">
        <v>45648</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23312-2023</t>
        </is>
      </c>
      <c r="B1302" s="1" t="n">
        <v>45076</v>
      </c>
      <c r="C1302" s="1" t="n">
        <v>45648</v>
      </c>
      <c r="D1302" t="inlineStr">
        <is>
          <t>JÄMTLANDS LÄN</t>
        </is>
      </c>
      <c r="E1302" t="inlineStr">
        <is>
          <t>BRÄCKE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23301-2023</t>
        </is>
      </c>
      <c r="B1303" s="1" t="n">
        <v>45075</v>
      </c>
      <c r="C1303" s="1" t="n">
        <v>45648</v>
      </c>
      <c r="D1303" t="inlineStr">
        <is>
          <t>JÄMTLANDS LÄN</t>
        </is>
      </c>
      <c r="E1303" t="inlineStr">
        <is>
          <t>BRÄCKE</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23313-2023</t>
        </is>
      </c>
      <c r="B1304" s="1" t="n">
        <v>45076</v>
      </c>
      <c r="C1304" s="1" t="n">
        <v>45648</v>
      </c>
      <c r="D1304" t="inlineStr">
        <is>
          <t>JÄMTLANDS LÄN</t>
        </is>
      </c>
      <c r="E1304" t="inlineStr">
        <is>
          <t>BRÄCKE</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23306-2023</t>
        </is>
      </c>
      <c r="B1305" s="1" t="n">
        <v>45075</v>
      </c>
      <c r="C1305" s="1" t="n">
        <v>45648</v>
      </c>
      <c r="D1305" t="inlineStr">
        <is>
          <t>JÄMTLANDS LÄN</t>
        </is>
      </c>
      <c r="E1305" t="inlineStr">
        <is>
          <t>BRÄCKE</t>
        </is>
      </c>
      <c r="F1305" t="inlineStr">
        <is>
          <t>SCA</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23517-2023</t>
        </is>
      </c>
      <c r="B1306" s="1" t="n">
        <v>45077</v>
      </c>
      <c r="C1306" s="1" t="n">
        <v>45648</v>
      </c>
      <c r="D1306" t="inlineStr">
        <is>
          <t>JÄMTLANDS LÄN</t>
        </is>
      </c>
      <c r="E1306" t="inlineStr">
        <is>
          <t>BRÄCKE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23526-2023</t>
        </is>
      </c>
      <c r="B1307" s="1" t="n">
        <v>45077</v>
      </c>
      <c r="C1307" s="1" t="n">
        <v>45648</v>
      </c>
      <c r="D1307" t="inlineStr">
        <is>
          <t>JÄMTLANDS LÄN</t>
        </is>
      </c>
      <c r="E1307" t="inlineStr">
        <is>
          <t>BRÄCKE</t>
        </is>
      </c>
      <c r="F1307" t="inlineStr">
        <is>
          <t>SCA</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23752-2023</t>
        </is>
      </c>
      <c r="B1308" s="1" t="n">
        <v>45078</v>
      </c>
      <c r="C1308" s="1" t="n">
        <v>45648</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23756-2023</t>
        </is>
      </c>
      <c r="B1309" s="1" t="n">
        <v>45078</v>
      </c>
      <c r="C1309" s="1" t="n">
        <v>45648</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23764-2023</t>
        </is>
      </c>
      <c r="B1310" s="1" t="n">
        <v>45078</v>
      </c>
      <c r="C1310" s="1" t="n">
        <v>45648</v>
      </c>
      <c r="D1310" t="inlineStr">
        <is>
          <t>JÄMTLANDS LÄN</t>
        </is>
      </c>
      <c r="E1310" t="inlineStr">
        <is>
          <t>BRÄCKE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23773-2023</t>
        </is>
      </c>
      <c r="B1311" s="1" t="n">
        <v>45078</v>
      </c>
      <c r="C1311" s="1" t="n">
        <v>45648</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23766-2023</t>
        </is>
      </c>
      <c r="B1312" s="1" t="n">
        <v>45078</v>
      </c>
      <c r="C1312" s="1" t="n">
        <v>45648</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23778-2023</t>
        </is>
      </c>
      <c r="B1313" s="1" t="n">
        <v>45077</v>
      </c>
      <c r="C1313" s="1" t="n">
        <v>45648</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23754-2023</t>
        </is>
      </c>
      <c r="B1314" s="1" t="n">
        <v>45078</v>
      </c>
      <c r="C1314" s="1" t="n">
        <v>45648</v>
      </c>
      <c r="D1314" t="inlineStr">
        <is>
          <t>JÄMTLANDS LÄN</t>
        </is>
      </c>
      <c r="E1314" t="inlineStr">
        <is>
          <t>BRÄCKE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23767-2023</t>
        </is>
      </c>
      <c r="B1315" s="1" t="n">
        <v>45077</v>
      </c>
      <c r="C1315" s="1" t="n">
        <v>45648</v>
      </c>
      <c r="D1315" t="inlineStr">
        <is>
          <t>JÄMTLANDS LÄN</t>
        </is>
      </c>
      <c r="E1315" t="inlineStr">
        <is>
          <t>BRÄCKE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23771-2023</t>
        </is>
      </c>
      <c r="B1316" s="1" t="n">
        <v>45077</v>
      </c>
      <c r="C1316" s="1" t="n">
        <v>45648</v>
      </c>
      <c r="D1316" t="inlineStr">
        <is>
          <t>JÄMTLANDS LÄN</t>
        </is>
      </c>
      <c r="E1316" t="inlineStr">
        <is>
          <t>BRÄCKE</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23755-2023</t>
        </is>
      </c>
      <c r="B1317" s="1" t="n">
        <v>45078</v>
      </c>
      <c r="C1317" s="1" t="n">
        <v>45648</v>
      </c>
      <c r="D1317" t="inlineStr">
        <is>
          <t>JÄMTLANDS LÄN</t>
        </is>
      </c>
      <c r="E1317" t="inlineStr">
        <is>
          <t>BRÄCKE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23763-2023</t>
        </is>
      </c>
      <c r="B1318" s="1" t="n">
        <v>45078</v>
      </c>
      <c r="C1318" s="1" t="n">
        <v>45648</v>
      </c>
      <c r="D1318" t="inlineStr">
        <is>
          <t>JÄMTLANDS LÄN</t>
        </is>
      </c>
      <c r="E1318" t="inlineStr">
        <is>
          <t>BRÄCKE</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23772-2023</t>
        </is>
      </c>
      <c r="B1319" s="1" t="n">
        <v>45077</v>
      </c>
      <c r="C1319" s="1" t="n">
        <v>45648</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24043-2023</t>
        </is>
      </c>
      <c r="B1320" s="1" t="n">
        <v>45078</v>
      </c>
      <c r="C1320" s="1" t="n">
        <v>45648</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24045-2023</t>
        </is>
      </c>
      <c r="B1321" s="1" t="n">
        <v>45078</v>
      </c>
      <c r="C1321" s="1" t="n">
        <v>45648</v>
      </c>
      <c r="D1321" t="inlineStr">
        <is>
          <t>JÄMTLANDS LÄN</t>
        </is>
      </c>
      <c r="E1321" t="inlineStr">
        <is>
          <t>BRÄCKE</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24049-2023</t>
        </is>
      </c>
      <c r="B1322" s="1" t="n">
        <v>45079</v>
      </c>
      <c r="C1322" s="1" t="n">
        <v>45648</v>
      </c>
      <c r="D1322" t="inlineStr">
        <is>
          <t>JÄMTLANDS LÄN</t>
        </is>
      </c>
      <c r="E1322" t="inlineStr">
        <is>
          <t>BRÄCKE</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24046-2023</t>
        </is>
      </c>
      <c r="B1323" s="1" t="n">
        <v>45078</v>
      </c>
      <c r="C1323" s="1" t="n">
        <v>45648</v>
      </c>
      <c r="D1323" t="inlineStr">
        <is>
          <t>JÄMTLANDS LÄN</t>
        </is>
      </c>
      <c r="E1323" t="inlineStr">
        <is>
          <t>BRÄCKE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24048-2023</t>
        </is>
      </c>
      <c r="B1324" s="1" t="n">
        <v>45079</v>
      </c>
      <c r="C1324" s="1" t="n">
        <v>45648</v>
      </c>
      <c r="D1324" t="inlineStr">
        <is>
          <t>JÄMTLANDS LÄN</t>
        </is>
      </c>
      <c r="E1324" t="inlineStr">
        <is>
          <t>BRÄCKE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24047-2023</t>
        </is>
      </c>
      <c r="B1325" s="1" t="n">
        <v>45079</v>
      </c>
      <c r="C1325" s="1" t="n">
        <v>45648</v>
      </c>
      <c r="D1325" t="inlineStr">
        <is>
          <t>JÄMTLANDS LÄN</t>
        </is>
      </c>
      <c r="E1325" t="inlineStr">
        <is>
          <t>BRÄCKE</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24195-2023</t>
        </is>
      </c>
      <c r="B1326" s="1" t="n">
        <v>45079</v>
      </c>
      <c r="C1326" s="1" t="n">
        <v>45648</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24214-2023</t>
        </is>
      </c>
      <c r="B1327" s="1" t="n">
        <v>45079</v>
      </c>
      <c r="C1327" s="1" t="n">
        <v>45648</v>
      </c>
      <c r="D1327" t="inlineStr">
        <is>
          <t>JÄMTLANDS LÄN</t>
        </is>
      </c>
      <c r="E1327" t="inlineStr">
        <is>
          <t>BRÄCKE</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24206-2023</t>
        </is>
      </c>
      <c r="B1328" s="1" t="n">
        <v>45079</v>
      </c>
      <c r="C1328" s="1" t="n">
        <v>45648</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24182-2023</t>
        </is>
      </c>
      <c r="B1329" s="1" t="n">
        <v>45079</v>
      </c>
      <c r="C1329" s="1" t="n">
        <v>45648</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24550-2023</t>
        </is>
      </c>
      <c r="B1330" s="1" t="n">
        <v>45082</v>
      </c>
      <c r="C1330" s="1" t="n">
        <v>45648</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25043-2023</t>
        </is>
      </c>
      <c r="B1331" s="1" t="n">
        <v>45085</v>
      </c>
      <c r="C1331" s="1" t="n">
        <v>45648</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25056-2023</t>
        </is>
      </c>
      <c r="B1332" s="1" t="n">
        <v>45086</v>
      </c>
      <c r="C1332" s="1" t="n">
        <v>45648</v>
      </c>
      <c r="D1332" t="inlineStr">
        <is>
          <t>JÄMTLANDS LÄN</t>
        </is>
      </c>
      <c r="E1332" t="inlineStr">
        <is>
          <t>BRÄCKE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25060-2023</t>
        </is>
      </c>
      <c r="B1333" s="1" t="n">
        <v>45086</v>
      </c>
      <c r="C1333" s="1" t="n">
        <v>45648</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25041-2023</t>
        </is>
      </c>
      <c r="B1334" s="1" t="n">
        <v>45085</v>
      </c>
      <c r="C1334" s="1" t="n">
        <v>45648</v>
      </c>
      <c r="D1334" t="inlineStr">
        <is>
          <t>JÄMTLANDS LÄN</t>
        </is>
      </c>
      <c r="E1334" t="inlineStr">
        <is>
          <t>BRÄCKE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25058-2023</t>
        </is>
      </c>
      <c r="B1335" s="1" t="n">
        <v>45086</v>
      </c>
      <c r="C1335" s="1" t="n">
        <v>45648</v>
      </c>
      <c r="D1335" t="inlineStr">
        <is>
          <t>JÄMTLANDS LÄN</t>
        </is>
      </c>
      <c r="E1335" t="inlineStr">
        <is>
          <t>BRÄCKE</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25057-2023</t>
        </is>
      </c>
      <c r="B1336" s="1" t="n">
        <v>45086</v>
      </c>
      <c r="C1336" s="1" t="n">
        <v>45648</v>
      </c>
      <c r="D1336" t="inlineStr">
        <is>
          <t>JÄMTLANDS LÄN</t>
        </is>
      </c>
      <c r="E1336" t="inlineStr">
        <is>
          <t>BRÄCKE</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25061-2023</t>
        </is>
      </c>
      <c r="B1337" s="1" t="n">
        <v>45085</v>
      </c>
      <c r="C1337" s="1" t="n">
        <v>45648</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25895-2023</t>
        </is>
      </c>
      <c r="B1338" s="1" t="n">
        <v>45085</v>
      </c>
      <c r="C1338" s="1" t="n">
        <v>45648</v>
      </c>
      <c r="D1338" t="inlineStr">
        <is>
          <t>JÄMTLANDS LÄN</t>
        </is>
      </c>
      <c r="E1338" t="inlineStr">
        <is>
          <t>BRÄCKE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25042-2023</t>
        </is>
      </c>
      <c r="B1339" s="1" t="n">
        <v>45086</v>
      </c>
      <c r="C1339" s="1" t="n">
        <v>45648</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25055-2023</t>
        </is>
      </c>
      <c r="B1340" s="1" t="n">
        <v>45086</v>
      </c>
      <c r="C1340" s="1" t="n">
        <v>45648</v>
      </c>
      <c r="D1340" t="inlineStr">
        <is>
          <t>JÄMTLANDS LÄN</t>
        </is>
      </c>
      <c r="E1340" t="inlineStr">
        <is>
          <t>BRÄCKE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25059-2023</t>
        </is>
      </c>
      <c r="B1341" s="1" t="n">
        <v>45086</v>
      </c>
      <c r="C1341" s="1" t="n">
        <v>45648</v>
      </c>
      <c r="D1341" t="inlineStr">
        <is>
          <t>JÄMTLANDS LÄN</t>
        </is>
      </c>
      <c r="E1341" t="inlineStr">
        <is>
          <t>BRÄCKE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25909-2023</t>
        </is>
      </c>
      <c r="B1342" s="1" t="n">
        <v>45085</v>
      </c>
      <c r="C1342" s="1" t="n">
        <v>45648</v>
      </c>
      <c r="D1342" t="inlineStr">
        <is>
          <t>JÄMTLANDS LÄN</t>
        </is>
      </c>
      <c r="E1342" t="inlineStr">
        <is>
          <t>BRÄCKE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25319-2023</t>
        </is>
      </c>
      <c r="B1343" s="1" t="n">
        <v>45087</v>
      </c>
      <c r="C1343" s="1" t="n">
        <v>45648</v>
      </c>
      <c r="D1343" t="inlineStr">
        <is>
          <t>JÄMTLANDS LÄN</t>
        </is>
      </c>
      <c r="E1343" t="inlineStr">
        <is>
          <t>BRÄCKE</t>
        </is>
      </c>
      <c r="F1343" t="inlineStr">
        <is>
          <t>SCA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25317-2023</t>
        </is>
      </c>
      <c r="B1344" s="1" t="n">
        <v>45087</v>
      </c>
      <c r="C1344" s="1" t="n">
        <v>45648</v>
      </c>
      <c r="D1344" t="inlineStr">
        <is>
          <t>JÄMTLANDS LÄN</t>
        </is>
      </c>
      <c r="E1344" t="inlineStr">
        <is>
          <t>BRÄCKE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25329-2023</t>
        </is>
      </c>
      <c r="B1345" s="1" t="n">
        <v>45087</v>
      </c>
      <c r="C1345" s="1" t="n">
        <v>45648</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25318-2023</t>
        </is>
      </c>
      <c r="B1346" s="1" t="n">
        <v>45086</v>
      </c>
      <c r="C1346" s="1" t="n">
        <v>45648</v>
      </c>
      <c r="D1346" t="inlineStr">
        <is>
          <t>JÄMTLANDS LÄN</t>
        </is>
      </c>
      <c r="E1346" t="inlineStr">
        <is>
          <t>BRÄCKE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25330-2023</t>
        </is>
      </c>
      <c r="B1347" s="1" t="n">
        <v>45087</v>
      </c>
      <c r="C1347" s="1" t="n">
        <v>45648</v>
      </c>
      <c r="D1347" t="inlineStr">
        <is>
          <t>JÄMTLANDS LÄN</t>
        </is>
      </c>
      <c r="E1347" t="inlineStr">
        <is>
          <t>BRÄCKE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25352-2023</t>
        </is>
      </c>
      <c r="B1348" s="1" t="n">
        <v>45088</v>
      </c>
      <c r="C1348" s="1" t="n">
        <v>45648</v>
      </c>
      <c r="D1348" t="inlineStr">
        <is>
          <t>JÄMTLANDS LÄN</t>
        </is>
      </c>
      <c r="E1348" t="inlineStr">
        <is>
          <t>BRÄCKE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25374-2023</t>
        </is>
      </c>
      <c r="B1349" s="1" t="n">
        <v>45088</v>
      </c>
      <c r="C1349" s="1" t="n">
        <v>45648</v>
      </c>
      <c r="D1349" t="inlineStr">
        <is>
          <t>JÄMTLANDS LÄN</t>
        </is>
      </c>
      <c r="E1349" t="inlineStr">
        <is>
          <t>BRÄCKE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25373-2023</t>
        </is>
      </c>
      <c r="B1350" s="1" t="n">
        <v>45089</v>
      </c>
      <c r="C1350" s="1" t="n">
        <v>45648</v>
      </c>
      <c r="D1350" t="inlineStr">
        <is>
          <t>JÄMTLANDS LÄN</t>
        </is>
      </c>
      <c r="E1350" t="inlineStr">
        <is>
          <t>BRÄCKE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25689-2023</t>
        </is>
      </c>
      <c r="B1351" s="1" t="n">
        <v>45090</v>
      </c>
      <c r="C1351" s="1" t="n">
        <v>45648</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25677-2023</t>
        </is>
      </c>
      <c r="B1352" s="1" t="n">
        <v>45090</v>
      </c>
      <c r="C1352" s="1" t="n">
        <v>45648</v>
      </c>
      <c r="D1352" t="inlineStr">
        <is>
          <t>JÄMTLANDS LÄN</t>
        </is>
      </c>
      <c r="E1352" t="inlineStr">
        <is>
          <t>BRÄCKE</t>
        </is>
      </c>
      <c r="F1352" t="inlineStr">
        <is>
          <t>SCA</t>
        </is>
      </c>
      <c r="G1352" t="n">
        <v>26.2</v>
      </c>
      <c r="H1352" t="n">
        <v>0</v>
      </c>
      <c r="I1352" t="n">
        <v>0</v>
      </c>
      <c r="J1352" t="n">
        <v>0</v>
      </c>
      <c r="K1352" t="n">
        <v>0</v>
      </c>
      <c r="L1352" t="n">
        <v>0</v>
      </c>
      <c r="M1352" t="n">
        <v>0</v>
      </c>
      <c r="N1352" t="n">
        <v>0</v>
      </c>
      <c r="O1352" t="n">
        <v>0</v>
      </c>
      <c r="P1352" t="n">
        <v>0</v>
      </c>
      <c r="Q1352" t="n">
        <v>0</v>
      </c>
      <c r="R1352" s="2" t="inlineStr"/>
    </row>
    <row r="1353" ht="15" customHeight="1">
      <c r="A1353" t="inlineStr">
        <is>
          <t>A 25675-2023</t>
        </is>
      </c>
      <c r="B1353" s="1" t="n">
        <v>45089</v>
      </c>
      <c r="C1353" s="1" t="n">
        <v>45648</v>
      </c>
      <c r="D1353" t="inlineStr">
        <is>
          <t>JÄMTLANDS LÄN</t>
        </is>
      </c>
      <c r="E1353" t="inlineStr">
        <is>
          <t>BRÄCKE</t>
        </is>
      </c>
      <c r="F1353" t="inlineStr">
        <is>
          <t>SCA</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25687-2023</t>
        </is>
      </c>
      <c r="B1354" s="1" t="n">
        <v>45090</v>
      </c>
      <c r="C1354" s="1" t="n">
        <v>45648</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25676-2023</t>
        </is>
      </c>
      <c r="B1355" s="1" t="n">
        <v>45090</v>
      </c>
      <c r="C1355" s="1" t="n">
        <v>45648</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25674-2023</t>
        </is>
      </c>
      <c r="B1356" s="1" t="n">
        <v>45089</v>
      </c>
      <c r="C1356" s="1" t="n">
        <v>45648</v>
      </c>
      <c r="D1356" t="inlineStr">
        <is>
          <t>JÄMTLANDS LÄN</t>
        </is>
      </c>
      <c r="E1356" t="inlineStr">
        <is>
          <t>BRÄCKE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25686-2023</t>
        </is>
      </c>
      <c r="B1357" s="1" t="n">
        <v>45090</v>
      </c>
      <c r="C1357" s="1" t="n">
        <v>45648</v>
      </c>
      <c r="D1357" t="inlineStr">
        <is>
          <t>JÄMTLANDS LÄN</t>
        </is>
      </c>
      <c r="E1357" t="inlineStr">
        <is>
          <t>BRÄCKE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25678-2023</t>
        </is>
      </c>
      <c r="B1358" s="1" t="n">
        <v>45089</v>
      </c>
      <c r="C1358" s="1" t="n">
        <v>45648</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25684-2023</t>
        </is>
      </c>
      <c r="B1359" s="1" t="n">
        <v>45090</v>
      </c>
      <c r="C1359" s="1" t="n">
        <v>45648</v>
      </c>
      <c r="D1359" t="inlineStr">
        <is>
          <t>JÄMTLANDS LÄN</t>
        </is>
      </c>
      <c r="E1359" t="inlineStr">
        <is>
          <t>BRÄCKE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25685-2023</t>
        </is>
      </c>
      <c r="B1360" s="1" t="n">
        <v>45090</v>
      </c>
      <c r="C1360" s="1" t="n">
        <v>45648</v>
      </c>
      <c r="D1360" t="inlineStr">
        <is>
          <t>JÄMTLANDS LÄN</t>
        </is>
      </c>
      <c r="E1360" t="inlineStr">
        <is>
          <t>BRÄCKE</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26004-2023</t>
        </is>
      </c>
      <c r="B1361" s="1" t="n">
        <v>45090</v>
      </c>
      <c r="C1361" s="1" t="n">
        <v>45648</v>
      </c>
      <c r="D1361" t="inlineStr">
        <is>
          <t>JÄMTLANDS LÄN</t>
        </is>
      </c>
      <c r="E1361" t="inlineStr">
        <is>
          <t>BRÄCKE</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26370-2023</t>
        </is>
      </c>
      <c r="B1362" s="1" t="n">
        <v>45092</v>
      </c>
      <c r="C1362" s="1" t="n">
        <v>45648</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26350-2023</t>
        </is>
      </c>
      <c r="B1363" s="1" t="n">
        <v>45092</v>
      </c>
      <c r="C1363" s="1" t="n">
        <v>45648</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26351-2023</t>
        </is>
      </c>
      <c r="B1364" s="1" t="n">
        <v>45091</v>
      </c>
      <c r="C1364" s="1" t="n">
        <v>45648</v>
      </c>
      <c r="D1364" t="inlineStr">
        <is>
          <t>JÄMTLANDS LÄN</t>
        </is>
      </c>
      <c r="E1364" t="inlineStr">
        <is>
          <t>BRÄCKE</t>
        </is>
      </c>
      <c r="F1364" t="inlineStr">
        <is>
          <t>SCA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26353-2023</t>
        </is>
      </c>
      <c r="B1365" s="1" t="n">
        <v>45092</v>
      </c>
      <c r="C1365" s="1" t="n">
        <v>45648</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26345-2023</t>
        </is>
      </c>
      <c r="B1366" s="1" t="n">
        <v>45091</v>
      </c>
      <c r="C1366" s="1" t="n">
        <v>45648</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26352-2023</t>
        </is>
      </c>
      <c r="B1367" s="1" t="n">
        <v>45092</v>
      </c>
      <c r="C1367" s="1" t="n">
        <v>45648</v>
      </c>
      <c r="D1367" t="inlineStr">
        <is>
          <t>JÄMTLANDS LÄN</t>
        </is>
      </c>
      <c r="E1367" t="inlineStr">
        <is>
          <t>BRÄCKE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26664-2023</t>
        </is>
      </c>
      <c r="B1368" s="1" t="n">
        <v>45093</v>
      </c>
      <c r="C1368" s="1" t="n">
        <v>45648</v>
      </c>
      <c r="D1368" t="inlineStr">
        <is>
          <t>JÄMTLANDS LÄN</t>
        </is>
      </c>
      <c r="E1368" t="inlineStr">
        <is>
          <t>BRÄCKE</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27354-2023</t>
        </is>
      </c>
      <c r="B1369" s="1" t="n">
        <v>45096</v>
      </c>
      <c r="C1369" s="1" t="n">
        <v>45648</v>
      </c>
      <c r="D1369" t="inlineStr">
        <is>
          <t>JÄMTLANDS LÄN</t>
        </is>
      </c>
      <c r="E1369" t="inlineStr">
        <is>
          <t>BRÄCKE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28801-2023</t>
        </is>
      </c>
      <c r="B1370" s="1" t="n">
        <v>45096</v>
      </c>
      <c r="C1370" s="1" t="n">
        <v>45648</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27363-2023</t>
        </is>
      </c>
      <c r="B1371" s="1" t="n">
        <v>45097</v>
      </c>
      <c r="C1371" s="1" t="n">
        <v>45648</v>
      </c>
      <c r="D1371" t="inlineStr">
        <is>
          <t>JÄMTLANDS LÄN</t>
        </is>
      </c>
      <c r="E1371" t="inlineStr">
        <is>
          <t>BRÄCKE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28796-2023</t>
        </is>
      </c>
      <c r="B1372" s="1" t="n">
        <v>45096</v>
      </c>
      <c r="C1372" s="1" t="n">
        <v>45648</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27691-2023</t>
        </is>
      </c>
      <c r="B1373" s="1" t="n">
        <v>45098</v>
      </c>
      <c r="C1373" s="1" t="n">
        <v>45648</v>
      </c>
      <c r="D1373" t="inlineStr">
        <is>
          <t>JÄMTLANDS LÄN</t>
        </is>
      </c>
      <c r="E1373" t="inlineStr">
        <is>
          <t>BRÄCKE</t>
        </is>
      </c>
      <c r="F1373" t="inlineStr">
        <is>
          <t>SCA</t>
        </is>
      </c>
      <c r="G1373" t="n">
        <v>26.5</v>
      </c>
      <c r="H1373" t="n">
        <v>0</v>
      </c>
      <c r="I1373" t="n">
        <v>0</v>
      </c>
      <c r="J1373" t="n">
        <v>0</v>
      </c>
      <c r="K1373" t="n">
        <v>0</v>
      </c>
      <c r="L1373" t="n">
        <v>0</v>
      </c>
      <c r="M1373" t="n">
        <v>0</v>
      </c>
      <c r="N1373" t="n">
        <v>0</v>
      </c>
      <c r="O1373" t="n">
        <v>0</v>
      </c>
      <c r="P1373" t="n">
        <v>0</v>
      </c>
      <c r="Q1373" t="n">
        <v>0</v>
      </c>
      <c r="R1373" s="2" t="inlineStr"/>
    </row>
    <row r="1374" ht="15" customHeight="1">
      <c r="A1374" t="inlineStr">
        <is>
          <t>A 27690-2023</t>
        </is>
      </c>
      <c r="B1374" s="1" t="n">
        <v>45098</v>
      </c>
      <c r="C1374" s="1" t="n">
        <v>45648</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28392-2023</t>
        </is>
      </c>
      <c r="B1375" s="1" t="n">
        <v>45099</v>
      </c>
      <c r="C1375" s="1" t="n">
        <v>45648</v>
      </c>
      <c r="D1375" t="inlineStr">
        <is>
          <t>JÄMTLANDS LÄN</t>
        </is>
      </c>
      <c r="E1375" t="inlineStr">
        <is>
          <t>BRÄCKE</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28762-2023</t>
        </is>
      </c>
      <c r="B1376" s="1" t="n">
        <v>45104</v>
      </c>
      <c r="C1376" s="1" t="n">
        <v>45648</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28759-2023</t>
        </is>
      </c>
      <c r="B1377" s="1" t="n">
        <v>45104</v>
      </c>
      <c r="C1377" s="1" t="n">
        <v>45648</v>
      </c>
      <c r="D1377" t="inlineStr">
        <is>
          <t>JÄMTLANDS LÄN</t>
        </is>
      </c>
      <c r="E1377" t="inlineStr">
        <is>
          <t>BRÄCKE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28764-2023</t>
        </is>
      </c>
      <c r="B1378" s="1" t="n">
        <v>45104</v>
      </c>
      <c r="C1378" s="1" t="n">
        <v>45648</v>
      </c>
      <c r="D1378" t="inlineStr">
        <is>
          <t>JÄMTLANDS LÄN</t>
        </is>
      </c>
      <c r="E1378" t="inlineStr">
        <is>
          <t>BRÄCKE</t>
        </is>
      </c>
      <c r="F1378" t="inlineStr">
        <is>
          <t>SCA</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28760-2023</t>
        </is>
      </c>
      <c r="B1379" s="1" t="n">
        <v>45104</v>
      </c>
      <c r="C1379" s="1" t="n">
        <v>45648</v>
      </c>
      <c r="D1379" t="inlineStr">
        <is>
          <t>JÄMTLANDS LÄN</t>
        </is>
      </c>
      <c r="E1379" t="inlineStr">
        <is>
          <t>BRÄCKE</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31467-2023</t>
        </is>
      </c>
      <c r="B1380" s="1" t="n">
        <v>45104</v>
      </c>
      <c r="C1380" s="1" t="n">
        <v>45648</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31471-2023</t>
        </is>
      </c>
      <c r="B1381" s="1" t="n">
        <v>45104</v>
      </c>
      <c r="C1381" s="1" t="n">
        <v>45648</v>
      </c>
      <c r="D1381" t="inlineStr">
        <is>
          <t>JÄMTLANDS LÄN</t>
        </is>
      </c>
      <c r="E1381" t="inlineStr">
        <is>
          <t>BRÄCKE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31470-2023</t>
        </is>
      </c>
      <c r="B1382" s="1" t="n">
        <v>45104</v>
      </c>
      <c r="C1382" s="1" t="n">
        <v>45648</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29322-2023</t>
        </is>
      </c>
      <c r="B1383" s="1" t="n">
        <v>45105</v>
      </c>
      <c r="C1383" s="1" t="n">
        <v>45648</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29334-2023</t>
        </is>
      </c>
      <c r="B1384" s="1" t="n">
        <v>45105</v>
      </c>
      <c r="C1384" s="1" t="n">
        <v>45648</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29323-2023</t>
        </is>
      </c>
      <c r="B1385" s="1" t="n">
        <v>45105</v>
      </c>
      <c r="C1385" s="1" t="n">
        <v>45648</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29621-2023</t>
        </is>
      </c>
      <c r="B1386" s="1" t="n">
        <v>45107</v>
      </c>
      <c r="C1386" s="1" t="n">
        <v>45648</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29805-2023</t>
        </is>
      </c>
      <c r="B1387" s="1" t="n">
        <v>45107</v>
      </c>
      <c r="C1387" s="1" t="n">
        <v>45648</v>
      </c>
      <c r="D1387" t="inlineStr">
        <is>
          <t>JÄMTLANDS LÄN</t>
        </is>
      </c>
      <c r="E1387" t="inlineStr">
        <is>
          <t>BRÄCKE</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29751-2023</t>
        </is>
      </c>
      <c r="B1388" s="1" t="n">
        <v>45107</v>
      </c>
      <c r="C1388" s="1" t="n">
        <v>45648</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29941-2023</t>
        </is>
      </c>
      <c r="B1389" s="1" t="n">
        <v>45107</v>
      </c>
      <c r="C1389" s="1" t="n">
        <v>45648</v>
      </c>
      <c r="D1389" t="inlineStr">
        <is>
          <t>JÄMTLANDS LÄN</t>
        </is>
      </c>
      <c r="E1389" t="inlineStr">
        <is>
          <t>BRÄCKE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29942-2023</t>
        </is>
      </c>
      <c r="B1390" s="1" t="n">
        <v>45107</v>
      </c>
      <c r="C1390" s="1" t="n">
        <v>45648</v>
      </c>
      <c r="D1390" t="inlineStr">
        <is>
          <t>JÄMTLANDS LÄN</t>
        </is>
      </c>
      <c r="E1390" t="inlineStr">
        <is>
          <t>BRÄCKE</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32000-2023</t>
        </is>
      </c>
      <c r="B1391" s="1" t="n">
        <v>45107</v>
      </c>
      <c r="C1391" s="1" t="n">
        <v>45648</v>
      </c>
      <c r="D1391" t="inlineStr">
        <is>
          <t>JÄMTLANDS LÄN</t>
        </is>
      </c>
      <c r="E1391" t="inlineStr">
        <is>
          <t>BRÄCKE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30312-2023</t>
        </is>
      </c>
      <c r="B1392" s="1" t="n">
        <v>45111</v>
      </c>
      <c r="C1392" s="1" t="n">
        <v>45648</v>
      </c>
      <c r="D1392" t="inlineStr">
        <is>
          <t>JÄMTLANDS LÄN</t>
        </is>
      </c>
      <c r="E1392" t="inlineStr">
        <is>
          <t>BRÄCKE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30311-2023</t>
        </is>
      </c>
      <c r="B1393" s="1" t="n">
        <v>45111</v>
      </c>
      <c r="C1393" s="1" t="n">
        <v>45648</v>
      </c>
      <c r="D1393" t="inlineStr">
        <is>
          <t>JÄMTLANDS LÄN</t>
        </is>
      </c>
      <c r="E1393" t="inlineStr">
        <is>
          <t>BRÄCKE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30309-2023</t>
        </is>
      </c>
      <c r="B1394" s="1" t="n">
        <v>45111</v>
      </c>
      <c r="C1394" s="1" t="n">
        <v>45648</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30313-2023</t>
        </is>
      </c>
      <c r="B1395" s="1" t="n">
        <v>45111</v>
      </c>
      <c r="C1395" s="1" t="n">
        <v>45648</v>
      </c>
      <c r="D1395" t="inlineStr">
        <is>
          <t>JÄMTLANDS LÄN</t>
        </is>
      </c>
      <c r="E1395" t="inlineStr">
        <is>
          <t>BRÄCKE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30310-2023</t>
        </is>
      </c>
      <c r="B1396" s="1" t="n">
        <v>45110</v>
      </c>
      <c r="C1396" s="1" t="n">
        <v>45648</v>
      </c>
      <c r="D1396" t="inlineStr">
        <is>
          <t>JÄMTLANDS LÄN</t>
        </is>
      </c>
      <c r="E1396" t="inlineStr">
        <is>
          <t>BRÄCKE</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30854-2023</t>
        </is>
      </c>
      <c r="B1397" s="1" t="n">
        <v>45113</v>
      </c>
      <c r="C1397" s="1" t="n">
        <v>45648</v>
      </c>
      <c r="D1397" t="inlineStr">
        <is>
          <t>JÄMTLANDS LÄN</t>
        </is>
      </c>
      <c r="E1397" t="inlineStr">
        <is>
          <t>BRÄCKE</t>
        </is>
      </c>
      <c r="F1397" t="inlineStr">
        <is>
          <t>SCA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30833-2023</t>
        </is>
      </c>
      <c r="B1398" s="1" t="n">
        <v>45112</v>
      </c>
      <c r="C1398" s="1" t="n">
        <v>45648</v>
      </c>
      <c r="D1398" t="inlineStr">
        <is>
          <t>JÄMTLANDS LÄN</t>
        </is>
      </c>
      <c r="E1398" t="inlineStr">
        <is>
          <t>BRÄCKE</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30685-2023</t>
        </is>
      </c>
      <c r="B1399" s="1" t="n">
        <v>45112</v>
      </c>
      <c r="C1399" s="1" t="n">
        <v>45648</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31195-2023</t>
        </is>
      </c>
      <c r="B1400" s="1" t="n">
        <v>45114</v>
      </c>
      <c r="C1400" s="1" t="n">
        <v>45648</v>
      </c>
      <c r="D1400" t="inlineStr">
        <is>
          <t>JÄMTLANDS LÄN</t>
        </is>
      </c>
      <c r="E1400" t="inlineStr">
        <is>
          <t>BRÄCKE</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31933-2023</t>
        </is>
      </c>
      <c r="B1401" s="1" t="n">
        <v>45119</v>
      </c>
      <c r="C1401" s="1" t="n">
        <v>45648</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32228-2023</t>
        </is>
      </c>
      <c r="B1402" s="1" t="n">
        <v>45120</v>
      </c>
      <c r="C1402" s="1" t="n">
        <v>45648</v>
      </c>
      <c r="D1402" t="inlineStr">
        <is>
          <t>JÄMTLANDS LÄN</t>
        </is>
      </c>
      <c r="E1402" t="inlineStr">
        <is>
          <t>BRÄCKE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32229-2023</t>
        </is>
      </c>
      <c r="B1403" s="1" t="n">
        <v>45120</v>
      </c>
      <c r="C1403" s="1" t="n">
        <v>45648</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32479-2023</t>
        </is>
      </c>
      <c r="B1404" s="1" t="n">
        <v>45121</v>
      </c>
      <c r="C1404" s="1" t="n">
        <v>45648</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32477-2023</t>
        </is>
      </c>
      <c r="B1405" s="1" t="n">
        <v>45120</v>
      </c>
      <c r="C1405" s="1" t="n">
        <v>45648</v>
      </c>
      <c r="D1405" t="inlineStr">
        <is>
          <t>JÄMTLANDS LÄN</t>
        </is>
      </c>
      <c r="E1405" t="inlineStr">
        <is>
          <t>BRÄCKE</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32476-2023</t>
        </is>
      </c>
      <c r="B1406" s="1" t="n">
        <v>45120</v>
      </c>
      <c r="C1406" s="1" t="n">
        <v>45648</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32481-2023</t>
        </is>
      </c>
      <c r="B1407" s="1" t="n">
        <v>45120</v>
      </c>
      <c r="C1407" s="1" t="n">
        <v>45648</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32732-2023</t>
        </is>
      </c>
      <c r="B1408" s="1" t="n">
        <v>45122</v>
      </c>
      <c r="C1408" s="1" t="n">
        <v>45648</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33031-2023</t>
        </is>
      </c>
      <c r="B1409" s="1" t="n">
        <v>45125</v>
      </c>
      <c r="C1409" s="1" t="n">
        <v>45648</v>
      </c>
      <c r="D1409" t="inlineStr">
        <is>
          <t>JÄMTLANDS LÄN</t>
        </is>
      </c>
      <c r="E1409" t="inlineStr">
        <is>
          <t>BRÄCKE</t>
        </is>
      </c>
      <c r="F1409" t="inlineStr">
        <is>
          <t>SCA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33032-2023</t>
        </is>
      </c>
      <c r="B1410" s="1" t="n">
        <v>45126</v>
      </c>
      <c r="C1410" s="1" t="n">
        <v>45648</v>
      </c>
      <c r="D1410" t="inlineStr">
        <is>
          <t>JÄMTLANDS LÄN</t>
        </is>
      </c>
      <c r="E1410" t="inlineStr">
        <is>
          <t>BRÄCKE</t>
        </is>
      </c>
      <c r="F1410" t="inlineStr">
        <is>
          <t>SCA</t>
        </is>
      </c>
      <c r="G1410" t="n">
        <v>16.7</v>
      </c>
      <c r="H1410" t="n">
        <v>0</v>
      </c>
      <c r="I1410" t="n">
        <v>0</v>
      </c>
      <c r="J1410" t="n">
        <v>0</v>
      </c>
      <c r="K1410" t="n">
        <v>0</v>
      </c>
      <c r="L1410" t="n">
        <v>0</v>
      </c>
      <c r="M1410" t="n">
        <v>0</v>
      </c>
      <c r="N1410" t="n">
        <v>0</v>
      </c>
      <c r="O1410" t="n">
        <v>0</v>
      </c>
      <c r="P1410" t="n">
        <v>0</v>
      </c>
      <c r="Q1410" t="n">
        <v>0</v>
      </c>
      <c r="R1410" s="2" t="inlineStr"/>
    </row>
    <row r="1411" ht="15" customHeight="1">
      <c r="A1411" t="inlineStr">
        <is>
          <t>A 33033-2023</t>
        </is>
      </c>
      <c r="B1411" s="1" t="n">
        <v>45126</v>
      </c>
      <c r="C1411" s="1" t="n">
        <v>45648</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45127</v>
      </c>
      <c r="C1412" s="1" t="n">
        <v>45648</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33174-2023</t>
        </is>
      </c>
      <c r="B1413" s="1" t="n">
        <v>45127</v>
      </c>
      <c r="C1413" s="1" t="n">
        <v>45648</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33585-2023</t>
        </is>
      </c>
      <c r="B1414" s="1" t="n">
        <v>45132</v>
      </c>
      <c r="C1414" s="1" t="n">
        <v>45648</v>
      </c>
      <c r="D1414" t="inlineStr">
        <is>
          <t>JÄMTLANDS LÄN</t>
        </is>
      </c>
      <c r="E1414" t="inlineStr">
        <is>
          <t>BRÄCKE</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33584-2023</t>
        </is>
      </c>
      <c r="B1415" s="1" t="n">
        <v>45132</v>
      </c>
      <c r="C1415" s="1" t="n">
        <v>45648</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33872-2023</t>
        </is>
      </c>
      <c r="B1416" s="1" t="n">
        <v>45134</v>
      </c>
      <c r="C1416" s="1" t="n">
        <v>45648</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33869-2023</t>
        </is>
      </c>
      <c r="B1417" s="1" t="n">
        <v>45134</v>
      </c>
      <c r="C1417" s="1" t="n">
        <v>45648</v>
      </c>
      <c r="D1417" t="inlineStr">
        <is>
          <t>JÄMTLANDS LÄN</t>
        </is>
      </c>
      <c r="E1417" t="inlineStr">
        <is>
          <t>BRÄCKE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33873-2023</t>
        </is>
      </c>
      <c r="B1418" s="1" t="n">
        <v>45134</v>
      </c>
      <c r="C1418" s="1" t="n">
        <v>45648</v>
      </c>
      <c r="D1418" t="inlineStr">
        <is>
          <t>JÄMTLANDS LÄN</t>
        </is>
      </c>
      <c r="E1418" t="inlineStr">
        <is>
          <t>BRÄCKE</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33870-2023</t>
        </is>
      </c>
      <c r="B1419" s="1" t="n">
        <v>45134</v>
      </c>
      <c r="C1419" s="1" t="n">
        <v>45648</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33878-2023</t>
        </is>
      </c>
      <c r="B1420" s="1" t="n">
        <v>45133</v>
      </c>
      <c r="C1420" s="1" t="n">
        <v>45648</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33998-2023</t>
        </is>
      </c>
      <c r="B1421" s="1" t="n">
        <v>45134</v>
      </c>
      <c r="C1421" s="1" t="n">
        <v>45648</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34137-2023</t>
        </is>
      </c>
      <c r="B1422" s="1" t="n">
        <v>45135</v>
      </c>
      <c r="C1422" s="1" t="n">
        <v>45648</v>
      </c>
      <c r="D1422" t="inlineStr">
        <is>
          <t>JÄMTLANDS LÄN</t>
        </is>
      </c>
      <c r="E1422" t="inlineStr">
        <is>
          <t>BRÄCKE</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34136-2023</t>
        </is>
      </c>
      <c r="B1423" s="1" t="n">
        <v>45135</v>
      </c>
      <c r="C1423" s="1" t="n">
        <v>45648</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34138-2023</t>
        </is>
      </c>
      <c r="B1424" s="1" t="n">
        <v>45135</v>
      </c>
      <c r="C1424" s="1" t="n">
        <v>45648</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34587-2023</t>
        </is>
      </c>
      <c r="B1425" s="1" t="n">
        <v>45135</v>
      </c>
      <c r="C1425" s="1" t="n">
        <v>45648</v>
      </c>
      <c r="D1425" t="inlineStr">
        <is>
          <t>JÄMTLANDS LÄN</t>
        </is>
      </c>
      <c r="E1425" t="inlineStr">
        <is>
          <t>BRÄCKE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34320-2023</t>
        </is>
      </c>
      <c r="B1426" s="1" t="n">
        <v>45139</v>
      </c>
      <c r="C1426" s="1" t="n">
        <v>45648</v>
      </c>
      <c r="D1426" t="inlineStr">
        <is>
          <t>JÄMTLANDS LÄN</t>
        </is>
      </c>
      <c r="E1426" t="inlineStr">
        <is>
          <t>BRÄCKE</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34693-2023</t>
        </is>
      </c>
      <c r="B1427" s="1" t="n">
        <v>45140</v>
      </c>
      <c r="C1427" s="1" t="n">
        <v>45648</v>
      </c>
      <c r="D1427" t="inlineStr">
        <is>
          <t>JÄMTLANDS LÄN</t>
        </is>
      </c>
      <c r="E1427" t="inlineStr">
        <is>
          <t>BRÄCKE</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34704-2023</t>
        </is>
      </c>
      <c r="B1428" s="1" t="n">
        <v>45140</v>
      </c>
      <c r="C1428" s="1" t="n">
        <v>45648</v>
      </c>
      <c r="D1428" t="inlineStr">
        <is>
          <t>JÄMTLANDS LÄN</t>
        </is>
      </c>
      <c r="E1428" t="inlineStr">
        <is>
          <t>BRÄCKE</t>
        </is>
      </c>
      <c r="F1428" t="inlineStr">
        <is>
          <t>SCA</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34947-2023</t>
        </is>
      </c>
      <c r="B1429" s="1" t="n">
        <v>45142</v>
      </c>
      <c r="C1429" s="1" t="n">
        <v>45648</v>
      </c>
      <c r="D1429" t="inlineStr">
        <is>
          <t>JÄMTLANDS LÄN</t>
        </is>
      </c>
      <c r="E1429" t="inlineStr">
        <is>
          <t>BRÄCKE</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35013-2023</t>
        </is>
      </c>
      <c r="B1430" s="1" t="n">
        <v>45143</v>
      </c>
      <c r="C1430" s="1" t="n">
        <v>45648</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35017-2023</t>
        </is>
      </c>
      <c r="B1431" s="1" t="n">
        <v>45142</v>
      </c>
      <c r="C1431" s="1" t="n">
        <v>45648</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35014-2023</t>
        </is>
      </c>
      <c r="B1432" s="1" t="n">
        <v>45143</v>
      </c>
      <c r="C1432" s="1" t="n">
        <v>45648</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35015-2023</t>
        </is>
      </c>
      <c r="B1433" s="1" t="n">
        <v>45143</v>
      </c>
      <c r="C1433" s="1" t="n">
        <v>45648</v>
      </c>
      <c r="D1433" t="inlineStr">
        <is>
          <t>JÄMTLANDS LÄN</t>
        </is>
      </c>
      <c r="E1433" t="inlineStr">
        <is>
          <t>BRÄCKE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35255-2023</t>
        </is>
      </c>
      <c r="B1434" s="1" t="n">
        <v>45145</v>
      </c>
      <c r="C1434" s="1" t="n">
        <v>45648</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35256-2023</t>
        </is>
      </c>
      <c r="B1435" s="1" t="n">
        <v>45145</v>
      </c>
      <c r="C1435" s="1" t="n">
        <v>45648</v>
      </c>
      <c r="D1435" t="inlineStr">
        <is>
          <t>JÄMTLANDS LÄN</t>
        </is>
      </c>
      <c r="E1435" t="inlineStr">
        <is>
          <t>BRÄCKE</t>
        </is>
      </c>
      <c r="F1435" t="inlineStr">
        <is>
          <t>SCA</t>
        </is>
      </c>
      <c r="G1435" t="n">
        <v>34.5</v>
      </c>
      <c r="H1435" t="n">
        <v>0</v>
      </c>
      <c r="I1435" t="n">
        <v>0</v>
      </c>
      <c r="J1435" t="n">
        <v>0</v>
      </c>
      <c r="K1435" t="n">
        <v>0</v>
      </c>
      <c r="L1435" t="n">
        <v>0</v>
      </c>
      <c r="M1435" t="n">
        <v>0</v>
      </c>
      <c r="N1435" t="n">
        <v>0</v>
      </c>
      <c r="O1435" t="n">
        <v>0</v>
      </c>
      <c r="P1435" t="n">
        <v>0</v>
      </c>
      <c r="Q1435" t="n">
        <v>0</v>
      </c>
      <c r="R1435" s="2" t="inlineStr"/>
    </row>
    <row r="1436" ht="15" customHeight="1">
      <c r="A1436" t="inlineStr">
        <is>
          <t>A 35503-2023</t>
        </is>
      </c>
      <c r="B1436" s="1" t="n">
        <v>45147</v>
      </c>
      <c r="C1436" s="1" t="n">
        <v>45648</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35506-2023</t>
        </is>
      </c>
      <c r="B1437" s="1" t="n">
        <v>45146</v>
      </c>
      <c r="C1437" s="1" t="n">
        <v>45648</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35424-2023</t>
        </is>
      </c>
      <c r="B1438" s="1" t="n">
        <v>45146</v>
      </c>
      <c r="C1438" s="1" t="n">
        <v>45648</v>
      </c>
      <c r="D1438" t="inlineStr">
        <is>
          <t>JÄMTLANDS LÄN</t>
        </is>
      </c>
      <c r="E1438" t="inlineStr">
        <is>
          <t>BRÄCKE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35742-2023</t>
        </is>
      </c>
      <c r="B1439" s="1" t="n">
        <v>45147</v>
      </c>
      <c r="C1439" s="1" t="n">
        <v>45648</v>
      </c>
      <c r="D1439" t="inlineStr">
        <is>
          <t>JÄMTLANDS LÄN</t>
        </is>
      </c>
      <c r="E1439" t="inlineStr">
        <is>
          <t>BRÄCKE</t>
        </is>
      </c>
      <c r="F1439" t="inlineStr">
        <is>
          <t>SCA</t>
        </is>
      </c>
      <c r="G1439" t="n">
        <v>26.8</v>
      </c>
      <c r="H1439" t="n">
        <v>0</v>
      </c>
      <c r="I1439" t="n">
        <v>0</v>
      </c>
      <c r="J1439" t="n">
        <v>0</v>
      </c>
      <c r="K1439" t="n">
        <v>0</v>
      </c>
      <c r="L1439" t="n">
        <v>0</v>
      </c>
      <c r="M1439" t="n">
        <v>0</v>
      </c>
      <c r="N1439" t="n">
        <v>0</v>
      </c>
      <c r="O1439" t="n">
        <v>0</v>
      </c>
      <c r="P1439" t="n">
        <v>0</v>
      </c>
      <c r="Q1439" t="n">
        <v>0</v>
      </c>
      <c r="R1439" s="2" t="inlineStr"/>
    </row>
    <row r="1440" ht="15" customHeight="1">
      <c r="A1440" t="inlineStr">
        <is>
          <t>A 35766-2023</t>
        </is>
      </c>
      <c r="B1440" s="1" t="n">
        <v>45147</v>
      </c>
      <c r="C1440" s="1" t="n">
        <v>45648</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35862-2023</t>
        </is>
      </c>
      <c r="B1441" s="1" t="n">
        <v>45147</v>
      </c>
      <c r="C1441" s="1" t="n">
        <v>45648</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35741-2023</t>
        </is>
      </c>
      <c r="B1442" s="1" t="n">
        <v>45147</v>
      </c>
      <c r="C1442" s="1" t="n">
        <v>45648</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35896-2023</t>
        </is>
      </c>
      <c r="B1443" s="1" t="n">
        <v>45148</v>
      </c>
      <c r="C1443" s="1" t="n">
        <v>45648</v>
      </c>
      <c r="D1443" t="inlineStr">
        <is>
          <t>JÄMTLANDS LÄN</t>
        </is>
      </c>
      <c r="E1443" t="inlineStr">
        <is>
          <t>BRÄCKE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35880-2023</t>
        </is>
      </c>
      <c r="B1444" s="1" t="n">
        <v>45148</v>
      </c>
      <c r="C1444" s="1" t="n">
        <v>45648</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35972-2023</t>
        </is>
      </c>
      <c r="B1445" s="1" t="n">
        <v>45148</v>
      </c>
      <c r="C1445" s="1" t="n">
        <v>45648</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36205-2023</t>
        </is>
      </c>
      <c r="B1446" s="1" t="n">
        <v>45149</v>
      </c>
      <c r="C1446" s="1" t="n">
        <v>45648</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36209-2023</t>
        </is>
      </c>
      <c r="B1447" s="1" t="n">
        <v>45149</v>
      </c>
      <c r="C1447" s="1" t="n">
        <v>45648</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36497-2023</t>
        </is>
      </c>
      <c r="B1448" s="1" t="n">
        <v>45152</v>
      </c>
      <c r="C1448" s="1" t="n">
        <v>45648</v>
      </c>
      <c r="D1448" t="inlineStr">
        <is>
          <t>JÄMTLANDS LÄN</t>
        </is>
      </c>
      <c r="E1448" t="inlineStr">
        <is>
          <t>BRÄCKE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36753-2023</t>
        </is>
      </c>
      <c r="B1449" s="1" t="n">
        <v>45153</v>
      </c>
      <c r="C1449" s="1" t="n">
        <v>45648</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36988-2023</t>
        </is>
      </c>
      <c r="B1450" s="1" t="n">
        <v>45154</v>
      </c>
      <c r="C1450" s="1" t="n">
        <v>45648</v>
      </c>
      <c r="D1450" t="inlineStr">
        <is>
          <t>JÄMTLANDS LÄN</t>
        </is>
      </c>
      <c r="E1450" t="inlineStr">
        <is>
          <t>BRÄCKE</t>
        </is>
      </c>
      <c r="F1450" t="inlineStr">
        <is>
          <t>SCA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37265-2023</t>
        </is>
      </c>
      <c r="B1451" s="1" t="n">
        <v>45156</v>
      </c>
      <c r="C1451" s="1" t="n">
        <v>45648</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37264-2023</t>
        </is>
      </c>
      <c r="B1452" s="1" t="n">
        <v>45155</v>
      </c>
      <c r="C1452" s="1" t="n">
        <v>45648</v>
      </c>
      <c r="D1452" t="inlineStr">
        <is>
          <t>JÄMTLANDS LÄN</t>
        </is>
      </c>
      <c r="E1452" t="inlineStr">
        <is>
          <t>BRÄCKE</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37268-2023</t>
        </is>
      </c>
      <c r="B1453" s="1" t="n">
        <v>45156</v>
      </c>
      <c r="C1453" s="1" t="n">
        <v>45648</v>
      </c>
      <c r="D1453" t="inlineStr">
        <is>
          <t>JÄMTLANDS LÄN</t>
        </is>
      </c>
      <c r="E1453" t="inlineStr">
        <is>
          <t>BRÄCKE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37238-2023</t>
        </is>
      </c>
      <c r="B1454" s="1" t="n">
        <v>45156</v>
      </c>
      <c r="C1454" s="1" t="n">
        <v>45648</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37239-2023</t>
        </is>
      </c>
      <c r="B1455" s="1" t="n">
        <v>45156</v>
      </c>
      <c r="C1455" s="1" t="n">
        <v>45648</v>
      </c>
      <c r="D1455" t="inlineStr">
        <is>
          <t>JÄMTLANDS LÄN</t>
        </is>
      </c>
      <c r="E1455" t="inlineStr">
        <is>
          <t>BRÄCKE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37263-2023</t>
        </is>
      </c>
      <c r="B1456" s="1" t="n">
        <v>45156</v>
      </c>
      <c r="C1456" s="1" t="n">
        <v>45648</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37267-2023</t>
        </is>
      </c>
      <c r="B1457" s="1" t="n">
        <v>45156</v>
      </c>
      <c r="C1457" s="1" t="n">
        <v>45648</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37492-2023</t>
        </is>
      </c>
      <c r="B1458" s="1" t="n">
        <v>45156</v>
      </c>
      <c r="C1458" s="1" t="n">
        <v>45648</v>
      </c>
      <c r="D1458" t="inlineStr">
        <is>
          <t>JÄMTLANDS LÄN</t>
        </is>
      </c>
      <c r="E1458" t="inlineStr">
        <is>
          <t>BRÄCKE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37472-2023</t>
        </is>
      </c>
      <c r="B1459" s="1" t="n">
        <v>45157</v>
      </c>
      <c r="C1459" s="1" t="n">
        <v>45648</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37504-2023</t>
        </is>
      </c>
      <c r="B1460" s="1" t="n">
        <v>45157</v>
      </c>
      <c r="C1460" s="1" t="n">
        <v>45648</v>
      </c>
      <c r="D1460" t="inlineStr">
        <is>
          <t>JÄMTLANDS LÄN</t>
        </is>
      </c>
      <c r="E1460" t="inlineStr">
        <is>
          <t>BRÄCKE</t>
        </is>
      </c>
      <c r="F1460" t="inlineStr">
        <is>
          <t>Sveaskog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37806-2023</t>
        </is>
      </c>
      <c r="B1461" s="1" t="n">
        <v>45159</v>
      </c>
      <c r="C1461" s="1" t="n">
        <v>45648</v>
      </c>
      <c r="D1461" t="inlineStr">
        <is>
          <t>JÄMTLANDS LÄN</t>
        </is>
      </c>
      <c r="E1461" t="inlineStr">
        <is>
          <t>BRÄCKE</t>
        </is>
      </c>
      <c r="F1461" t="inlineStr">
        <is>
          <t>SCA</t>
        </is>
      </c>
      <c r="G1461" t="n">
        <v>19.2</v>
      </c>
      <c r="H1461" t="n">
        <v>0</v>
      </c>
      <c r="I1461" t="n">
        <v>0</v>
      </c>
      <c r="J1461" t="n">
        <v>0</v>
      </c>
      <c r="K1461" t="n">
        <v>0</v>
      </c>
      <c r="L1461" t="n">
        <v>0</v>
      </c>
      <c r="M1461" t="n">
        <v>0</v>
      </c>
      <c r="N1461" t="n">
        <v>0</v>
      </c>
      <c r="O1461" t="n">
        <v>0</v>
      </c>
      <c r="P1461" t="n">
        <v>0</v>
      </c>
      <c r="Q1461" t="n">
        <v>0</v>
      </c>
      <c r="R1461" s="2" t="inlineStr"/>
    </row>
    <row r="1462" ht="15" customHeight="1">
      <c r="A1462" t="inlineStr">
        <is>
          <t>A 38087-2023</t>
        </is>
      </c>
      <c r="B1462" s="1" t="n">
        <v>45160</v>
      </c>
      <c r="C1462" s="1" t="n">
        <v>45648</v>
      </c>
      <c r="D1462" t="inlineStr">
        <is>
          <t>JÄMTLANDS LÄN</t>
        </is>
      </c>
      <c r="E1462" t="inlineStr">
        <is>
          <t>BRÄCKE</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38091-2023</t>
        </is>
      </c>
      <c r="B1463" s="1" t="n">
        <v>45160</v>
      </c>
      <c r="C1463" s="1" t="n">
        <v>45648</v>
      </c>
      <c r="D1463" t="inlineStr">
        <is>
          <t>JÄMTLANDS LÄN</t>
        </is>
      </c>
      <c r="E1463" t="inlineStr">
        <is>
          <t>BRÄCKE</t>
        </is>
      </c>
      <c r="F1463" t="inlineStr">
        <is>
          <t>SCA</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38359-2023</t>
        </is>
      </c>
      <c r="B1464" s="1" t="n">
        <v>45162</v>
      </c>
      <c r="C1464" s="1" t="n">
        <v>45648</v>
      </c>
      <c r="D1464" t="inlineStr">
        <is>
          <t>JÄMTLANDS LÄN</t>
        </is>
      </c>
      <c r="E1464" t="inlineStr">
        <is>
          <t>BRÄCKE</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38533-2023</t>
        </is>
      </c>
      <c r="B1465" s="1" t="n">
        <v>45162</v>
      </c>
      <c r="C1465" s="1" t="n">
        <v>45648</v>
      </c>
      <c r="D1465" t="inlineStr">
        <is>
          <t>JÄMTLANDS LÄN</t>
        </is>
      </c>
      <c r="E1465" t="inlineStr">
        <is>
          <t>BRÄCKE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38856-2023</t>
        </is>
      </c>
      <c r="B1466" s="1" t="n">
        <v>45162</v>
      </c>
      <c r="C1466" s="1" t="n">
        <v>45648</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39004-2023</t>
        </is>
      </c>
      <c r="B1467" s="1" t="n">
        <v>45162</v>
      </c>
      <c r="C1467" s="1" t="n">
        <v>45648</v>
      </c>
      <c r="D1467" t="inlineStr">
        <is>
          <t>JÄMTLANDS LÄN</t>
        </is>
      </c>
      <c r="E1467" t="inlineStr">
        <is>
          <t>BRÄCKE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38841-2023</t>
        </is>
      </c>
      <c r="B1468" s="1" t="n">
        <v>45162</v>
      </c>
      <c r="C1468" s="1" t="n">
        <v>45648</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39007-2023</t>
        </is>
      </c>
      <c r="B1469" s="1" t="n">
        <v>45162</v>
      </c>
      <c r="C1469" s="1" t="n">
        <v>45648</v>
      </c>
      <c r="D1469" t="inlineStr">
        <is>
          <t>JÄMTLANDS LÄN</t>
        </is>
      </c>
      <c r="E1469" t="inlineStr">
        <is>
          <t>BRÄCKE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38996-2023</t>
        </is>
      </c>
      <c r="B1470" s="1" t="n">
        <v>45162</v>
      </c>
      <c r="C1470" s="1" t="n">
        <v>45648</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38688-2023</t>
        </is>
      </c>
      <c r="B1471" s="1" t="n">
        <v>45163</v>
      </c>
      <c r="C1471" s="1" t="n">
        <v>45648</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38692-2023</t>
        </is>
      </c>
      <c r="B1472" s="1" t="n">
        <v>45163</v>
      </c>
      <c r="C1472" s="1" t="n">
        <v>45648</v>
      </c>
      <c r="D1472" t="inlineStr">
        <is>
          <t>JÄMTLANDS LÄN</t>
        </is>
      </c>
      <c r="E1472" t="inlineStr">
        <is>
          <t>BRÄCKE</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38675-2023</t>
        </is>
      </c>
      <c r="B1473" s="1" t="n">
        <v>45162</v>
      </c>
      <c r="C1473" s="1" t="n">
        <v>45648</v>
      </c>
      <c r="D1473" t="inlineStr">
        <is>
          <t>JÄMTLANDS LÄN</t>
        </is>
      </c>
      <c r="E1473" t="inlineStr">
        <is>
          <t>BRÄCKE</t>
        </is>
      </c>
      <c r="F1473" t="inlineStr">
        <is>
          <t>SCA</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38691-2023</t>
        </is>
      </c>
      <c r="B1474" s="1" t="n">
        <v>45163</v>
      </c>
      <c r="C1474" s="1" t="n">
        <v>45648</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38693-2023</t>
        </is>
      </c>
      <c r="B1475" s="1" t="n">
        <v>45162</v>
      </c>
      <c r="C1475" s="1" t="n">
        <v>45648</v>
      </c>
      <c r="D1475" t="inlineStr">
        <is>
          <t>JÄMTLANDS LÄN</t>
        </is>
      </c>
      <c r="E1475" t="inlineStr">
        <is>
          <t>BRÄCKE</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38689-2023</t>
        </is>
      </c>
      <c r="B1476" s="1" t="n">
        <v>45162</v>
      </c>
      <c r="C1476" s="1" t="n">
        <v>45648</v>
      </c>
      <c r="D1476" t="inlineStr">
        <is>
          <t>JÄMTLANDS LÄN</t>
        </is>
      </c>
      <c r="E1476" t="inlineStr">
        <is>
          <t>BRÄCKE</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38690-2023</t>
        </is>
      </c>
      <c r="B1477" s="1" t="n">
        <v>45163</v>
      </c>
      <c r="C1477" s="1" t="n">
        <v>45648</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39439-2023</t>
        </is>
      </c>
      <c r="B1478" s="1" t="n">
        <v>45163</v>
      </c>
      <c r="C1478" s="1" t="n">
        <v>45648</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39509-2023</t>
        </is>
      </c>
      <c r="B1479" s="1" t="n">
        <v>45167</v>
      </c>
      <c r="C1479" s="1" t="n">
        <v>45648</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40096-2023</t>
        </is>
      </c>
      <c r="B1480" s="1" t="n">
        <v>45168</v>
      </c>
      <c r="C1480" s="1" t="n">
        <v>45648</v>
      </c>
      <c r="D1480" t="inlineStr">
        <is>
          <t>JÄMTLANDS LÄN</t>
        </is>
      </c>
      <c r="E1480" t="inlineStr">
        <is>
          <t>BRÄCKE</t>
        </is>
      </c>
      <c r="F1480" t="inlineStr">
        <is>
          <t>SCA</t>
        </is>
      </c>
      <c r="G1480" t="n">
        <v>28.9</v>
      </c>
      <c r="H1480" t="n">
        <v>0</v>
      </c>
      <c r="I1480" t="n">
        <v>0</v>
      </c>
      <c r="J1480" t="n">
        <v>0</v>
      </c>
      <c r="K1480" t="n">
        <v>0</v>
      </c>
      <c r="L1480" t="n">
        <v>0</v>
      </c>
      <c r="M1480" t="n">
        <v>0</v>
      </c>
      <c r="N1480" t="n">
        <v>0</v>
      </c>
      <c r="O1480" t="n">
        <v>0</v>
      </c>
      <c r="P1480" t="n">
        <v>0</v>
      </c>
      <c r="Q1480" t="n">
        <v>0</v>
      </c>
      <c r="R1480" s="2" t="inlineStr"/>
    </row>
    <row r="1481" ht="15" customHeight="1">
      <c r="A1481" t="inlineStr">
        <is>
          <t>A 40114-2023</t>
        </is>
      </c>
      <c r="B1481" s="1" t="n">
        <v>45169</v>
      </c>
      <c r="C1481" s="1" t="n">
        <v>45648</v>
      </c>
      <c r="D1481" t="inlineStr">
        <is>
          <t>JÄMTLANDS LÄN</t>
        </is>
      </c>
      <c r="E1481" t="inlineStr">
        <is>
          <t>BRÄCKE</t>
        </is>
      </c>
      <c r="F1481" t="inlineStr">
        <is>
          <t>Naturvårdsverket</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40108-2023</t>
        </is>
      </c>
      <c r="B1482" s="1" t="n">
        <v>45169</v>
      </c>
      <c r="C1482" s="1" t="n">
        <v>45648</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40094-2023</t>
        </is>
      </c>
      <c r="B1483" s="1" t="n">
        <v>45168</v>
      </c>
      <c r="C1483" s="1" t="n">
        <v>45648</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39907-2023</t>
        </is>
      </c>
      <c r="B1484" s="1" t="n">
        <v>45168</v>
      </c>
      <c r="C1484" s="1" t="n">
        <v>45648</v>
      </c>
      <c r="D1484" t="inlineStr">
        <is>
          <t>JÄMTLANDS LÄN</t>
        </is>
      </c>
      <c r="E1484" t="inlineStr">
        <is>
          <t>BRÄCKE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40389-2023</t>
        </is>
      </c>
      <c r="B1485" s="1" t="n">
        <v>45170</v>
      </c>
      <c r="C1485" s="1" t="n">
        <v>45648</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40394-2023</t>
        </is>
      </c>
      <c r="B1486" s="1" t="n">
        <v>45170</v>
      </c>
      <c r="C1486" s="1" t="n">
        <v>45648</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40410-2023</t>
        </is>
      </c>
      <c r="B1487" s="1" t="n">
        <v>45169</v>
      </c>
      <c r="C1487" s="1" t="n">
        <v>45648</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40430-2023</t>
        </is>
      </c>
      <c r="B1488" s="1" t="n">
        <v>45169</v>
      </c>
      <c r="C1488" s="1" t="n">
        <v>45648</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40387-2023</t>
        </is>
      </c>
      <c r="B1489" s="1" t="n">
        <v>45170</v>
      </c>
      <c r="C1489" s="1" t="n">
        <v>45648</v>
      </c>
      <c r="D1489" t="inlineStr">
        <is>
          <t>JÄMTLANDS LÄN</t>
        </is>
      </c>
      <c r="E1489" t="inlineStr">
        <is>
          <t>BRÄCKE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40405-2023</t>
        </is>
      </c>
      <c r="B1490" s="1" t="n">
        <v>45170</v>
      </c>
      <c r="C1490" s="1" t="n">
        <v>45648</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40761-2023</t>
        </is>
      </c>
      <c r="B1491" s="1" t="n">
        <v>45171</v>
      </c>
      <c r="C1491" s="1" t="n">
        <v>45648</v>
      </c>
      <c r="D1491" t="inlineStr">
        <is>
          <t>JÄMTLANDS LÄN</t>
        </is>
      </c>
      <c r="E1491" t="inlineStr">
        <is>
          <t>BRÄCKE</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40765-2023</t>
        </is>
      </c>
      <c r="B1492" s="1" t="n">
        <v>45170</v>
      </c>
      <c r="C1492" s="1" t="n">
        <v>45648</v>
      </c>
      <c r="D1492" t="inlineStr">
        <is>
          <t>JÄMTLANDS LÄN</t>
        </is>
      </c>
      <c r="E1492" t="inlineStr">
        <is>
          <t>BRÄCKE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41175-2023</t>
        </is>
      </c>
      <c r="B1493" s="1" t="n">
        <v>45170</v>
      </c>
      <c r="C1493" s="1" t="n">
        <v>45648</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40775-2023</t>
        </is>
      </c>
      <c r="B1494" s="1" t="n">
        <v>45171</v>
      </c>
      <c r="C1494" s="1" t="n">
        <v>45648</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41183-2023</t>
        </is>
      </c>
      <c r="B1495" s="1" t="n">
        <v>45170</v>
      </c>
      <c r="C1495" s="1" t="n">
        <v>45648</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41188-2023</t>
        </is>
      </c>
      <c r="B1496" s="1" t="n">
        <v>45170</v>
      </c>
      <c r="C1496" s="1" t="n">
        <v>45648</v>
      </c>
      <c r="D1496" t="inlineStr">
        <is>
          <t>JÄMTLANDS LÄN</t>
        </is>
      </c>
      <c r="E1496" t="inlineStr">
        <is>
          <t>BRÄCKE</t>
        </is>
      </c>
      <c r="F1496" t="inlineStr">
        <is>
          <t>Kommuner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40844-2023</t>
        </is>
      </c>
      <c r="B1497" s="1" t="n">
        <v>45173</v>
      </c>
      <c r="C1497" s="1" t="n">
        <v>45648</v>
      </c>
      <c r="D1497" t="inlineStr">
        <is>
          <t>JÄMTLANDS LÄN</t>
        </is>
      </c>
      <c r="E1497" t="inlineStr">
        <is>
          <t>BRÄCKE</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41148-2023</t>
        </is>
      </c>
      <c r="B1498" s="1" t="n">
        <v>45173</v>
      </c>
      <c r="C1498" s="1" t="n">
        <v>45648</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41401-2023</t>
        </is>
      </c>
      <c r="B1499" s="1" t="n">
        <v>45174</v>
      </c>
      <c r="C1499" s="1" t="n">
        <v>45648</v>
      </c>
      <c r="D1499" t="inlineStr">
        <is>
          <t>JÄMTLANDS LÄN</t>
        </is>
      </c>
      <c r="E1499" t="inlineStr">
        <is>
          <t>BRÄCKE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41412-2023</t>
        </is>
      </c>
      <c r="B1500" s="1" t="n">
        <v>45175</v>
      </c>
      <c r="C1500" s="1" t="n">
        <v>45648</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41647-2023</t>
        </is>
      </c>
      <c r="B1501" s="1" t="n">
        <v>45176</v>
      </c>
      <c r="C1501" s="1" t="n">
        <v>45648</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41663-2023</t>
        </is>
      </c>
      <c r="B1502" s="1" t="n">
        <v>45176</v>
      </c>
      <c r="C1502" s="1" t="n">
        <v>45648</v>
      </c>
      <c r="D1502" t="inlineStr">
        <is>
          <t>JÄMTLANDS LÄN</t>
        </is>
      </c>
      <c r="E1502" t="inlineStr">
        <is>
          <t>BRÄCKE</t>
        </is>
      </c>
      <c r="F1502" t="inlineStr">
        <is>
          <t>SCA</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42103-2023</t>
        </is>
      </c>
      <c r="B1503" s="1" t="n">
        <v>45175</v>
      </c>
      <c r="C1503" s="1" t="n">
        <v>45648</v>
      </c>
      <c r="D1503" t="inlineStr">
        <is>
          <t>JÄMTLANDS LÄN</t>
        </is>
      </c>
      <c r="E1503" t="inlineStr">
        <is>
          <t>BRÄCKE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41923-2023</t>
        </is>
      </c>
      <c r="B1504" s="1" t="n">
        <v>45176</v>
      </c>
      <c r="C1504" s="1" t="n">
        <v>45648</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41722-2023</t>
        </is>
      </c>
      <c r="B1505" s="1" t="n">
        <v>45176</v>
      </c>
      <c r="C1505" s="1" t="n">
        <v>45648</v>
      </c>
      <c r="D1505" t="inlineStr">
        <is>
          <t>JÄMTLANDS LÄN</t>
        </is>
      </c>
      <c r="E1505" t="inlineStr">
        <is>
          <t>BRÄCKE</t>
        </is>
      </c>
      <c r="G1505" t="n">
        <v>21.3</v>
      </c>
      <c r="H1505" t="n">
        <v>0</v>
      </c>
      <c r="I1505" t="n">
        <v>0</v>
      </c>
      <c r="J1505" t="n">
        <v>0</v>
      </c>
      <c r="K1505" t="n">
        <v>0</v>
      </c>
      <c r="L1505" t="n">
        <v>0</v>
      </c>
      <c r="M1505" t="n">
        <v>0</v>
      </c>
      <c r="N1505" t="n">
        <v>0</v>
      </c>
      <c r="O1505" t="n">
        <v>0</v>
      </c>
      <c r="P1505" t="n">
        <v>0</v>
      </c>
      <c r="Q1505" t="n">
        <v>0</v>
      </c>
      <c r="R1505" s="2" t="inlineStr"/>
    </row>
    <row r="1506" ht="15" customHeight="1">
      <c r="A1506" t="inlineStr">
        <is>
          <t>A 41922-2023</t>
        </is>
      </c>
      <c r="B1506" s="1" t="n">
        <v>45176</v>
      </c>
      <c r="C1506" s="1" t="n">
        <v>45648</v>
      </c>
      <c r="D1506" t="inlineStr">
        <is>
          <t>JÄMTLANDS LÄN</t>
        </is>
      </c>
      <c r="E1506" t="inlineStr">
        <is>
          <t>BRÄCKE</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41738-2023</t>
        </is>
      </c>
      <c r="B1507" s="1" t="n">
        <v>45176</v>
      </c>
      <c r="C1507" s="1" t="n">
        <v>45648</v>
      </c>
      <c r="D1507" t="inlineStr">
        <is>
          <t>JÄMTLANDS LÄN</t>
        </is>
      </c>
      <c r="E1507" t="inlineStr">
        <is>
          <t>BRÄCKE</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41936-2023</t>
        </is>
      </c>
      <c r="B1508" s="1" t="n">
        <v>45177</v>
      </c>
      <c r="C1508" s="1" t="n">
        <v>45648</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42159-2023</t>
        </is>
      </c>
      <c r="B1509" s="1" t="n">
        <v>45177</v>
      </c>
      <c r="C1509" s="1" t="n">
        <v>45648</v>
      </c>
      <c r="D1509" t="inlineStr">
        <is>
          <t>JÄMTLANDS LÄN</t>
        </is>
      </c>
      <c r="E1509" t="inlineStr">
        <is>
          <t>BRÄCKE</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42500-2023</t>
        </is>
      </c>
      <c r="B1510" s="1" t="n">
        <v>45181</v>
      </c>
      <c r="C1510" s="1" t="n">
        <v>45648</v>
      </c>
      <c r="D1510" t="inlineStr">
        <is>
          <t>JÄMTLANDS LÄN</t>
        </is>
      </c>
      <c r="E1510" t="inlineStr">
        <is>
          <t>BRÄCKE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43180-2023</t>
        </is>
      </c>
      <c r="B1511" s="1" t="n">
        <v>45180</v>
      </c>
      <c r="C1511" s="1" t="n">
        <v>45648</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43551-2023</t>
        </is>
      </c>
      <c r="B1512" s="1" t="n">
        <v>45181</v>
      </c>
      <c r="C1512" s="1" t="n">
        <v>45648</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43591-2023</t>
        </is>
      </c>
      <c r="B1513" s="1" t="n">
        <v>45181</v>
      </c>
      <c r="C1513" s="1" t="n">
        <v>45648</v>
      </c>
      <c r="D1513" t="inlineStr">
        <is>
          <t>JÄMTLANDS LÄN</t>
        </is>
      </c>
      <c r="E1513" t="inlineStr">
        <is>
          <t>BRÄCKE</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43596-2023</t>
        </is>
      </c>
      <c r="B1514" s="1" t="n">
        <v>45181</v>
      </c>
      <c r="C1514" s="1" t="n">
        <v>45648</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43123-2023</t>
        </is>
      </c>
      <c r="B1515" s="1" t="n">
        <v>45182</v>
      </c>
      <c r="C1515" s="1" t="n">
        <v>45648</v>
      </c>
      <c r="D1515" t="inlineStr">
        <is>
          <t>JÄMTLANDS LÄN</t>
        </is>
      </c>
      <c r="E1515" t="inlineStr">
        <is>
          <t>BRÄCKE</t>
        </is>
      </c>
      <c r="F1515" t="inlineStr">
        <is>
          <t>Naturvårdsverket</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43108-2023</t>
        </is>
      </c>
      <c r="B1516" s="1" t="n">
        <v>45183</v>
      </c>
      <c r="C1516" s="1" t="n">
        <v>45648</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43906-2023</t>
        </is>
      </c>
      <c r="B1517" s="1" t="n">
        <v>45182</v>
      </c>
      <c r="C1517" s="1" t="n">
        <v>45648</v>
      </c>
      <c r="D1517" t="inlineStr">
        <is>
          <t>JÄMTLANDS LÄN</t>
        </is>
      </c>
      <c r="E1517" t="inlineStr">
        <is>
          <t>BRÄCKE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43910-2023</t>
        </is>
      </c>
      <c r="B1518" s="1" t="n">
        <v>45182</v>
      </c>
      <c r="C1518" s="1" t="n">
        <v>45648</v>
      </c>
      <c r="D1518" t="inlineStr">
        <is>
          <t>JÄMTLANDS LÄN</t>
        </is>
      </c>
      <c r="E1518" t="inlineStr">
        <is>
          <t>BRÄCKE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43093-2023</t>
        </is>
      </c>
      <c r="B1519" s="1" t="n">
        <v>45182</v>
      </c>
      <c r="C1519" s="1" t="n">
        <v>45648</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43869-2023</t>
        </is>
      </c>
      <c r="B1520" s="1" t="n">
        <v>45182</v>
      </c>
      <c r="C1520" s="1" t="n">
        <v>45648</v>
      </c>
      <c r="D1520" t="inlineStr">
        <is>
          <t>JÄMTLANDS LÄN</t>
        </is>
      </c>
      <c r="E1520" t="inlineStr">
        <is>
          <t>BRÄCKE</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43292-2023</t>
        </is>
      </c>
      <c r="B1521" s="1" t="n">
        <v>45183</v>
      </c>
      <c r="C1521" s="1" t="n">
        <v>45648</v>
      </c>
      <c r="D1521" t="inlineStr">
        <is>
          <t>JÄMTLANDS LÄN</t>
        </is>
      </c>
      <c r="E1521" t="inlineStr">
        <is>
          <t>BRÄCKE</t>
        </is>
      </c>
      <c r="F1521" t="inlineStr">
        <is>
          <t>Kyrkan</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43957-2023</t>
        </is>
      </c>
      <c r="B1522" s="1" t="n">
        <v>45187</v>
      </c>
      <c r="C1522" s="1" t="n">
        <v>45648</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43969-2023</t>
        </is>
      </c>
      <c r="B1523" s="1" t="n">
        <v>45187</v>
      </c>
      <c r="C1523" s="1" t="n">
        <v>45648</v>
      </c>
      <c r="D1523" t="inlineStr">
        <is>
          <t>JÄMTLANDS LÄN</t>
        </is>
      </c>
      <c r="E1523" t="inlineStr">
        <is>
          <t>BRÄCKE</t>
        </is>
      </c>
      <c r="F1523" t="inlineStr">
        <is>
          <t>SCA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43977-2023</t>
        </is>
      </c>
      <c r="B1524" s="1" t="n">
        <v>45187</v>
      </c>
      <c r="C1524" s="1" t="n">
        <v>45648</v>
      </c>
      <c r="D1524" t="inlineStr">
        <is>
          <t>JÄMTLANDS LÄN</t>
        </is>
      </c>
      <c r="E1524" t="inlineStr">
        <is>
          <t>BRÄCKE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43971-2023</t>
        </is>
      </c>
      <c r="B1525" s="1" t="n">
        <v>45188</v>
      </c>
      <c r="C1525" s="1" t="n">
        <v>45648</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43958-2023</t>
        </is>
      </c>
      <c r="B1526" s="1" t="n">
        <v>45187</v>
      </c>
      <c r="C1526" s="1" t="n">
        <v>45648</v>
      </c>
      <c r="D1526" t="inlineStr">
        <is>
          <t>JÄMTLANDS LÄN</t>
        </is>
      </c>
      <c r="E1526" t="inlineStr">
        <is>
          <t>BRÄCKE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43970-2023</t>
        </is>
      </c>
      <c r="B1527" s="1" t="n">
        <v>45187</v>
      </c>
      <c r="C1527" s="1" t="n">
        <v>45648</v>
      </c>
      <c r="D1527" t="inlineStr">
        <is>
          <t>JÄMTLANDS LÄN</t>
        </is>
      </c>
      <c r="E1527" t="inlineStr">
        <is>
          <t>BRÄCKE</t>
        </is>
      </c>
      <c r="F1527" t="inlineStr">
        <is>
          <t>SCA</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44324-2023</t>
        </is>
      </c>
      <c r="B1528" s="1" t="n">
        <v>45188</v>
      </c>
      <c r="C1528" s="1" t="n">
        <v>45648</v>
      </c>
      <c r="D1528" t="inlineStr">
        <is>
          <t>JÄMTLANDS LÄN</t>
        </is>
      </c>
      <c r="E1528" t="inlineStr">
        <is>
          <t>BRÄCKE</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44318-2023</t>
        </is>
      </c>
      <c r="B1529" s="1" t="n">
        <v>45188</v>
      </c>
      <c r="C1529" s="1" t="n">
        <v>45648</v>
      </c>
      <c r="D1529" t="inlineStr">
        <is>
          <t>JÄMTLANDS LÄN</t>
        </is>
      </c>
      <c r="E1529" t="inlineStr">
        <is>
          <t>BRÄCKE</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44321-2023</t>
        </is>
      </c>
      <c r="B1530" s="1" t="n">
        <v>45188</v>
      </c>
      <c r="C1530" s="1" t="n">
        <v>45648</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44328-2023</t>
        </is>
      </c>
      <c r="B1531" s="1" t="n">
        <v>45188</v>
      </c>
      <c r="C1531" s="1" t="n">
        <v>45648</v>
      </c>
      <c r="D1531" t="inlineStr">
        <is>
          <t>JÄMTLANDS LÄN</t>
        </is>
      </c>
      <c r="E1531" t="inlineStr">
        <is>
          <t>BRÄCKE</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44357-2023</t>
        </is>
      </c>
      <c r="B1532" s="1" t="n">
        <v>45188</v>
      </c>
      <c r="C1532" s="1" t="n">
        <v>45648</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44381-2023</t>
        </is>
      </c>
      <c r="B1533" s="1" t="n">
        <v>45188</v>
      </c>
      <c r="C1533" s="1" t="n">
        <v>45648</v>
      </c>
      <c r="D1533" t="inlineStr">
        <is>
          <t>JÄMTLANDS LÄN</t>
        </is>
      </c>
      <c r="E1533" t="inlineStr">
        <is>
          <t>BRÄCKE</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44400-2023</t>
        </is>
      </c>
      <c r="B1534" s="1" t="n">
        <v>45189</v>
      </c>
      <c r="C1534" s="1" t="n">
        <v>45648</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44399-2023</t>
        </is>
      </c>
      <c r="B1535" s="1" t="n">
        <v>45189</v>
      </c>
      <c r="C1535" s="1" t="n">
        <v>45648</v>
      </c>
      <c r="D1535" t="inlineStr">
        <is>
          <t>JÄMTLANDS LÄN</t>
        </is>
      </c>
      <c r="E1535" t="inlineStr">
        <is>
          <t>BRÄCKE</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44403-2023</t>
        </is>
      </c>
      <c r="B1536" s="1" t="n">
        <v>45189</v>
      </c>
      <c r="C1536" s="1" t="n">
        <v>45648</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44358-2023</t>
        </is>
      </c>
      <c r="B1537" s="1" t="n">
        <v>45188</v>
      </c>
      <c r="C1537" s="1" t="n">
        <v>45648</v>
      </c>
      <c r="D1537" t="inlineStr">
        <is>
          <t>JÄMTLANDS LÄN</t>
        </is>
      </c>
      <c r="E1537" t="inlineStr">
        <is>
          <t>BRÄCKE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44693-2023</t>
        </is>
      </c>
      <c r="B1538" s="1" t="n">
        <v>45190</v>
      </c>
      <c r="C1538" s="1" t="n">
        <v>45648</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44694-2023</t>
        </is>
      </c>
      <c r="B1539" s="1" t="n">
        <v>45190</v>
      </c>
      <c r="C1539" s="1" t="n">
        <v>45648</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45019-2023</t>
        </is>
      </c>
      <c r="B1540" s="1" t="n">
        <v>45191</v>
      </c>
      <c r="C1540" s="1" t="n">
        <v>45648</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45002-2023</t>
        </is>
      </c>
      <c r="B1541" s="1" t="n">
        <v>45191</v>
      </c>
      <c r="C1541" s="1" t="n">
        <v>45648</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45010-2023</t>
        </is>
      </c>
      <c r="B1542" s="1" t="n">
        <v>45191</v>
      </c>
      <c r="C1542" s="1" t="n">
        <v>45648</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44989-2023</t>
        </is>
      </c>
      <c r="B1543" s="1" t="n">
        <v>45190</v>
      </c>
      <c r="C1543" s="1" t="n">
        <v>45648</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45005-2023</t>
        </is>
      </c>
      <c r="B1544" s="1" t="n">
        <v>45190</v>
      </c>
      <c r="C1544" s="1" t="n">
        <v>45648</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45009-2023</t>
        </is>
      </c>
      <c r="B1545" s="1" t="n">
        <v>45191</v>
      </c>
      <c r="C1545" s="1" t="n">
        <v>45648</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45013-2023</t>
        </is>
      </c>
      <c r="B1546" s="1" t="n">
        <v>45191</v>
      </c>
      <c r="C1546" s="1" t="n">
        <v>45648</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45028-2023</t>
        </is>
      </c>
      <c r="B1547" s="1" t="n">
        <v>45190</v>
      </c>
      <c r="C1547" s="1" t="n">
        <v>45648</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45029-2023</t>
        </is>
      </c>
      <c r="B1548" s="1" t="n">
        <v>45191</v>
      </c>
      <c r="C1548" s="1" t="n">
        <v>45648</v>
      </c>
      <c r="D1548" t="inlineStr">
        <is>
          <t>JÄMTLANDS LÄN</t>
        </is>
      </c>
      <c r="E1548" t="inlineStr">
        <is>
          <t>BRÄCKE</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45337-2023</t>
        </is>
      </c>
      <c r="B1549" s="1" t="n">
        <v>45191</v>
      </c>
      <c r="C1549" s="1" t="n">
        <v>45648</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45345-2023</t>
        </is>
      </c>
      <c r="B1550" s="1" t="n">
        <v>45192</v>
      </c>
      <c r="C1550" s="1" t="n">
        <v>45648</v>
      </c>
      <c r="D1550" t="inlineStr">
        <is>
          <t>JÄMTLANDS LÄN</t>
        </is>
      </c>
      <c r="E1550" t="inlineStr">
        <is>
          <t>BRÄCKE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45344-2023</t>
        </is>
      </c>
      <c r="B1551" s="1" t="n">
        <v>45191</v>
      </c>
      <c r="C1551" s="1" t="n">
        <v>45648</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45334-2023</t>
        </is>
      </c>
      <c r="B1552" s="1" t="n">
        <v>45192</v>
      </c>
      <c r="C1552" s="1" t="n">
        <v>45648</v>
      </c>
      <c r="D1552" t="inlineStr">
        <is>
          <t>JÄMTLANDS LÄN</t>
        </is>
      </c>
      <c r="E1552" t="inlineStr">
        <is>
          <t>BRÄCKE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45342-2023</t>
        </is>
      </c>
      <c r="B1553" s="1" t="n">
        <v>45192</v>
      </c>
      <c r="C1553" s="1" t="n">
        <v>45648</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45370-2023</t>
        </is>
      </c>
      <c r="B1554" s="1" t="n">
        <v>45193</v>
      </c>
      <c r="C1554" s="1" t="n">
        <v>45648</v>
      </c>
      <c r="D1554" t="inlineStr">
        <is>
          <t>JÄMTLANDS LÄN</t>
        </is>
      </c>
      <c r="E1554" t="inlineStr">
        <is>
          <t>BRÄCKE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45369-2023</t>
        </is>
      </c>
      <c r="B1555" s="1" t="n">
        <v>45193</v>
      </c>
      <c r="C1555" s="1" t="n">
        <v>45648</v>
      </c>
      <c r="D1555" t="inlineStr">
        <is>
          <t>JÄMTLANDS LÄN</t>
        </is>
      </c>
      <c r="E1555" t="inlineStr">
        <is>
          <t>BRÄCKE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45577-2023</t>
        </is>
      </c>
      <c r="B1556" s="1" t="n">
        <v>45194</v>
      </c>
      <c r="C1556" s="1" t="n">
        <v>45648</v>
      </c>
      <c r="D1556" t="inlineStr">
        <is>
          <t>JÄMTLANDS LÄN</t>
        </is>
      </c>
      <c r="E1556" t="inlineStr">
        <is>
          <t>BRÄCKE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45950-2023</t>
        </is>
      </c>
      <c r="B1557" s="1" t="n">
        <v>45195</v>
      </c>
      <c r="C1557" s="1" t="n">
        <v>45648</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45963-2023</t>
        </is>
      </c>
      <c r="B1558" s="1" t="n">
        <v>45196</v>
      </c>
      <c r="C1558" s="1" t="n">
        <v>45648</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46939-2023</t>
        </is>
      </c>
      <c r="B1559" s="1" t="n">
        <v>45195</v>
      </c>
      <c r="C1559" s="1" t="n">
        <v>45648</v>
      </c>
      <c r="D1559" t="inlineStr">
        <is>
          <t>JÄMTLANDS LÄN</t>
        </is>
      </c>
      <c r="E1559" t="inlineStr">
        <is>
          <t>BRÄCKE</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45936-2023</t>
        </is>
      </c>
      <c r="B1560" s="1" t="n">
        <v>45196</v>
      </c>
      <c r="C1560" s="1" t="n">
        <v>45648</v>
      </c>
      <c r="D1560" t="inlineStr">
        <is>
          <t>JÄMTLANDS LÄN</t>
        </is>
      </c>
      <c r="E1560" t="inlineStr">
        <is>
          <t>BRÄCKE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46952-2023</t>
        </is>
      </c>
      <c r="B1561" s="1" t="n">
        <v>45195</v>
      </c>
      <c r="C1561" s="1" t="n">
        <v>45648</v>
      </c>
      <c r="D1561" t="inlineStr">
        <is>
          <t>JÄMTLANDS LÄN</t>
        </is>
      </c>
      <c r="E1561" t="inlineStr">
        <is>
          <t>BRÄCKE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45951-2023</t>
        </is>
      </c>
      <c r="B1562" s="1" t="n">
        <v>45196</v>
      </c>
      <c r="C1562" s="1" t="n">
        <v>45648</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46274-2023</t>
        </is>
      </c>
      <c r="B1563" s="1" t="n">
        <v>45197</v>
      </c>
      <c r="C1563" s="1" t="n">
        <v>45648</v>
      </c>
      <c r="D1563" t="inlineStr">
        <is>
          <t>JÄMTLANDS LÄN</t>
        </is>
      </c>
      <c r="E1563" t="inlineStr">
        <is>
          <t>BRÄCKE</t>
        </is>
      </c>
      <c r="F1563" t="inlineStr">
        <is>
          <t>Naturvårdsverket</t>
        </is>
      </c>
      <c r="G1563" t="n">
        <v>70.3</v>
      </c>
      <c r="H1563" t="n">
        <v>0</v>
      </c>
      <c r="I1563" t="n">
        <v>0</v>
      </c>
      <c r="J1563" t="n">
        <v>0</v>
      </c>
      <c r="K1563" t="n">
        <v>0</v>
      </c>
      <c r="L1563" t="n">
        <v>0</v>
      </c>
      <c r="M1563" t="n">
        <v>0</v>
      </c>
      <c r="N1563" t="n">
        <v>0</v>
      </c>
      <c r="O1563" t="n">
        <v>0</v>
      </c>
      <c r="P1563" t="n">
        <v>0</v>
      </c>
      <c r="Q1563" t="n">
        <v>0</v>
      </c>
      <c r="R1563" s="2" t="inlineStr"/>
    </row>
    <row r="1564" ht="15" customHeight="1">
      <c r="A1564" t="inlineStr">
        <is>
          <t>A 46257-2023</t>
        </is>
      </c>
      <c r="B1564" s="1" t="n">
        <v>45197</v>
      </c>
      <c r="C1564" s="1" t="n">
        <v>45648</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46273-2023</t>
        </is>
      </c>
      <c r="B1565" s="1" t="n">
        <v>45197</v>
      </c>
      <c r="C1565" s="1" t="n">
        <v>45648</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46263-2023</t>
        </is>
      </c>
      <c r="B1566" s="1" t="n">
        <v>45196</v>
      </c>
      <c r="C1566" s="1" t="n">
        <v>45648</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46551-2023</t>
        </is>
      </c>
      <c r="B1567" s="1" t="n">
        <v>45198</v>
      </c>
      <c r="C1567" s="1" t="n">
        <v>45648</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46812-2023</t>
        </is>
      </c>
      <c r="B1568" s="1" t="n">
        <v>45198</v>
      </c>
      <c r="C1568" s="1" t="n">
        <v>45648</v>
      </c>
      <c r="D1568" t="inlineStr">
        <is>
          <t>JÄMTLANDS LÄN</t>
        </is>
      </c>
      <c r="E1568" t="inlineStr">
        <is>
          <t>BRÄCKE</t>
        </is>
      </c>
      <c r="F1568" t="inlineStr">
        <is>
          <t>SCA</t>
        </is>
      </c>
      <c r="G1568" t="n">
        <v>17.5</v>
      </c>
      <c r="H1568" t="n">
        <v>0</v>
      </c>
      <c r="I1568" t="n">
        <v>0</v>
      </c>
      <c r="J1568" t="n">
        <v>0</v>
      </c>
      <c r="K1568" t="n">
        <v>0</v>
      </c>
      <c r="L1568" t="n">
        <v>0</v>
      </c>
      <c r="M1568" t="n">
        <v>0</v>
      </c>
      <c r="N1568" t="n">
        <v>0</v>
      </c>
      <c r="O1568" t="n">
        <v>0</v>
      </c>
      <c r="P1568" t="n">
        <v>0</v>
      </c>
      <c r="Q1568" t="n">
        <v>0</v>
      </c>
      <c r="R1568" s="2" t="inlineStr"/>
    </row>
    <row r="1569" ht="15" customHeight="1">
      <c r="A1569" t="inlineStr">
        <is>
          <t>A 46798-2023</t>
        </is>
      </c>
      <c r="B1569" s="1" t="n">
        <v>45198</v>
      </c>
      <c r="C1569" s="1" t="n">
        <v>45648</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46805-2023</t>
        </is>
      </c>
      <c r="B1570" s="1" t="n">
        <v>45198</v>
      </c>
      <c r="C1570" s="1" t="n">
        <v>45648</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46809-2023</t>
        </is>
      </c>
      <c r="B1571" s="1" t="n">
        <v>45199</v>
      </c>
      <c r="C1571" s="1" t="n">
        <v>45648</v>
      </c>
      <c r="D1571" t="inlineStr">
        <is>
          <t>JÄMTLANDS LÄN</t>
        </is>
      </c>
      <c r="E1571" t="inlineStr">
        <is>
          <t>BRÄCKE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46799-2023</t>
        </is>
      </c>
      <c r="B1572" s="1" t="n">
        <v>45198</v>
      </c>
      <c r="C1572" s="1" t="n">
        <v>45648</v>
      </c>
      <c r="D1572" t="inlineStr">
        <is>
          <t>JÄMTLANDS LÄN</t>
        </is>
      </c>
      <c r="E1572" t="inlineStr">
        <is>
          <t>BRÄCKE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46810-2023</t>
        </is>
      </c>
      <c r="B1573" s="1" t="n">
        <v>45199</v>
      </c>
      <c r="C1573" s="1" t="n">
        <v>45648</v>
      </c>
      <c r="D1573" t="inlineStr">
        <is>
          <t>JÄMTLANDS LÄN</t>
        </is>
      </c>
      <c r="E1573" t="inlineStr">
        <is>
          <t>BRÄCKE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46860-2023</t>
        </is>
      </c>
      <c r="B1574" s="1" t="n">
        <v>45200</v>
      </c>
      <c r="C1574" s="1" t="n">
        <v>45648</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47163-2023</t>
        </is>
      </c>
      <c r="B1575" s="1" t="n">
        <v>45202</v>
      </c>
      <c r="C1575" s="1" t="n">
        <v>45648</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47186-2023</t>
        </is>
      </c>
      <c r="B1576" s="1" t="n">
        <v>45201</v>
      </c>
      <c r="C1576" s="1" t="n">
        <v>45648</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47169-2023</t>
        </is>
      </c>
      <c r="B1577" s="1" t="n">
        <v>45202</v>
      </c>
      <c r="C1577" s="1" t="n">
        <v>45648</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48349-2023</t>
        </is>
      </c>
      <c r="B1578" s="1" t="n">
        <v>45201</v>
      </c>
      <c r="C1578" s="1" t="n">
        <v>45648</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48390-2023</t>
        </is>
      </c>
      <c r="B1579" s="1" t="n">
        <v>45201</v>
      </c>
      <c r="C1579" s="1" t="n">
        <v>45648</v>
      </c>
      <c r="D1579" t="inlineStr">
        <is>
          <t>JÄMTLANDS LÄN</t>
        </is>
      </c>
      <c r="E1579" t="inlineStr">
        <is>
          <t>BRÄCKE</t>
        </is>
      </c>
      <c r="F1579" t="inlineStr">
        <is>
          <t>SCA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47365-2023</t>
        </is>
      </c>
      <c r="B1580" s="1" t="n">
        <v>45202</v>
      </c>
      <c r="C1580" s="1" t="n">
        <v>45648</v>
      </c>
      <c r="D1580" t="inlineStr">
        <is>
          <t>JÄMTLANDS LÄN</t>
        </is>
      </c>
      <c r="E1580" t="inlineStr">
        <is>
          <t>BRÄCKE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47486-2023</t>
        </is>
      </c>
      <c r="B1581" s="1" t="n">
        <v>45203</v>
      </c>
      <c r="C1581" s="1" t="n">
        <v>45648</v>
      </c>
      <c r="D1581" t="inlineStr">
        <is>
          <t>JÄMTLANDS LÄN</t>
        </is>
      </c>
      <c r="E1581" t="inlineStr">
        <is>
          <t>BRÄCKE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47500-2023</t>
        </is>
      </c>
      <c r="B1582" s="1" t="n">
        <v>45203</v>
      </c>
      <c r="C1582" s="1" t="n">
        <v>45648</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47487-2023</t>
        </is>
      </c>
      <c r="B1583" s="1" t="n">
        <v>45203</v>
      </c>
      <c r="C1583" s="1" t="n">
        <v>45648</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47788-2023</t>
        </is>
      </c>
      <c r="B1584" s="1" t="n">
        <v>45204</v>
      </c>
      <c r="C1584" s="1" t="n">
        <v>45648</v>
      </c>
      <c r="D1584" t="inlineStr">
        <is>
          <t>JÄMTLANDS LÄN</t>
        </is>
      </c>
      <c r="E1584" t="inlineStr">
        <is>
          <t>BRÄCKE</t>
        </is>
      </c>
      <c r="F1584" t="inlineStr">
        <is>
          <t>SCA</t>
        </is>
      </c>
      <c r="G1584" t="n">
        <v>22.4</v>
      </c>
      <c r="H1584" t="n">
        <v>0</v>
      </c>
      <c r="I1584" t="n">
        <v>0</v>
      </c>
      <c r="J1584" t="n">
        <v>0</v>
      </c>
      <c r="K1584" t="n">
        <v>0</v>
      </c>
      <c r="L1584" t="n">
        <v>0</v>
      </c>
      <c r="M1584" t="n">
        <v>0</v>
      </c>
      <c r="N1584" t="n">
        <v>0</v>
      </c>
      <c r="O1584" t="n">
        <v>0</v>
      </c>
      <c r="P1584" t="n">
        <v>0</v>
      </c>
      <c r="Q1584" t="n">
        <v>0</v>
      </c>
      <c r="R1584" s="2" t="inlineStr"/>
    </row>
    <row r="1585" ht="15" customHeight="1">
      <c r="A1585" t="inlineStr">
        <is>
          <t>A 48079-2023</t>
        </is>
      </c>
      <c r="B1585" s="1" t="n">
        <v>45204</v>
      </c>
      <c r="C1585" s="1" t="n">
        <v>45648</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48058-2023</t>
        </is>
      </c>
      <c r="B1586" s="1" t="n">
        <v>45205</v>
      </c>
      <c r="C1586" s="1" t="n">
        <v>45648</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48064-2023</t>
        </is>
      </c>
      <c r="B1587" s="1" t="n">
        <v>45204</v>
      </c>
      <c r="C1587" s="1" t="n">
        <v>45648</v>
      </c>
      <c r="D1587" t="inlineStr">
        <is>
          <t>JÄMTLANDS LÄN</t>
        </is>
      </c>
      <c r="E1587" t="inlineStr">
        <is>
          <t>BRÄCKE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48068-2023</t>
        </is>
      </c>
      <c r="B1588" s="1" t="n">
        <v>45205</v>
      </c>
      <c r="C1588" s="1" t="n">
        <v>45648</v>
      </c>
      <c r="D1588" t="inlineStr">
        <is>
          <t>JÄMTLANDS LÄN</t>
        </is>
      </c>
      <c r="E1588" t="inlineStr">
        <is>
          <t>BRÄCKE</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48080-2023</t>
        </is>
      </c>
      <c r="B1589" s="1" t="n">
        <v>45205</v>
      </c>
      <c r="C1589" s="1" t="n">
        <v>45648</v>
      </c>
      <c r="D1589" t="inlineStr">
        <is>
          <t>JÄMTLANDS LÄN</t>
        </is>
      </c>
      <c r="E1589" t="inlineStr">
        <is>
          <t>BRÄCKE</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49085-2023</t>
        </is>
      </c>
      <c r="B1590" s="1" t="n">
        <v>45204</v>
      </c>
      <c r="C1590" s="1" t="n">
        <v>45648</v>
      </c>
      <c r="D1590" t="inlineStr">
        <is>
          <t>JÄMTLANDS LÄN</t>
        </is>
      </c>
      <c r="E1590" t="inlineStr">
        <is>
          <t>BRÄCKE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48159-2023</t>
        </is>
      </c>
      <c r="B1591" s="1" t="n">
        <v>45205</v>
      </c>
      <c r="C1591" s="1" t="n">
        <v>45648</v>
      </c>
      <c r="D1591" t="inlineStr">
        <is>
          <t>JÄMTLANDS LÄN</t>
        </is>
      </c>
      <c r="E1591" t="inlineStr">
        <is>
          <t>BRÄCKE</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48434-2023</t>
        </is>
      </c>
      <c r="B1592" s="1" t="n">
        <v>45205</v>
      </c>
      <c r="C1592" s="1" t="n">
        <v>45648</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48419-2023</t>
        </is>
      </c>
      <c r="B1593" s="1" t="n">
        <v>45205</v>
      </c>
      <c r="C1593" s="1" t="n">
        <v>45648</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48433-2023</t>
        </is>
      </c>
      <c r="B1594" s="1" t="n">
        <v>45205</v>
      </c>
      <c r="C1594" s="1" t="n">
        <v>45648</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48432-2023</t>
        </is>
      </c>
      <c r="B1595" s="1" t="n">
        <v>45205</v>
      </c>
      <c r="C1595" s="1" t="n">
        <v>45648</v>
      </c>
      <c r="D1595" t="inlineStr">
        <is>
          <t>JÄMTLANDS LÄN</t>
        </is>
      </c>
      <c r="E1595" t="inlineStr">
        <is>
          <t>BRÄCKE</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48425-2023</t>
        </is>
      </c>
      <c r="B1596" s="1" t="n">
        <v>45205</v>
      </c>
      <c r="C1596" s="1" t="n">
        <v>45648</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48435-2023</t>
        </is>
      </c>
      <c r="B1597" s="1" t="n">
        <v>45205</v>
      </c>
      <c r="C1597" s="1" t="n">
        <v>45648</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48482-2023</t>
        </is>
      </c>
      <c r="B1598" s="1" t="n">
        <v>45207</v>
      </c>
      <c r="C1598" s="1" t="n">
        <v>45648</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48473-2023</t>
        </is>
      </c>
      <c r="B1599" s="1" t="n">
        <v>45207</v>
      </c>
      <c r="C1599" s="1" t="n">
        <v>45648</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48481-2023</t>
        </is>
      </c>
      <c r="B1600" s="1" t="n">
        <v>45206</v>
      </c>
      <c r="C1600" s="1" t="n">
        <v>45648</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48480-2023</t>
        </is>
      </c>
      <c r="B1601" s="1" t="n">
        <v>45207</v>
      </c>
      <c r="C1601" s="1" t="n">
        <v>45648</v>
      </c>
      <c r="D1601" t="inlineStr">
        <is>
          <t>JÄMTLANDS LÄN</t>
        </is>
      </c>
      <c r="E1601" t="inlineStr">
        <is>
          <t>BRÄCKE</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48507-2023</t>
        </is>
      </c>
      <c r="B1602" s="1" t="n">
        <v>45208</v>
      </c>
      <c r="C1602" s="1" t="n">
        <v>45648</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48509-2023</t>
        </is>
      </c>
      <c r="B1603" s="1" t="n">
        <v>45207</v>
      </c>
      <c r="C1603" s="1" t="n">
        <v>45648</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48672-2023</t>
        </is>
      </c>
      <c r="B1604" s="1" t="n">
        <v>45208</v>
      </c>
      <c r="C1604" s="1" t="n">
        <v>45648</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48770-2023</t>
        </is>
      </c>
      <c r="B1605" s="1" t="n">
        <v>45209</v>
      </c>
      <c r="C1605" s="1" t="n">
        <v>45648</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48779-2023</t>
        </is>
      </c>
      <c r="B1606" s="1" t="n">
        <v>45209</v>
      </c>
      <c r="C1606" s="1" t="n">
        <v>45648</v>
      </c>
      <c r="D1606" t="inlineStr">
        <is>
          <t>JÄMTLANDS LÄN</t>
        </is>
      </c>
      <c r="E1606" t="inlineStr">
        <is>
          <t>BRÄCKE</t>
        </is>
      </c>
      <c r="F1606" t="inlineStr">
        <is>
          <t>Naturvårdsverket</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48781-2023</t>
        </is>
      </c>
      <c r="B1607" s="1" t="n">
        <v>45209</v>
      </c>
      <c r="C1607" s="1" t="n">
        <v>45648</v>
      </c>
      <c r="D1607" t="inlineStr">
        <is>
          <t>JÄMTLANDS LÄN</t>
        </is>
      </c>
      <c r="E1607" t="inlineStr">
        <is>
          <t>BRÄCKE</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50151-2023</t>
        </is>
      </c>
      <c r="B1608" s="1" t="n">
        <v>45208</v>
      </c>
      <c r="C1608" s="1" t="n">
        <v>45648</v>
      </c>
      <c r="D1608" t="inlineStr">
        <is>
          <t>JÄMTLANDS LÄN</t>
        </is>
      </c>
      <c r="E1608" t="inlineStr">
        <is>
          <t>BRÄCKE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48900-2023</t>
        </is>
      </c>
      <c r="B1609" s="1" t="n">
        <v>45209</v>
      </c>
      <c r="C1609" s="1" t="n">
        <v>45648</v>
      </c>
      <c r="D1609" t="inlineStr">
        <is>
          <t>JÄMTLANDS LÄN</t>
        </is>
      </c>
      <c r="E1609" t="inlineStr">
        <is>
          <t>BRÄCKE</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49035-2023</t>
        </is>
      </c>
      <c r="B1610" s="1" t="n">
        <v>45210</v>
      </c>
      <c r="C1610" s="1" t="n">
        <v>45648</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49043-2023</t>
        </is>
      </c>
      <c r="B1611" s="1" t="n">
        <v>45210</v>
      </c>
      <c r="C1611" s="1" t="n">
        <v>45648</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49044-2023</t>
        </is>
      </c>
      <c r="B1612" s="1" t="n">
        <v>45209</v>
      </c>
      <c r="C1612" s="1" t="n">
        <v>45648</v>
      </c>
      <c r="D1612" t="inlineStr">
        <is>
          <t>JÄMTLANDS LÄN</t>
        </is>
      </c>
      <c r="E1612" t="inlineStr">
        <is>
          <t>BRÄCKE</t>
        </is>
      </c>
      <c r="F1612" t="inlineStr">
        <is>
          <t>SCA</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49034-2023</t>
        </is>
      </c>
      <c r="B1613" s="1" t="n">
        <v>45210</v>
      </c>
      <c r="C1613" s="1" t="n">
        <v>45648</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49042-2023</t>
        </is>
      </c>
      <c r="B1614" s="1" t="n">
        <v>45210</v>
      </c>
      <c r="C1614" s="1" t="n">
        <v>45648</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49037-2023</t>
        </is>
      </c>
      <c r="B1615" s="1" t="n">
        <v>45210</v>
      </c>
      <c r="C1615" s="1" t="n">
        <v>45648</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49326-2023</t>
        </is>
      </c>
      <c r="B1616" s="1" t="n">
        <v>45211</v>
      </c>
      <c r="C1616" s="1" t="n">
        <v>45648</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49330-2023</t>
        </is>
      </c>
      <c r="B1617" s="1" t="n">
        <v>45211</v>
      </c>
      <c r="C1617" s="1" t="n">
        <v>45648</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49315-2023</t>
        </is>
      </c>
      <c r="B1618" s="1" t="n">
        <v>45210</v>
      </c>
      <c r="C1618" s="1" t="n">
        <v>45648</v>
      </c>
      <c r="D1618" t="inlineStr">
        <is>
          <t>JÄMTLANDS LÄN</t>
        </is>
      </c>
      <c r="E1618" t="inlineStr">
        <is>
          <t>BRÄCKE</t>
        </is>
      </c>
      <c r="F1618" t="inlineStr">
        <is>
          <t>SCA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49316-2023</t>
        </is>
      </c>
      <c r="B1619" s="1" t="n">
        <v>45211</v>
      </c>
      <c r="C1619" s="1" t="n">
        <v>45648</v>
      </c>
      <c r="D1619" t="inlineStr">
        <is>
          <t>JÄMTLANDS LÄN</t>
        </is>
      </c>
      <c r="E1619" t="inlineStr">
        <is>
          <t>BRÄCKE</t>
        </is>
      </c>
      <c r="F1619" t="inlineStr">
        <is>
          <t>SCA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49646-2023</t>
        </is>
      </c>
      <c r="B1620" s="1" t="n">
        <v>45211</v>
      </c>
      <c r="C1620" s="1" t="n">
        <v>45648</v>
      </c>
      <c r="D1620" t="inlineStr">
        <is>
          <t>JÄMTLANDS LÄN</t>
        </is>
      </c>
      <c r="E1620" t="inlineStr">
        <is>
          <t>BRÄCKE</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49653-2023</t>
        </is>
      </c>
      <c r="B1621" s="1" t="n">
        <v>45211</v>
      </c>
      <c r="C1621" s="1" t="n">
        <v>45648</v>
      </c>
      <c r="D1621" t="inlineStr">
        <is>
          <t>JÄMTLANDS LÄN</t>
        </is>
      </c>
      <c r="E1621" t="inlineStr">
        <is>
          <t>BRÄCKE</t>
        </is>
      </c>
      <c r="F1621" t="inlineStr">
        <is>
          <t>SCA</t>
        </is>
      </c>
      <c r="G1621" t="n">
        <v>66.7</v>
      </c>
      <c r="H1621" t="n">
        <v>0</v>
      </c>
      <c r="I1621" t="n">
        <v>0</v>
      </c>
      <c r="J1621" t="n">
        <v>0</v>
      </c>
      <c r="K1621" t="n">
        <v>0</v>
      </c>
      <c r="L1621" t="n">
        <v>0</v>
      </c>
      <c r="M1621" t="n">
        <v>0</v>
      </c>
      <c r="N1621" t="n">
        <v>0</v>
      </c>
      <c r="O1621" t="n">
        <v>0</v>
      </c>
      <c r="P1621" t="n">
        <v>0</v>
      </c>
      <c r="Q1621" t="n">
        <v>0</v>
      </c>
      <c r="R1621" s="2" t="inlineStr"/>
    </row>
    <row r="1622" ht="15" customHeight="1">
      <c r="A1622" t="inlineStr">
        <is>
          <t>A 49864-2023</t>
        </is>
      </c>
      <c r="B1622" s="1" t="n">
        <v>45212</v>
      </c>
      <c r="C1622" s="1" t="n">
        <v>45648</v>
      </c>
      <c r="D1622" t="inlineStr">
        <is>
          <t>JÄMTLANDS LÄN</t>
        </is>
      </c>
      <c r="E1622" t="inlineStr">
        <is>
          <t>BRÄCKE</t>
        </is>
      </c>
      <c r="F1622" t="inlineStr">
        <is>
          <t>SCA</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51140-2023</t>
        </is>
      </c>
      <c r="B1623" s="1" t="n">
        <v>45212</v>
      </c>
      <c r="C1623" s="1" t="n">
        <v>45648</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50222-2023</t>
        </is>
      </c>
      <c r="B1624" s="1" t="n">
        <v>45216</v>
      </c>
      <c r="C1624" s="1" t="n">
        <v>45648</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50060-2023</t>
        </is>
      </c>
      <c r="B1625" s="1" t="n">
        <v>45215</v>
      </c>
      <c r="C1625" s="1" t="n">
        <v>45648</v>
      </c>
      <c r="D1625" t="inlineStr">
        <is>
          <t>JÄMTLANDS LÄN</t>
        </is>
      </c>
      <c r="E1625" t="inlineStr">
        <is>
          <t>BRÄCKE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50223-2023</t>
        </is>
      </c>
      <c r="B1626" s="1" t="n">
        <v>45216</v>
      </c>
      <c r="C1626" s="1" t="n">
        <v>45648</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50221-2023</t>
        </is>
      </c>
      <c r="B1627" s="1" t="n">
        <v>45216</v>
      </c>
      <c r="C1627" s="1" t="n">
        <v>45648</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50220-2023</t>
        </is>
      </c>
      <c r="B1628" s="1" t="n">
        <v>45215</v>
      </c>
      <c r="C1628" s="1" t="n">
        <v>45648</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50515-2023</t>
        </is>
      </c>
      <c r="B1629" s="1" t="n">
        <v>45216</v>
      </c>
      <c r="C1629" s="1" t="n">
        <v>45648</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50514-2023</t>
        </is>
      </c>
      <c r="B1630" s="1" t="n">
        <v>45217</v>
      </c>
      <c r="C1630" s="1" t="n">
        <v>45648</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50609-2023</t>
        </is>
      </c>
      <c r="B1631" s="1" t="n">
        <v>45217</v>
      </c>
      <c r="C1631" s="1" t="n">
        <v>45648</v>
      </c>
      <c r="D1631" t="inlineStr">
        <is>
          <t>JÄMTLANDS LÄN</t>
        </is>
      </c>
      <c r="E1631" t="inlineStr">
        <is>
          <t>BRÄCKE</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50637-2023</t>
        </is>
      </c>
      <c r="B1632" s="1" t="n">
        <v>45217</v>
      </c>
      <c r="C1632" s="1" t="n">
        <v>45648</v>
      </c>
      <c r="D1632" t="inlineStr">
        <is>
          <t>JÄMTLANDS LÄN</t>
        </is>
      </c>
      <c r="E1632" t="inlineStr">
        <is>
          <t>BRÄCKE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50827-2023</t>
        </is>
      </c>
      <c r="B1633" s="1" t="n">
        <v>45218</v>
      </c>
      <c r="C1633" s="1" t="n">
        <v>45648</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50828-2023</t>
        </is>
      </c>
      <c r="B1634" s="1" t="n">
        <v>45218</v>
      </c>
      <c r="C1634" s="1" t="n">
        <v>45648</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50840-2023</t>
        </is>
      </c>
      <c r="B1635" s="1" t="n">
        <v>45217</v>
      </c>
      <c r="C1635" s="1" t="n">
        <v>45648</v>
      </c>
      <c r="D1635" t="inlineStr">
        <is>
          <t>JÄMTLANDS LÄN</t>
        </is>
      </c>
      <c r="E1635" t="inlineStr">
        <is>
          <t>BRÄCKE</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52269-2023</t>
        </is>
      </c>
      <c r="B1636" s="1" t="n">
        <v>45217</v>
      </c>
      <c r="C1636" s="1" t="n">
        <v>45648</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51029-2023</t>
        </is>
      </c>
      <c r="B1637" s="1" t="n">
        <v>45218</v>
      </c>
      <c r="C1637" s="1" t="n">
        <v>45648</v>
      </c>
      <c r="D1637" t="inlineStr">
        <is>
          <t>JÄMTLANDS LÄN</t>
        </is>
      </c>
      <c r="E1637" t="inlineStr">
        <is>
          <t>BRÄCKE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51042-2023</t>
        </is>
      </c>
      <c r="B1638" s="1" t="n">
        <v>45218</v>
      </c>
      <c r="C1638" s="1" t="n">
        <v>45648</v>
      </c>
      <c r="D1638" t="inlineStr">
        <is>
          <t>JÄMTLANDS LÄN</t>
        </is>
      </c>
      <c r="E1638" t="inlineStr">
        <is>
          <t>BRÄCKE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51039-2023</t>
        </is>
      </c>
      <c r="B1639" s="1" t="n">
        <v>45218</v>
      </c>
      <c r="C1639" s="1" t="n">
        <v>45648</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51161-2023</t>
        </is>
      </c>
      <c r="B1640" s="1" t="n">
        <v>45219</v>
      </c>
      <c r="C1640" s="1" t="n">
        <v>45648</v>
      </c>
      <c r="D1640" t="inlineStr">
        <is>
          <t>JÄMTLANDS LÄN</t>
        </is>
      </c>
      <c r="E1640" t="inlineStr">
        <is>
          <t>BRÄCKE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51421-2023</t>
        </is>
      </c>
      <c r="B1641" s="1" t="n">
        <v>45219</v>
      </c>
      <c r="C1641" s="1" t="n">
        <v>45648</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51433-2023</t>
        </is>
      </c>
      <c r="B1642" s="1" t="n">
        <v>45220</v>
      </c>
      <c r="C1642" s="1" t="n">
        <v>45648</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51441-2023</t>
        </is>
      </c>
      <c r="B1643" s="1" t="n">
        <v>45220</v>
      </c>
      <c r="C1643" s="1" t="n">
        <v>45648</v>
      </c>
      <c r="D1643" t="inlineStr">
        <is>
          <t>JÄMTLANDS LÄN</t>
        </is>
      </c>
      <c r="E1643" t="inlineStr">
        <is>
          <t>BRÄCKE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51424-2023</t>
        </is>
      </c>
      <c r="B1644" s="1" t="n">
        <v>45220</v>
      </c>
      <c r="C1644" s="1" t="n">
        <v>45648</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51432-2023</t>
        </is>
      </c>
      <c r="B1645" s="1" t="n">
        <v>45220</v>
      </c>
      <c r="C1645" s="1" t="n">
        <v>45648</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51440-2023</t>
        </is>
      </c>
      <c r="B1646" s="1" t="n">
        <v>45220</v>
      </c>
      <c r="C1646" s="1" t="n">
        <v>45648</v>
      </c>
      <c r="D1646" t="inlineStr">
        <is>
          <t>JÄMTLANDS LÄN</t>
        </is>
      </c>
      <c r="E1646" t="inlineStr">
        <is>
          <t>BRÄCKE</t>
        </is>
      </c>
      <c r="F1646" t="inlineStr">
        <is>
          <t>SCA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51431-2023</t>
        </is>
      </c>
      <c r="B1647" s="1" t="n">
        <v>45220</v>
      </c>
      <c r="C1647" s="1" t="n">
        <v>45648</v>
      </c>
      <c r="D1647" t="inlineStr">
        <is>
          <t>JÄMTLANDS LÄN</t>
        </is>
      </c>
      <c r="E1647" t="inlineStr">
        <is>
          <t>BRÄCKE</t>
        </is>
      </c>
      <c r="F1647" t="inlineStr">
        <is>
          <t>SCA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51423-2023</t>
        </is>
      </c>
      <c r="B1648" s="1" t="n">
        <v>45220</v>
      </c>
      <c r="C1648" s="1" t="n">
        <v>45648</v>
      </c>
      <c r="D1648" t="inlineStr">
        <is>
          <t>JÄMTLANDS LÄN</t>
        </is>
      </c>
      <c r="E1648" t="inlineStr">
        <is>
          <t>BRÄCKE</t>
        </is>
      </c>
      <c r="F1648" t="inlineStr">
        <is>
          <t>SCA</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51167-2023</t>
        </is>
      </c>
      <c r="B1649" s="1" t="n">
        <v>45219</v>
      </c>
      <c r="C1649" s="1" t="n">
        <v>45648</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51422-2023</t>
        </is>
      </c>
      <c r="B1650" s="1" t="n">
        <v>45219</v>
      </c>
      <c r="C1650" s="1" t="n">
        <v>45648</v>
      </c>
      <c r="D1650" t="inlineStr">
        <is>
          <t>JÄMTLANDS LÄN</t>
        </is>
      </c>
      <c r="E1650" t="inlineStr">
        <is>
          <t>BRÄCKE</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51434-2023</t>
        </is>
      </c>
      <c r="B1651" s="1" t="n">
        <v>45220</v>
      </c>
      <c r="C1651" s="1" t="n">
        <v>45648</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51808-2023</t>
        </is>
      </c>
      <c r="B1652" s="1" t="n">
        <v>45222</v>
      </c>
      <c r="C1652" s="1" t="n">
        <v>45648</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51809-2023</t>
        </is>
      </c>
      <c r="B1653" s="1" t="n">
        <v>45223</v>
      </c>
      <c r="C1653" s="1" t="n">
        <v>45648</v>
      </c>
      <c r="D1653" t="inlineStr">
        <is>
          <t>JÄMTLANDS LÄN</t>
        </is>
      </c>
      <c r="E1653" t="inlineStr">
        <is>
          <t>BRÄCKE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51821-2023</t>
        </is>
      </c>
      <c r="B1654" s="1" t="n">
        <v>45222</v>
      </c>
      <c r="C1654" s="1" t="n">
        <v>45648</v>
      </c>
      <c r="D1654" t="inlineStr">
        <is>
          <t>JÄMTLANDS LÄN</t>
        </is>
      </c>
      <c r="E1654" t="inlineStr">
        <is>
          <t>BRÄCKE</t>
        </is>
      </c>
      <c r="F1654" t="inlineStr">
        <is>
          <t>SCA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51832-2023</t>
        </is>
      </c>
      <c r="B1655" s="1" t="n">
        <v>45223</v>
      </c>
      <c r="C1655" s="1" t="n">
        <v>45648</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51827-2023</t>
        </is>
      </c>
      <c r="B1656" s="1" t="n">
        <v>45223</v>
      </c>
      <c r="C1656" s="1" t="n">
        <v>45648</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53027-2023</t>
        </is>
      </c>
      <c r="B1657" s="1" t="n">
        <v>45222</v>
      </c>
      <c r="C1657" s="1" t="n">
        <v>45648</v>
      </c>
      <c r="D1657" t="inlineStr">
        <is>
          <t>JÄMTLANDS LÄN</t>
        </is>
      </c>
      <c r="E1657" t="inlineStr">
        <is>
          <t>BRÄCKE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52124-2023</t>
        </is>
      </c>
      <c r="B1658" s="1" t="n">
        <v>45224</v>
      </c>
      <c r="C1658" s="1" t="n">
        <v>45648</v>
      </c>
      <c r="D1658" t="inlineStr">
        <is>
          <t>JÄMTLANDS LÄN</t>
        </is>
      </c>
      <c r="E1658" t="inlineStr">
        <is>
          <t>BRÄCKE</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52127-2023</t>
        </is>
      </c>
      <c r="B1659" s="1" t="n">
        <v>45224</v>
      </c>
      <c r="C1659" s="1" t="n">
        <v>45648</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52133-2023</t>
        </is>
      </c>
      <c r="B1660" s="1" t="n">
        <v>45224</v>
      </c>
      <c r="C1660" s="1" t="n">
        <v>45648</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52137-2023</t>
        </is>
      </c>
      <c r="B1661" s="1" t="n">
        <v>45224</v>
      </c>
      <c r="C1661" s="1" t="n">
        <v>45648</v>
      </c>
      <c r="D1661" t="inlineStr">
        <is>
          <t>JÄMTLANDS LÄN</t>
        </is>
      </c>
      <c r="E1661" t="inlineStr">
        <is>
          <t>BRÄCKE</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53522-2023</t>
        </is>
      </c>
      <c r="B1662" s="1" t="n">
        <v>45223</v>
      </c>
      <c r="C1662" s="1" t="n">
        <v>45648</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53480-2023</t>
        </is>
      </c>
      <c r="B1663" s="1" t="n">
        <v>45223</v>
      </c>
      <c r="C1663" s="1" t="n">
        <v>45648</v>
      </c>
      <c r="D1663" t="inlineStr">
        <is>
          <t>JÄMTLANDS LÄN</t>
        </is>
      </c>
      <c r="E1663" t="inlineStr">
        <is>
          <t>BRÄCKE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52723-2023</t>
        </is>
      </c>
      <c r="B1664" s="1" t="n">
        <v>45225</v>
      </c>
      <c r="C1664" s="1" t="n">
        <v>45648</v>
      </c>
      <c r="D1664" t="inlineStr">
        <is>
          <t>JÄMTLANDS LÄN</t>
        </is>
      </c>
      <c r="E1664" t="inlineStr">
        <is>
          <t>BRÄCKE</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52760-2023</t>
        </is>
      </c>
      <c r="B1665" s="1" t="n">
        <v>45225</v>
      </c>
      <c r="C1665" s="1" t="n">
        <v>45648</v>
      </c>
      <c r="D1665" t="inlineStr">
        <is>
          <t>JÄMTLANDS LÄN</t>
        </is>
      </c>
      <c r="E1665" t="inlineStr">
        <is>
          <t>BRÄCKE</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52761-2023</t>
        </is>
      </c>
      <c r="B1666" s="1" t="n">
        <v>45225</v>
      </c>
      <c r="C1666" s="1" t="n">
        <v>45648</v>
      </c>
      <c r="D1666" t="inlineStr">
        <is>
          <t>JÄMTLANDS LÄN</t>
        </is>
      </c>
      <c r="E1666" t="inlineStr">
        <is>
          <t>BRÄCKE</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52754-2023</t>
        </is>
      </c>
      <c r="B1667" s="1" t="n">
        <v>45226</v>
      </c>
      <c r="C1667" s="1" t="n">
        <v>45648</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52739-2023</t>
        </is>
      </c>
      <c r="B1668" s="1" t="n">
        <v>45225</v>
      </c>
      <c r="C1668" s="1" t="n">
        <v>45648</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52743-2023</t>
        </is>
      </c>
      <c r="B1669" s="1" t="n">
        <v>45226</v>
      </c>
      <c r="C1669" s="1" t="n">
        <v>45648</v>
      </c>
      <c r="D1669" t="inlineStr">
        <is>
          <t>JÄMTLANDS LÄN</t>
        </is>
      </c>
      <c r="E1669" t="inlineStr">
        <is>
          <t>BRÄCKE</t>
        </is>
      </c>
      <c r="F1669" t="inlineStr">
        <is>
          <t>SCA</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53054-2023</t>
        </is>
      </c>
      <c r="B1670" s="1" t="n">
        <v>45227</v>
      </c>
      <c r="C1670" s="1" t="n">
        <v>45648</v>
      </c>
      <c r="D1670" t="inlineStr">
        <is>
          <t>JÄMTLANDS LÄN</t>
        </is>
      </c>
      <c r="E1670" t="inlineStr">
        <is>
          <t>BRÄCKE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53046-2023</t>
        </is>
      </c>
      <c r="B1671" s="1" t="n">
        <v>45227</v>
      </c>
      <c r="C1671" s="1" t="n">
        <v>45648</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53047-2023</t>
        </is>
      </c>
      <c r="B1672" s="1" t="n">
        <v>45227</v>
      </c>
      <c r="C1672" s="1" t="n">
        <v>45648</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53760-2023</t>
        </is>
      </c>
      <c r="B1673" s="1" t="n">
        <v>45230</v>
      </c>
      <c r="C1673" s="1" t="n">
        <v>45648</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53555-2023</t>
        </is>
      </c>
      <c r="B1674" s="1" t="n">
        <v>45230</v>
      </c>
      <c r="C1674" s="1" t="n">
        <v>45648</v>
      </c>
      <c r="D1674" t="inlineStr">
        <is>
          <t>JÄMTLANDS LÄN</t>
        </is>
      </c>
      <c r="E1674" t="inlineStr">
        <is>
          <t>BRÄCKE</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53761-2023</t>
        </is>
      </c>
      <c r="B1675" s="1" t="n">
        <v>45231</v>
      </c>
      <c r="C1675" s="1" t="n">
        <v>45648</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54070-2023</t>
        </is>
      </c>
      <c r="B1676" s="1" t="n">
        <v>45232</v>
      </c>
      <c r="C1676" s="1" t="n">
        <v>45648</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54074-2023</t>
        </is>
      </c>
      <c r="B1677" s="1" t="n">
        <v>45232</v>
      </c>
      <c r="C1677" s="1" t="n">
        <v>45648</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54072-2023</t>
        </is>
      </c>
      <c r="B1678" s="1" t="n">
        <v>45231</v>
      </c>
      <c r="C1678" s="1" t="n">
        <v>45648</v>
      </c>
      <c r="D1678" t="inlineStr">
        <is>
          <t>JÄMTLANDS LÄN</t>
        </is>
      </c>
      <c r="E1678" t="inlineStr">
        <is>
          <t>BRÄCKE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55242-2023</t>
        </is>
      </c>
      <c r="B1679" s="1" t="n">
        <v>45231</v>
      </c>
      <c r="C1679" s="1" t="n">
        <v>45648</v>
      </c>
      <c r="D1679" t="inlineStr">
        <is>
          <t>JÄMTLANDS LÄN</t>
        </is>
      </c>
      <c r="E1679" t="inlineStr">
        <is>
          <t>BRÄCKE</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54073-2023</t>
        </is>
      </c>
      <c r="B1680" s="1" t="n">
        <v>45231</v>
      </c>
      <c r="C1680" s="1" t="n">
        <v>45648</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54334-2023</t>
        </is>
      </c>
      <c r="B1681" s="1" t="n">
        <v>45232</v>
      </c>
      <c r="C1681" s="1" t="n">
        <v>45648</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54355-2023</t>
        </is>
      </c>
      <c r="B1682" s="1" t="n">
        <v>45233</v>
      </c>
      <c r="C1682" s="1" t="n">
        <v>45648</v>
      </c>
      <c r="D1682" t="inlineStr">
        <is>
          <t>JÄMTLANDS LÄN</t>
        </is>
      </c>
      <c r="E1682" t="inlineStr">
        <is>
          <t>BRÄCKE</t>
        </is>
      </c>
      <c r="F1682" t="inlineStr">
        <is>
          <t>Kyrkan</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54350-2023</t>
        </is>
      </c>
      <c r="B1683" s="1" t="n">
        <v>45232</v>
      </c>
      <c r="C1683" s="1" t="n">
        <v>45648</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54328-2023</t>
        </is>
      </c>
      <c r="B1684" s="1" t="n">
        <v>45232</v>
      </c>
      <c r="C1684" s="1" t="n">
        <v>45648</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54332-2023</t>
        </is>
      </c>
      <c r="B1685" s="1" t="n">
        <v>45232</v>
      </c>
      <c r="C1685" s="1" t="n">
        <v>45648</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54331-2023</t>
        </is>
      </c>
      <c r="B1686" s="1" t="n">
        <v>45232</v>
      </c>
      <c r="C1686" s="1" t="n">
        <v>45648</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54335-2023</t>
        </is>
      </c>
      <c r="B1687" s="1" t="n">
        <v>45232</v>
      </c>
      <c r="C1687" s="1" t="n">
        <v>45648</v>
      </c>
      <c r="D1687" t="inlineStr">
        <is>
          <t>JÄMTLANDS LÄN</t>
        </is>
      </c>
      <c r="E1687" t="inlineStr">
        <is>
          <t>BRÄCKE</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54352-2023</t>
        </is>
      </c>
      <c r="B1688" s="1" t="n">
        <v>45233</v>
      </c>
      <c r="C1688" s="1" t="n">
        <v>45648</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55548-2023</t>
        </is>
      </c>
      <c r="B1689" s="1" t="n">
        <v>45232</v>
      </c>
      <c r="C1689" s="1" t="n">
        <v>45648</v>
      </c>
      <c r="D1689" t="inlineStr">
        <is>
          <t>JÄMTLANDS LÄN</t>
        </is>
      </c>
      <c r="E1689" t="inlineStr">
        <is>
          <t>BRÄCKE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54612-2023</t>
        </is>
      </c>
      <c r="B1690" s="1" t="n">
        <v>45233</v>
      </c>
      <c r="C1690" s="1" t="n">
        <v>45648</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54460-2023</t>
        </is>
      </c>
      <c r="B1691" s="1" t="n">
        <v>45233</v>
      </c>
      <c r="C1691" s="1" t="n">
        <v>45648</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54600-2023</t>
        </is>
      </c>
      <c r="B1692" s="1" t="n">
        <v>45233</v>
      </c>
      <c r="C1692" s="1" t="n">
        <v>45648</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54447-2023</t>
        </is>
      </c>
      <c r="B1693" s="1" t="n">
        <v>45233</v>
      </c>
      <c r="C1693" s="1" t="n">
        <v>45648</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54451-2023</t>
        </is>
      </c>
      <c r="B1694" s="1" t="n">
        <v>45233</v>
      </c>
      <c r="C1694" s="1" t="n">
        <v>45648</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54986-2023</t>
        </is>
      </c>
      <c r="B1695" s="1" t="n">
        <v>45237</v>
      </c>
      <c r="C1695" s="1" t="n">
        <v>45648</v>
      </c>
      <c r="D1695" t="inlineStr">
        <is>
          <t>JÄMTLANDS LÄN</t>
        </is>
      </c>
      <c r="E1695" t="inlineStr">
        <is>
          <t>BRÄCKE</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v>
      </c>
      <c r="C1696" s="1" t="n">
        <v>45648</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54949-2023</t>
        </is>
      </c>
      <c r="B1697" s="1" t="n">
        <v>45236</v>
      </c>
      <c r="C1697" s="1" t="n">
        <v>45648</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56499-2023</t>
        </is>
      </c>
      <c r="B1698" s="1" t="n">
        <v>45237</v>
      </c>
      <c r="C1698" s="1" t="n">
        <v>45648</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55665-2023</t>
        </is>
      </c>
      <c r="B1699" s="1" t="n">
        <v>45239</v>
      </c>
      <c r="C1699" s="1" t="n">
        <v>45648</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55662-2023</t>
        </is>
      </c>
      <c r="B1700" s="1" t="n">
        <v>45239</v>
      </c>
      <c r="C1700" s="1" t="n">
        <v>45648</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55668-2023</t>
        </is>
      </c>
      <c r="B1701" s="1" t="n">
        <v>45238</v>
      </c>
      <c r="C1701" s="1" t="n">
        <v>45648</v>
      </c>
      <c r="D1701" t="inlineStr">
        <is>
          <t>JÄMTLANDS LÄN</t>
        </is>
      </c>
      <c r="E1701" t="inlineStr">
        <is>
          <t>BRÄCKE</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55659-2023</t>
        </is>
      </c>
      <c r="B1702" s="1" t="n">
        <v>45239</v>
      </c>
      <c r="C1702" s="1" t="n">
        <v>45648</v>
      </c>
      <c r="D1702" t="inlineStr">
        <is>
          <t>JÄMTLANDS LÄN</t>
        </is>
      </c>
      <c r="E1702" t="inlineStr">
        <is>
          <t>BRÄCKE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55663-2023</t>
        </is>
      </c>
      <c r="B1703" s="1" t="n">
        <v>45239</v>
      </c>
      <c r="C1703" s="1" t="n">
        <v>45648</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55667-2023</t>
        </is>
      </c>
      <c r="B1704" s="1" t="n">
        <v>45239</v>
      </c>
      <c r="C1704" s="1" t="n">
        <v>45648</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56253-2023</t>
        </is>
      </c>
      <c r="B1705" s="1" t="n">
        <v>45240</v>
      </c>
      <c r="C1705" s="1" t="n">
        <v>45648</v>
      </c>
      <c r="D1705" t="inlineStr">
        <is>
          <t>JÄMTLANDS LÄN</t>
        </is>
      </c>
      <c r="E1705" t="inlineStr">
        <is>
          <t>BRÄCKE</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56688-2023</t>
        </is>
      </c>
      <c r="B1706" s="1" t="n">
        <v>45244</v>
      </c>
      <c r="C1706" s="1" t="n">
        <v>45648</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56686-2023</t>
        </is>
      </c>
      <c r="B1707" s="1" t="n">
        <v>45244</v>
      </c>
      <c r="C1707" s="1" t="n">
        <v>45648</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56690-2023</t>
        </is>
      </c>
      <c r="B1708" s="1" t="n">
        <v>45244</v>
      </c>
      <c r="C1708" s="1" t="n">
        <v>45648</v>
      </c>
      <c r="D1708" t="inlineStr">
        <is>
          <t>JÄMTLANDS LÄN</t>
        </is>
      </c>
      <c r="E1708" t="inlineStr">
        <is>
          <t>BRÄCKE</t>
        </is>
      </c>
      <c r="G1708" t="n">
        <v>24.3</v>
      </c>
      <c r="H1708" t="n">
        <v>0</v>
      </c>
      <c r="I1708" t="n">
        <v>0</v>
      </c>
      <c r="J1708" t="n">
        <v>0</v>
      </c>
      <c r="K1708" t="n">
        <v>0</v>
      </c>
      <c r="L1708" t="n">
        <v>0</v>
      </c>
      <c r="M1708" t="n">
        <v>0</v>
      </c>
      <c r="N1708" t="n">
        <v>0</v>
      </c>
      <c r="O1708" t="n">
        <v>0</v>
      </c>
      <c r="P1708" t="n">
        <v>0</v>
      </c>
      <c r="Q1708" t="n">
        <v>0</v>
      </c>
      <c r="R1708" s="2" t="inlineStr"/>
    </row>
    <row r="1709" ht="15" customHeight="1">
      <c r="A1709" t="inlineStr">
        <is>
          <t>A 56525-2023</t>
        </is>
      </c>
      <c r="B1709" s="1" t="n">
        <v>45243</v>
      </c>
      <c r="C1709" s="1" t="n">
        <v>45648</v>
      </c>
      <c r="D1709" t="inlineStr">
        <is>
          <t>JÄMTLANDS LÄN</t>
        </is>
      </c>
      <c r="E1709" t="inlineStr">
        <is>
          <t>BRÄCKE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56687-2023</t>
        </is>
      </c>
      <c r="B1710" s="1" t="n">
        <v>45244</v>
      </c>
      <c r="C1710" s="1" t="n">
        <v>45648</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57612-2023</t>
        </is>
      </c>
      <c r="B1711" s="1" t="n">
        <v>45243</v>
      </c>
      <c r="C1711" s="1" t="n">
        <v>45648</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57942-2023</t>
        </is>
      </c>
      <c r="B1712" s="1" t="n">
        <v>45244</v>
      </c>
      <c r="C1712" s="1" t="n">
        <v>45648</v>
      </c>
      <c r="D1712" t="inlineStr">
        <is>
          <t>JÄMTLANDS LÄN</t>
        </is>
      </c>
      <c r="E1712" t="inlineStr">
        <is>
          <t>BRÄCKE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57412-2023</t>
        </is>
      </c>
      <c r="B1713" s="1" t="n">
        <v>45246</v>
      </c>
      <c r="C1713" s="1" t="n">
        <v>45648</v>
      </c>
      <c r="D1713" t="inlineStr">
        <is>
          <t>JÄMTLANDS LÄN</t>
        </is>
      </c>
      <c r="E1713" t="inlineStr">
        <is>
          <t>BRÄCKE</t>
        </is>
      </c>
      <c r="F1713" t="inlineStr">
        <is>
          <t>SCA</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57420-2023</t>
        </is>
      </c>
      <c r="B1714" s="1" t="n">
        <v>45246</v>
      </c>
      <c r="C1714" s="1" t="n">
        <v>45648</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57393-2023</t>
        </is>
      </c>
      <c r="B1715" s="1" t="n">
        <v>45246</v>
      </c>
      <c r="C1715" s="1" t="n">
        <v>45648</v>
      </c>
      <c r="D1715" t="inlineStr">
        <is>
          <t>JÄMTLANDS LÄN</t>
        </is>
      </c>
      <c r="E1715" t="inlineStr">
        <is>
          <t>BRÄCKE</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57397-2023</t>
        </is>
      </c>
      <c r="B1716" s="1" t="n">
        <v>45245</v>
      </c>
      <c r="C1716" s="1" t="n">
        <v>45648</v>
      </c>
      <c r="D1716" t="inlineStr">
        <is>
          <t>JÄMTLANDS LÄN</t>
        </is>
      </c>
      <c r="E1716" t="inlineStr">
        <is>
          <t>BRÄCKE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57414-2023</t>
        </is>
      </c>
      <c r="B1717" s="1" t="n">
        <v>45246</v>
      </c>
      <c r="C1717" s="1" t="n">
        <v>45648</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57405-2023</t>
        </is>
      </c>
      <c r="B1718" s="1" t="n">
        <v>45245</v>
      </c>
      <c r="C1718" s="1" t="n">
        <v>45648</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57417-2023</t>
        </is>
      </c>
      <c r="B1719" s="1" t="n">
        <v>45246</v>
      </c>
      <c r="C1719" s="1" t="n">
        <v>45648</v>
      </c>
      <c r="D1719" t="inlineStr">
        <is>
          <t>JÄMTLANDS LÄN</t>
        </is>
      </c>
      <c r="E1719" t="inlineStr">
        <is>
          <t>BRÄCKE</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57407-2023</t>
        </is>
      </c>
      <c r="B1720" s="1" t="n">
        <v>45245</v>
      </c>
      <c r="C1720" s="1" t="n">
        <v>45648</v>
      </c>
      <c r="D1720" t="inlineStr">
        <is>
          <t>JÄMTLANDS LÄN</t>
        </is>
      </c>
      <c r="E1720" t="inlineStr">
        <is>
          <t>BRÄCKE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57419-2023</t>
        </is>
      </c>
      <c r="B1721" s="1" t="n">
        <v>45246</v>
      </c>
      <c r="C1721" s="1" t="n">
        <v>45648</v>
      </c>
      <c r="D1721" t="inlineStr">
        <is>
          <t>JÄMTLANDS LÄN</t>
        </is>
      </c>
      <c r="E1721" t="inlineStr">
        <is>
          <t>BRÄCKE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57779-2023</t>
        </is>
      </c>
      <c r="B1722" s="1" t="n">
        <v>45247</v>
      </c>
      <c r="C1722" s="1" t="n">
        <v>45648</v>
      </c>
      <c r="D1722" t="inlineStr">
        <is>
          <t>JÄMTLANDS LÄN</t>
        </is>
      </c>
      <c r="E1722" t="inlineStr">
        <is>
          <t>BRÄCKE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57783-2023</t>
        </is>
      </c>
      <c r="B1723" s="1" t="n">
        <v>45247</v>
      </c>
      <c r="C1723" s="1" t="n">
        <v>45648</v>
      </c>
      <c r="D1723" t="inlineStr">
        <is>
          <t>JÄMTLANDS LÄN</t>
        </is>
      </c>
      <c r="E1723" t="inlineStr">
        <is>
          <t>BRÄCKE</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57798-2023</t>
        </is>
      </c>
      <c r="B1724" s="1" t="n">
        <v>45247</v>
      </c>
      <c r="C1724" s="1" t="n">
        <v>45648</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58078-2023</t>
        </is>
      </c>
      <c r="B1725" s="1" t="n">
        <v>45248</v>
      </c>
      <c r="C1725" s="1" t="n">
        <v>45648</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58082-2023</t>
        </is>
      </c>
      <c r="B1726" s="1" t="n">
        <v>45248</v>
      </c>
      <c r="C1726" s="1" t="n">
        <v>45648</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58083-2023</t>
        </is>
      </c>
      <c r="B1727" s="1" t="n">
        <v>45248</v>
      </c>
      <c r="C1727" s="1" t="n">
        <v>45648</v>
      </c>
      <c r="D1727" t="inlineStr">
        <is>
          <t>JÄMTLANDS LÄN</t>
        </is>
      </c>
      <c r="E1727" t="inlineStr">
        <is>
          <t>BRÄCKE</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58079-2023</t>
        </is>
      </c>
      <c r="B1728" s="1" t="n">
        <v>45248</v>
      </c>
      <c r="C1728" s="1" t="n">
        <v>45648</v>
      </c>
      <c r="D1728" t="inlineStr">
        <is>
          <t>JÄMTLANDS LÄN</t>
        </is>
      </c>
      <c r="E1728" t="inlineStr">
        <is>
          <t>BRÄCKE</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58468-2023</t>
        </is>
      </c>
      <c r="B1729" s="1" t="n">
        <v>45251</v>
      </c>
      <c r="C1729" s="1" t="n">
        <v>45648</v>
      </c>
      <c r="D1729" t="inlineStr">
        <is>
          <t>JÄMTLANDS LÄN</t>
        </is>
      </c>
      <c r="E1729" t="inlineStr">
        <is>
          <t>BRÄCKE</t>
        </is>
      </c>
      <c r="F1729" t="inlineStr">
        <is>
          <t>SCA</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58467-2023</t>
        </is>
      </c>
      <c r="B1730" s="1" t="n">
        <v>45251</v>
      </c>
      <c r="C1730" s="1" t="n">
        <v>45648</v>
      </c>
      <c r="D1730" t="inlineStr">
        <is>
          <t>JÄMTLANDS LÄN</t>
        </is>
      </c>
      <c r="E1730" t="inlineStr">
        <is>
          <t>BRÄCKE</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58471-2023</t>
        </is>
      </c>
      <c r="B1731" s="1" t="n">
        <v>45251</v>
      </c>
      <c r="C1731" s="1" t="n">
        <v>45648</v>
      </c>
      <c r="D1731" t="inlineStr">
        <is>
          <t>JÄMTLANDS LÄN</t>
        </is>
      </c>
      <c r="E1731" t="inlineStr">
        <is>
          <t>BRÄCKE</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58368-2023</t>
        </is>
      </c>
      <c r="B1732" s="1" t="n">
        <v>45250</v>
      </c>
      <c r="C1732" s="1" t="n">
        <v>45648</v>
      </c>
      <c r="D1732" t="inlineStr">
        <is>
          <t>JÄMTLANDS LÄN</t>
        </is>
      </c>
      <c r="E1732" t="inlineStr">
        <is>
          <t>BRÄCKE</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58461-2023</t>
        </is>
      </c>
      <c r="B1733" s="1" t="n">
        <v>45250</v>
      </c>
      <c r="C1733" s="1" t="n">
        <v>45648</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58742-2023</t>
        </is>
      </c>
      <c r="B1734" s="1" t="n">
        <v>45251</v>
      </c>
      <c r="C1734" s="1" t="n">
        <v>45648</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58758-2023</t>
        </is>
      </c>
      <c r="B1735" s="1" t="n">
        <v>45251</v>
      </c>
      <c r="C1735" s="1" t="n">
        <v>45648</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58762-2023</t>
        </is>
      </c>
      <c r="B1736" s="1" t="n">
        <v>45252</v>
      </c>
      <c r="C1736" s="1" t="n">
        <v>45648</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58740-2023</t>
        </is>
      </c>
      <c r="B1737" s="1" t="n">
        <v>45251</v>
      </c>
      <c r="C1737" s="1" t="n">
        <v>45648</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58776-2023</t>
        </is>
      </c>
      <c r="B1738" s="1" t="n">
        <v>45252</v>
      </c>
      <c r="C1738" s="1" t="n">
        <v>45648</v>
      </c>
      <c r="D1738" t="inlineStr">
        <is>
          <t>JÄMTLANDS LÄN</t>
        </is>
      </c>
      <c r="E1738" t="inlineStr">
        <is>
          <t>BRÄCKE</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58741-2023</t>
        </is>
      </c>
      <c r="B1739" s="1" t="n">
        <v>45251</v>
      </c>
      <c r="C1739" s="1" t="n">
        <v>45648</v>
      </c>
      <c r="D1739" t="inlineStr">
        <is>
          <t>JÄMTLANDS LÄN</t>
        </is>
      </c>
      <c r="E1739" t="inlineStr">
        <is>
          <t>BRÄCKE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58767-2023</t>
        </is>
      </c>
      <c r="B1740" s="1" t="n">
        <v>45252</v>
      </c>
      <c r="C1740" s="1" t="n">
        <v>45648</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59102-2023</t>
        </is>
      </c>
      <c r="B1741" s="1" t="n">
        <v>45253</v>
      </c>
      <c r="C1741" s="1" t="n">
        <v>45648</v>
      </c>
      <c r="D1741" t="inlineStr">
        <is>
          <t>JÄMTLANDS LÄN</t>
        </is>
      </c>
      <c r="E1741" t="inlineStr">
        <is>
          <t>BRÄCKE</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59416-2023</t>
        </is>
      </c>
      <c r="B1742" s="1" t="n">
        <v>45254</v>
      </c>
      <c r="C1742" s="1" t="n">
        <v>45648</v>
      </c>
      <c r="D1742" t="inlineStr">
        <is>
          <t>JÄMTLANDS LÄN</t>
        </is>
      </c>
      <c r="E1742" t="inlineStr">
        <is>
          <t>BRÄCKE</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59419-2023</t>
        </is>
      </c>
      <c r="B1743" s="1" t="n">
        <v>45254</v>
      </c>
      <c r="C1743" s="1" t="n">
        <v>45648</v>
      </c>
      <c r="D1743" t="inlineStr">
        <is>
          <t>JÄMTLANDS LÄN</t>
        </is>
      </c>
      <c r="E1743" t="inlineStr">
        <is>
          <t>BRÄCKE</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59561-2023</t>
        </is>
      </c>
      <c r="B1744" s="1" t="n">
        <v>45253</v>
      </c>
      <c r="C1744" s="1" t="n">
        <v>45648</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59417-2023</t>
        </is>
      </c>
      <c r="B1745" s="1" t="n">
        <v>45254</v>
      </c>
      <c r="C1745" s="1" t="n">
        <v>45648</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59595-2023</t>
        </is>
      </c>
      <c r="B1746" s="1" t="n">
        <v>45254</v>
      </c>
      <c r="C1746" s="1" t="n">
        <v>45648</v>
      </c>
      <c r="D1746" t="inlineStr">
        <is>
          <t>JÄMTLANDS LÄN</t>
        </is>
      </c>
      <c r="E1746" t="inlineStr">
        <is>
          <t>BRÄCKE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59586-2023</t>
        </is>
      </c>
      <c r="B1747" s="1" t="n">
        <v>45254</v>
      </c>
      <c r="C1747" s="1" t="n">
        <v>45648</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60085-2023</t>
        </is>
      </c>
      <c r="B1748" s="1" t="n">
        <v>45258</v>
      </c>
      <c r="C1748" s="1" t="n">
        <v>45648</v>
      </c>
      <c r="D1748" t="inlineStr">
        <is>
          <t>JÄMTLANDS LÄN</t>
        </is>
      </c>
      <c r="E1748" t="inlineStr">
        <is>
          <t>BRÄCKE</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60415-2023</t>
        </is>
      </c>
      <c r="B1749" s="1" t="n">
        <v>45258</v>
      </c>
      <c r="C1749" s="1" t="n">
        <v>45648</v>
      </c>
      <c r="D1749" t="inlineStr">
        <is>
          <t>JÄMTLANDS LÄN</t>
        </is>
      </c>
      <c r="E1749" t="inlineStr">
        <is>
          <t>BRÄCKE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60435-2023</t>
        </is>
      </c>
      <c r="B1750" s="1" t="n">
        <v>45258</v>
      </c>
      <c r="C1750" s="1" t="n">
        <v>45648</v>
      </c>
      <c r="D1750" t="inlineStr">
        <is>
          <t>JÄMTLANDS LÄN</t>
        </is>
      </c>
      <c r="E1750" t="inlineStr">
        <is>
          <t>BRÄCKE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60453-2023</t>
        </is>
      </c>
      <c r="B1751" s="1" t="n">
        <v>45259</v>
      </c>
      <c r="C1751" s="1" t="n">
        <v>45648</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60581-2023</t>
        </is>
      </c>
      <c r="B1752" s="1" t="n">
        <v>45260</v>
      </c>
      <c r="C1752" s="1" t="n">
        <v>45648</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60582-2023</t>
        </is>
      </c>
      <c r="B1753" s="1" t="n">
        <v>45260</v>
      </c>
      <c r="C1753" s="1" t="n">
        <v>45648</v>
      </c>
      <c r="D1753" t="inlineStr">
        <is>
          <t>JÄMTLANDS LÄN</t>
        </is>
      </c>
      <c r="E1753" t="inlineStr">
        <is>
          <t>BRÄCKE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60996-2023</t>
        </is>
      </c>
      <c r="B1754" s="1" t="n">
        <v>45259</v>
      </c>
      <c r="C1754" s="1" t="n">
        <v>45648</v>
      </c>
      <c r="D1754" t="inlineStr">
        <is>
          <t>JÄMTLANDS LÄN</t>
        </is>
      </c>
      <c r="E1754" t="inlineStr">
        <is>
          <t>BRÄCKE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60866-2023</t>
        </is>
      </c>
      <c r="B1755" s="1" t="n">
        <v>45261</v>
      </c>
      <c r="C1755" s="1" t="n">
        <v>45648</v>
      </c>
      <c r="D1755" t="inlineStr">
        <is>
          <t>JÄMTLANDS LÄN</t>
        </is>
      </c>
      <c r="E1755" t="inlineStr">
        <is>
          <t>BRÄCKE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45261</v>
      </c>
      <c r="C1756" s="1" t="n">
        <v>45648</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60833-2023</t>
        </is>
      </c>
      <c r="B1757" s="1" t="n">
        <v>45260</v>
      </c>
      <c r="C1757" s="1" t="n">
        <v>45648</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60865-2023</t>
        </is>
      </c>
      <c r="B1758" s="1" t="n">
        <v>45260</v>
      </c>
      <c r="C1758" s="1" t="n">
        <v>45648</v>
      </c>
      <c r="D1758" t="inlineStr">
        <is>
          <t>JÄMTLANDS LÄN</t>
        </is>
      </c>
      <c r="E1758" t="inlineStr">
        <is>
          <t>BRÄCKE</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60954-2023</t>
        </is>
      </c>
      <c r="B1759" s="1" t="n">
        <v>45261</v>
      </c>
      <c r="C1759" s="1" t="n">
        <v>45648</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61149-2023</t>
        </is>
      </c>
      <c r="B1760" s="1" t="n">
        <v>45262</v>
      </c>
      <c r="C1760" s="1" t="n">
        <v>45648</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61440-2023</t>
        </is>
      </c>
      <c r="B1761" s="1" t="n">
        <v>45261</v>
      </c>
      <c r="C1761" s="1" t="n">
        <v>45648</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61504-2023</t>
        </is>
      </c>
      <c r="B1762" s="1" t="n">
        <v>45264</v>
      </c>
      <c r="C1762" s="1" t="n">
        <v>45648</v>
      </c>
      <c r="D1762" t="inlineStr">
        <is>
          <t>JÄMTLANDS LÄN</t>
        </is>
      </c>
      <c r="E1762" t="inlineStr">
        <is>
          <t>BRÄCKE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61503-2023</t>
        </is>
      </c>
      <c r="B1763" s="1" t="n">
        <v>45264</v>
      </c>
      <c r="C1763" s="1" t="n">
        <v>45648</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v>
      </c>
      <c r="C1764" s="1" t="n">
        <v>45648</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61796-2023</t>
        </is>
      </c>
      <c r="B1765" s="1" t="n">
        <v>45266</v>
      </c>
      <c r="C1765" s="1" t="n">
        <v>45648</v>
      </c>
      <c r="D1765" t="inlineStr">
        <is>
          <t>JÄMTLANDS LÄN</t>
        </is>
      </c>
      <c r="E1765" t="inlineStr">
        <is>
          <t>BRÄCKE</t>
        </is>
      </c>
      <c r="F1765" t="inlineStr">
        <is>
          <t>SCA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62074-2023</t>
        </is>
      </c>
      <c r="B1766" s="1" t="n">
        <v>45266</v>
      </c>
      <c r="C1766" s="1" t="n">
        <v>45648</v>
      </c>
      <c r="D1766" t="inlineStr">
        <is>
          <t>JÄMTLANDS LÄN</t>
        </is>
      </c>
      <c r="E1766" t="inlineStr">
        <is>
          <t>BRÄCKE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62114-2023</t>
        </is>
      </c>
      <c r="B1767" s="1" t="n">
        <v>45266</v>
      </c>
      <c r="C1767" s="1" t="n">
        <v>45648</v>
      </c>
      <c r="D1767" t="inlineStr">
        <is>
          <t>JÄMTLANDS LÄN</t>
        </is>
      </c>
      <c r="E1767" t="inlineStr">
        <is>
          <t>BRÄCKE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62410-2023</t>
        </is>
      </c>
      <c r="B1768" s="1" t="n">
        <v>45266</v>
      </c>
      <c r="C1768" s="1" t="n">
        <v>45648</v>
      </c>
      <c r="D1768" t="inlineStr">
        <is>
          <t>JÄMTLANDS LÄN</t>
        </is>
      </c>
      <c r="E1768" t="inlineStr">
        <is>
          <t>BRÄCKE</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62354-2023</t>
        </is>
      </c>
      <c r="B1769" s="1" t="n">
        <v>45267</v>
      </c>
      <c r="C1769" s="1" t="n">
        <v>45648</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62899-2023</t>
        </is>
      </c>
      <c r="B1770" s="1" t="n">
        <v>45271</v>
      </c>
      <c r="C1770" s="1" t="n">
        <v>45648</v>
      </c>
      <c r="D1770" t="inlineStr">
        <is>
          <t>JÄMTLANDS LÄN</t>
        </is>
      </c>
      <c r="E1770" t="inlineStr">
        <is>
          <t>BRÄCKE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63089-2023</t>
        </is>
      </c>
      <c r="B1771" s="1" t="n">
        <v>45272</v>
      </c>
      <c r="C1771" s="1" t="n">
        <v>45648</v>
      </c>
      <c r="D1771" t="inlineStr">
        <is>
          <t>JÄMTLANDS LÄN</t>
        </is>
      </c>
      <c r="E1771" t="inlineStr">
        <is>
          <t>BRÄCKE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63292-2023</t>
        </is>
      </c>
      <c r="B1772" s="1" t="n">
        <v>45273</v>
      </c>
      <c r="C1772" s="1" t="n">
        <v>45648</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63295-2023</t>
        </is>
      </c>
      <c r="B1773" s="1" t="n">
        <v>45273</v>
      </c>
      <c r="C1773" s="1" t="n">
        <v>45648</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63534-2023</t>
        </is>
      </c>
      <c r="B1774" s="1" t="n">
        <v>45274</v>
      </c>
      <c r="C1774" s="1" t="n">
        <v>45648</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63713-2023</t>
        </is>
      </c>
      <c r="B1775" s="1" t="n">
        <v>45275</v>
      </c>
      <c r="C1775" s="1" t="n">
        <v>45648</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63716-2023</t>
        </is>
      </c>
      <c r="B1776" s="1" t="n">
        <v>45275</v>
      </c>
      <c r="C1776" s="1" t="n">
        <v>45648</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63706-2023</t>
        </is>
      </c>
      <c r="B1777" s="1" t="n">
        <v>45275</v>
      </c>
      <c r="C1777" s="1" t="n">
        <v>45648</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63714-2023</t>
        </is>
      </c>
      <c r="B1778" s="1" t="n">
        <v>45275</v>
      </c>
      <c r="C1778" s="1" t="n">
        <v>45648</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64025-2023</t>
        </is>
      </c>
      <c r="B1779" s="1" t="n">
        <v>45278</v>
      </c>
      <c r="C1779" s="1" t="n">
        <v>45648</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64037-2023</t>
        </is>
      </c>
      <c r="B1780" s="1" t="n">
        <v>45278</v>
      </c>
      <c r="C1780" s="1" t="n">
        <v>45648</v>
      </c>
      <c r="D1780" t="inlineStr">
        <is>
          <t>JÄMTLANDS LÄN</t>
        </is>
      </c>
      <c r="E1780" t="inlineStr">
        <is>
          <t>BRÄCKE</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64034-2023</t>
        </is>
      </c>
      <c r="B1781" s="1" t="n">
        <v>45278</v>
      </c>
      <c r="C1781" s="1" t="n">
        <v>45648</v>
      </c>
      <c r="D1781" t="inlineStr">
        <is>
          <t>JÄMTLANDS LÄN</t>
        </is>
      </c>
      <c r="E1781" t="inlineStr">
        <is>
          <t>BRÄCKE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64038-2023</t>
        </is>
      </c>
      <c r="B1782" s="1" t="n">
        <v>45278</v>
      </c>
      <c r="C1782" s="1" t="n">
        <v>45648</v>
      </c>
      <c r="D1782" t="inlineStr">
        <is>
          <t>JÄMTLANDS LÄN</t>
        </is>
      </c>
      <c r="E1782" t="inlineStr">
        <is>
          <t>BRÄCKE</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64024-2023</t>
        </is>
      </c>
      <c r="B1783" s="1" t="n">
        <v>45278</v>
      </c>
      <c r="C1783" s="1" t="n">
        <v>45648</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64117-2023</t>
        </is>
      </c>
      <c r="B1784" s="1" t="n">
        <v>45279</v>
      </c>
      <c r="C1784" s="1" t="n">
        <v>45648</v>
      </c>
      <c r="D1784" t="inlineStr">
        <is>
          <t>JÄMTLANDS LÄN</t>
        </is>
      </c>
      <c r="E1784" t="inlineStr">
        <is>
          <t>BRÄCKE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64143-2023</t>
        </is>
      </c>
      <c r="B1785" s="1" t="n">
        <v>45279</v>
      </c>
      <c r="C1785" s="1" t="n">
        <v>45648</v>
      </c>
      <c r="D1785" t="inlineStr">
        <is>
          <t>JÄMTLANDS LÄN</t>
        </is>
      </c>
      <c r="E1785" t="inlineStr">
        <is>
          <t>BRÄCKE</t>
        </is>
      </c>
      <c r="G1785" t="n">
        <v>5.5</v>
      </c>
      <c r="H1785" t="n">
        <v>0</v>
      </c>
      <c r="I1785" t="n">
        <v>0</v>
      </c>
      <c r="J1785" t="n">
        <v>0</v>
      </c>
      <c r="K1785" t="n">
        <v>0</v>
      </c>
      <c r="L1785" t="n">
        <v>0</v>
      </c>
      <c r="M1785" t="n">
        <v>0</v>
      </c>
      <c r="N1785" t="n">
        <v>0</v>
      </c>
      <c r="O1785" t="n">
        <v>0</v>
      </c>
      <c r="P1785" t="n">
        <v>0</v>
      </c>
      <c r="Q1785" t="n">
        <v>0</v>
      </c>
      <c r="R1785" s="2" t="inlineStr"/>
      <c r="U1785">
        <f>HYPERLINK("https://klasma.github.io/Logging_2305/knärot/A 64143-2023 karta knärot.png", "A 64143-2023")</f>
        <v/>
      </c>
      <c r="V1785">
        <f>HYPERLINK("https://klasma.github.io/Logging_2305/klagomål/A 64143-2023 FSC-klagomål.docx", "A 64143-2023")</f>
        <v/>
      </c>
      <c r="W1785">
        <f>HYPERLINK("https://klasma.github.io/Logging_2305/klagomålsmail/A 64143-2023 FSC-klagomål mail.docx", "A 64143-2023")</f>
        <v/>
      </c>
      <c r="X1785">
        <f>HYPERLINK("https://klasma.github.io/Logging_2305/tillsyn/A 64143-2023 tillsynsbegäran.docx", "A 64143-2023")</f>
        <v/>
      </c>
      <c r="Y1785">
        <f>HYPERLINK("https://klasma.github.io/Logging_2305/tillsynsmail/A 64143-2023 tillsynsbegäran mail.docx", "A 64143-2023")</f>
        <v/>
      </c>
    </row>
    <row r="1786" ht="15" customHeight="1">
      <c r="A1786" t="inlineStr">
        <is>
          <t>A 64266-2023</t>
        </is>
      </c>
      <c r="B1786" s="1" t="n">
        <v>45279</v>
      </c>
      <c r="C1786" s="1" t="n">
        <v>45648</v>
      </c>
      <c r="D1786" t="inlineStr">
        <is>
          <t>JÄMTLANDS LÄN</t>
        </is>
      </c>
      <c r="E1786" t="inlineStr">
        <is>
          <t>BRÄCKE</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64268-2023</t>
        </is>
      </c>
      <c r="B1787" s="1" t="n">
        <v>45279</v>
      </c>
      <c r="C1787" s="1" t="n">
        <v>45648</v>
      </c>
      <c r="D1787" t="inlineStr">
        <is>
          <t>JÄMTLANDS LÄN</t>
        </is>
      </c>
      <c r="E1787" t="inlineStr">
        <is>
          <t>BRÄCKE</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64272-2023</t>
        </is>
      </c>
      <c r="B1788" s="1" t="n">
        <v>45279</v>
      </c>
      <c r="C1788" s="1" t="n">
        <v>45648</v>
      </c>
      <c r="D1788" t="inlineStr">
        <is>
          <t>JÄMTLANDS LÄN</t>
        </is>
      </c>
      <c r="E1788" t="inlineStr">
        <is>
          <t>BRÄCKE</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64269-2023</t>
        </is>
      </c>
      <c r="B1789" s="1" t="n">
        <v>45279</v>
      </c>
      <c r="C1789" s="1" t="n">
        <v>45648</v>
      </c>
      <c r="D1789" t="inlineStr">
        <is>
          <t>JÄMTLANDS LÄN</t>
        </is>
      </c>
      <c r="E1789" t="inlineStr">
        <is>
          <t>BRÄCKE</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64302-2023</t>
        </is>
      </c>
      <c r="B1790" s="1" t="n">
        <v>45280</v>
      </c>
      <c r="C1790" s="1" t="n">
        <v>45648</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64413-2023</t>
        </is>
      </c>
      <c r="B1791" s="1" t="n">
        <v>45280</v>
      </c>
      <c r="C1791" s="1" t="n">
        <v>45648</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64643-2023</t>
        </is>
      </c>
      <c r="B1792" s="1" t="n">
        <v>45281</v>
      </c>
      <c r="C1792" s="1" t="n">
        <v>45648</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64757-2023</t>
        </is>
      </c>
      <c r="B1793" s="1" t="n">
        <v>45281</v>
      </c>
      <c r="C1793" s="1" t="n">
        <v>45648</v>
      </c>
      <c r="D1793" t="inlineStr">
        <is>
          <t>JÄMTLANDS LÄN</t>
        </is>
      </c>
      <c r="E1793" t="inlineStr">
        <is>
          <t>BRÄCKE</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65041-2023</t>
        </is>
      </c>
      <c r="B1794" s="1" t="n">
        <v>45287</v>
      </c>
      <c r="C1794" s="1" t="n">
        <v>45648</v>
      </c>
      <c r="D1794" t="inlineStr">
        <is>
          <t>JÄMTLANDS LÄN</t>
        </is>
      </c>
      <c r="E1794" t="inlineStr">
        <is>
          <t>BRÄCKE</t>
        </is>
      </c>
      <c r="G1794" t="n">
        <v>45.2</v>
      </c>
      <c r="H1794" t="n">
        <v>0</v>
      </c>
      <c r="I1794" t="n">
        <v>0</v>
      </c>
      <c r="J1794" t="n">
        <v>0</v>
      </c>
      <c r="K1794" t="n">
        <v>0</v>
      </c>
      <c r="L1794" t="n">
        <v>0</v>
      </c>
      <c r="M1794" t="n">
        <v>0</v>
      </c>
      <c r="N1794" t="n">
        <v>0</v>
      </c>
      <c r="O1794" t="n">
        <v>0</v>
      </c>
      <c r="P1794" t="n">
        <v>0</v>
      </c>
      <c r="Q1794" t="n">
        <v>0</v>
      </c>
      <c r="R1794" s="2" t="inlineStr"/>
    </row>
    <row r="1795" ht="15" customHeight="1">
      <c r="A1795" t="inlineStr">
        <is>
          <t>A 65096-2023</t>
        </is>
      </c>
      <c r="B1795" s="1" t="n">
        <v>45288</v>
      </c>
      <c r="C1795" s="1" t="n">
        <v>45648</v>
      </c>
      <c r="D1795" t="inlineStr">
        <is>
          <t>JÄMTLANDS LÄN</t>
        </is>
      </c>
      <c r="E1795" t="inlineStr">
        <is>
          <t>BRÄCKE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65226-2023</t>
        </is>
      </c>
      <c r="B1796" s="1" t="n">
        <v>45289</v>
      </c>
      <c r="C1796" s="1" t="n">
        <v>45648</v>
      </c>
      <c r="D1796" t="inlineStr">
        <is>
          <t>JÄMTLANDS LÄN</t>
        </is>
      </c>
      <c r="E1796" t="inlineStr">
        <is>
          <t>BRÄCKE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107-2024</t>
        </is>
      </c>
      <c r="B1797" s="1" t="n">
        <v>45293</v>
      </c>
      <c r="C1797" s="1" t="n">
        <v>45648</v>
      </c>
      <c r="D1797" t="inlineStr">
        <is>
          <t>JÄMTLANDS LÄN</t>
        </is>
      </c>
      <c r="E1797" t="inlineStr">
        <is>
          <t>BRÄCKE</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477-2024</t>
        </is>
      </c>
      <c r="B1798" s="1" t="n">
        <v>45298</v>
      </c>
      <c r="C1798" s="1" t="n">
        <v>45648</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662-2024</t>
        </is>
      </c>
      <c r="B1799" s="1" t="n">
        <v>45299</v>
      </c>
      <c r="C1799" s="1" t="n">
        <v>45648</v>
      </c>
      <c r="D1799" t="inlineStr">
        <is>
          <t>JÄMTLANDS LÄN</t>
        </is>
      </c>
      <c r="E1799" t="inlineStr">
        <is>
          <t>BRÄCKE</t>
        </is>
      </c>
      <c r="F1799" t="inlineStr">
        <is>
          <t>SCA</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861-2024</t>
        </is>
      </c>
      <c r="B1800" s="1" t="n">
        <v>45301</v>
      </c>
      <c r="C1800" s="1" t="n">
        <v>45648</v>
      </c>
      <c r="D1800" t="inlineStr">
        <is>
          <t>JÄMTLANDS LÄN</t>
        </is>
      </c>
      <c r="E1800" t="inlineStr">
        <is>
          <t>BRÄCKE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1277-2024</t>
        </is>
      </c>
      <c r="B1801" s="1" t="n">
        <v>45303</v>
      </c>
      <c r="C1801" s="1" t="n">
        <v>45648</v>
      </c>
      <c r="D1801" t="inlineStr">
        <is>
          <t>JÄMTLANDS LÄN</t>
        </is>
      </c>
      <c r="E1801" t="inlineStr">
        <is>
          <t>BRÄCKE</t>
        </is>
      </c>
      <c r="F1801" t="inlineStr">
        <is>
          <t>SCA</t>
        </is>
      </c>
      <c r="G1801" t="n">
        <v>25.7</v>
      </c>
      <c r="H1801" t="n">
        <v>0</v>
      </c>
      <c r="I1801" t="n">
        <v>0</v>
      </c>
      <c r="J1801" t="n">
        <v>0</v>
      </c>
      <c r="K1801" t="n">
        <v>0</v>
      </c>
      <c r="L1801" t="n">
        <v>0</v>
      </c>
      <c r="M1801" t="n">
        <v>0</v>
      </c>
      <c r="N1801" t="n">
        <v>0</v>
      </c>
      <c r="O1801" t="n">
        <v>0</v>
      </c>
      <c r="P1801" t="n">
        <v>0</v>
      </c>
      <c r="Q1801" t="n">
        <v>0</v>
      </c>
      <c r="R1801" s="2" t="inlineStr"/>
    </row>
    <row r="1802" ht="15" customHeight="1">
      <c r="A1802" t="inlineStr">
        <is>
          <t>A 1681-2024</t>
        </is>
      </c>
      <c r="B1802" s="1" t="n">
        <v>45307</v>
      </c>
      <c r="C1802" s="1" t="n">
        <v>45648</v>
      </c>
      <c r="D1802" t="inlineStr">
        <is>
          <t>JÄMTLANDS LÄN</t>
        </is>
      </c>
      <c r="E1802" t="inlineStr">
        <is>
          <t>BRÄCKE</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1746-2024</t>
        </is>
      </c>
      <c r="B1803" s="1" t="n">
        <v>45307</v>
      </c>
      <c r="C1803" s="1" t="n">
        <v>45648</v>
      </c>
      <c r="D1803" t="inlineStr">
        <is>
          <t>JÄMTLANDS LÄN</t>
        </is>
      </c>
      <c r="E1803" t="inlineStr">
        <is>
          <t>BRÄCKE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1881-2024</t>
        </is>
      </c>
      <c r="B1804" s="1" t="n">
        <v>45308</v>
      </c>
      <c r="C1804" s="1" t="n">
        <v>45648</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1799-2024</t>
        </is>
      </c>
      <c r="B1805" s="1" t="n">
        <v>45307</v>
      </c>
      <c r="C1805" s="1" t="n">
        <v>45648</v>
      </c>
      <c r="D1805" t="inlineStr">
        <is>
          <t>JÄMTLANDS LÄN</t>
        </is>
      </c>
      <c r="E1805" t="inlineStr">
        <is>
          <t>BRÄCKE</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2064-2024</t>
        </is>
      </c>
      <c r="B1806" s="1" t="n">
        <v>45308</v>
      </c>
      <c r="C1806" s="1" t="n">
        <v>45648</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2065-2024</t>
        </is>
      </c>
      <c r="B1807" s="1" t="n">
        <v>45309</v>
      </c>
      <c r="C1807" s="1" t="n">
        <v>45648</v>
      </c>
      <c r="D1807" t="inlineStr">
        <is>
          <t>JÄMTLANDS LÄN</t>
        </is>
      </c>
      <c r="E1807" t="inlineStr">
        <is>
          <t>BRÄCKE</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2420-2024</t>
        </is>
      </c>
      <c r="B1808" s="1" t="n">
        <v>45310</v>
      </c>
      <c r="C1808" s="1" t="n">
        <v>45648</v>
      </c>
      <c r="D1808" t="inlineStr">
        <is>
          <t>JÄMTLANDS LÄN</t>
        </is>
      </c>
      <c r="E1808" t="inlineStr">
        <is>
          <t>BRÄCKE</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2421-2024</t>
        </is>
      </c>
      <c r="B1809" s="1" t="n">
        <v>45310</v>
      </c>
      <c r="C1809" s="1" t="n">
        <v>45648</v>
      </c>
      <c r="D1809" t="inlineStr">
        <is>
          <t>JÄMTLANDS LÄN</t>
        </is>
      </c>
      <c r="E1809" t="inlineStr">
        <is>
          <t>BRÄCKE</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2422-2024</t>
        </is>
      </c>
      <c r="B1810" s="1" t="n">
        <v>45310</v>
      </c>
      <c r="C1810" s="1" t="n">
        <v>45648</v>
      </c>
      <c r="D1810" t="inlineStr">
        <is>
          <t>JÄMTLANDS LÄN</t>
        </is>
      </c>
      <c r="E1810" t="inlineStr">
        <is>
          <t>BRÄCKE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2621-2024</t>
        </is>
      </c>
      <c r="B1811" s="1" t="n">
        <v>45313</v>
      </c>
      <c r="C1811" s="1" t="n">
        <v>45648</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3182-2024</t>
        </is>
      </c>
      <c r="B1812" s="1" t="n">
        <v>45316</v>
      </c>
      <c r="C1812" s="1" t="n">
        <v>45648</v>
      </c>
      <c r="D1812" t="inlineStr">
        <is>
          <t>JÄMTLANDS LÄN</t>
        </is>
      </c>
      <c r="E1812" t="inlineStr">
        <is>
          <t>BRÄCKE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3179-2024</t>
        </is>
      </c>
      <c r="B1813" s="1" t="n">
        <v>45316</v>
      </c>
      <c r="C1813" s="1" t="n">
        <v>45648</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3180-2024</t>
        </is>
      </c>
      <c r="B1814" s="1" t="n">
        <v>45316</v>
      </c>
      <c r="C1814" s="1" t="n">
        <v>45648</v>
      </c>
      <c r="D1814" t="inlineStr">
        <is>
          <t>JÄMTLANDS LÄN</t>
        </is>
      </c>
      <c r="E1814" t="inlineStr">
        <is>
          <t>BRÄCKE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3233-2024</t>
        </is>
      </c>
      <c r="B1815" s="1" t="n">
        <v>45316</v>
      </c>
      <c r="C1815" s="1" t="n">
        <v>45648</v>
      </c>
      <c r="D1815" t="inlineStr">
        <is>
          <t>JÄMTLANDS LÄN</t>
        </is>
      </c>
      <c r="E1815" t="inlineStr">
        <is>
          <t>BRÄCKE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3390-2024</t>
        </is>
      </c>
      <c r="B1816" s="1" t="n">
        <v>45317</v>
      </c>
      <c r="C1816" s="1" t="n">
        <v>45648</v>
      </c>
      <c r="D1816" t="inlineStr">
        <is>
          <t>JÄMTLANDS LÄN</t>
        </is>
      </c>
      <c r="E1816" t="inlineStr">
        <is>
          <t>BRÄCKE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3389-2024</t>
        </is>
      </c>
      <c r="B1817" s="1" t="n">
        <v>45317</v>
      </c>
      <c r="C1817" s="1" t="n">
        <v>45648</v>
      </c>
      <c r="D1817" t="inlineStr">
        <is>
          <t>JÄMTLANDS LÄN</t>
        </is>
      </c>
      <c r="E1817" t="inlineStr">
        <is>
          <t>BRÄCKE</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3487-2024</t>
        </is>
      </c>
      <c r="B1818" s="1" t="n">
        <v>45317</v>
      </c>
      <c r="C1818" s="1" t="n">
        <v>45648</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3528-2024</t>
        </is>
      </c>
      <c r="B1819" s="1" t="n">
        <v>45320</v>
      </c>
      <c r="C1819" s="1" t="n">
        <v>45648</v>
      </c>
      <c r="D1819" t="inlineStr">
        <is>
          <t>JÄMTLANDS LÄN</t>
        </is>
      </c>
      <c r="E1819" t="inlineStr">
        <is>
          <t>BRÄCKE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3626-2024</t>
        </is>
      </c>
      <c r="B1820" s="1" t="n">
        <v>45320</v>
      </c>
      <c r="C1820" s="1" t="n">
        <v>45648</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3616-2024</t>
        </is>
      </c>
      <c r="B1821" s="1" t="n">
        <v>45320</v>
      </c>
      <c r="C1821" s="1" t="n">
        <v>45648</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3840-2024</t>
        </is>
      </c>
      <c r="B1822" s="1" t="n">
        <v>45321</v>
      </c>
      <c r="C1822" s="1" t="n">
        <v>45648</v>
      </c>
      <c r="D1822" t="inlineStr">
        <is>
          <t>JÄMTLANDS LÄN</t>
        </is>
      </c>
      <c r="E1822" t="inlineStr">
        <is>
          <t>BRÄCKE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3972-2024</t>
        </is>
      </c>
      <c r="B1823" s="1" t="n">
        <v>45322</v>
      </c>
      <c r="C1823" s="1" t="n">
        <v>45648</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3995-2024</t>
        </is>
      </c>
      <c r="B1824" s="1" t="n">
        <v>45322</v>
      </c>
      <c r="C1824" s="1" t="n">
        <v>45648</v>
      </c>
      <c r="D1824" t="inlineStr">
        <is>
          <t>JÄMTLANDS LÄN</t>
        </is>
      </c>
      <c r="E1824" t="inlineStr">
        <is>
          <t>BRÄCKE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4171-2024</t>
        </is>
      </c>
      <c r="B1825" s="1" t="n">
        <v>45323</v>
      </c>
      <c r="C1825" s="1" t="n">
        <v>45648</v>
      </c>
      <c r="D1825" t="inlineStr">
        <is>
          <t>JÄMTLANDS LÄN</t>
        </is>
      </c>
      <c r="E1825" t="inlineStr">
        <is>
          <t>BRÄCKE</t>
        </is>
      </c>
      <c r="F1825" t="inlineStr">
        <is>
          <t>SCA</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4170-2024</t>
        </is>
      </c>
      <c r="B1826" s="1" t="n">
        <v>45323</v>
      </c>
      <c r="C1826" s="1" t="n">
        <v>45648</v>
      </c>
      <c r="D1826" t="inlineStr">
        <is>
          <t>JÄMTLANDS LÄN</t>
        </is>
      </c>
      <c r="E1826" t="inlineStr">
        <is>
          <t>BRÄCKE</t>
        </is>
      </c>
      <c r="F1826" t="inlineStr">
        <is>
          <t>SCA</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4491-2024</t>
        </is>
      </c>
      <c r="B1827" s="1" t="n">
        <v>45327</v>
      </c>
      <c r="C1827" s="1" t="n">
        <v>45648</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4556-2024</t>
        </is>
      </c>
      <c r="B1828" s="1" t="n">
        <v>45327</v>
      </c>
      <c r="C1828" s="1" t="n">
        <v>45648</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4585-2024</t>
        </is>
      </c>
      <c r="B1829" s="1" t="n">
        <v>45327</v>
      </c>
      <c r="C1829" s="1" t="n">
        <v>45648</v>
      </c>
      <c r="D1829" t="inlineStr">
        <is>
          <t>JÄMTLANDS LÄN</t>
        </is>
      </c>
      <c r="E1829" t="inlineStr">
        <is>
          <t>BRÄCKE</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4590-2024</t>
        </is>
      </c>
      <c r="B1830" s="1" t="n">
        <v>45327</v>
      </c>
      <c r="C1830" s="1" t="n">
        <v>45648</v>
      </c>
      <c r="D1830" t="inlineStr">
        <is>
          <t>JÄMTLANDS LÄN</t>
        </is>
      </c>
      <c r="E1830" t="inlineStr">
        <is>
          <t>BRÄCKE</t>
        </is>
      </c>
      <c r="F1830" t="inlineStr">
        <is>
          <t>SCA</t>
        </is>
      </c>
      <c r="G1830" t="n">
        <v>16.6</v>
      </c>
      <c r="H1830" t="n">
        <v>0</v>
      </c>
      <c r="I1830" t="n">
        <v>0</v>
      </c>
      <c r="J1830" t="n">
        <v>0</v>
      </c>
      <c r="K1830" t="n">
        <v>0</v>
      </c>
      <c r="L1830" t="n">
        <v>0</v>
      </c>
      <c r="M1830" t="n">
        <v>0</v>
      </c>
      <c r="N1830" t="n">
        <v>0</v>
      </c>
      <c r="O1830" t="n">
        <v>0</v>
      </c>
      <c r="P1830" t="n">
        <v>0</v>
      </c>
      <c r="Q1830" t="n">
        <v>0</v>
      </c>
      <c r="R1830" s="2" t="inlineStr"/>
    </row>
    <row r="1831" ht="15" customHeight="1">
      <c r="A1831" t="inlineStr">
        <is>
          <t>A 4930-2024</t>
        </is>
      </c>
      <c r="B1831" s="1" t="n">
        <v>45329</v>
      </c>
      <c r="C1831" s="1" t="n">
        <v>45648</v>
      </c>
      <c r="D1831" t="inlineStr">
        <is>
          <t>JÄMTLANDS LÄN</t>
        </is>
      </c>
      <c r="E1831" t="inlineStr">
        <is>
          <t>BRÄCKE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5053-2024</t>
        </is>
      </c>
      <c r="B1832" s="1" t="n">
        <v>45329</v>
      </c>
      <c r="C1832" s="1" t="n">
        <v>45648</v>
      </c>
      <c r="D1832" t="inlineStr">
        <is>
          <t>JÄMTLANDS LÄN</t>
        </is>
      </c>
      <c r="E1832" t="inlineStr">
        <is>
          <t>BRÄCKE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5052-2024</t>
        </is>
      </c>
      <c r="B1833" s="1" t="n">
        <v>45329</v>
      </c>
      <c r="C1833" s="1" t="n">
        <v>45648</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7843-2024</t>
        </is>
      </c>
      <c r="B1834" s="1" t="n">
        <v>45329</v>
      </c>
      <c r="C1834" s="1" t="n">
        <v>45648</v>
      </c>
      <c r="D1834" t="inlineStr">
        <is>
          <t>JÄMTLANDS LÄN</t>
        </is>
      </c>
      <c r="E1834" t="inlineStr">
        <is>
          <t>BRÄCKE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5266-2024</t>
        </is>
      </c>
      <c r="B1835" s="1" t="n">
        <v>45330</v>
      </c>
      <c r="C1835" s="1" t="n">
        <v>45648</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5270-2024</t>
        </is>
      </c>
      <c r="B1836" s="1" t="n">
        <v>45331</v>
      </c>
      <c r="C1836" s="1" t="n">
        <v>45648</v>
      </c>
      <c r="D1836" t="inlineStr">
        <is>
          <t>JÄMTLANDS LÄN</t>
        </is>
      </c>
      <c r="E1836" t="inlineStr">
        <is>
          <t>BRÄCKE</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5269-2024</t>
        </is>
      </c>
      <c r="B1837" s="1" t="n">
        <v>45331</v>
      </c>
      <c r="C1837" s="1" t="n">
        <v>45648</v>
      </c>
      <c r="D1837" t="inlineStr">
        <is>
          <t>JÄMTLANDS LÄN</t>
        </is>
      </c>
      <c r="E1837" t="inlineStr">
        <is>
          <t>BRÄCKE</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5367-2024</t>
        </is>
      </c>
      <c r="B1838" s="1" t="n">
        <v>45331</v>
      </c>
      <c r="C1838" s="1" t="n">
        <v>45648</v>
      </c>
      <c r="D1838" t="inlineStr">
        <is>
          <t>JÄMTLANDS LÄN</t>
        </is>
      </c>
      <c r="E1838" t="inlineStr">
        <is>
          <t>BRÄCKE</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5441-2024</t>
        </is>
      </c>
      <c r="B1839" s="1" t="n">
        <v>45331</v>
      </c>
      <c r="C1839" s="1" t="n">
        <v>45648</v>
      </c>
      <c r="D1839" t="inlineStr">
        <is>
          <t>JÄMTLANDS LÄN</t>
        </is>
      </c>
      <c r="E1839" t="inlineStr">
        <is>
          <t>BRÄCKE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5737-2024</t>
        </is>
      </c>
      <c r="B1840" s="1" t="n">
        <v>45334</v>
      </c>
      <c r="C1840" s="1" t="n">
        <v>45648</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5914-2024</t>
        </is>
      </c>
      <c r="B1841" s="1" t="n">
        <v>45335</v>
      </c>
      <c r="C1841" s="1" t="n">
        <v>45648</v>
      </c>
      <c r="D1841" t="inlineStr">
        <is>
          <t>JÄMTLANDS LÄN</t>
        </is>
      </c>
      <c r="E1841" t="inlineStr">
        <is>
          <t>BRÄCKE</t>
        </is>
      </c>
      <c r="F1841" t="inlineStr">
        <is>
          <t>SCA</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5915-2024</t>
        </is>
      </c>
      <c r="B1842" s="1" t="n">
        <v>45335</v>
      </c>
      <c r="C1842" s="1" t="n">
        <v>45648</v>
      </c>
      <c r="D1842" t="inlineStr">
        <is>
          <t>JÄMTLANDS LÄN</t>
        </is>
      </c>
      <c r="E1842" t="inlineStr">
        <is>
          <t>BRÄCKE</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6087-2024</t>
        </is>
      </c>
      <c r="B1843" s="1" t="n">
        <v>45337</v>
      </c>
      <c r="C1843" s="1" t="n">
        <v>45648</v>
      </c>
      <c r="D1843" t="inlineStr">
        <is>
          <t>JÄMTLANDS LÄN</t>
        </is>
      </c>
      <c r="E1843" t="inlineStr">
        <is>
          <t>BRÄCKE</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6086-2024</t>
        </is>
      </c>
      <c r="B1844" s="1" t="n">
        <v>45337</v>
      </c>
      <c r="C1844" s="1" t="n">
        <v>45648</v>
      </c>
      <c r="D1844" t="inlineStr">
        <is>
          <t>JÄMTLANDS LÄN</t>
        </is>
      </c>
      <c r="E1844" t="inlineStr">
        <is>
          <t>BRÄCKE</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6190-2024</t>
        </is>
      </c>
      <c r="B1845" s="1" t="n">
        <v>45337</v>
      </c>
      <c r="C1845" s="1" t="n">
        <v>45648</v>
      </c>
      <c r="D1845" t="inlineStr">
        <is>
          <t>JÄMTLANDS LÄN</t>
        </is>
      </c>
      <c r="E1845" t="inlineStr">
        <is>
          <t>BRÄCKE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6185-2024</t>
        </is>
      </c>
      <c r="B1846" s="1" t="n">
        <v>45337</v>
      </c>
      <c r="C1846" s="1" t="n">
        <v>45648</v>
      </c>
      <c r="D1846" t="inlineStr">
        <is>
          <t>JÄMTLANDS LÄN</t>
        </is>
      </c>
      <c r="E1846" t="inlineStr">
        <is>
          <t>BRÄCKE</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6362-2024</t>
        </is>
      </c>
      <c r="B1847" s="1" t="n">
        <v>45338</v>
      </c>
      <c r="C1847" s="1" t="n">
        <v>45648</v>
      </c>
      <c r="D1847" t="inlineStr">
        <is>
          <t>JÄMTLANDS LÄN</t>
        </is>
      </c>
      <c r="E1847" t="inlineStr">
        <is>
          <t>BRÄCKE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6516-2024</t>
        </is>
      </c>
      <c r="B1848" s="1" t="n">
        <v>45341</v>
      </c>
      <c r="C1848" s="1" t="n">
        <v>45648</v>
      </c>
      <c r="D1848" t="inlineStr">
        <is>
          <t>JÄMTLANDS LÄN</t>
        </is>
      </c>
      <c r="E1848" t="inlineStr">
        <is>
          <t>BRÄCKE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6907-2024</t>
        </is>
      </c>
      <c r="B1849" s="1" t="n">
        <v>45342</v>
      </c>
      <c r="C1849" s="1" t="n">
        <v>45648</v>
      </c>
      <c r="D1849" t="inlineStr">
        <is>
          <t>JÄMTLANDS LÄN</t>
        </is>
      </c>
      <c r="E1849" t="inlineStr">
        <is>
          <t>BRÄCKE</t>
        </is>
      </c>
      <c r="F1849" t="inlineStr">
        <is>
          <t>SCA</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6906-2024</t>
        </is>
      </c>
      <c r="B1850" s="1" t="n">
        <v>45342</v>
      </c>
      <c r="C1850" s="1" t="n">
        <v>45648</v>
      </c>
      <c r="D1850" t="inlineStr">
        <is>
          <t>JÄMTLANDS LÄN</t>
        </is>
      </c>
      <c r="E1850" t="inlineStr">
        <is>
          <t>BRÄCKE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7283-2024</t>
        </is>
      </c>
      <c r="B1851" s="1" t="n">
        <v>45344</v>
      </c>
      <c r="C1851" s="1" t="n">
        <v>45648</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7287-2024</t>
        </is>
      </c>
      <c r="B1852" s="1" t="n">
        <v>45344</v>
      </c>
      <c r="C1852" s="1" t="n">
        <v>45648</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7286-2024</t>
        </is>
      </c>
      <c r="B1853" s="1" t="n">
        <v>45344</v>
      </c>
      <c r="C1853" s="1" t="n">
        <v>45648</v>
      </c>
      <c r="D1853" t="inlineStr">
        <is>
          <t>JÄMTLANDS LÄN</t>
        </is>
      </c>
      <c r="E1853" t="inlineStr">
        <is>
          <t>BRÄCKE</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7434-2024</t>
        </is>
      </c>
      <c r="B1854" s="1" t="n">
        <v>45345</v>
      </c>
      <c r="C1854" s="1" t="n">
        <v>45648</v>
      </c>
      <c r="D1854" t="inlineStr">
        <is>
          <t>JÄMTLANDS LÄN</t>
        </is>
      </c>
      <c r="E1854" t="inlineStr">
        <is>
          <t>BRÄCKE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7508-2024</t>
        </is>
      </c>
      <c r="B1855" s="1" t="n">
        <v>45347</v>
      </c>
      <c r="C1855" s="1" t="n">
        <v>45648</v>
      </c>
      <c r="D1855" t="inlineStr">
        <is>
          <t>JÄMTLANDS LÄN</t>
        </is>
      </c>
      <c r="E1855" t="inlineStr">
        <is>
          <t>BRÄCKE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45648</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45648</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45648</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45648</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45648</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45648</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45648</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45648</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45648</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45648</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45648</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45648</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45648</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45648</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45648</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45648</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45648</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45648</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45648</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45648</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45648</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45648</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45648</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45648</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45648</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45648</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45648</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45648</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45648</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45648</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45648</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45648</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45648</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45648</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45648</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45648</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45648</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45648</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45648</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45648</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45648</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45648</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45648</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45648</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45648</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45648</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45648</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45648</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45648</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45648</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45648</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45648</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45648</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45648</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45648</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45648</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45648</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45648</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45648</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45648</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45648</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45648</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45648</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45648</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45648</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45648</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45648</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45648</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45648</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45648</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45648</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45648</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45648</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45648</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45648</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45648</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45648</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45648</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45648</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45648</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45648</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45648</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45648</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45648</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45648</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45648</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45648</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45648</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45648</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45648</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45648</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45648</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45648</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45648</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45648</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45648</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45648</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45648</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45648</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45648</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45648</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45648</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45648</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45648</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45648</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45648</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45648</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45648</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45648</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45648</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45648</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45648</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45648</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45648</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45648</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45648</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45648</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45648</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45648</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45648</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45648</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45648</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45648</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45648</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45648</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45648</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45648</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45648</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45648</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45648</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45648</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45648</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45648</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45648</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45648</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45648</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45648</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45648</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45648</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45648</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45648</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45648</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45648</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45648</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45648</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45648</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45648</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45648</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45648</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45648</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45648</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45648</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45648</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45648</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45648</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45648</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45648</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45648</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45648</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45648</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45648</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45648</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45648</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45648</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45648</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45648</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45648</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45648</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45648</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45648</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45648</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45648</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45648</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45648</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45648</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45648</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45648</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45648</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45648</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45648</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45648</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45648</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45648</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45648</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45648</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45648</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45648</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45648</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45648</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45648</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45648</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45648</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45648</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45648</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45648</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45648</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45648</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45648</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45648</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45648</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45648</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45648</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45648</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45648</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45648</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45648</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45648</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45648</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45648</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45648</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45648</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45648</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45648</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45648</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45648</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45648</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45648</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45648</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45648</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45648</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45648</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45648</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45648</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45648</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45648</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45648</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45648</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45648</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45648</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45648</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45648</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45648</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45648</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45648</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45648</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45648</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45648</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45648</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45648</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45648</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45648</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45648</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45648</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45648</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45648</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45648</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45648</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45648</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45648</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45648</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45648</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45648</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45648</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45648</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45648</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45648</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45648</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45648</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45648</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45648</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45648</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45648</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45648</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45648</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45648</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45648</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45648</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45648</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45648</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45648</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45648</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45648</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45648</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45648</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45648</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45648</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45648</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45648</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45648</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45648</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45648</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45648</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45648</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45648</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45648</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45648</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45648</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45648</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45648</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45648</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45648</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45648</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45648</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45648</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45648</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45648</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45648</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45648</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45648</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45648</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45648</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45648</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45648</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45648</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45648</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45648</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45648</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45648</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45648</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45648</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45648</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45648</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45648</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45648</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45648</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45648</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45648</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45648</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45648</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45648</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45648</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45648</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45648</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45648</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45648</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45648</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45648</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45648</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45648</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45648</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45648</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45648</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45648</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45648</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45648</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45648</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45648</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45648</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45648</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45648</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45648</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45648</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45648</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45648</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45648</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45648</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45648</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45648</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45648</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45648</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45648</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45648</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45648</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45648</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45648</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45648</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45648</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45648</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45648</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45648</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45648</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45648</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45648</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45648</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45648</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45648</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45648</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45648</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45648</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45648</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45648</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45648</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45648</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45648</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45648</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45648</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45648</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45648</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45648</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45648</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45648</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45648</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45648</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45648</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45648</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45648</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45648</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45648</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45648</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45648</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45648</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45648</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45648</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45648</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45648</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45648</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45648</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45648</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45648</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45648</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45648</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45648</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45648</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45648</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45648</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45648</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45648</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45648</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45648</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45648</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45648</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45648</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45648</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45648</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45648</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45648</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45648</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45648</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45648</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45648</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45648</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45648</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45648</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45648</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45648</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45648</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45648</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45648</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45648</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45648</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45648</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45648</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45648</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45648</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45648</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45648</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45648</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45648</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45648</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45648</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45648</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45648</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45648</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45648</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45648</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45648</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45648</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45648</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45648</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45648</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45648</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45648</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45648</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45648</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45648</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45648</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45648</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45648</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45648</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45648</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55221-2024</t>
        </is>
      </c>
      <c r="B2316" s="1" t="n">
        <v>45621</v>
      </c>
      <c r="C2316" s="1" t="n">
        <v>45648</v>
      </c>
      <c r="D2316" t="inlineStr">
        <is>
          <t>JÄMTLANDS LÄN</t>
        </is>
      </c>
      <c r="E2316" t="inlineStr">
        <is>
          <t>BRÄCKE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45648</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55468-2024</t>
        </is>
      </c>
      <c r="B2318" s="1" t="n">
        <v>45622</v>
      </c>
      <c r="C2318" s="1" t="n">
        <v>45648</v>
      </c>
      <c r="D2318" t="inlineStr">
        <is>
          <t>JÄMTLANDS LÄN</t>
        </is>
      </c>
      <c r="E2318" t="inlineStr">
        <is>
          <t>BRÄCKE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45648</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55478-2024</t>
        </is>
      </c>
      <c r="B2320" s="1" t="n">
        <v>45622</v>
      </c>
      <c r="C2320" s="1" t="n">
        <v>45648</v>
      </c>
      <c r="D2320" t="inlineStr">
        <is>
          <t>JÄMTLANDS LÄN</t>
        </is>
      </c>
      <c r="E2320" t="inlineStr">
        <is>
          <t>BRÄCKE</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55621-2024</t>
        </is>
      </c>
      <c r="B2321" s="1" t="n">
        <v>45622</v>
      </c>
      <c r="C2321" s="1" t="n">
        <v>45648</v>
      </c>
      <c r="D2321" t="inlineStr">
        <is>
          <t>JÄMTLANDS LÄN</t>
        </is>
      </c>
      <c r="E2321" t="inlineStr">
        <is>
          <t>BRÄCKE</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45648</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45648</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55976-2024</t>
        </is>
      </c>
      <c r="B2324" s="1" t="n">
        <v>45623</v>
      </c>
      <c r="C2324" s="1" t="n">
        <v>45648</v>
      </c>
      <c r="D2324" t="inlineStr">
        <is>
          <t>JÄMTLANDS LÄN</t>
        </is>
      </c>
      <c r="E2324" t="inlineStr">
        <is>
          <t>BRÄCKE</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45648</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45648</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56047-2024</t>
        </is>
      </c>
      <c r="B2327" s="1" t="n">
        <v>45624</v>
      </c>
      <c r="C2327" s="1" t="n">
        <v>45648</v>
      </c>
      <c r="D2327" t="inlineStr">
        <is>
          <t>JÄMTLANDS LÄN</t>
        </is>
      </c>
      <c r="E2327" t="inlineStr">
        <is>
          <t>BRÄCKE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45648</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56372-2024</t>
        </is>
      </c>
      <c r="B2329" s="1" t="n">
        <v>45625</v>
      </c>
      <c r="C2329" s="1" t="n">
        <v>45648</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56432-2024</t>
        </is>
      </c>
      <c r="B2330" s="1" t="n">
        <v>45625</v>
      </c>
      <c r="C2330" s="1" t="n">
        <v>45648</v>
      </c>
      <c r="D2330" t="inlineStr">
        <is>
          <t>JÄMTLANDS LÄN</t>
        </is>
      </c>
      <c r="E2330" t="inlineStr">
        <is>
          <t>BRÄCKE</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45648</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45648</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56429-2024</t>
        </is>
      </c>
      <c r="B2333" s="1" t="n">
        <v>45625</v>
      </c>
      <c r="C2333" s="1" t="n">
        <v>45648</v>
      </c>
      <c r="D2333" t="inlineStr">
        <is>
          <t>JÄMTLANDS LÄN</t>
        </is>
      </c>
      <c r="E2333" t="inlineStr">
        <is>
          <t>BRÄCKE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45648</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45648</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57066-2024</t>
        </is>
      </c>
      <c r="B2336" s="1" t="n">
        <v>45629</v>
      </c>
      <c r="C2336" s="1" t="n">
        <v>45648</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45648</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57088-2024</t>
        </is>
      </c>
      <c r="B2338" s="1" t="n">
        <v>45629</v>
      </c>
      <c r="C2338" s="1" t="n">
        <v>45648</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57069-2024</t>
        </is>
      </c>
      <c r="B2339" s="1" t="n">
        <v>45629</v>
      </c>
      <c r="C2339" s="1" t="n">
        <v>45648</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45648</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45648</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57184-2024</t>
        </is>
      </c>
      <c r="B2342" s="1" t="n">
        <v>45629</v>
      </c>
      <c r="C2342" s="1" t="n">
        <v>45648</v>
      </c>
      <c r="D2342" t="inlineStr">
        <is>
          <t>JÄMTLANDS LÄN</t>
        </is>
      </c>
      <c r="E2342" t="inlineStr">
        <is>
          <t>BRÄCKE</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57473-2024</t>
        </is>
      </c>
      <c r="B2343" s="1" t="n">
        <v>45630</v>
      </c>
      <c r="C2343" s="1" t="n">
        <v>45648</v>
      </c>
      <c r="D2343" t="inlineStr">
        <is>
          <t>JÄMTLANDS LÄN</t>
        </is>
      </c>
      <c r="E2343" t="inlineStr">
        <is>
          <t>BRÄCKE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57605-2024</t>
        </is>
      </c>
      <c r="B2344" s="1" t="n">
        <v>45630</v>
      </c>
      <c r="C2344" s="1" t="n">
        <v>45648</v>
      </c>
      <c r="D2344" t="inlineStr">
        <is>
          <t>JÄMTLANDS LÄN</t>
        </is>
      </c>
      <c r="E2344" t="inlineStr">
        <is>
          <t>BRÄCKE</t>
        </is>
      </c>
      <c r="F2344" t="inlineStr">
        <is>
          <t>SCA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57586-2024</t>
        </is>
      </c>
      <c r="B2345" s="1" t="n">
        <v>45630</v>
      </c>
      <c r="C2345" s="1" t="n">
        <v>45648</v>
      </c>
      <c r="D2345" t="inlineStr">
        <is>
          <t>JÄMTLANDS LÄN</t>
        </is>
      </c>
      <c r="E2345" t="inlineStr">
        <is>
          <t>BRÄCKE</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57590-2024</t>
        </is>
      </c>
      <c r="B2346" s="1" t="n">
        <v>45630</v>
      </c>
      <c r="C2346" s="1" t="n">
        <v>45648</v>
      </c>
      <c r="D2346" t="inlineStr">
        <is>
          <t>JÄMTLANDS LÄN</t>
        </is>
      </c>
      <c r="E2346" t="inlineStr">
        <is>
          <t>BRÄCKE</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57610-2024</t>
        </is>
      </c>
      <c r="B2347" s="1" t="n">
        <v>45630</v>
      </c>
      <c r="C2347" s="1" t="n">
        <v>45648</v>
      </c>
      <c r="D2347" t="inlineStr">
        <is>
          <t>JÄMTLANDS LÄN</t>
        </is>
      </c>
      <c r="E2347" t="inlineStr">
        <is>
          <t>BRÄCKE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57615-2024</t>
        </is>
      </c>
      <c r="B2348" s="1" t="n">
        <v>45630</v>
      </c>
      <c r="C2348" s="1" t="n">
        <v>45648</v>
      </c>
      <c r="D2348" t="inlineStr">
        <is>
          <t>JÄMTLANDS LÄN</t>
        </is>
      </c>
      <c r="E2348" t="inlineStr">
        <is>
          <t>BRÄCKE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57623-2024</t>
        </is>
      </c>
      <c r="B2349" s="1" t="n">
        <v>45630</v>
      </c>
      <c r="C2349" s="1" t="n">
        <v>45648</v>
      </c>
      <c r="D2349" t="inlineStr">
        <is>
          <t>JÄMTLANDS LÄN</t>
        </is>
      </c>
      <c r="E2349" t="inlineStr">
        <is>
          <t>BRÄCKE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45648</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45648</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45648</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58491-2024</t>
        </is>
      </c>
      <c r="B2353" s="1" t="n">
        <v>45635</v>
      </c>
      <c r="C2353" s="1" t="n">
        <v>45648</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45648</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45648</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45648</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59059-2024</t>
        </is>
      </c>
      <c r="B2357" s="1" t="n">
        <v>45636</v>
      </c>
      <c r="C2357" s="1" t="n">
        <v>45648</v>
      </c>
      <c r="D2357" t="inlineStr">
        <is>
          <t>JÄMTLANDS LÄN</t>
        </is>
      </c>
      <c r="E2357" t="inlineStr">
        <is>
          <t>BRÄCKE</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45648</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59008-2024</t>
        </is>
      </c>
      <c r="B2359" s="1" t="n">
        <v>45636</v>
      </c>
      <c r="C2359" s="1" t="n">
        <v>45648</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59021-2024</t>
        </is>
      </c>
      <c r="B2360" s="1" t="n">
        <v>45636</v>
      </c>
      <c r="C2360" s="1" t="n">
        <v>45648</v>
      </c>
      <c r="D2360" t="inlineStr">
        <is>
          <t>JÄMTLANDS LÄN</t>
        </is>
      </c>
      <c r="E2360" t="inlineStr">
        <is>
          <t>BRÄCKE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45648</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45648</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45648</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59760-2024</t>
        </is>
      </c>
      <c r="B2364" s="1" t="n">
        <v>45639</v>
      </c>
      <c r="C2364" s="1" t="n">
        <v>45648</v>
      </c>
      <c r="D2364" t="inlineStr">
        <is>
          <t>JÄMTLANDS LÄN</t>
        </is>
      </c>
      <c r="E2364" t="inlineStr">
        <is>
          <t>BRÄCKE</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59774-2024</t>
        </is>
      </c>
      <c r="B2365" s="1" t="n">
        <v>45639</v>
      </c>
      <c r="C2365" s="1" t="n">
        <v>45648</v>
      </c>
      <c r="D2365" t="inlineStr">
        <is>
          <t>JÄMTLANDS LÄN</t>
        </is>
      </c>
      <c r="E2365" t="inlineStr">
        <is>
          <t>BRÄCKE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59846-2024</t>
        </is>
      </c>
      <c r="B2366" s="1" t="n">
        <v>45639</v>
      </c>
      <c r="C2366" s="1" t="n">
        <v>45648</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45648</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59763-2024</t>
        </is>
      </c>
      <c r="B2368" s="1" t="n">
        <v>45639</v>
      </c>
      <c r="C2368" s="1" t="n">
        <v>45648</v>
      </c>
      <c r="D2368" t="inlineStr">
        <is>
          <t>JÄMTLANDS LÄN</t>
        </is>
      </c>
      <c r="E2368" t="inlineStr">
        <is>
          <t>BRÄCKE</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45648</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45648</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45648</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60654-2024</t>
        </is>
      </c>
      <c r="B2372" s="1" t="n">
        <v>45644</v>
      </c>
      <c r="C2372" s="1" t="n">
        <v>45648</v>
      </c>
      <c r="D2372" t="inlineStr">
        <is>
          <t>JÄMTLANDS LÄN</t>
        </is>
      </c>
      <c r="E2372" t="inlineStr">
        <is>
          <t>BRÄCKE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60659-2024</t>
        </is>
      </c>
      <c r="B2373" s="1" t="n">
        <v>45644</v>
      </c>
      <c r="C2373" s="1" t="n">
        <v>45648</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60666-2024</t>
        </is>
      </c>
      <c r="B2374" s="1" t="n">
        <v>45644</v>
      </c>
      <c r="C2374" s="1" t="n">
        <v>45648</v>
      </c>
      <c r="D2374" t="inlineStr">
        <is>
          <t>JÄMTLANDS LÄN</t>
        </is>
      </c>
      <c r="E2374" t="inlineStr">
        <is>
          <t>BRÄCKE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61079-2024</t>
        </is>
      </c>
      <c r="B2375" s="1" t="n">
        <v>45645</v>
      </c>
      <c r="C2375" s="1" t="n">
        <v>45648</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45648</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61466-2024</t>
        </is>
      </c>
      <c r="B2377" s="1" t="n">
        <v>45646</v>
      </c>
      <c r="C2377" s="1" t="n">
        <v>45648</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61362-2024</t>
        </is>
      </c>
      <c r="B2378" s="1" t="n">
        <v>45646</v>
      </c>
      <c r="C2378" s="1" t="n">
        <v>45648</v>
      </c>
      <c r="D2378" t="inlineStr">
        <is>
          <t>JÄMTLANDS LÄN</t>
        </is>
      </c>
      <c r="E2378" t="inlineStr">
        <is>
          <t>BRÄCKE</t>
        </is>
      </c>
      <c r="F2378" t="inlineStr">
        <is>
          <t>SCA</t>
        </is>
      </c>
      <c r="G2378" t="n">
        <v>1.7</v>
      </c>
      <c r="H2378" t="n">
        <v>0</v>
      </c>
      <c r="I2378" t="n">
        <v>0</v>
      </c>
      <c r="J2378" t="n">
        <v>0</v>
      </c>
      <c r="K2378" t="n">
        <v>0</v>
      </c>
      <c r="L2378" t="n">
        <v>0</v>
      </c>
      <c r="M2378" t="n">
        <v>0</v>
      </c>
      <c r="N2378" t="n">
        <v>0</v>
      </c>
      <c r="O2378" t="n">
        <v>0</v>
      </c>
      <c r="P2378" t="n">
        <v>0</v>
      </c>
      <c r="Q2378" t="n">
        <v>0</v>
      </c>
      <c r="R2378" s="2" t="inlineStr"/>
    </row>
    <row r="2379">
      <c r="A2379" t="inlineStr">
        <is>
          <t>A 61483-2024</t>
        </is>
      </c>
      <c r="B2379" s="1" t="n">
        <v>45646</v>
      </c>
      <c r="C2379" s="1" t="n">
        <v>45648</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2024-12-22T15:50:54Z</dcterms:created>
  <dcterms:modified xmlns:dcterms="http://purl.org/dc/terms/" xmlns:xsi="http://www.w3.org/2001/XMLSchema-instance" xsi:type="dcterms:W3CDTF">2024-12-22T15:50:56Z</dcterms:modified>
</cp:coreProperties>
</file>