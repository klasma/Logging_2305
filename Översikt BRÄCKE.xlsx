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46193</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46193</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46193</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46193</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46193</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46193</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46193</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46193</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46193</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46193</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46193</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46193</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46193</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46193</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46193</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49645-2023</t>
        </is>
      </c>
      <c r="B17" s="1" t="n">
        <v>45211</v>
      </c>
      <c r="C17" s="1" t="n">
        <v>46193</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46193</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46193</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41701-2024</t>
        </is>
      </c>
      <c r="B20" s="1" t="n">
        <v>45560</v>
      </c>
      <c r="C20" s="1" t="n">
        <v>46193</v>
      </c>
      <c r="D20" t="inlineStr">
        <is>
          <t>JÄMTLANDS LÄN</t>
        </is>
      </c>
      <c r="E20" t="inlineStr">
        <is>
          <t>BRÄCKE</t>
        </is>
      </c>
      <c r="G20" t="n">
        <v>17.6</v>
      </c>
      <c r="H20" t="n">
        <v>5</v>
      </c>
      <c r="I20" t="n">
        <v>4</v>
      </c>
      <c r="J20" t="n">
        <v>9</v>
      </c>
      <c r="K20" t="n">
        <v>4</v>
      </c>
      <c r="L20" t="n">
        <v>0</v>
      </c>
      <c r="M20" t="n">
        <v>0</v>
      </c>
      <c r="N20" t="n">
        <v>0</v>
      </c>
      <c r="O20" t="n">
        <v>13</v>
      </c>
      <c r="P20" t="n">
        <v>4</v>
      </c>
      <c r="Q20" t="n">
        <v>18</v>
      </c>
      <c r="R20" s="2" t="inlineStr">
        <is>
          <t>Garnlav
Knärot
Smalfotad taggsvamp
Tvillingspindling
Dropptaggsvamp
Grantaggsvamp
Lunglav
Skrovellav
Tretåig hackspett
Ullticka
Vedtrappmossa
Vit vedfingersvamp
Äggvaxskivling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c r="Z20">
        <f>HYPERLINK("https://klasma.github.io/Logging_2305/fåglar/A 41701-2024 prioriterade fågelarter.docx", "A 41701-2024")</f>
        <v/>
      </c>
    </row>
    <row r="21" ht="15" customHeight="1">
      <c r="A21" t="inlineStr">
        <is>
          <t>A 7669-2025</t>
        </is>
      </c>
      <c r="B21" s="1" t="n">
        <v>45706</v>
      </c>
      <c r="C21" s="1" t="n">
        <v>46193</v>
      </c>
      <c r="D21" t="inlineStr">
        <is>
          <t>JÄMTLANDS LÄN</t>
        </is>
      </c>
      <c r="E21" t="inlineStr">
        <is>
          <t>BRÄCKE</t>
        </is>
      </c>
      <c r="F21" t="inlineStr">
        <is>
          <t>SCA</t>
        </is>
      </c>
      <c r="G21" t="n">
        <v>5</v>
      </c>
      <c r="H21" t="n">
        <v>4</v>
      </c>
      <c r="I21" t="n">
        <v>6</v>
      </c>
      <c r="J21" t="n">
        <v>9</v>
      </c>
      <c r="K21" t="n">
        <v>3</v>
      </c>
      <c r="L21" t="n">
        <v>0</v>
      </c>
      <c r="M21" t="n">
        <v>0</v>
      </c>
      <c r="N21" t="n">
        <v>0</v>
      </c>
      <c r="O21" t="n">
        <v>12</v>
      </c>
      <c r="P21" t="n">
        <v>3</v>
      </c>
      <c r="Q21" t="n">
        <v>18</v>
      </c>
      <c r="R21" s="2" t="inlineStr">
        <is>
          <t>Doftticka
Garnlav
Knärot
Dropptaggsvamp
Gammelgransskål
Kolflarnlav
Lunglav
Mörk kolflarnlav
Skrovellav
Vedskivlav
Vedtrappmossa
Vitgrynig nållav
Kransrams
Luddlav
Nästlav
Sotlav
Spindelblomster
Tvåblad</t>
        </is>
      </c>
      <c r="S21">
        <f>HYPERLINK("https://klasma.github.io/Logging_2305/artfynd/A 7669-2025 artfynd.xlsx", "A 7669-2025")</f>
        <v/>
      </c>
      <c r="T21">
        <f>HYPERLINK("https://klasma.github.io/Logging_2305/kartor/A 7669-2025 karta.png", "A 7669-2025")</f>
        <v/>
      </c>
      <c r="U21">
        <f>HYPERLINK("https://klasma.github.io/Logging_2305/knärot/A 7669-2025 karta knärot.png", "A 7669-2025")</f>
        <v/>
      </c>
      <c r="V21">
        <f>HYPERLINK("https://klasma.github.io/Logging_2305/klagomål/A 7669-2025 FSC-klagomål.docx", "A 7669-2025")</f>
        <v/>
      </c>
      <c r="W21">
        <f>HYPERLINK("https://klasma.github.io/Logging_2305/klagomålsmail/A 7669-2025 FSC-klagomål mail.docx", "A 7669-2025")</f>
        <v/>
      </c>
      <c r="X21">
        <f>HYPERLINK("https://klasma.github.io/Logging_2305/tillsyn/A 7669-2025 tillsynsbegäran.docx", "A 7669-2025")</f>
        <v/>
      </c>
      <c r="Y21">
        <f>HYPERLINK("https://klasma.github.io/Logging_2305/tillsynsmail/A 7669-2025 tillsynsbegäran mail.docx", "A 7669-2025")</f>
        <v/>
      </c>
    </row>
    <row r="22" ht="15" customHeight="1">
      <c r="A22" t="inlineStr">
        <is>
          <t>A 50826-2023</t>
        </is>
      </c>
      <c r="B22" s="1" t="n">
        <v>45217</v>
      </c>
      <c r="C22" s="1" t="n">
        <v>46193</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46193</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22929-2025</t>
        </is>
      </c>
      <c r="B24" s="1" t="n">
        <v>45790</v>
      </c>
      <c r="C24" s="1" t="n">
        <v>46193</v>
      </c>
      <c r="D24" t="inlineStr">
        <is>
          <t>JÄMTLANDS LÄN</t>
        </is>
      </c>
      <c r="E24" t="inlineStr">
        <is>
          <t>BRÄCKE</t>
        </is>
      </c>
      <c r="F24" t="inlineStr">
        <is>
          <t>SCA</t>
        </is>
      </c>
      <c r="G24" t="n">
        <v>14.5</v>
      </c>
      <c r="H24" t="n">
        <v>1</v>
      </c>
      <c r="I24" t="n">
        <v>6</v>
      </c>
      <c r="J24" t="n">
        <v>8</v>
      </c>
      <c r="K24" t="n">
        <v>2</v>
      </c>
      <c r="L24" t="n">
        <v>0</v>
      </c>
      <c r="M24" t="n">
        <v>0</v>
      </c>
      <c r="N24" t="n">
        <v>0</v>
      </c>
      <c r="O24" t="n">
        <v>10</v>
      </c>
      <c r="P24" t="n">
        <v>2</v>
      </c>
      <c r="Q24" t="n">
        <v>16</v>
      </c>
      <c r="R24" s="2" t="inlineStr">
        <is>
          <t>Knärot
Lateritticka
Doftskinn
Dropptaggsvamp
Kolflarnlav
Lunglav
Mörk kolflarnlav
Ullticka
Vedskivlav
Vedtrappmossa
Bårdlav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28153-2025</t>
        </is>
      </c>
      <c r="B25" s="1" t="n">
        <v>45818</v>
      </c>
      <c r="C25" s="1" t="n">
        <v>46193</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29244-2024</t>
        </is>
      </c>
      <c r="B26" s="1" t="n">
        <v>45482</v>
      </c>
      <c r="C26" s="1" t="n">
        <v>46193</v>
      </c>
      <c r="D26" t="inlineStr">
        <is>
          <t>JÄMTLANDS LÄN</t>
        </is>
      </c>
      <c r="E26" t="inlineStr">
        <is>
          <t>BRÄCKE</t>
        </is>
      </c>
      <c r="F26" t="inlineStr">
        <is>
          <t>SCA</t>
        </is>
      </c>
      <c r="G26" t="n">
        <v>7.5</v>
      </c>
      <c r="H26" t="n">
        <v>4</v>
      </c>
      <c r="I26" t="n">
        <v>4</v>
      </c>
      <c r="J26" t="n">
        <v>10</v>
      </c>
      <c r="K26" t="n">
        <v>2</v>
      </c>
      <c r="L26" t="n">
        <v>0</v>
      </c>
      <c r="M26" t="n">
        <v>0</v>
      </c>
      <c r="N26" t="n">
        <v>0</v>
      </c>
      <c r="O26" t="n">
        <v>12</v>
      </c>
      <c r="P26" t="n">
        <v>2</v>
      </c>
      <c r="Q26" t="n">
        <v>16</v>
      </c>
      <c r="R26" s="2" t="inlineStr">
        <is>
          <t>Garnlav
Knärot
Blå taggsvamp
Dropptaggsvamp
Kolflarnlav
Lavskrika
Lunglav
Mörk kolflarnlav
Orange taggsvamp
Tretåig hackspett
Ullticka
Vedskivlav
Korallblylav
Kransrams
Plattlummer
Tibast</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19680-2026</t>
        </is>
      </c>
      <c r="B27" s="1" t="n">
        <v>46134</v>
      </c>
      <c r="C27" s="1" t="n">
        <v>46193</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46193</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29467-2025</t>
        </is>
      </c>
      <c r="B29" s="1" t="n">
        <v>45824</v>
      </c>
      <c r="C29" s="1" t="n">
        <v>46193</v>
      </c>
      <c r="D29" t="inlineStr">
        <is>
          <t>JÄMTLANDS LÄN</t>
        </is>
      </c>
      <c r="E29" t="inlineStr">
        <is>
          <t>BRÄCKE</t>
        </is>
      </c>
      <c r="F29" t="inlineStr">
        <is>
          <t>SCA</t>
        </is>
      </c>
      <c r="G29" t="n">
        <v>9.9</v>
      </c>
      <c r="H29" t="n">
        <v>0</v>
      </c>
      <c r="I29" t="n">
        <v>2</v>
      </c>
      <c r="J29" t="n">
        <v>10</v>
      </c>
      <c r="K29" t="n">
        <v>2</v>
      </c>
      <c r="L29" t="n">
        <v>0</v>
      </c>
      <c r="M29" t="n">
        <v>0</v>
      </c>
      <c r="N29" t="n">
        <v>0</v>
      </c>
      <c r="O29" t="n">
        <v>13</v>
      </c>
      <c r="P29" t="n">
        <v>2</v>
      </c>
      <c r="Q29" t="n">
        <v>15</v>
      </c>
      <c r="R29" s="2" t="inlineStr">
        <is>
          <t>Garnlav
Spadskinn
Blanksvart spiklav
Blå taggsvamp
Dropptaggsvamp
Dvärgbägarlav
Skarp dropptaggsvamp
Svartvit taggsvamp
Ullticka
Vaddporing
Vedflamlav
Vitplätt
Oljeporing
Bollvitmossa
Grönpyrola</t>
        </is>
      </c>
      <c r="S29">
        <f>HYPERLINK("https://klasma.github.io/Logging_2305/artfynd/A 29467-2025 artfynd.xlsx", "A 29467-2025")</f>
        <v/>
      </c>
      <c r="T29">
        <f>HYPERLINK("https://klasma.github.io/Logging_2305/kartor/A 29467-2025 karta.png", "A 29467-2025")</f>
        <v/>
      </c>
      <c r="V29">
        <f>HYPERLINK("https://klasma.github.io/Logging_2305/klagomål/A 29467-2025 FSC-klagomål.docx", "A 29467-2025")</f>
        <v/>
      </c>
      <c r="W29">
        <f>HYPERLINK("https://klasma.github.io/Logging_2305/klagomålsmail/A 29467-2025 FSC-klagomål mail.docx", "A 29467-2025")</f>
        <v/>
      </c>
      <c r="X29">
        <f>HYPERLINK("https://klasma.github.io/Logging_2305/tillsyn/A 29467-2025 tillsynsbegäran.docx", "A 29467-2025")</f>
        <v/>
      </c>
      <c r="Y29">
        <f>HYPERLINK("https://klasma.github.io/Logging_2305/tillsynsmail/A 29467-2025 tillsynsbegäran mail.docx", "A 29467-2025")</f>
        <v/>
      </c>
    </row>
    <row r="30" ht="15" customHeight="1">
      <c r="A30" t="inlineStr">
        <is>
          <t>A 61981-2025</t>
        </is>
      </c>
      <c r="B30" s="1" t="n">
        <v>46003</v>
      </c>
      <c r="C30" s="1" t="n">
        <v>46193</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31470-2024</t>
        </is>
      </c>
      <c r="B31" s="1" t="n">
        <v>45505</v>
      </c>
      <c r="C31" s="1" t="n">
        <v>46193</v>
      </c>
      <c r="D31" t="inlineStr">
        <is>
          <t>JÄMTLANDS LÄN</t>
        </is>
      </c>
      <c r="E31" t="inlineStr">
        <is>
          <t>BRÄCKE</t>
        </is>
      </c>
      <c r="F31" t="inlineStr">
        <is>
          <t>SCA</t>
        </is>
      </c>
      <c r="G31" t="n">
        <v>12.1</v>
      </c>
      <c r="H31" t="n">
        <v>4</v>
      </c>
      <c r="I31" t="n">
        <v>2</v>
      </c>
      <c r="J31" t="n">
        <v>7</v>
      </c>
      <c r="K31" t="n">
        <v>3</v>
      </c>
      <c r="L31" t="n">
        <v>1</v>
      </c>
      <c r="M31" t="n">
        <v>0</v>
      </c>
      <c r="N31" t="n">
        <v>0</v>
      </c>
      <c r="O31" t="n">
        <v>11</v>
      </c>
      <c r="P31" t="n">
        <v>4</v>
      </c>
      <c r="Q31" t="n">
        <v>15</v>
      </c>
      <c r="R31" s="2" t="inlineStr">
        <is>
          <t>Spricktaggsvamp
Garnlav
Knärot
Sprickporing
Dofttaggsvamp
Dropptaggsvamp
Grantaggsvamp
Skarp dropptaggsvamp
Tretåig hackspett
Ullticka
Äggvaxskivling
Stuplav
Svart trolldruva
Spillkråka
Kungsfågel</t>
        </is>
      </c>
      <c r="S31">
        <f>HYPERLINK("https://klasma.github.io/Logging_2305/artfynd/A 31470-2024 artfynd.xlsx", "A 31470-2024")</f>
        <v/>
      </c>
      <c r="T31">
        <f>HYPERLINK("https://klasma.github.io/Logging_2305/kartor/A 31470-2024 karta.png", "A 31470-2024")</f>
        <v/>
      </c>
      <c r="U31">
        <f>HYPERLINK("https://klasma.github.io/Logging_2305/knärot/A 31470-2024 karta knärot.png", "A 31470-2024")</f>
        <v/>
      </c>
      <c r="V31">
        <f>HYPERLINK("https://klasma.github.io/Logging_2305/klagomål/A 31470-2024 FSC-klagomål.docx", "A 31470-2024")</f>
        <v/>
      </c>
      <c r="W31">
        <f>HYPERLINK("https://klasma.github.io/Logging_2305/klagomålsmail/A 31470-2024 FSC-klagomål mail.docx", "A 31470-2024")</f>
        <v/>
      </c>
      <c r="X31">
        <f>HYPERLINK("https://klasma.github.io/Logging_2305/tillsyn/A 31470-2024 tillsynsbegäran.docx", "A 31470-2024")</f>
        <v/>
      </c>
      <c r="Y31">
        <f>HYPERLINK("https://klasma.github.io/Logging_2305/tillsynsmail/A 31470-2024 tillsynsbegäran mail.docx", "A 31470-2024")</f>
        <v/>
      </c>
      <c r="Z31">
        <f>HYPERLINK("https://klasma.github.io/Logging_2305/fåglar/A 31470-2024 prioriterade fågelarter.docx", "A 31470-2024")</f>
        <v/>
      </c>
    </row>
    <row r="32" ht="15" customHeight="1">
      <c r="A32" t="inlineStr">
        <is>
          <t>A 20225-2026</t>
        </is>
      </c>
      <c r="B32" s="1" t="n">
        <v>46139</v>
      </c>
      <c r="C32" s="1" t="n">
        <v>46193</v>
      </c>
      <c r="D32" t="inlineStr">
        <is>
          <t>JÄMTLANDS LÄN</t>
        </is>
      </c>
      <c r="E32" t="inlineStr">
        <is>
          <t>BRÄCKE</t>
        </is>
      </c>
      <c r="F32" t="inlineStr">
        <is>
          <t>SCA</t>
        </is>
      </c>
      <c r="G32" t="n">
        <v>12.6</v>
      </c>
      <c r="H32" t="n">
        <v>4</v>
      </c>
      <c r="I32" t="n">
        <v>1</v>
      </c>
      <c r="J32" t="n">
        <v>10</v>
      </c>
      <c r="K32" t="n">
        <v>2</v>
      </c>
      <c r="L32" t="n">
        <v>0</v>
      </c>
      <c r="M32" t="n">
        <v>0</v>
      </c>
      <c r="N32" t="n">
        <v>0</v>
      </c>
      <c r="O32" t="n">
        <v>12</v>
      </c>
      <c r="P32" t="n">
        <v>2</v>
      </c>
      <c r="Q32" t="n">
        <v>15</v>
      </c>
      <c r="R32" s="2" t="inlineStr">
        <is>
          <t>Garnlav
Knärot
Dropptaggsvamp
Gammelgransskål
Kolflarnlav
Liten svartspik
Lunglav
Motaggsvamp
Tretåig hackspett
Ullticka
Vedskivlav
Vitgrynig nållav
Bårdlav
Blåsippa
Orre</t>
        </is>
      </c>
      <c r="S32">
        <f>HYPERLINK("https://klasma.github.io/Logging_2305/artfynd/A 20225-2026 artfynd.xlsx", "A 20225-2026")</f>
        <v/>
      </c>
      <c r="T32">
        <f>HYPERLINK("https://klasma.github.io/Logging_2305/kartor/A 20225-2026 karta.png", "A 20225-2026")</f>
        <v/>
      </c>
      <c r="U32">
        <f>HYPERLINK("https://klasma.github.io/Logging_2305/knärot/A 20225-2026 karta knärot.png", "A 20225-2026")</f>
        <v/>
      </c>
      <c r="V32">
        <f>HYPERLINK("https://klasma.github.io/Logging_2305/klagomål/A 20225-2026 FSC-klagomål.docx", "A 20225-2026")</f>
        <v/>
      </c>
      <c r="W32">
        <f>HYPERLINK("https://klasma.github.io/Logging_2305/klagomålsmail/A 20225-2026 FSC-klagomål mail.docx", "A 20225-2026")</f>
        <v/>
      </c>
      <c r="X32">
        <f>HYPERLINK("https://klasma.github.io/Logging_2305/tillsyn/A 20225-2026 tillsynsbegäran.docx", "A 20225-2026")</f>
        <v/>
      </c>
      <c r="Y32">
        <f>HYPERLINK("https://klasma.github.io/Logging_2305/tillsynsmail/A 20225-2026 tillsynsbegäran mail.docx", "A 20225-2026")</f>
        <v/>
      </c>
      <c r="Z32">
        <f>HYPERLINK("https://klasma.github.io/Logging_2305/fåglar/A 20225-2026 prioriterade fågelarter.docx", "A 20225-2026")</f>
        <v/>
      </c>
    </row>
    <row r="33" ht="15" customHeight="1">
      <c r="A33" t="inlineStr">
        <is>
          <t>A 59052-2025</t>
        </is>
      </c>
      <c r="B33" s="1" t="n">
        <v>45988</v>
      </c>
      <c r="C33" s="1" t="n">
        <v>46193</v>
      </c>
      <c r="D33" t="inlineStr">
        <is>
          <t>JÄMTLANDS LÄN</t>
        </is>
      </c>
      <c r="E33" t="inlineStr">
        <is>
          <t>BRÄCKE</t>
        </is>
      </c>
      <c r="F33" t="inlineStr">
        <is>
          <t>SCA</t>
        </is>
      </c>
      <c r="G33" t="n">
        <v>5.4</v>
      </c>
      <c r="H33" t="n">
        <v>2</v>
      </c>
      <c r="I33" t="n">
        <v>1</v>
      </c>
      <c r="J33" t="n">
        <v>10</v>
      </c>
      <c r="K33" t="n">
        <v>2</v>
      </c>
      <c r="L33" t="n">
        <v>0</v>
      </c>
      <c r="M33" t="n">
        <v>0</v>
      </c>
      <c r="N33" t="n">
        <v>0</v>
      </c>
      <c r="O33" t="n">
        <v>12</v>
      </c>
      <c r="P33" t="n">
        <v>2</v>
      </c>
      <c r="Q33" t="n">
        <v>13</v>
      </c>
      <c r="R33" s="2" t="inlineStr">
        <is>
          <t>Aspgelélav
Garnlav
Blanksvart spiklav
Kolflarnlav
Lunglav
Mörk kolflarnlav
Nordtagging
Talltagel
Talltita
Tretåig hackspett
Vedflamlav
Vitgrynig nållav
Stor aspticka</t>
        </is>
      </c>
      <c r="S33">
        <f>HYPERLINK("https://klasma.github.io/Logging_2305/artfynd/A 59052-2025 artfynd.xlsx", "A 59052-2025")</f>
        <v/>
      </c>
      <c r="T33">
        <f>HYPERLINK("https://klasma.github.io/Logging_2305/kartor/A 59052-2025 karta.png", "A 59052-2025")</f>
        <v/>
      </c>
      <c r="V33">
        <f>HYPERLINK("https://klasma.github.io/Logging_2305/klagomål/A 59052-2025 FSC-klagomål.docx", "A 59052-2025")</f>
        <v/>
      </c>
      <c r="W33">
        <f>HYPERLINK("https://klasma.github.io/Logging_2305/klagomålsmail/A 59052-2025 FSC-klagomål mail.docx", "A 59052-2025")</f>
        <v/>
      </c>
      <c r="X33">
        <f>HYPERLINK("https://klasma.github.io/Logging_2305/tillsyn/A 59052-2025 tillsynsbegäran.docx", "A 59052-2025")</f>
        <v/>
      </c>
      <c r="Y33">
        <f>HYPERLINK("https://klasma.github.io/Logging_2305/tillsynsmail/A 59052-2025 tillsynsbegäran mail.docx", "A 59052-2025")</f>
        <v/>
      </c>
      <c r="Z33">
        <f>HYPERLINK("https://klasma.github.io/Logging_2305/fåglar/A 59052-2025 prioriterade fågelarter.docx", "A 59052-2025")</f>
        <v/>
      </c>
    </row>
    <row r="34" ht="15" customHeight="1">
      <c r="A34" t="inlineStr">
        <is>
          <t>A 19337-2024</t>
        </is>
      </c>
      <c r="B34" s="1" t="n">
        <v>45428</v>
      </c>
      <c r="C34" s="1" t="n">
        <v>46193</v>
      </c>
      <c r="D34" t="inlineStr">
        <is>
          <t>JÄMTLANDS LÄN</t>
        </is>
      </c>
      <c r="E34" t="inlineStr">
        <is>
          <t>BRÄCKE</t>
        </is>
      </c>
      <c r="F34" t="inlineStr">
        <is>
          <t>SCA</t>
        </is>
      </c>
      <c r="G34" t="n">
        <v>6</v>
      </c>
      <c r="H34" t="n">
        <v>4</v>
      </c>
      <c r="I34" t="n">
        <v>5</v>
      </c>
      <c r="J34" t="n">
        <v>4</v>
      </c>
      <c r="K34" t="n">
        <v>1</v>
      </c>
      <c r="L34" t="n">
        <v>0</v>
      </c>
      <c r="M34" t="n">
        <v>0</v>
      </c>
      <c r="N34" t="n">
        <v>0</v>
      </c>
      <c r="O34" t="n">
        <v>5</v>
      </c>
      <c r="P34" t="n">
        <v>1</v>
      </c>
      <c r="Q34" t="n">
        <v>12</v>
      </c>
      <c r="R34" s="2" t="inlineStr">
        <is>
          <t>Gränsticka
Gammelgransskål
Lavskrika
Ullticka
Vedtrappmossa
Guckusko
Kransrams
Svavelriska
Tibast
Underviol
Blåsippa
Spillkråka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49712-2024</t>
        </is>
      </c>
      <c r="B35" s="1" t="n">
        <v>45596</v>
      </c>
      <c r="C35" s="1" t="n">
        <v>46193</v>
      </c>
      <c r="D35" t="inlineStr">
        <is>
          <t>JÄMTLANDS LÄN</t>
        </is>
      </c>
      <c r="E35" t="inlineStr">
        <is>
          <t>BRÄCKE</t>
        </is>
      </c>
      <c r="F35" t="inlineStr">
        <is>
          <t>Naturvårdsverket</t>
        </is>
      </c>
      <c r="G35" t="n">
        <v>1.9</v>
      </c>
      <c r="H35" t="n">
        <v>1</v>
      </c>
      <c r="I35" t="n">
        <v>3</v>
      </c>
      <c r="J35" t="n">
        <v>6</v>
      </c>
      <c r="K35" t="n">
        <v>3</v>
      </c>
      <c r="L35" t="n">
        <v>0</v>
      </c>
      <c r="M35" t="n">
        <v>0</v>
      </c>
      <c r="N35" t="n">
        <v>0</v>
      </c>
      <c r="O35" t="n">
        <v>9</v>
      </c>
      <c r="P35" t="n">
        <v>3</v>
      </c>
      <c r="Q35" t="n">
        <v>12</v>
      </c>
      <c r="R35" s="2" t="inlineStr">
        <is>
          <t>Garnlav
Knärot
Skrovlig taggsvamp
Harticka
Lunglav
Rosenticka
Talltaggsvamp
Vedflamlav
Vedskivlav
Svart trolldruva
Svavelriska
Tibast</t>
        </is>
      </c>
      <c r="S35">
        <f>HYPERLINK("https://klasma.github.io/Logging_2305/artfynd/A 49712-2024 artfynd.xlsx", "A 49712-2024")</f>
        <v/>
      </c>
      <c r="T35">
        <f>HYPERLINK("https://klasma.github.io/Logging_2305/kartor/A 49712-2024 karta.png", "A 49712-2024")</f>
        <v/>
      </c>
      <c r="U35">
        <f>HYPERLINK("https://klasma.github.io/Logging_2305/knärot/A 49712-2024 karta knärot.png", "A 49712-2024")</f>
        <v/>
      </c>
      <c r="V35">
        <f>HYPERLINK("https://klasma.github.io/Logging_2305/klagomål/A 49712-2024 FSC-klagomål.docx", "A 49712-2024")</f>
        <v/>
      </c>
      <c r="W35">
        <f>HYPERLINK("https://klasma.github.io/Logging_2305/klagomålsmail/A 49712-2024 FSC-klagomål mail.docx", "A 49712-2024")</f>
        <v/>
      </c>
      <c r="X35">
        <f>HYPERLINK("https://klasma.github.io/Logging_2305/tillsyn/A 49712-2024 tillsynsbegäran.docx", "A 49712-2024")</f>
        <v/>
      </c>
      <c r="Y35">
        <f>HYPERLINK("https://klasma.github.io/Logging_2305/tillsynsmail/A 49712-2024 tillsynsbegäran mail.docx", "A 49712-2024")</f>
        <v/>
      </c>
    </row>
    <row r="36" ht="15" customHeight="1">
      <c r="A36" t="inlineStr">
        <is>
          <t>A 67343-2021</t>
        </is>
      </c>
      <c r="B36" s="1" t="n">
        <v>44523</v>
      </c>
      <c r="C36" s="1" t="n">
        <v>46193</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46193</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34529-2025</t>
        </is>
      </c>
      <c r="B38" s="1" t="n">
        <v>45847</v>
      </c>
      <c r="C38" s="1" t="n">
        <v>46193</v>
      </c>
      <c r="D38" t="inlineStr">
        <is>
          <t>JÄMTLANDS LÄN</t>
        </is>
      </c>
      <c r="E38" t="inlineStr">
        <is>
          <t>BRÄCKE</t>
        </is>
      </c>
      <c r="F38" t="inlineStr">
        <is>
          <t>SCA</t>
        </is>
      </c>
      <c r="G38" t="n">
        <v>2.4</v>
      </c>
      <c r="H38" t="n">
        <v>1</v>
      </c>
      <c r="I38" t="n">
        <v>0</v>
      </c>
      <c r="J38" t="n">
        <v>6</v>
      </c>
      <c r="K38" t="n">
        <v>6</v>
      </c>
      <c r="L38" t="n">
        <v>0</v>
      </c>
      <c r="M38" t="n">
        <v>0</v>
      </c>
      <c r="N38" t="n">
        <v>0</v>
      </c>
      <c r="O38" t="n">
        <v>12</v>
      </c>
      <c r="P38" t="n">
        <v>6</v>
      </c>
      <c r="Q38" t="n">
        <v>12</v>
      </c>
      <c r="R38" s="2" t="inlineStr">
        <is>
          <t>Jättemusseron
Knärot
Lammticka
Skrovlig taggsvamp
Tallgråticka
Torrmusseron
Dropptaggsvamp
Orange taggsvamp
Svartvit taggsvamp
Tallfingersvamp
Tallriska
Talltaggsvamp</t>
        </is>
      </c>
      <c r="S38">
        <f>HYPERLINK("https://klasma.github.io/Logging_2305/artfynd/A 34529-2025 artfynd.xlsx", "A 34529-2025")</f>
        <v/>
      </c>
      <c r="T38">
        <f>HYPERLINK("https://klasma.github.io/Logging_2305/kartor/A 34529-2025 karta.png", "A 34529-2025")</f>
        <v/>
      </c>
      <c r="U38">
        <f>HYPERLINK("https://klasma.github.io/Logging_2305/knärot/A 34529-2025 karta knärot.png", "A 34529-2025")</f>
        <v/>
      </c>
      <c r="V38">
        <f>HYPERLINK("https://klasma.github.io/Logging_2305/klagomål/A 34529-2025 FSC-klagomål.docx", "A 34529-2025")</f>
        <v/>
      </c>
      <c r="W38">
        <f>HYPERLINK("https://klasma.github.io/Logging_2305/klagomålsmail/A 34529-2025 FSC-klagomål mail.docx", "A 34529-2025")</f>
        <v/>
      </c>
      <c r="X38">
        <f>HYPERLINK("https://klasma.github.io/Logging_2305/tillsyn/A 34529-2025 tillsynsbegäran.docx", "A 34529-2025")</f>
        <v/>
      </c>
      <c r="Y38">
        <f>HYPERLINK("https://klasma.github.io/Logging_2305/tillsynsmail/A 34529-2025 tillsynsbegäran mail.docx", "A 34529-2025")</f>
        <v/>
      </c>
    </row>
    <row r="39" ht="15" customHeight="1">
      <c r="A39" t="inlineStr">
        <is>
          <t>A 61433-2025</t>
        </is>
      </c>
      <c r="B39" s="1" t="n">
        <v>46001</v>
      </c>
      <c r="C39" s="1" t="n">
        <v>46193</v>
      </c>
      <c r="D39" t="inlineStr">
        <is>
          <t>JÄMTLANDS LÄN</t>
        </is>
      </c>
      <c r="E39" t="inlineStr">
        <is>
          <t>BRÄCKE</t>
        </is>
      </c>
      <c r="G39" t="n">
        <v>12.5</v>
      </c>
      <c r="H39" t="n">
        <v>5</v>
      </c>
      <c r="I39" t="n">
        <v>4</v>
      </c>
      <c r="J39" t="n">
        <v>3</v>
      </c>
      <c r="K39" t="n">
        <v>2</v>
      </c>
      <c r="L39" t="n">
        <v>0</v>
      </c>
      <c r="M39" t="n">
        <v>0</v>
      </c>
      <c r="N39" t="n">
        <v>0</v>
      </c>
      <c r="O39" t="n">
        <v>5</v>
      </c>
      <c r="P39" t="n">
        <v>2</v>
      </c>
      <c r="Q39" t="n">
        <v>12</v>
      </c>
      <c r="R39" s="2" t="inlineStr">
        <is>
          <t>Garnlav
Knärot
Doftskinn
Lunglav
Tretåig hackspett
Luddlav
Plattlummer
Stuplav
Ögonpyrola
Linnea
Spillkråka
Revlummer</t>
        </is>
      </c>
      <c r="S39">
        <f>HYPERLINK("https://klasma.github.io/Logging_2305/artfynd/A 61433-2025 artfynd.xlsx", "A 61433-2025")</f>
        <v/>
      </c>
      <c r="T39">
        <f>HYPERLINK("https://klasma.github.io/Logging_2305/kartor/A 61433-2025 karta.png", "A 61433-2025")</f>
        <v/>
      </c>
      <c r="U39">
        <f>HYPERLINK("https://klasma.github.io/Logging_2305/knärot/A 61433-2025 karta knärot.png", "A 61433-2025")</f>
        <v/>
      </c>
      <c r="V39">
        <f>HYPERLINK("https://klasma.github.io/Logging_2305/klagomål/A 61433-2025 FSC-klagomål.docx", "A 61433-2025")</f>
        <v/>
      </c>
      <c r="W39">
        <f>HYPERLINK("https://klasma.github.io/Logging_2305/klagomålsmail/A 61433-2025 FSC-klagomål mail.docx", "A 61433-2025")</f>
        <v/>
      </c>
      <c r="X39">
        <f>HYPERLINK("https://klasma.github.io/Logging_2305/tillsyn/A 61433-2025 tillsynsbegäran.docx", "A 61433-2025")</f>
        <v/>
      </c>
      <c r="Y39">
        <f>HYPERLINK("https://klasma.github.io/Logging_2305/tillsynsmail/A 61433-2025 tillsynsbegäran mail.docx", "A 61433-2025")</f>
        <v/>
      </c>
      <c r="Z39">
        <f>HYPERLINK("https://klasma.github.io/Logging_2305/fåglar/A 61433-2025 prioriterade fågelarter.docx", "A 61433-2025")</f>
        <v/>
      </c>
    </row>
    <row r="40" ht="15" customHeight="1">
      <c r="A40" t="inlineStr">
        <is>
          <t>A 51819-2023</t>
        </is>
      </c>
      <c r="B40" s="1" t="n">
        <v>45222</v>
      </c>
      <c r="C40" s="1" t="n">
        <v>46193</v>
      </c>
      <c r="D40" t="inlineStr">
        <is>
          <t>JÄMTLANDS LÄN</t>
        </is>
      </c>
      <c r="E40" t="inlineStr">
        <is>
          <t>BRÄCKE</t>
        </is>
      </c>
      <c r="F40" t="inlineStr">
        <is>
          <t>SCA</t>
        </is>
      </c>
      <c r="G40" t="n">
        <v>3.9</v>
      </c>
      <c r="H40" t="n">
        <v>0</v>
      </c>
      <c r="I40" t="n">
        <v>7</v>
      </c>
      <c r="J40" t="n">
        <v>3</v>
      </c>
      <c r="K40" t="n">
        <v>1</v>
      </c>
      <c r="L40" t="n">
        <v>0</v>
      </c>
      <c r="M40" t="n">
        <v>0</v>
      </c>
      <c r="N40" t="n">
        <v>0</v>
      </c>
      <c r="O40" t="n">
        <v>4</v>
      </c>
      <c r="P40" t="n">
        <v>1</v>
      </c>
      <c r="Q40" t="n">
        <v>11</v>
      </c>
      <c r="R40" s="2" t="inlineStr">
        <is>
          <t>Smalskaftslav
Lunglav
Skrovellav
Ullticka
Bårdlav
Granriska
Gytterlav
Korallblylav
Luddlav
Stuplav
Svavelriska</t>
        </is>
      </c>
      <c r="S40">
        <f>HYPERLINK("https://klasma.github.io/Logging_2305/artfynd/A 51819-2023 artfynd.xlsx", "A 51819-2023")</f>
        <v/>
      </c>
      <c r="T40">
        <f>HYPERLINK("https://klasma.github.io/Logging_2305/kartor/A 51819-2023 karta.png", "A 51819-2023")</f>
        <v/>
      </c>
      <c r="V40">
        <f>HYPERLINK("https://klasma.github.io/Logging_2305/klagomål/A 51819-2023 FSC-klagomål.docx", "A 51819-2023")</f>
        <v/>
      </c>
      <c r="W40">
        <f>HYPERLINK("https://klasma.github.io/Logging_2305/klagomålsmail/A 51819-2023 FSC-klagomål mail.docx", "A 51819-2023")</f>
        <v/>
      </c>
      <c r="X40">
        <f>HYPERLINK("https://klasma.github.io/Logging_2305/tillsyn/A 51819-2023 tillsynsbegäran.docx", "A 51819-2023")</f>
        <v/>
      </c>
      <c r="Y40">
        <f>HYPERLINK("https://klasma.github.io/Logging_2305/tillsynsmail/A 51819-2023 tillsynsbegäran mail.docx", "A 51819-2023")</f>
        <v/>
      </c>
    </row>
    <row r="41" ht="15" customHeight="1">
      <c r="A41" t="inlineStr">
        <is>
          <t>A 11982-2024</t>
        </is>
      </c>
      <c r="B41" s="1" t="n">
        <v>45376</v>
      </c>
      <c r="C41" s="1" t="n">
        <v>46193</v>
      </c>
      <c r="D41" t="inlineStr">
        <is>
          <t>JÄMTLANDS LÄN</t>
        </is>
      </c>
      <c r="E41" t="inlineStr">
        <is>
          <t>BRÄCKE</t>
        </is>
      </c>
      <c r="F41" t="inlineStr">
        <is>
          <t>SCA</t>
        </is>
      </c>
      <c r="G41" t="n">
        <v>2.6</v>
      </c>
      <c r="H41" t="n">
        <v>1</v>
      </c>
      <c r="I41" t="n">
        <v>4</v>
      </c>
      <c r="J41" t="n">
        <v>4</v>
      </c>
      <c r="K41" t="n">
        <v>2</v>
      </c>
      <c r="L41" t="n">
        <v>0</v>
      </c>
      <c r="M41" t="n">
        <v>0</v>
      </c>
      <c r="N41" t="n">
        <v>0</v>
      </c>
      <c r="O41" t="n">
        <v>6</v>
      </c>
      <c r="P41" t="n">
        <v>2</v>
      </c>
      <c r="Q41" t="n">
        <v>11</v>
      </c>
      <c r="R41" s="2" t="inlineStr">
        <is>
          <t>Garnlav
Gränsticka
Lunglav
Rynkskinn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26702-2026</t>
        </is>
      </c>
      <c r="B42" s="1" t="n">
        <v>46184</v>
      </c>
      <c r="C42" s="1" t="n">
        <v>46193</v>
      </c>
      <c r="D42" t="inlineStr">
        <is>
          <t>JÄMTLANDS LÄN</t>
        </is>
      </c>
      <c r="E42" t="inlineStr">
        <is>
          <t>BRÄCKE</t>
        </is>
      </c>
      <c r="F42" t="inlineStr">
        <is>
          <t>SCA</t>
        </is>
      </c>
      <c r="G42" t="n">
        <v>3.1</v>
      </c>
      <c r="H42" t="n">
        <v>1</v>
      </c>
      <c r="I42" t="n">
        <v>0</v>
      </c>
      <c r="J42" t="n">
        <v>9</v>
      </c>
      <c r="K42" t="n">
        <v>2</v>
      </c>
      <c r="L42" t="n">
        <v>0</v>
      </c>
      <c r="M42" t="n">
        <v>0</v>
      </c>
      <c r="N42" t="n">
        <v>0</v>
      </c>
      <c r="O42" t="n">
        <v>11</v>
      </c>
      <c r="P42" t="n">
        <v>2</v>
      </c>
      <c r="Q42" t="n">
        <v>11</v>
      </c>
      <c r="R42" s="2" t="inlineStr">
        <is>
          <t>Garnlav
Gräddporing
Blågrå svartspik
Dropptaggsvamp
Dvärgbägarlav
Kolflarnlav
Kortskaftad ärgspik
Mörk kolflarnlav
Varglav
Vedflamlav
Vedskivlav</t>
        </is>
      </c>
      <c r="S42">
        <f>HYPERLINK("https://klasma.github.io/Logging_2305/artfynd/A 26702-2026 artfynd.xlsx", "A 26702-2026")</f>
        <v/>
      </c>
      <c r="T42">
        <f>HYPERLINK("https://klasma.github.io/Logging_2305/kartor/A 26702-2026 karta.png", "A 26702-2026")</f>
        <v/>
      </c>
      <c r="V42">
        <f>HYPERLINK("https://klasma.github.io/Logging_2305/klagomål/A 26702-2026 FSC-klagomål.docx", "A 26702-2026")</f>
        <v/>
      </c>
      <c r="W42">
        <f>HYPERLINK("https://klasma.github.io/Logging_2305/klagomålsmail/A 26702-2026 FSC-klagomål mail.docx", "A 26702-2026")</f>
        <v/>
      </c>
      <c r="X42">
        <f>HYPERLINK("https://klasma.github.io/Logging_2305/tillsyn/A 26702-2026 tillsynsbegäran.docx", "A 26702-2026")</f>
        <v/>
      </c>
      <c r="Y42">
        <f>HYPERLINK("https://klasma.github.io/Logging_2305/tillsynsmail/A 26702-2026 tillsynsbegäran mail.docx", "A 26702-2026")</f>
        <v/>
      </c>
    </row>
    <row r="43" ht="15" customHeight="1">
      <c r="A43" t="inlineStr">
        <is>
          <t>A 23809-2026</t>
        </is>
      </c>
      <c r="B43" s="1" t="n">
        <v>46164</v>
      </c>
      <c r="C43" s="1" t="n">
        <v>46193</v>
      </c>
      <c r="D43" t="inlineStr">
        <is>
          <t>JÄMTLANDS LÄN</t>
        </is>
      </c>
      <c r="E43" t="inlineStr">
        <is>
          <t>BRÄCKE</t>
        </is>
      </c>
      <c r="G43" t="n">
        <v>1.4</v>
      </c>
      <c r="H43" t="n">
        <v>2</v>
      </c>
      <c r="I43" t="n">
        <v>1</v>
      </c>
      <c r="J43" t="n">
        <v>3</v>
      </c>
      <c r="K43" t="n">
        <v>0</v>
      </c>
      <c r="L43" t="n">
        <v>1</v>
      </c>
      <c r="M43" t="n">
        <v>0</v>
      </c>
      <c r="N43" t="n">
        <v>0</v>
      </c>
      <c r="O43" t="n">
        <v>4</v>
      </c>
      <c r="P43" t="n">
        <v>1</v>
      </c>
      <c r="Q43" t="n">
        <v>11</v>
      </c>
      <c r="R43" s="2" t="inlineStr">
        <is>
          <t>Trolldruvemätare
Björktrast
Rosenticka
Rynkskinn
Svart trolldruva
Blåsippa
Hultbräken
Kransmossa
Kärrviol
Nordisk stormhatt
Ormbär</t>
        </is>
      </c>
      <c r="S43">
        <f>HYPERLINK("https://klasma.github.io/Logging_2305/artfynd/A 23809-2026 artfynd.xlsx", "A 23809-2026")</f>
        <v/>
      </c>
      <c r="T43">
        <f>HYPERLINK("https://klasma.github.io/Logging_2305/kartor/A 23809-2026 karta.png", "A 23809-2026")</f>
        <v/>
      </c>
      <c r="V43">
        <f>HYPERLINK("https://klasma.github.io/Logging_2305/klagomål/A 23809-2026 FSC-klagomål.docx", "A 23809-2026")</f>
        <v/>
      </c>
      <c r="W43">
        <f>HYPERLINK("https://klasma.github.io/Logging_2305/klagomålsmail/A 23809-2026 FSC-klagomål mail.docx", "A 23809-2026")</f>
        <v/>
      </c>
      <c r="X43">
        <f>HYPERLINK("https://klasma.github.io/Logging_2305/tillsyn/A 23809-2026 tillsynsbegäran.docx", "A 23809-2026")</f>
        <v/>
      </c>
      <c r="Y43">
        <f>HYPERLINK("https://klasma.github.io/Logging_2305/tillsynsmail/A 23809-2026 tillsynsbegäran mail.docx", "A 23809-2026")</f>
        <v/>
      </c>
      <c r="Z43">
        <f>HYPERLINK("https://klasma.github.io/Logging_2305/fåglar/A 23809-2026 prioriterade fågelarter.docx", "A 23809-2026")</f>
        <v/>
      </c>
    </row>
    <row r="44" ht="15" customHeight="1">
      <c r="A44" t="inlineStr">
        <is>
          <t>A 60620-2025</t>
        </is>
      </c>
      <c r="B44" s="1" t="n">
        <v>45996</v>
      </c>
      <c r="C44" s="1" t="n">
        <v>46193</v>
      </c>
      <c r="D44" t="inlineStr">
        <is>
          <t>JÄMTLANDS LÄN</t>
        </is>
      </c>
      <c r="E44" t="inlineStr">
        <is>
          <t>BRÄCKE</t>
        </is>
      </c>
      <c r="F44" t="inlineStr">
        <is>
          <t>SCA</t>
        </is>
      </c>
      <c r="G44" t="n">
        <v>3.5</v>
      </c>
      <c r="H44" t="n">
        <v>3</v>
      </c>
      <c r="I44" t="n">
        <v>3</v>
      </c>
      <c r="J44" t="n">
        <v>6</v>
      </c>
      <c r="K44" t="n">
        <v>1</v>
      </c>
      <c r="L44" t="n">
        <v>0</v>
      </c>
      <c r="M44" t="n">
        <v>0</v>
      </c>
      <c r="N44" t="n">
        <v>0</v>
      </c>
      <c r="O44" t="n">
        <v>7</v>
      </c>
      <c r="P44" t="n">
        <v>1</v>
      </c>
      <c r="Q44" t="n">
        <v>11</v>
      </c>
      <c r="R44" s="2" t="inlineStr">
        <is>
          <t>Garnlav
Gammelgransskål
Lavskrika
Lunglav
Talltita
Vedtrappmossa
Vitgrynig nållav
Bårdlav
Luddlav
Stuplav
Revlummer</t>
        </is>
      </c>
      <c r="S44">
        <f>HYPERLINK("https://klasma.github.io/Logging_2305/artfynd/A 60620-2025 artfynd.xlsx", "A 60620-2025")</f>
        <v/>
      </c>
      <c r="T44">
        <f>HYPERLINK("https://klasma.github.io/Logging_2305/kartor/A 60620-2025 karta.png", "A 60620-2025")</f>
        <v/>
      </c>
      <c r="V44">
        <f>HYPERLINK("https://klasma.github.io/Logging_2305/klagomål/A 60620-2025 FSC-klagomål.docx", "A 60620-2025")</f>
        <v/>
      </c>
      <c r="W44">
        <f>HYPERLINK("https://klasma.github.io/Logging_2305/klagomålsmail/A 60620-2025 FSC-klagomål mail.docx", "A 60620-2025")</f>
        <v/>
      </c>
      <c r="X44">
        <f>HYPERLINK("https://klasma.github.io/Logging_2305/tillsyn/A 60620-2025 tillsynsbegäran.docx", "A 60620-2025")</f>
        <v/>
      </c>
      <c r="Y44">
        <f>HYPERLINK("https://klasma.github.io/Logging_2305/tillsynsmail/A 60620-2025 tillsynsbegäran mail.docx", "A 60620-2025")</f>
        <v/>
      </c>
      <c r="Z44">
        <f>HYPERLINK("https://klasma.github.io/Logging_2305/fåglar/A 60620-2025 prioriterade fågelarter.docx", "A 60620-2025")</f>
        <v/>
      </c>
    </row>
    <row r="45" ht="15" customHeight="1">
      <c r="A45" t="inlineStr">
        <is>
          <t>A 36371-2022</t>
        </is>
      </c>
      <c r="B45" s="1" t="n">
        <v>44803</v>
      </c>
      <c r="C45" s="1" t="n">
        <v>46193</v>
      </c>
      <c r="D45" t="inlineStr">
        <is>
          <t>JÄMTLANDS LÄN</t>
        </is>
      </c>
      <c r="E45" t="inlineStr">
        <is>
          <t>BRÄCKE</t>
        </is>
      </c>
      <c r="F45" t="inlineStr">
        <is>
          <t>SCA</t>
        </is>
      </c>
      <c r="G45" t="n">
        <v>33.6</v>
      </c>
      <c r="H45" t="n">
        <v>3</v>
      </c>
      <c r="I45" t="n">
        <v>2</v>
      </c>
      <c r="J45" t="n">
        <v>7</v>
      </c>
      <c r="K45" t="n">
        <v>2</v>
      </c>
      <c r="L45" t="n">
        <v>0</v>
      </c>
      <c r="M45" t="n">
        <v>0</v>
      </c>
      <c r="N45" t="n">
        <v>0</v>
      </c>
      <c r="O45" t="n">
        <v>9</v>
      </c>
      <c r="P45" t="n">
        <v>2</v>
      </c>
      <c r="Q45" t="n">
        <v>11</v>
      </c>
      <c r="R45" s="2" t="inlineStr">
        <is>
          <t>Borsttagging
Knärot
Kolflarnlav
Lunglav
Rosenticka
Rynkskinn
Talltita
Tretåig hackspett
Ullticka
Stor aspticka
Vedticka</t>
        </is>
      </c>
      <c r="S45">
        <f>HYPERLINK("https://klasma.github.io/Logging_2305/artfynd/A 36371-2022 artfynd.xlsx", "A 36371-2022")</f>
        <v/>
      </c>
      <c r="T45">
        <f>HYPERLINK("https://klasma.github.io/Logging_2305/kartor/A 36371-2022 karta.png", "A 36371-2022")</f>
        <v/>
      </c>
      <c r="U45">
        <f>HYPERLINK("https://klasma.github.io/Logging_2305/knärot/A 36371-2022 karta knärot.png", "A 36371-2022")</f>
        <v/>
      </c>
      <c r="V45">
        <f>HYPERLINK("https://klasma.github.io/Logging_2305/klagomål/A 36371-2022 FSC-klagomål.docx", "A 36371-2022")</f>
        <v/>
      </c>
      <c r="W45">
        <f>HYPERLINK("https://klasma.github.io/Logging_2305/klagomålsmail/A 36371-2022 FSC-klagomål mail.docx", "A 36371-2022")</f>
        <v/>
      </c>
      <c r="X45">
        <f>HYPERLINK("https://klasma.github.io/Logging_2305/tillsyn/A 36371-2022 tillsynsbegäran.docx", "A 36371-2022")</f>
        <v/>
      </c>
      <c r="Y45">
        <f>HYPERLINK("https://klasma.github.io/Logging_2305/tillsynsmail/A 36371-2022 tillsynsbegäran mail.docx", "A 36371-2022")</f>
        <v/>
      </c>
      <c r="Z45">
        <f>HYPERLINK("https://klasma.github.io/Logging_2305/fåglar/A 36371-2022 prioriterade fågelarter.docx", "A 36371-2022")</f>
        <v/>
      </c>
    </row>
    <row r="46" ht="15" customHeight="1">
      <c r="A46" t="inlineStr">
        <is>
          <t>A 11002-2022</t>
        </is>
      </c>
      <c r="B46" s="1" t="n">
        <v>44628</v>
      </c>
      <c r="C46" s="1" t="n">
        <v>46193</v>
      </c>
      <c r="D46" t="inlineStr">
        <is>
          <t>JÄMTLANDS LÄN</t>
        </is>
      </c>
      <c r="E46" t="inlineStr">
        <is>
          <t>BRÄCKE</t>
        </is>
      </c>
      <c r="G46" t="n">
        <v>8.5</v>
      </c>
      <c r="H46" t="n">
        <v>0</v>
      </c>
      <c r="I46" t="n">
        <v>5</v>
      </c>
      <c r="J46" t="n">
        <v>5</v>
      </c>
      <c r="K46" t="n">
        <v>1</v>
      </c>
      <c r="L46" t="n">
        <v>0</v>
      </c>
      <c r="M46" t="n">
        <v>0</v>
      </c>
      <c r="N46" t="n">
        <v>0</v>
      </c>
      <c r="O46" t="n">
        <v>6</v>
      </c>
      <c r="P46" t="n">
        <v>1</v>
      </c>
      <c r="Q46" t="n">
        <v>11</v>
      </c>
      <c r="R46" s="2" t="inlineStr">
        <is>
          <t>Gränsticka
Gullpudra
Lunglav
Rynkskinn
Ullticka
Vitgrynig nållav
Skogshakmossa
Strutbräken
Svavelriska
Tibast
Vedticka</t>
        </is>
      </c>
      <c r="S46">
        <f>HYPERLINK("https://klasma.github.io/Logging_2305/artfynd/A 11002-2022 artfynd.xlsx", "A 11002-2022")</f>
        <v/>
      </c>
      <c r="T46">
        <f>HYPERLINK("https://klasma.github.io/Logging_2305/kartor/A 11002-2022 karta.png", "A 11002-2022")</f>
        <v/>
      </c>
      <c r="V46">
        <f>HYPERLINK("https://klasma.github.io/Logging_2305/klagomål/A 11002-2022 FSC-klagomål.docx", "A 11002-2022")</f>
        <v/>
      </c>
      <c r="W46">
        <f>HYPERLINK("https://klasma.github.io/Logging_2305/klagomålsmail/A 11002-2022 FSC-klagomål mail.docx", "A 11002-2022")</f>
        <v/>
      </c>
      <c r="X46">
        <f>HYPERLINK("https://klasma.github.io/Logging_2305/tillsyn/A 11002-2022 tillsynsbegäran.docx", "A 11002-2022")</f>
        <v/>
      </c>
      <c r="Y46">
        <f>HYPERLINK("https://klasma.github.io/Logging_2305/tillsynsmail/A 11002-2022 tillsynsbegäran mail.docx", "A 11002-2022")</f>
        <v/>
      </c>
    </row>
    <row r="47" ht="15" customHeight="1">
      <c r="A47" t="inlineStr">
        <is>
          <t>A 61483-2024</t>
        </is>
      </c>
      <c r="B47" s="1" t="n">
        <v>45646</v>
      </c>
      <c r="C47" s="1" t="n">
        <v>46193</v>
      </c>
      <c r="D47" t="inlineStr">
        <is>
          <t>JÄMTLANDS LÄN</t>
        </is>
      </c>
      <c r="E47" t="inlineStr">
        <is>
          <t>BRÄCKE</t>
        </is>
      </c>
      <c r="F47" t="inlineStr">
        <is>
          <t>Övriga Aktiebolag</t>
        </is>
      </c>
      <c r="G47" t="n">
        <v>13.8</v>
      </c>
      <c r="H47" t="n">
        <v>4</v>
      </c>
      <c r="I47" t="n">
        <v>0</v>
      </c>
      <c r="J47" t="n">
        <v>8</v>
      </c>
      <c r="K47" t="n">
        <v>2</v>
      </c>
      <c r="L47" t="n">
        <v>0</v>
      </c>
      <c r="M47" t="n">
        <v>0</v>
      </c>
      <c r="N47" t="n">
        <v>0</v>
      </c>
      <c r="O47" t="n">
        <v>10</v>
      </c>
      <c r="P47" t="n">
        <v>2</v>
      </c>
      <c r="Q47" t="n">
        <v>11</v>
      </c>
      <c r="R47" s="2" t="inlineStr">
        <is>
          <t>Garnlav
Knärot
Gammelgransskål
Kolflarnlav
Lunglav
Skogshare
Talltita
Tretåig hackspett
Ullticka
Vitgrynig nållav
Spillkråka</t>
        </is>
      </c>
      <c r="S47">
        <f>HYPERLINK("https://klasma.github.io/Logging_2305/artfynd/A 61483-2024 artfynd.xlsx", "A 61483-2024")</f>
        <v/>
      </c>
      <c r="T47">
        <f>HYPERLINK("https://klasma.github.io/Logging_2305/kartor/A 61483-2024 karta.png", "A 61483-2024")</f>
        <v/>
      </c>
      <c r="U47">
        <f>HYPERLINK("https://klasma.github.io/Logging_2305/knärot/A 61483-2024 karta knärot.png", "A 61483-2024")</f>
        <v/>
      </c>
      <c r="V47">
        <f>HYPERLINK("https://klasma.github.io/Logging_2305/klagomål/A 61483-2024 FSC-klagomål.docx", "A 61483-2024")</f>
        <v/>
      </c>
      <c r="W47">
        <f>HYPERLINK("https://klasma.github.io/Logging_2305/klagomålsmail/A 61483-2024 FSC-klagomål mail.docx", "A 61483-2024")</f>
        <v/>
      </c>
      <c r="X47">
        <f>HYPERLINK("https://klasma.github.io/Logging_2305/tillsyn/A 61483-2024 tillsynsbegäran.docx", "A 61483-2024")</f>
        <v/>
      </c>
      <c r="Y47">
        <f>HYPERLINK("https://klasma.github.io/Logging_2305/tillsynsmail/A 61483-2024 tillsynsbegäran mail.docx", "A 61483-2024")</f>
        <v/>
      </c>
      <c r="Z47">
        <f>HYPERLINK("https://klasma.github.io/Logging_2305/fåglar/A 61483-2024 prioriterade fågelarter.docx", "A 61483-2024")</f>
        <v/>
      </c>
    </row>
    <row r="48" ht="15" customHeight="1">
      <c r="A48" t="inlineStr">
        <is>
          <t>A 7435-2022</t>
        </is>
      </c>
      <c r="B48" s="1" t="n">
        <v>44606</v>
      </c>
      <c r="C48" s="1" t="n">
        <v>46193</v>
      </c>
      <c r="D48" t="inlineStr">
        <is>
          <t>JÄMTLANDS LÄN</t>
        </is>
      </c>
      <c r="E48" t="inlineStr">
        <is>
          <t>BRÄCKE</t>
        </is>
      </c>
      <c r="G48" t="n">
        <v>14.7</v>
      </c>
      <c r="H48" t="n">
        <v>1</v>
      </c>
      <c r="I48" t="n">
        <v>4</v>
      </c>
      <c r="J48" t="n">
        <v>4</v>
      </c>
      <c r="K48" t="n">
        <v>2</v>
      </c>
      <c r="L48" t="n">
        <v>0</v>
      </c>
      <c r="M48" t="n">
        <v>0</v>
      </c>
      <c r="N48" t="n">
        <v>0</v>
      </c>
      <c r="O48" t="n">
        <v>6</v>
      </c>
      <c r="P48" t="n">
        <v>2</v>
      </c>
      <c r="Q48" t="n">
        <v>10</v>
      </c>
      <c r="R48" s="2" t="inlineStr">
        <is>
          <t>Garnlav
Knärot
Dropptaggsvamp
Lunglav
Skarp dropptaggsvamp
Skrovellav
Bårdlav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70806-2021</t>
        </is>
      </c>
      <c r="B49" s="1" t="n">
        <v>44537</v>
      </c>
      <c r="C49" s="1" t="n">
        <v>46193</v>
      </c>
      <c r="D49" t="inlineStr">
        <is>
          <t>JÄMTLANDS LÄN</t>
        </is>
      </c>
      <c r="E49" t="inlineStr">
        <is>
          <t>BRÄCKE</t>
        </is>
      </c>
      <c r="G49" t="n">
        <v>3.9</v>
      </c>
      <c r="H49" t="n">
        <v>2</v>
      </c>
      <c r="I49" t="n">
        <v>4</v>
      </c>
      <c r="J49" t="n">
        <v>4</v>
      </c>
      <c r="K49" t="n">
        <v>2</v>
      </c>
      <c r="L49" t="n">
        <v>0</v>
      </c>
      <c r="M49" t="n">
        <v>0</v>
      </c>
      <c r="N49" t="n">
        <v>0</v>
      </c>
      <c r="O49" t="n">
        <v>6</v>
      </c>
      <c r="P49" t="n">
        <v>2</v>
      </c>
      <c r="Q49" t="n">
        <v>10</v>
      </c>
      <c r="R49" s="2" t="inlineStr">
        <is>
          <t>Garnlav
Knärot
Lunglav
Tretåig hackspett
Ullticka
Vedskivlav
Dvärgtufs
Luddlav
Stor aspticka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v>
      </c>
      <c r="C50" s="1" t="n">
        <v>46193</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38525-2025</t>
        </is>
      </c>
      <c r="B51" s="1" t="n">
        <v>45884</v>
      </c>
      <c r="C51" s="1" t="n">
        <v>46193</v>
      </c>
      <c r="D51" t="inlineStr">
        <is>
          <t>JÄMTLANDS LÄN</t>
        </is>
      </c>
      <c r="E51" t="inlineStr">
        <is>
          <t>BRÄCKE</t>
        </is>
      </c>
      <c r="F51" t="inlineStr">
        <is>
          <t>SCA</t>
        </is>
      </c>
      <c r="G51" t="n">
        <v>3.9</v>
      </c>
      <c r="H51" t="n">
        <v>2</v>
      </c>
      <c r="I51" t="n">
        <v>3</v>
      </c>
      <c r="J51" t="n">
        <v>4</v>
      </c>
      <c r="K51" t="n">
        <v>3</v>
      </c>
      <c r="L51" t="n">
        <v>0</v>
      </c>
      <c r="M51" t="n">
        <v>0</v>
      </c>
      <c r="N51" t="n">
        <v>0</v>
      </c>
      <c r="O51" t="n">
        <v>7</v>
      </c>
      <c r="P51" t="n">
        <v>3</v>
      </c>
      <c r="Q51" t="n">
        <v>10</v>
      </c>
      <c r="R51" s="2" t="inlineStr">
        <is>
          <t>Garnlav
Knärot
Vitskaftad svartspik
Blanksvart spiklav
Lunglav
Tretåig hackspett
Vitgrynig nållav
Barkkornlav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40376-2024</t>
        </is>
      </c>
      <c r="B52" s="1" t="n">
        <v>45555</v>
      </c>
      <c r="C52" s="1" t="n">
        <v>46193</v>
      </c>
      <c r="D52" t="inlineStr">
        <is>
          <t>JÄMTLANDS LÄN</t>
        </is>
      </c>
      <c r="E52" t="inlineStr">
        <is>
          <t>BRÄCKE</t>
        </is>
      </c>
      <c r="F52" t="inlineStr">
        <is>
          <t>Naturvårdsverket</t>
        </is>
      </c>
      <c r="G52" t="n">
        <v>2.9</v>
      </c>
      <c r="H52" t="n">
        <v>1</v>
      </c>
      <c r="I52" t="n">
        <v>1</v>
      </c>
      <c r="J52" t="n">
        <v>8</v>
      </c>
      <c r="K52" t="n">
        <v>1</v>
      </c>
      <c r="L52" t="n">
        <v>0</v>
      </c>
      <c r="M52" t="n">
        <v>0</v>
      </c>
      <c r="N52" t="n">
        <v>0</v>
      </c>
      <c r="O52" t="n">
        <v>9</v>
      </c>
      <c r="P52" t="n">
        <v>1</v>
      </c>
      <c r="Q52" t="n">
        <v>10</v>
      </c>
      <c r="R52" s="2" t="inlineStr">
        <is>
          <t>Knärot
Dropptaggsvamp
Dvärgbägarlav
Gammelgransskål
Kolflarnlav
Lunglav
Mörk kolflarnlav
Vedflamlav
Vedskivlav
Bollvitmossa</t>
        </is>
      </c>
      <c r="S52">
        <f>HYPERLINK("https://klasma.github.io/Logging_2305/artfynd/A 40376-2024 artfynd.xlsx", "A 40376-2024")</f>
        <v/>
      </c>
      <c r="T52">
        <f>HYPERLINK("https://klasma.github.io/Logging_2305/kartor/A 40376-2024 karta.png", "A 40376-2024")</f>
        <v/>
      </c>
      <c r="U52">
        <f>HYPERLINK("https://klasma.github.io/Logging_2305/knärot/A 40376-2024 karta knärot.png", "A 40376-2024")</f>
        <v/>
      </c>
      <c r="V52">
        <f>HYPERLINK("https://klasma.github.io/Logging_2305/klagomål/A 40376-2024 FSC-klagomål.docx", "A 40376-2024")</f>
        <v/>
      </c>
      <c r="W52">
        <f>HYPERLINK("https://klasma.github.io/Logging_2305/klagomålsmail/A 40376-2024 FSC-klagomål mail.docx", "A 40376-2024")</f>
        <v/>
      </c>
      <c r="X52">
        <f>HYPERLINK("https://klasma.github.io/Logging_2305/tillsyn/A 40376-2024 tillsynsbegäran.docx", "A 40376-2024")</f>
        <v/>
      </c>
      <c r="Y52">
        <f>HYPERLINK("https://klasma.github.io/Logging_2305/tillsynsmail/A 40376-2024 tillsynsbegäran mail.docx", "A 40376-2024")</f>
        <v/>
      </c>
    </row>
    <row r="53" ht="15" customHeight="1">
      <c r="A53" t="inlineStr">
        <is>
          <t>A 31469-2024</t>
        </is>
      </c>
      <c r="B53" s="1" t="n">
        <v>45505</v>
      </c>
      <c r="C53" s="1" t="n">
        <v>46193</v>
      </c>
      <c r="D53" t="inlineStr">
        <is>
          <t>JÄMTLANDS LÄN</t>
        </is>
      </c>
      <c r="E53" t="inlineStr">
        <is>
          <t>BRÄCKE</t>
        </is>
      </c>
      <c r="F53" t="inlineStr">
        <is>
          <t>SCA</t>
        </is>
      </c>
      <c r="G53" t="n">
        <v>11.5</v>
      </c>
      <c r="H53" t="n">
        <v>3</v>
      </c>
      <c r="I53" t="n">
        <v>0</v>
      </c>
      <c r="J53" t="n">
        <v>8</v>
      </c>
      <c r="K53" t="n">
        <v>2</v>
      </c>
      <c r="L53" t="n">
        <v>0</v>
      </c>
      <c r="M53" t="n">
        <v>0</v>
      </c>
      <c r="N53" t="n">
        <v>0</v>
      </c>
      <c r="O53" t="n">
        <v>10</v>
      </c>
      <c r="P53" t="n">
        <v>2</v>
      </c>
      <c r="Q53" t="n">
        <v>10</v>
      </c>
      <c r="R53" s="2" t="inlineStr">
        <is>
          <t>Garnlav
Knärot
Gammelgransskål
Lunglav
Skrovellav
Talltita
Tretåig hackspett
Ullticka
Vitgrynig nållav
Äggvaxskivling</t>
        </is>
      </c>
      <c r="S53">
        <f>HYPERLINK("https://klasma.github.io/Logging_2305/artfynd/A 31469-2024 artfynd.xlsx", "A 31469-2024")</f>
        <v/>
      </c>
      <c r="T53">
        <f>HYPERLINK("https://klasma.github.io/Logging_2305/kartor/A 31469-2024 karta.png", "A 31469-2024")</f>
        <v/>
      </c>
      <c r="U53">
        <f>HYPERLINK("https://klasma.github.io/Logging_2305/knärot/A 31469-2024 karta knärot.png", "A 31469-2024")</f>
        <v/>
      </c>
      <c r="V53">
        <f>HYPERLINK("https://klasma.github.io/Logging_2305/klagomål/A 31469-2024 FSC-klagomål.docx", "A 31469-2024")</f>
        <v/>
      </c>
      <c r="W53">
        <f>HYPERLINK("https://klasma.github.io/Logging_2305/klagomålsmail/A 31469-2024 FSC-klagomål mail.docx", "A 31469-2024")</f>
        <v/>
      </c>
      <c r="X53">
        <f>HYPERLINK("https://klasma.github.io/Logging_2305/tillsyn/A 31469-2024 tillsynsbegäran.docx", "A 31469-2024")</f>
        <v/>
      </c>
      <c r="Y53">
        <f>HYPERLINK("https://klasma.github.io/Logging_2305/tillsynsmail/A 31469-2024 tillsynsbegäran mail.docx", "A 31469-2024")</f>
        <v/>
      </c>
      <c r="Z53">
        <f>HYPERLINK("https://klasma.github.io/Logging_2305/fåglar/A 31469-2024 prioriterade fågelarter.docx", "A 31469-2024")</f>
        <v/>
      </c>
    </row>
    <row r="54" ht="15" customHeight="1">
      <c r="A54" t="inlineStr">
        <is>
          <t>A 58903-2024</t>
        </is>
      </c>
      <c r="B54" s="1" t="n">
        <v>45636</v>
      </c>
      <c r="C54" s="1" t="n">
        <v>46193</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58080-2023</t>
        </is>
      </c>
      <c r="B55" s="1" t="n">
        <v>45247</v>
      </c>
      <c r="C55" s="1" t="n">
        <v>46193</v>
      </c>
      <c r="D55" t="inlineStr">
        <is>
          <t>JÄMTLANDS LÄN</t>
        </is>
      </c>
      <c r="E55" t="inlineStr">
        <is>
          <t>BRÄCKE</t>
        </is>
      </c>
      <c r="F55" t="inlineStr">
        <is>
          <t>SCA</t>
        </is>
      </c>
      <c r="G55" t="n">
        <v>19.5</v>
      </c>
      <c r="H55" t="n">
        <v>2</v>
      </c>
      <c r="I55" t="n">
        <v>4</v>
      </c>
      <c r="J55" t="n">
        <v>3</v>
      </c>
      <c r="K55" t="n">
        <v>3</v>
      </c>
      <c r="L55" t="n">
        <v>0</v>
      </c>
      <c r="M55" t="n">
        <v>0</v>
      </c>
      <c r="N55" t="n">
        <v>0</v>
      </c>
      <c r="O55" t="n">
        <v>6</v>
      </c>
      <c r="P55" t="n">
        <v>3</v>
      </c>
      <c r="Q55" t="n">
        <v>10</v>
      </c>
      <c r="R55" s="2" t="inlineStr">
        <is>
          <t>Blackticka
Doftticka
Knärot
Lunglav
Skrovellav
Vedtrappmossa
Bårdlav
Luddlav
Skinnlav
Stuplav</t>
        </is>
      </c>
      <c r="S55">
        <f>HYPERLINK("https://klasma.github.io/Logging_2305/artfynd/A 58080-2023 artfynd.xlsx", "A 58080-2023")</f>
        <v/>
      </c>
      <c r="T55">
        <f>HYPERLINK("https://klasma.github.io/Logging_2305/kartor/A 58080-2023 karta.png", "A 58080-2023")</f>
        <v/>
      </c>
      <c r="U55">
        <f>HYPERLINK("https://klasma.github.io/Logging_2305/knärot/A 58080-2023 karta knärot.png", "A 58080-2023")</f>
        <v/>
      </c>
      <c r="V55">
        <f>HYPERLINK("https://klasma.github.io/Logging_2305/klagomål/A 58080-2023 FSC-klagomål.docx", "A 58080-2023")</f>
        <v/>
      </c>
      <c r="W55">
        <f>HYPERLINK("https://klasma.github.io/Logging_2305/klagomålsmail/A 58080-2023 FSC-klagomål mail.docx", "A 58080-2023")</f>
        <v/>
      </c>
      <c r="X55">
        <f>HYPERLINK("https://klasma.github.io/Logging_2305/tillsyn/A 58080-2023 tillsynsbegäran.docx", "A 58080-2023")</f>
        <v/>
      </c>
      <c r="Y55">
        <f>HYPERLINK("https://klasma.github.io/Logging_2305/tillsynsmail/A 58080-2023 tillsynsbegäran mail.docx", "A 58080-2023")</f>
        <v/>
      </c>
    </row>
    <row r="56" ht="15" customHeight="1">
      <c r="A56" t="inlineStr">
        <is>
          <t>A 26956-2024</t>
        </is>
      </c>
      <c r="B56" s="1" t="n">
        <v>45470</v>
      </c>
      <c r="C56" s="1" t="n">
        <v>46193</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51037-2023</t>
        </is>
      </c>
      <c r="B57" s="1" t="n">
        <v>45218</v>
      </c>
      <c r="C57" s="1" t="n">
        <v>46193</v>
      </c>
      <c r="D57" t="inlineStr">
        <is>
          <t>JÄMTLANDS LÄN</t>
        </is>
      </c>
      <c r="E57" t="inlineStr">
        <is>
          <t>BRÄCKE</t>
        </is>
      </c>
      <c r="G57" t="n">
        <v>6.8</v>
      </c>
      <c r="H57" t="n">
        <v>1</v>
      </c>
      <c r="I57" t="n">
        <v>5</v>
      </c>
      <c r="J57" t="n">
        <v>3</v>
      </c>
      <c r="K57" t="n">
        <v>1</v>
      </c>
      <c r="L57" t="n">
        <v>0</v>
      </c>
      <c r="M57" t="n">
        <v>0</v>
      </c>
      <c r="N57" t="n">
        <v>0</v>
      </c>
      <c r="O57" t="n">
        <v>4</v>
      </c>
      <c r="P57" t="n">
        <v>1</v>
      </c>
      <c r="Q57" t="n">
        <v>9</v>
      </c>
      <c r="R57" s="2" t="inlineStr">
        <is>
          <t>Doftticka
Kolflarnlav
Lunglav
Skrovellav
Bårdlav
Gytterlav
Luddlav
Rödgul trumpetsvamp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8707-2025</t>
        </is>
      </c>
      <c r="B58" s="1" t="n">
        <v>45712</v>
      </c>
      <c r="C58" s="1" t="n">
        <v>46193</v>
      </c>
      <c r="D58" t="inlineStr">
        <is>
          <t>JÄMTLANDS LÄN</t>
        </is>
      </c>
      <c r="E58" t="inlineStr">
        <is>
          <t>BRÄCKE</t>
        </is>
      </c>
      <c r="F58" t="inlineStr">
        <is>
          <t>SCA</t>
        </is>
      </c>
      <c r="G58" t="n">
        <v>1.7</v>
      </c>
      <c r="H58" t="n">
        <v>2</v>
      </c>
      <c r="I58" t="n">
        <v>1</v>
      </c>
      <c r="J58" t="n">
        <v>5</v>
      </c>
      <c r="K58" t="n">
        <v>3</v>
      </c>
      <c r="L58" t="n">
        <v>0</v>
      </c>
      <c r="M58" t="n">
        <v>0</v>
      </c>
      <c r="N58" t="n">
        <v>0</v>
      </c>
      <c r="O58" t="n">
        <v>8</v>
      </c>
      <c r="P58" t="n">
        <v>3</v>
      </c>
      <c r="Q58" t="n">
        <v>9</v>
      </c>
      <c r="R58" s="2" t="inlineStr">
        <is>
          <t>Garnlav
Knärot
Laxgröppa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v>
      </c>
      <c r="C59" s="1" t="n">
        <v>46193</v>
      </c>
      <c r="D59" t="inlineStr">
        <is>
          <t>JÄMTLANDS LÄN</t>
        </is>
      </c>
      <c r="E59" t="inlineStr">
        <is>
          <t>BRÄCKE</t>
        </is>
      </c>
      <c r="G59" t="n">
        <v>7.5</v>
      </c>
      <c r="H59" t="n">
        <v>1</v>
      </c>
      <c r="I59" t="n">
        <v>2</v>
      </c>
      <c r="J59" t="n">
        <v>6</v>
      </c>
      <c r="K59" t="n">
        <v>0</v>
      </c>
      <c r="L59" t="n">
        <v>0</v>
      </c>
      <c r="M59" t="n">
        <v>0</v>
      </c>
      <c r="N59" t="n">
        <v>0</v>
      </c>
      <c r="O59" t="n">
        <v>6</v>
      </c>
      <c r="P59" t="n">
        <v>0</v>
      </c>
      <c r="Q59" t="n">
        <v>9</v>
      </c>
      <c r="R59" s="2" t="inlineStr">
        <is>
          <t>Harticka
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28289-2025</t>
        </is>
      </c>
      <c r="B60" s="1" t="n">
        <v>45818</v>
      </c>
      <c r="C60" s="1" t="n">
        <v>46193</v>
      </c>
      <c r="D60" t="inlineStr">
        <is>
          <t>JÄMTLANDS LÄN</t>
        </is>
      </c>
      <c r="E60" t="inlineStr">
        <is>
          <t>BRÄCKE</t>
        </is>
      </c>
      <c r="F60" t="inlineStr">
        <is>
          <t>Övriga Aktiebolag</t>
        </is>
      </c>
      <c r="G60" t="n">
        <v>12.8</v>
      </c>
      <c r="H60" t="n">
        <v>2</v>
      </c>
      <c r="I60" t="n">
        <v>0</v>
      </c>
      <c r="J60" t="n">
        <v>6</v>
      </c>
      <c r="K60" t="n">
        <v>2</v>
      </c>
      <c r="L60" t="n">
        <v>0</v>
      </c>
      <c r="M60" t="n">
        <v>0</v>
      </c>
      <c r="N60" t="n">
        <v>0</v>
      </c>
      <c r="O60" t="n">
        <v>8</v>
      </c>
      <c r="P60" t="n">
        <v>2</v>
      </c>
      <c r="Q60" t="n">
        <v>9</v>
      </c>
      <c r="R60" s="2" t="inlineStr">
        <is>
          <t>Blackticka
Garnlav
Doftskinn
Lunglav
Rosenticka
Skuggblåslav
Tretåig hackspett
Ullticka
Järpe</t>
        </is>
      </c>
      <c r="S60">
        <f>HYPERLINK("https://klasma.github.io/Logging_2305/artfynd/A 28289-2025 artfynd.xlsx", "A 28289-2025")</f>
        <v/>
      </c>
      <c r="T60">
        <f>HYPERLINK("https://klasma.github.io/Logging_2305/kartor/A 28289-2025 karta.png", "A 28289-2025")</f>
        <v/>
      </c>
      <c r="V60">
        <f>HYPERLINK("https://klasma.github.io/Logging_2305/klagomål/A 28289-2025 FSC-klagomål.docx", "A 28289-2025")</f>
        <v/>
      </c>
      <c r="W60">
        <f>HYPERLINK("https://klasma.github.io/Logging_2305/klagomålsmail/A 28289-2025 FSC-klagomål mail.docx", "A 28289-2025")</f>
        <v/>
      </c>
      <c r="X60">
        <f>HYPERLINK("https://klasma.github.io/Logging_2305/tillsyn/A 28289-2025 tillsynsbegäran.docx", "A 28289-2025")</f>
        <v/>
      </c>
      <c r="Y60">
        <f>HYPERLINK("https://klasma.github.io/Logging_2305/tillsynsmail/A 28289-2025 tillsynsbegäran mail.docx", "A 28289-2025")</f>
        <v/>
      </c>
      <c r="Z60">
        <f>HYPERLINK("https://klasma.github.io/Logging_2305/fåglar/A 28289-2025 prioriterade fågelarter.docx", "A 28289-2025")</f>
        <v/>
      </c>
    </row>
    <row r="61" ht="15" customHeight="1">
      <c r="A61" t="inlineStr">
        <is>
          <t>A 30112-2025</t>
        </is>
      </c>
      <c r="B61" s="1" t="n">
        <v>45826</v>
      </c>
      <c r="C61" s="1" t="n">
        <v>46193</v>
      </c>
      <c r="D61" t="inlineStr">
        <is>
          <t>JÄMTLANDS LÄN</t>
        </is>
      </c>
      <c r="E61" t="inlineStr">
        <is>
          <t>BRÄCKE</t>
        </is>
      </c>
      <c r="F61" t="inlineStr">
        <is>
          <t>SCA</t>
        </is>
      </c>
      <c r="G61" t="n">
        <v>8.9</v>
      </c>
      <c r="H61" t="n">
        <v>4</v>
      </c>
      <c r="I61" t="n">
        <v>1</v>
      </c>
      <c r="J61" t="n">
        <v>4</v>
      </c>
      <c r="K61" t="n">
        <v>1</v>
      </c>
      <c r="L61" t="n">
        <v>0</v>
      </c>
      <c r="M61" t="n">
        <v>0</v>
      </c>
      <c r="N61" t="n">
        <v>0</v>
      </c>
      <c r="O61" t="n">
        <v>5</v>
      </c>
      <c r="P61" t="n">
        <v>1</v>
      </c>
      <c r="Q61" t="n">
        <v>9</v>
      </c>
      <c r="R61" s="2" t="inlineStr">
        <is>
          <t>Knärot
Rosenticka
Skuggblåslav
Ullticka
Vitgrynig nållav
Kransrams
Spillkråka
Tjäder
Revlummer</t>
        </is>
      </c>
      <c r="S61">
        <f>HYPERLINK("https://klasma.github.io/Logging_2305/artfynd/A 30112-2025 artfynd.xlsx", "A 30112-2025")</f>
        <v/>
      </c>
      <c r="T61">
        <f>HYPERLINK("https://klasma.github.io/Logging_2305/kartor/A 30112-2025 karta.png", "A 30112-2025")</f>
        <v/>
      </c>
      <c r="U61">
        <f>HYPERLINK("https://klasma.github.io/Logging_2305/knärot/A 30112-2025 karta knärot.png", "A 30112-2025")</f>
        <v/>
      </c>
      <c r="V61">
        <f>HYPERLINK("https://klasma.github.io/Logging_2305/klagomål/A 30112-2025 FSC-klagomål.docx", "A 30112-2025")</f>
        <v/>
      </c>
      <c r="W61">
        <f>HYPERLINK("https://klasma.github.io/Logging_2305/klagomålsmail/A 30112-2025 FSC-klagomål mail.docx", "A 30112-2025")</f>
        <v/>
      </c>
      <c r="X61">
        <f>HYPERLINK("https://klasma.github.io/Logging_2305/tillsyn/A 30112-2025 tillsynsbegäran.docx", "A 30112-2025")</f>
        <v/>
      </c>
      <c r="Y61">
        <f>HYPERLINK("https://klasma.github.io/Logging_2305/tillsynsmail/A 30112-2025 tillsynsbegäran mail.docx", "A 30112-2025")</f>
        <v/>
      </c>
      <c r="Z61">
        <f>HYPERLINK("https://klasma.github.io/Logging_2305/fåglar/A 30112-2025 prioriterade fågelarter.docx", "A 30112-2025")</f>
        <v/>
      </c>
    </row>
    <row r="62" ht="15" customHeight="1">
      <c r="A62" t="inlineStr">
        <is>
          <t>A 33678-2025</t>
        </is>
      </c>
      <c r="B62" s="1" t="n">
        <v>45841</v>
      </c>
      <c r="C62" s="1" t="n">
        <v>46193</v>
      </c>
      <c r="D62" t="inlineStr">
        <is>
          <t>JÄMTLANDS LÄN</t>
        </is>
      </c>
      <c r="E62" t="inlineStr">
        <is>
          <t>BRÄCKE</t>
        </is>
      </c>
      <c r="F62" t="inlineStr">
        <is>
          <t>SCA</t>
        </is>
      </c>
      <c r="G62" t="n">
        <v>6.1</v>
      </c>
      <c r="H62" t="n">
        <v>1</v>
      </c>
      <c r="I62" t="n">
        <v>2</v>
      </c>
      <c r="J62" t="n">
        <v>7</v>
      </c>
      <c r="K62" t="n">
        <v>0</v>
      </c>
      <c r="L62" t="n">
        <v>0</v>
      </c>
      <c r="M62" t="n">
        <v>0</v>
      </c>
      <c r="N62" t="n">
        <v>0</v>
      </c>
      <c r="O62" t="n">
        <v>7</v>
      </c>
      <c r="P62" t="n">
        <v>0</v>
      </c>
      <c r="Q62" t="n">
        <v>9</v>
      </c>
      <c r="R62" s="2" t="inlineStr">
        <is>
          <t>Dropptaggsvamp
Kolflarnlav
Lunglav
Skarp dropptaggsvamp
Svartvit taggsvamp
Tretåig hackspett
Ullticka
Trådticka
Vedticka</t>
        </is>
      </c>
      <c r="S62">
        <f>HYPERLINK("https://klasma.github.io/Logging_2305/artfynd/A 33678-2025 artfynd.xlsx", "A 33678-2025")</f>
        <v/>
      </c>
      <c r="T62">
        <f>HYPERLINK("https://klasma.github.io/Logging_2305/kartor/A 33678-2025 karta.png", "A 33678-2025")</f>
        <v/>
      </c>
      <c r="V62">
        <f>HYPERLINK("https://klasma.github.io/Logging_2305/klagomål/A 33678-2025 FSC-klagomål.docx", "A 33678-2025")</f>
        <v/>
      </c>
      <c r="W62">
        <f>HYPERLINK("https://klasma.github.io/Logging_2305/klagomålsmail/A 33678-2025 FSC-klagomål mail.docx", "A 33678-2025")</f>
        <v/>
      </c>
      <c r="X62">
        <f>HYPERLINK("https://klasma.github.io/Logging_2305/tillsyn/A 33678-2025 tillsynsbegäran.docx", "A 33678-2025")</f>
        <v/>
      </c>
      <c r="Y62">
        <f>HYPERLINK("https://klasma.github.io/Logging_2305/tillsynsmail/A 33678-2025 tillsynsbegäran mail.docx", "A 33678-2025")</f>
        <v/>
      </c>
      <c r="Z62">
        <f>HYPERLINK("https://klasma.github.io/Logging_2305/fåglar/A 33678-2025 prioriterade fågelarter.docx", "A 33678-2025")</f>
        <v/>
      </c>
    </row>
    <row r="63" ht="15" customHeight="1">
      <c r="A63" t="inlineStr">
        <is>
          <t>A 33388-2025</t>
        </is>
      </c>
      <c r="B63" s="1" t="n">
        <v>45841</v>
      </c>
      <c r="C63" s="1" t="n">
        <v>46193</v>
      </c>
      <c r="D63" t="inlineStr">
        <is>
          <t>JÄMTLANDS LÄN</t>
        </is>
      </c>
      <c r="E63" t="inlineStr">
        <is>
          <t>BRÄCKE</t>
        </is>
      </c>
      <c r="F63" t="inlineStr">
        <is>
          <t>SCA</t>
        </is>
      </c>
      <c r="G63" t="n">
        <v>10.7</v>
      </c>
      <c r="H63" t="n">
        <v>3</v>
      </c>
      <c r="I63" t="n">
        <v>2</v>
      </c>
      <c r="J63" t="n">
        <v>4</v>
      </c>
      <c r="K63" t="n">
        <v>2</v>
      </c>
      <c r="L63" t="n">
        <v>0</v>
      </c>
      <c r="M63" t="n">
        <v>0</v>
      </c>
      <c r="N63" t="n">
        <v>0</v>
      </c>
      <c r="O63" t="n">
        <v>6</v>
      </c>
      <c r="P63" t="n">
        <v>2</v>
      </c>
      <c r="Q63" t="n">
        <v>9</v>
      </c>
      <c r="R63" s="2" t="inlineStr">
        <is>
          <t>Garnlav
Knärot
Lunglav
Rosenticka
Ullticka
Vedtrappmossa
Skinnlav
Spindelblomster
Nattviol</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57458-2025</t>
        </is>
      </c>
      <c r="B64" s="1" t="n">
        <v>45980</v>
      </c>
      <c r="C64" s="1" t="n">
        <v>46193</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62925-2025</t>
        </is>
      </c>
      <c r="B65" s="1" t="n">
        <v>46009</v>
      </c>
      <c r="C65" s="1" t="n">
        <v>46193</v>
      </c>
      <c r="D65" t="inlineStr">
        <is>
          <t>JÄMTLANDS LÄN</t>
        </is>
      </c>
      <c r="E65" t="inlineStr">
        <is>
          <t>BRÄCKE</t>
        </is>
      </c>
      <c r="F65" t="inlineStr">
        <is>
          <t>SCA</t>
        </is>
      </c>
      <c r="G65" t="n">
        <v>3.8</v>
      </c>
      <c r="H65" t="n">
        <v>1</v>
      </c>
      <c r="I65" t="n">
        <v>0</v>
      </c>
      <c r="J65" t="n">
        <v>8</v>
      </c>
      <c r="K65" t="n">
        <v>1</v>
      </c>
      <c r="L65" t="n">
        <v>0</v>
      </c>
      <c r="M65" t="n">
        <v>0</v>
      </c>
      <c r="N65" t="n">
        <v>0</v>
      </c>
      <c r="O65" t="n">
        <v>9</v>
      </c>
      <c r="P65" t="n">
        <v>1</v>
      </c>
      <c r="Q65" t="n">
        <v>9</v>
      </c>
      <c r="R65" s="2" t="inlineStr">
        <is>
          <t>Garnlav
Blanksvart spiklav
Dropptaggsvamp
Harticka
Kolflarnlav
Talltagel
Talltita
Vedflamlav
Vitgrynig nållav</t>
        </is>
      </c>
      <c r="S65">
        <f>HYPERLINK("https://klasma.github.io/Logging_2305/artfynd/A 62925-2025 artfynd.xlsx", "A 62925-2025")</f>
        <v/>
      </c>
      <c r="T65">
        <f>HYPERLINK("https://klasma.github.io/Logging_2305/kartor/A 62925-2025 karta.png", "A 62925-2025")</f>
        <v/>
      </c>
      <c r="V65">
        <f>HYPERLINK("https://klasma.github.io/Logging_2305/klagomål/A 62925-2025 FSC-klagomål.docx", "A 62925-2025")</f>
        <v/>
      </c>
      <c r="W65">
        <f>HYPERLINK("https://klasma.github.io/Logging_2305/klagomålsmail/A 62925-2025 FSC-klagomål mail.docx", "A 62925-2025")</f>
        <v/>
      </c>
      <c r="X65">
        <f>HYPERLINK("https://klasma.github.io/Logging_2305/tillsyn/A 62925-2025 tillsynsbegäran.docx", "A 62925-2025")</f>
        <v/>
      </c>
      <c r="Y65">
        <f>HYPERLINK("https://klasma.github.io/Logging_2305/tillsynsmail/A 62925-2025 tillsynsbegäran mail.docx", "A 62925-2025")</f>
        <v/>
      </c>
      <c r="Z65">
        <f>HYPERLINK("https://klasma.github.io/Logging_2305/fåglar/A 62925-2025 prioriterade fågelarter.docx", "A 62925-2025")</f>
        <v/>
      </c>
    </row>
    <row r="66" ht="15" customHeight="1">
      <c r="A66" t="inlineStr">
        <is>
          <t>A 49540-2022</t>
        </is>
      </c>
      <c r="B66" s="1" t="n">
        <v>44861</v>
      </c>
      <c r="C66" s="1" t="n">
        <v>46193</v>
      </c>
      <c r="D66" t="inlineStr">
        <is>
          <t>JÄMTLANDS LÄN</t>
        </is>
      </c>
      <c r="E66" t="inlineStr">
        <is>
          <t>BRÄCKE</t>
        </is>
      </c>
      <c r="F66" t="inlineStr">
        <is>
          <t>SCA</t>
        </is>
      </c>
      <c r="G66" t="n">
        <v>10.5</v>
      </c>
      <c r="H66" t="n">
        <v>3</v>
      </c>
      <c r="I66" t="n">
        <v>0</v>
      </c>
      <c r="J66" t="n">
        <v>7</v>
      </c>
      <c r="K66" t="n">
        <v>2</v>
      </c>
      <c r="L66" t="n">
        <v>0</v>
      </c>
      <c r="M66" t="n">
        <v>0</v>
      </c>
      <c r="N66" t="n">
        <v>0</v>
      </c>
      <c r="O66" t="n">
        <v>9</v>
      </c>
      <c r="P66" t="n">
        <v>2</v>
      </c>
      <c r="Q66" t="n">
        <v>9</v>
      </c>
      <c r="R66" s="2" t="inlineStr">
        <is>
          <t>Garnlav
Knärot
Lunglav
Rosenticka
Rynkskinn
Talltita
Tretåig hackspett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49336-2023</t>
        </is>
      </c>
      <c r="B67" s="1" t="n">
        <v>45210</v>
      </c>
      <c r="C67" s="1" t="n">
        <v>46193</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20496-2025</t>
        </is>
      </c>
      <c r="B68" s="1" t="n">
        <v>45775</v>
      </c>
      <c r="C68" s="1" t="n">
        <v>46193</v>
      </c>
      <c r="D68" t="inlineStr">
        <is>
          <t>JÄMTLANDS LÄN</t>
        </is>
      </c>
      <c r="E68" t="inlineStr">
        <is>
          <t>BRÄCKE</t>
        </is>
      </c>
      <c r="F68" t="inlineStr">
        <is>
          <t>SCA</t>
        </is>
      </c>
      <c r="G68" t="n">
        <v>2.2</v>
      </c>
      <c r="H68" t="n">
        <v>3</v>
      </c>
      <c r="I68" t="n">
        <v>1</v>
      </c>
      <c r="J68" t="n">
        <v>6</v>
      </c>
      <c r="K68" t="n">
        <v>1</v>
      </c>
      <c r="L68" t="n">
        <v>0</v>
      </c>
      <c r="M68" t="n">
        <v>0</v>
      </c>
      <c r="N68" t="n">
        <v>0</v>
      </c>
      <c r="O68" t="n">
        <v>7</v>
      </c>
      <c r="P68" t="n">
        <v>1</v>
      </c>
      <c r="Q68" t="n">
        <v>8</v>
      </c>
      <c r="R68" s="2" t="inlineStr">
        <is>
          <t>Gräddporing
Dvärgbägarlav
Kolflarnlav
Lavskrika
Lunglav
Talltita
Tretåig hackspett
Korallblylav</t>
        </is>
      </c>
      <c r="S68">
        <f>HYPERLINK("https://klasma.github.io/Logging_2305/artfynd/A 20496-2025 artfynd.xlsx", "A 20496-2025")</f>
        <v/>
      </c>
      <c r="T68">
        <f>HYPERLINK("https://klasma.github.io/Logging_2305/kartor/A 20496-2025 karta.png", "A 20496-2025")</f>
        <v/>
      </c>
      <c r="V68">
        <f>HYPERLINK("https://klasma.github.io/Logging_2305/klagomål/A 20496-2025 FSC-klagomål.docx", "A 20496-2025")</f>
        <v/>
      </c>
      <c r="W68">
        <f>HYPERLINK("https://klasma.github.io/Logging_2305/klagomålsmail/A 20496-2025 FSC-klagomål mail.docx", "A 20496-2025")</f>
        <v/>
      </c>
      <c r="X68">
        <f>HYPERLINK("https://klasma.github.io/Logging_2305/tillsyn/A 20496-2025 tillsynsbegäran.docx", "A 20496-2025")</f>
        <v/>
      </c>
      <c r="Y68">
        <f>HYPERLINK("https://klasma.github.io/Logging_2305/tillsynsmail/A 20496-2025 tillsynsbegäran mail.docx", "A 20496-2025")</f>
        <v/>
      </c>
      <c r="Z68">
        <f>HYPERLINK("https://klasma.github.io/Logging_2305/fåglar/A 20496-2025 prioriterade fågelarter.docx", "A 20496-2025")</f>
        <v/>
      </c>
    </row>
    <row r="69" ht="15" customHeight="1">
      <c r="A69" t="inlineStr">
        <is>
          <t>A 24635-2025</t>
        </is>
      </c>
      <c r="B69" s="1" t="n">
        <v>45798</v>
      </c>
      <c r="C69" s="1" t="n">
        <v>46193</v>
      </c>
      <c r="D69" t="inlineStr">
        <is>
          <t>JÄMTLANDS LÄN</t>
        </is>
      </c>
      <c r="E69" t="inlineStr">
        <is>
          <t>BRÄCKE</t>
        </is>
      </c>
      <c r="G69" t="n">
        <v>3.2</v>
      </c>
      <c r="H69" t="n">
        <v>3</v>
      </c>
      <c r="I69" t="n">
        <v>2</v>
      </c>
      <c r="J69" t="n">
        <v>5</v>
      </c>
      <c r="K69" t="n">
        <v>0</v>
      </c>
      <c r="L69" t="n">
        <v>0</v>
      </c>
      <c r="M69" t="n">
        <v>0</v>
      </c>
      <c r="N69" t="n">
        <v>0</v>
      </c>
      <c r="O69" t="n">
        <v>5</v>
      </c>
      <c r="P69" t="n">
        <v>0</v>
      </c>
      <c r="Q69" t="n">
        <v>8</v>
      </c>
      <c r="R69" s="2" t="inlineStr">
        <is>
          <t>Lavskrika
Lunglav
Tretåig hackspett
Ullticka
Vårärt
Svart trolldruva
Underviol
Blåsippa</t>
        </is>
      </c>
      <c r="S69">
        <f>HYPERLINK("https://klasma.github.io/Logging_2305/artfynd/A 24635-2025 artfynd.xlsx", "A 24635-2025")</f>
        <v/>
      </c>
      <c r="T69">
        <f>HYPERLINK("https://klasma.github.io/Logging_2305/kartor/A 24635-2025 karta.png", "A 24635-2025")</f>
        <v/>
      </c>
      <c r="V69">
        <f>HYPERLINK("https://klasma.github.io/Logging_2305/klagomål/A 24635-2025 FSC-klagomål.docx", "A 24635-2025")</f>
        <v/>
      </c>
      <c r="W69">
        <f>HYPERLINK("https://klasma.github.io/Logging_2305/klagomålsmail/A 24635-2025 FSC-klagomål mail.docx", "A 24635-2025")</f>
        <v/>
      </c>
      <c r="X69">
        <f>HYPERLINK("https://klasma.github.io/Logging_2305/tillsyn/A 24635-2025 tillsynsbegäran.docx", "A 24635-2025")</f>
        <v/>
      </c>
      <c r="Y69">
        <f>HYPERLINK("https://klasma.github.io/Logging_2305/tillsynsmail/A 24635-2025 tillsynsbegäran mail.docx", "A 24635-2025")</f>
        <v/>
      </c>
      <c r="Z69">
        <f>HYPERLINK("https://klasma.github.io/Logging_2305/fåglar/A 24635-2025 prioriterade fågelarter.docx", "A 24635-2025")</f>
        <v/>
      </c>
    </row>
    <row r="70" ht="15" customHeight="1">
      <c r="A70" t="inlineStr">
        <is>
          <t>A 29141-2025</t>
        </is>
      </c>
      <c r="B70" s="1" t="n">
        <v>45821</v>
      </c>
      <c r="C70" s="1" t="n">
        <v>46193</v>
      </c>
      <c r="D70" t="inlineStr">
        <is>
          <t>JÄMTLANDS LÄN</t>
        </is>
      </c>
      <c r="E70" t="inlineStr">
        <is>
          <t>BRÄCKE</t>
        </is>
      </c>
      <c r="G70" t="n">
        <v>6.1</v>
      </c>
      <c r="H70" t="n">
        <v>0</v>
      </c>
      <c r="I70" t="n">
        <v>0</v>
      </c>
      <c r="J70" t="n">
        <v>7</v>
      </c>
      <c r="K70" t="n">
        <v>1</v>
      </c>
      <c r="L70" t="n">
        <v>0</v>
      </c>
      <c r="M70" t="n">
        <v>0</v>
      </c>
      <c r="N70" t="n">
        <v>0</v>
      </c>
      <c r="O70" t="n">
        <v>8</v>
      </c>
      <c r="P70" t="n">
        <v>1</v>
      </c>
      <c r="Q70" t="n">
        <v>8</v>
      </c>
      <c r="R70" s="2" t="inlineStr">
        <is>
          <t>Tajgataggsvamp
Blå taggsvamp
Dvärgbägarlav
Mörk kolflarnlav
Nordtagging
Vaddporing
Vedflamlav
Vedskivlav</t>
        </is>
      </c>
      <c r="S70">
        <f>HYPERLINK("https://klasma.github.io/Logging_2305/artfynd/A 29141-2025 artfynd.xlsx", "A 29141-2025")</f>
        <v/>
      </c>
      <c r="T70">
        <f>HYPERLINK("https://klasma.github.io/Logging_2305/kartor/A 29141-2025 karta.png", "A 29141-2025")</f>
        <v/>
      </c>
      <c r="V70">
        <f>HYPERLINK("https://klasma.github.io/Logging_2305/klagomål/A 29141-2025 FSC-klagomål.docx", "A 29141-2025")</f>
        <v/>
      </c>
      <c r="W70">
        <f>HYPERLINK("https://klasma.github.io/Logging_2305/klagomålsmail/A 29141-2025 FSC-klagomål mail.docx", "A 29141-2025")</f>
        <v/>
      </c>
      <c r="X70">
        <f>HYPERLINK("https://klasma.github.io/Logging_2305/tillsyn/A 29141-2025 tillsynsbegäran.docx", "A 29141-2025")</f>
        <v/>
      </c>
      <c r="Y70">
        <f>HYPERLINK("https://klasma.github.io/Logging_2305/tillsynsmail/A 29141-2025 tillsynsbegäran mail.docx", "A 29141-2025")</f>
        <v/>
      </c>
    </row>
    <row r="71" ht="15" customHeight="1">
      <c r="A71" t="inlineStr">
        <is>
          <t>A 23729-2024</t>
        </is>
      </c>
      <c r="B71" s="1" t="n">
        <v>45454</v>
      </c>
      <c r="C71" s="1" t="n">
        <v>46193</v>
      </c>
      <c r="D71" t="inlineStr">
        <is>
          <t>JÄMTLANDS LÄN</t>
        </is>
      </c>
      <c r="E71" t="inlineStr">
        <is>
          <t>BRÄCKE</t>
        </is>
      </c>
      <c r="F71" t="inlineStr">
        <is>
          <t>SCA</t>
        </is>
      </c>
      <c r="G71" t="n">
        <v>7.6</v>
      </c>
      <c r="H71" t="n">
        <v>2</v>
      </c>
      <c r="I71" t="n">
        <v>3</v>
      </c>
      <c r="J71" t="n">
        <v>4</v>
      </c>
      <c r="K71" t="n">
        <v>1</v>
      </c>
      <c r="L71" t="n">
        <v>0</v>
      </c>
      <c r="M71" t="n">
        <v>0</v>
      </c>
      <c r="N71" t="n">
        <v>0</v>
      </c>
      <c r="O71" t="n">
        <v>5</v>
      </c>
      <c r="P71" t="n">
        <v>1</v>
      </c>
      <c r="Q71" t="n">
        <v>8</v>
      </c>
      <c r="R71" s="2" t="inlineStr">
        <is>
          <t>Doftticka
Blanksvart spiklav
Grantaggsvamp
Kolflarnlav
Tretåig hackspett
Bårdlav
Kransrams
Stuplav</t>
        </is>
      </c>
      <c r="S71">
        <f>HYPERLINK("https://klasma.github.io/Logging_2305/artfynd/A 23729-2024 artfynd.xlsx", "A 23729-2024")</f>
        <v/>
      </c>
      <c r="T71">
        <f>HYPERLINK("https://klasma.github.io/Logging_2305/kartor/A 23729-2024 karta.png", "A 23729-2024")</f>
        <v/>
      </c>
      <c r="V71">
        <f>HYPERLINK("https://klasma.github.io/Logging_2305/klagomål/A 23729-2024 FSC-klagomål.docx", "A 23729-2024")</f>
        <v/>
      </c>
      <c r="W71">
        <f>HYPERLINK("https://klasma.github.io/Logging_2305/klagomålsmail/A 23729-2024 FSC-klagomål mail.docx", "A 23729-2024")</f>
        <v/>
      </c>
      <c r="X71">
        <f>HYPERLINK("https://klasma.github.io/Logging_2305/tillsyn/A 23729-2024 tillsynsbegäran.docx", "A 23729-2024")</f>
        <v/>
      </c>
      <c r="Y71">
        <f>HYPERLINK("https://klasma.github.io/Logging_2305/tillsynsmail/A 23729-2024 tillsynsbegäran mail.docx", "A 23729-2024")</f>
        <v/>
      </c>
      <c r="Z71">
        <f>HYPERLINK("https://klasma.github.io/Logging_2305/fåglar/A 23729-2024 prioriterade fågelarter.docx", "A 23729-2024")</f>
        <v/>
      </c>
    </row>
    <row r="72" ht="15" customHeight="1">
      <c r="A72" t="inlineStr">
        <is>
          <t>A 34300-2025</t>
        </is>
      </c>
      <c r="B72" s="1" t="n">
        <v>45846</v>
      </c>
      <c r="C72" s="1" t="n">
        <v>46193</v>
      </c>
      <c r="D72" t="inlineStr">
        <is>
          <t>JÄMTLANDS LÄN</t>
        </is>
      </c>
      <c r="E72" t="inlineStr">
        <is>
          <t>BRÄCKE</t>
        </is>
      </c>
      <c r="F72" t="inlineStr">
        <is>
          <t>Naturvårdsverket</t>
        </is>
      </c>
      <c r="G72" t="n">
        <v>2.3</v>
      </c>
      <c r="H72" t="n">
        <v>0</v>
      </c>
      <c r="I72" t="n">
        <v>1</v>
      </c>
      <c r="J72" t="n">
        <v>6</v>
      </c>
      <c r="K72" t="n">
        <v>1</v>
      </c>
      <c r="L72" t="n">
        <v>0</v>
      </c>
      <c r="M72" t="n">
        <v>0</v>
      </c>
      <c r="N72" t="n">
        <v>0</v>
      </c>
      <c r="O72" t="n">
        <v>7</v>
      </c>
      <c r="P72" t="n">
        <v>1</v>
      </c>
      <c r="Q72" t="n">
        <v>8</v>
      </c>
      <c r="R72" s="2" t="inlineStr">
        <is>
          <t>Rotfingersvamp
Dropptaggsvamp
Dvärgbägarlav
Kolflarnlav
Vaddporing
Vedskivlav
Vedtrappmossa
Svavelriska</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61173-2025</t>
        </is>
      </c>
      <c r="B73" s="1" t="n">
        <v>46000</v>
      </c>
      <c r="C73" s="1" t="n">
        <v>46193</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14672-2026</t>
        </is>
      </c>
      <c r="B74" s="1" t="n">
        <v>46101</v>
      </c>
      <c r="C74" s="1" t="n">
        <v>46193</v>
      </c>
      <c r="D74" t="inlineStr">
        <is>
          <t>JÄMTLANDS LÄN</t>
        </is>
      </c>
      <c r="E74" t="inlineStr">
        <is>
          <t>BRÄCKE</t>
        </is>
      </c>
      <c r="G74" t="n">
        <v>1.8</v>
      </c>
      <c r="H74" t="n">
        <v>3</v>
      </c>
      <c r="I74" t="n">
        <v>1</v>
      </c>
      <c r="J74" t="n">
        <v>2</v>
      </c>
      <c r="K74" t="n">
        <v>2</v>
      </c>
      <c r="L74" t="n">
        <v>0</v>
      </c>
      <c r="M74" t="n">
        <v>0</v>
      </c>
      <c r="N74" t="n">
        <v>0</v>
      </c>
      <c r="O74" t="n">
        <v>4</v>
      </c>
      <c r="P74" t="n">
        <v>2</v>
      </c>
      <c r="Q74" t="n">
        <v>8</v>
      </c>
      <c r="R74" s="2" t="inlineStr">
        <is>
          <t>Garnlav
Knärot
Lunglav
Tretåig hackspett
Norrlandslav
Fönsterlav
Linnea
Revlummer</t>
        </is>
      </c>
      <c r="S74">
        <f>HYPERLINK("https://klasma.github.io/Logging_2305/artfynd/A 14672-2026 artfynd.xlsx", "A 14672-2026")</f>
        <v/>
      </c>
      <c r="T74">
        <f>HYPERLINK("https://klasma.github.io/Logging_2305/kartor/A 14672-2026 karta.png", "A 14672-2026")</f>
        <v/>
      </c>
      <c r="U74">
        <f>HYPERLINK("https://klasma.github.io/Logging_2305/knärot/A 14672-2026 karta knärot.png", "A 14672-2026")</f>
        <v/>
      </c>
      <c r="V74">
        <f>HYPERLINK("https://klasma.github.io/Logging_2305/klagomål/A 14672-2026 FSC-klagomål.docx", "A 14672-2026")</f>
        <v/>
      </c>
      <c r="W74">
        <f>HYPERLINK("https://klasma.github.io/Logging_2305/klagomålsmail/A 14672-2026 FSC-klagomål mail.docx", "A 14672-2026")</f>
        <v/>
      </c>
      <c r="X74">
        <f>HYPERLINK("https://klasma.github.io/Logging_2305/tillsyn/A 14672-2026 tillsynsbegäran.docx", "A 14672-2026")</f>
        <v/>
      </c>
      <c r="Y74">
        <f>HYPERLINK("https://klasma.github.io/Logging_2305/tillsynsmail/A 14672-2026 tillsynsbegäran mail.docx", "A 14672-2026")</f>
        <v/>
      </c>
      <c r="Z74">
        <f>HYPERLINK("https://klasma.github.io/Logging_2305/fåglar/A 14672-2026 prioriterade fågelarter.docx", "A 14672-2026")</f>
        <v/>
      </c>
    </row>
    <row r="75" ht="15" customHeight="1">
      <c r="A75" t="inlineStr">
        <is>
          <t>A 37958-2021</t>
        </is>
      </c>
      <c r="B75" s="1" t="n">
        <v>44403</v>
      </c>
      <c r="C75" s="1" t="n">
        <v>46193</v>
      </c>
      <c r="D75" t="inlineStr">
        <is>
          <t>JÄMTLANDS LÄN</t>
        </is>
      </c>
      <c r="E75" t="inlineStr">
        <is>
          <t>BRÄCKE</t>
        </is>
      </c>
      <c r="F75" t="inlineStr">
        <is>
          <t>SCA</t>
        </is>
      </c>
      <c r="G75" t="n">
        <v>3.5</v>
      </c>
      <c r="H75" t="n">
        <v>0</v>
      </c>
      <c r="I75" t="n">
        <v>1</v>
      </c>
      <c r="J75" t="n">
        <v>5</v>
      </c>
      <c r="K75" t="n">
        <v>1</v>
      </c>
      <c r="L75" t="n">
        <v>0</v>
      </c>
      <c r="M75" t="n">
        <v>0</v>
      </c>
      <c r="N75" t="n">
        <v>0</v>
      </c>
      <c r="O75" t="n">
        <v>6</v>
      </c>
      <c r="P75" t="n">
        <v>1</v>
      </c>
      <c r="Q75" t="n">
        <v>7</v>
      </c>
      <c r="R75" s="2" t="inlineStr">
        <is>
          <t>Garnlav
Dvärgbägarlav
Kolflarnlav
Lunglav
Rynkskinn
Vedtrappmossa
Vedticka</t>
        </is>
      </c>
      <c r="S75">
        <f>HYPERLINK("https://klasma.github.io/Logging_2305/artfynd/A 37958-2021 artfynd.xlsx", "A 37958-2021")</f>
        <v/>
      </c>
      <c r="T75">
        <f>HYPERLINK("https://klasma.github.io/Logging_2305/kartor/A 37958-2021 karta.png", "A 37958-2021")</f>
        <v/>
      </c>
      <c r="V75">
        <f>HYPERLINK("https://klasma.github.io/Logging_2305/klagomål/A 37958-2021 FSC-klagomål.docx", "A 37958-2021")</f>
        <v/>
      </c>
      <c r="W75">
        <f>HYPERLINK("https://klasma.github.io/Logging_2305/klagomålsmail/A 37958-2021 FSC-klagomål mail.docx", "A 37958-2021")</f>
        <v/>
      </c>
      <c r="X75">
        <f>HYPERLINK("https://klasma.github.io/Logging_2305/tillsyn/A 37958-2021 tillsynsbegäran.docx", "A 37958-2021")</f>
        <v/>
      </c>
      <c r="Y75">
        <f>HYPERLINK("https://klasma.github.io/Logging_2305/tillsynsmail/A 37958-2021 tillsynsbegäran mail.docx", "A 37958-2021")</f>
        <v/>
      </c>
    </row>
    <row r="76" ht="15" customHeight="1">
      <c r="A76" t="inlineStr">
        <is>
          <t>A 13548-2024</t>
        </is>
      </c>
      <c r="B76" s="1" t="n">
        <v>45387</v>
      </c>
      <c r="C76" s="1" t="n">
        <v>46193</v>
      </c>
      <c r="D76" t="inlineStr">
        <is>
          <t>JÄMTLANDS LÄN</t>
        </is>
      </c>
      <c r="E76" t="inlineStr">
        <is>
          <t>BRÄCKE</t>
        </is>
      </c>
      <c r="F76" t="inlineStr">
        <is>
          <t>SCA</t>
        </is>
      </c>
      <c r="G76" t="n">
        <v>1.3</v>
      </c>
      <c r="H76" t="n">
        <v>0</v>
      </c>
      <c r="I76" t="n">
        <v>2</v>
      </c>
      <c r="J76" t="n">
        <v>4</v>
      </c>
      <c r="K76" t="n">
        <v>0</v>
      </c>
      <c r="L76" t="n">
        <v>1</v>
      </c>
      <c r="M76" t="n">
        <v>0</v>
      </c>
      <c r="N76" t="n">
        <v>0</v>
      </c>
      <c r="O76" t="n">
        <v>5</v>
      </c>
      <c r="P76" t="n">
        <v>1</v>
      </c>
      <c r="Q76" t="n">
        <v>7</v>
      </c>
      <c r="R76" s="2" t="inlineStr">
        <is>
          <t>Bitter taggsvamp
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43982-2023</t>
        </is>
      </c>
      <c r="B77" s="1" t="n">
        <v>45187</v>
      </c>
      <c r="C77" s="1" t="n">
        <v>46193</v>
      </c>
      <c r="D77" t="inlineStr">
        <is>
          <t>JÄMTLANDS LÄN</t>
        </is>
      </c>
      <c r="E77" t="inlineStr">
        <is>
          <t>BRÄCKE</t>
        </is>
      </c>
      <c r="F77" t="inlineStr">
        <is>
          <t>SCA</t>
        </is>
      </c>
      <c r="G77" t="n">
        <v>25.6</v>
      </c>
      <c r="H77" t="n">
        <v>5</v>
      </c>
      <c r="I77" t="n">
        <v>3</v>
      </c>
      <c r="J77" t="n">
        <v>3</v>
      </c>
      <c r="K77" t="n">
        <v>1</v>
      </c>
      <c r="L77" t="n">
        <v>0</v>
      </c>
      <c r="M77" t="n">
        <v>0</v>
      </c>
      <c r="N77" t="n">
        <v>0</v>
      </c>
      <c r="O77" t="n">
        <v>4</v>
      </c>
      <c r="P77" t="n">
        <v>1</v>
      </c>
      <c r="Q77" t="n">
        <v>7</v>
      </c>
      <c r="R77" s="2" t="inlineStr">
        <is>
          <t>Knärot
Kolflarnlav
Lunglav
Tretåig hackspett
Korallrot
Plattlummer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18634-2025</t>
        </is>
      </c>
      <c r="B78" s="1" t="n">
        <v>45763</v>
      </c>
      <c r="C78" s="1" t="n">
        <v>46193</v>
      </c>
      <c r="D78" t="inlineStr">
        <is>
          <t>JÄMTLANDS LÄN</t>
        </is>
      </c>
      <c r="E78" t="inlineStr">
        <is>
          <t>BRÄCKE</t>
        </is>
      </c>
      <c r="F78" t="inlineStr">
        <is>
          <t>SCA</t>
        </is>
      </c>
      <c r="G78" t="n">
        <v>8.300000000000001</v>
      </c>
      <c r="H78" t="n">
        <v>3</v>
      </c>
      <c r="I78" t="n">
        <v>2</v>
      </c>
      <c r="J78" t="n">
        <v>3</v>
      </c>
      <c r="K78" t="n">
        <v>2</v>
      </c>
      <c r="L78" t="n">
        <v>0</v>
      </c>
      <c r="M78" t="n">
        <v>0</v>
      </c>
      <c r="N78" t="n">
        <v>0</v>
      </c>
      <c r="O78" t="n">
        <v>5</v>
      </c>
      <c r="P78" t="n">
        <v>2</v>
      </c>
      <c r="Q78" t="n">
        <v>7</v>
      </c>
      <c r="R78" s="2" t="inlineStr">
        <is>
          <t>Garnlav
Knärot
Lunglav
Tretåig hackspett
Ullticka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c r="Z78">
        <f>HYPERLINK("https://klasma.github.io/Logging_2305/fåglar/A 18634-2025 prioriterade fågelarter.docx", "A 18634-2025")</f>
        <v/>
      </c>
    </row>
    <row r="79" ht="15" customHeight="1">
      <c r="A79" t="inlineStr">
        <is>
          <t>A 45109-2024</t>
        </is>
      </c>
      <c r="B79" s="1" t="n">
        <v>45575</v>
      </c>
      <c r="C79" s="1" t="n">
        <v>46193</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32580-2025</t>
        </is>
      </c>
      <c r="B80" s="1" t="n">
        <v>45838</v>
      </c>
      <c r="C80" s="1" t="n">
        <v>46193</v>
      </c>
      <c r="D80" t="inlineStr">
        <is>
          <t>JÄMTLANDS LÄN</t>
        </is>
      </c>
      <c r="E80" t="inlineStr">
        <is>
          <t>BRÄCKE</t>
        </is>
      </c>
      <c r="G80" t="n">
        <v>20.9</v>
      </c>
      <c r="H80" t="n">
        <v>4</v>
      </c>
      <c r="I80" t="n">
        <v>1</v>
      </c>
      <c r="J80" t="n">
        <v>4</v>
      </c>
      <c r="K80" t="n">
        <v>2</v>
      </c>
      <c r="L80" t="n">
        <v>0</v>
      </c>
      <c r="M80" t="n">
        <v>0</v>
      </c>
      <c r="N80" t="n">
        <v>0</v>
      </c>
      <c r="O80" t="n">
        <v>6</v>
      </c>
      <c r="P80" t="n">
        <v>2</v>
      </c>
      <c r="Q80" t="n">
        <v>7</v>
      </c>
      <c r="R80" s="2" t="inlineStr">
        <is>
          <t>Garnlav
Knärot
Dropptaggsvamp
Talltita
Tretåig hackspett
Vedtrappmossa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40818-2024</t>
        </is>
      </c>
      <c r="B81" s="1" t="n">
        <v>45558</v>
      </c>
      <c r="C81" s="1" t="n">
        <v>46193</v>
      </c>
      <c r="D81" t="inlineStr">
        <is>
          <t>JÄMTLANDS LÄN</t>
        </is>
      </c>
      <c r="E81" t="inlineStr">
        <is>
          <t>BRÄCKE</t>
        </is>
      </c>
      <c r="G81" t="n">
        <v>2.7</v>
      </c>
      <c r="H81" t="n">
        <v>0</v>
      </c>
      <c r="I81" t="n">
        <v>0</v>
      </c>
      <c r="J81" t="n">
        <v>5</v>
      </c>
      <c r="K81" t="n">
        <v>2</v>
      </c>
      <c r="L81" t="n">
        <v>0</v>
      </c>
      <c r="M81" t="n">
        <v>0</v>
      </c>
      <c r="N81" t="n">
        <v>0</v>
      </c>
      <c r="O81" t="n">
        <v>7</v>
      </c>
      <c r="P81" t="n">
        <v>2</v>
      </c>
      <c r="Q81" t="n">
        <v>7</v>
      </c>
      <c r="R81" s="2" t="inlineStr">
        <is>
          <t>Lammticka
Skrovlig taggsvamp
Blå taggsvamp
Dropptaggsvamp
Orange taggsvamp
Tallfingersvamp
Vaxspindling</t>
        </is>
      </c>
      <c r="S81">
        <f>HYPERLINK("https://klasma.github.io/Logging_2305/artfynd/A 40818-2024 artfynd.xlsx", "A 40818-2024")</f>
        <v/>
      </c>
      <c r="T81">
        <f>HYPERLINK("https://klasma.github.io/Logging_2305/kartor/A 40818-2024 karta.png", "A 40818-2024")</f>
        <v/>
      </c>
      <c r="V81">
        <f>HYPERLINK("https://klasma.github.io/Logging_2305/klagomål/A 40818-2024 FSC-klagomål.docx", "A 40818-2024")</f>
        <v/>
      </c>
      <c r="W81">
        <f>HYPERLINK("https://klasma.github.io/Logging_2305/klagomålsmail/A 40818-2024 FSC-klagomål mail.docx", "A 40818-2024")</f>
        <v/>
      </c>
      <c r="X81">
        <f>HYPERLINK("https://klasma.github.io/Logging_2305/tillsyn/A 40818-2024 tillsynsbegäran.docx", "A 40818-2024")</f>
        <v/>
      </c>
      <c r="Y81">
        <f>HYPERLINK("https://klasma.github.io/Logging_2305/tillsynsmail/A 40818-2024 tillsynsbegäran mail.docx", "A 40818-2024")</f>
        <v/>
      </c>
    </row>
    <row r="82" ht="15" customHeight="1">
      <c r="A82" t="inlineStr">
        <is>
          <t>A 23592-2025</t>
        </is>
      </c>
      <c r="B82" s="1" t="n">
        <v>45792</v>
      </c>
      <c r="C82" s="1" t="n">
        <v>46193</v>
      </c>
      <c r="D82" t="inlineStr">
        <is>
          <t>JÄMTLANDS LÄN</t>
        </is>
      </c>
      <c r="E82" t="inlineStr">
        <is>
          <t>BRÄCKE</t>
        </is>
      </c>
      <c r="F82" t="inlineStr">
        <is>
          <t>SCA</t>
        </is>
      </c>
      <c r="G82" t="n">
        <v>3.6</v>
      </c>
      <c r="H82" t="n">
        <v>2</v>
      </c>
      <c r="I82" t="n">
        <v>1</v>
      </c>
      <c r="J82" t="n">
        <v>3</v>
      </c>
      <c r="K82" t="n">
        <v>2</v>
      </c>
      <c r="L82" t="n">
        <v>0</v>
      </c>
      <c r="M82" t="n">
        <v>0</v>
      </c>
      <c r="N82" t="n">
        <v>0</v>
      </c>
      <c r="O82" t="n">
        <v>5</v>
      </c>
      <c r="P82" t="n">
        <v>2</v>
      </c>
      <c r="Q82" t="n">
        <v>7</v>
      </c>
      <c r="R82" s="2" t="inlineStr">
        <is>
          <t>Garnlav
Knärot
Lunglav
Rosenticka
Vitgrynig nållav
Skinnlav
Revlummer</t>
        </is>
      </c>
      <c r="S82">
        <f>HYPERLINK("https://klasma.github.io/Logging_2305/artfynd/A 23592-2025 artfynd.xlsx", "A 23592-2025")</f>
        <v/>
      </c>
      <c r="T82">
        <f>HYPERLINK("https://klasma.github.io/Logging_2305/kartor/A 23592-2025 karta.png", "A 23592-2025")</f>
        <v/>
      </c>
      <c r="U82">
        <f>HYPERLINK("https://klasma.github.io/Logging_2305/knärot/A 23592-2025 karta knärot.png", "A 23592-2025")</f>
        <v/>
      </c>
      <c r="V82">
        <f>HYPERLINK("https://klasma.github.io/Logging_2305/klagomål/A 23592-2025 FSC-klagomål.docx", "A 23592-2025")</f>
        <v/>
      </c>
      <c r="W82">
        <f>HYPERLINK("https://klasma.github.io/Logging_2305/klagomålsmail/A 23592-2025 FSC-klagomål mail.docx", "A 23592-2025")</f>
        <v/>
      </c>
      <c r="X82">
        <f>HYPERLINK("https://klasma.github.io/Logging_2305/tillsyn/A 23592-2025 tillsynsbegäran.docx", "A 23592-2025")</f>
        <v/>
      </c>
      <c r="Y82">
        <f>HYPERLINK("https://klasma.github.io/Logging_2305/tillsynsmail/A 23592-2025 tillsynsbegäran mail.docx", "A 23592-2025")</f>
        <v/>
      </c>
    </row>
    <row r="83" ht="15" customHeight="1">
      <c r="A83" t="inlineStr">
        <is>
          <t>A 24851-2025</t>
        </is>
      </c>
      <c r="B83" s="1" t="n">
        <v>45799</v>
      </c>
      <c r="C83" s="1" t="n">
        <v>46193</v>
      </c>
      <c r="D83" t="inlineStr">
        <is>
          <t>JÄMTLANDS LÄN</t>
        </is>
      </c>
      <c r="E83" t="inlineStr">
        <is>
          <t>BRÄCKE</t>
        </is>
      </c>
      <c r="F83" t="inlineStr">
        <is>
          <t>SCA</t>
        </is>
      </c>
      <c r="G83" t="n">
        <v>4.1</v>
      </c>
      <c r="H83" t="n">
        <v>2</v>
      </c>
      <c r="I83" t="n">
        <v>2</v>
      </c>
      <c r="J83" t="n">
        <v>2</v>
      </c>
      <c r="K83" t="n">
        <v>1</v>
      </c>
      <c r="L83" t="n">
        <v>1</v>
      </c>
      <c r="M83" t="n">
        <v>0</v>
      </c>
      <c r="N83" t="n">
        <v>0</v>
      </c>
      <c r="O83" t="n">
        <v>4</v>
      </c>
      <c r="P83" t="n">
        <v>2</v>
      </c>
      <c r="Q83" t="n">
        <v>7</v>
      </c>
      <c r="R83" s="2" t="inlineStr">
        <is>
          <t>Trolldruvemätare
Violett guldvinge
Lunglav
Vitfläckig guldvinge
Svart trolldruva
Underviol
Fläcknycklar</t>
        </is>
      </c>
      <c r="S83">
        <f>HYPERLINK("https://klasma.github.io/Logging_2305/artfynd/A 24851-2025 artfynd.xlsx", "A 24851-2025")</f>
        <v/>
      </c>
      <c r="T83">
        <f>HYPERLINK("https://klasma.github.io/Logging_2305/kartor/A 24851-2025 karta.png", "A 24851-2025")</f>
        <v/>
      </c>
      <c r="V83">
        <f>HYPERLINK("https://klasma.github.io/Logging_2305/klagomål/A 24851-2025 FSC-klagomål.docx", "A 24851-2025")</f>
        <v/>
      </c>
      <c r="W83">
        <f>HYPERLINK("https://klasma.github.io/Logging_2305/klagomålsmail/A 24851-2025 FSC-klagomål mail.docx", "A 24851-2025")</f>
        <v/>
      </c>
      <c r="X83">
        <f>HYPERLINK("https://klasma.github.io/Logging_2305/tillsyn/A 24851-2025 tillsynsbegäran.docx", "A 24851-2025")</f>
        <v/>
      </c>
      <c r="Y83">
        <f>HYPERLINK("https://klasma.github.io/Logging_2305/tillsynsmail/A 24851-2025 tillsynsbegäran mail.docx", "A 24851-2025")</f>
        <v/>
      </c>
    </row>
    <row r="84" ht="15" customHeight="1">
      <c r="A84" t="inlineStr">
        <is>
          <t>A 44514-2024</t>
        </is>
      </c>
      <c r="B84" s="1" t="n">
        <v>45574</v>
      </c>
      <c r="C84" s="1" t="n">
        <v>46193</v>
      </c>
      <c r="D84" t="inlineStr">
        <is>
          <t>JÄMTLANDS LÄN</t>
        </is>
      </c>
      <c r="E84" t="inlineStr">
        <is>
          <t>BRÄCKE</t>
        </is>
      </c>
      <c r="F84" t="inlineStr">
        <is>
          <t>SCA</t>
        </is>
      </c>
      <c r="G84" t="n">
        <v>12.8</v>
      </c>
      <c r="H84" t="n">
        <v>0</v>
      </c>
      <c r="I84" t="n">
        <v>3</v>
      </c>
      <c r="J84" t="n">
        <v>4</v>
      </c>
      <c r="K84" t="n">
        <v>0</v>
      </c>
      <c r="L84" t="n">
        <v>0</v>
      </c>
      <c r="M84" t="n">
        <v>0</v>
      </c>
      <c r="N84" t="n">
        <v>0</v>
      </c>
      <c r="O84" t="n">
        <v>4</v>
      </c>
      <c r="P84" t="n">
        <v>0</v>
      </c>
      <c r="Q84" t="n">
        <v>7</v>
      </c>
      <c r="R84" s="2" t="inlineStr">
        <is>
          <t>Dvärgbägarlav
Kolflarnlav
Lunglav
Skrovellav
Bårdlav
Skinnlav
Stuplav</t>
        </is>
      </c>
      <c r="S84">
        <f>HYPERLINK("https://klasma.github.io/Logging_2305/artfynd/A 44514-2024 artfynd.xlsx", "A 44514-2024")</f>
        <v/>
      </c>
      <c r="T84">
        <f>HYPERLINK("https://klasma.github.io/Logging_2305/kartor/A 44514-2024 karta.png", "A 44514-2024")</f>
        <v/>
      </c>
      <c r="V84">
        <f>HYPERLINK("https://klasma.github.io/Logging_2305/klagomål/A 44514-2024 FSC-klagomål.docx", "A 44514-2024")</f>
        <v/>
      </c>
      <c r="W84">
        <f>HYPERLINK("https://klasma.github.io/Logging_2305/klagomålsmail/A 44514-2024 FSC-klagomål mail.docx", "A 44514-2024")</f>
        <v/>
      </c>
      <c r="X84">
        <f>HYPERLINK("https://klasma.github.io/Logging_2305/tillsyn/A 44514-2024 tillsynsbegäran.docx", "A 44514-2024")</f>
        <v/>
      </c>
      <c r="Y84">
        <f>HYPERLINK("https://klasma.github.io/Logging_2305/tillsynsmail/A 44514-2024 tillsynsbegäran mail.docx", "A 44514-2024")</f>
        <v/>
      </c>
    </row>
    <row r="85" ht="15" customHeight="1">
      <c r="A85" t="inlineStr">
        <is>
          <t>A 51820-2023</t>
        </is>
      </c>
      <c r="B85" s="1" t="n">
        <v>45222</v>
      </c>
      <c r="C85" s="1" t="n">
        <v>46193</v>
      </c>
      <c r="D85" t="inlineStr">
        <is>
          <t>JÄMTLANDS LÄN</t>
        </is>
      </c>
      <c r="E85" t="inlineStr">
        <is>
          <t>BRÄCKE</t>
        </is>
      </c>
      <c r="F85" t="inlineStr">
        <is>
          <t>SCA</t>
        </is>
      </c>
      <c r="G85" t="n">
        <v>3.4</v>
      </c>
      <c r="H85" t="n">
        <v>1</v>
      </c>
      <c r="I85" t="n">
        <v>2</v>
      </c>
      <c r="J85" t="n">
        <v>5</v>
      </c>
      <c r="K85" t="n">
        <v>0</v>
      </c>
      <c r="L85" t="n">
        <v>0</v>
      </c>
      <c r="M85" t="n">
        <v>0</v>
      </c>
      <c r="N85" t="n">
        <v>0</v>
      </c>
      <c r="O85" t="n">
        <v>5</v>
      </c>
      <c r="P85" t="n">
        <v>0</v>
      </c>
      <c r="Q85" t="n">
        <v>7</v>
      </c>
      <c r="R85" s="2" t="inlineStr">
        <is>
          <t>Rosenticka
Tretåig hackspett
Ullticka
Vedtrappmossa
Vitgrynig nållav
Gulnål
Vedticka</t>
        </is>
      </c>
      <c r="S85">
        <f>HYPERLINK("https://klasma.github.io/Logging_2305/artfynd/A 51820-2023 artfynd.xlsx", "A 51820-2023")</f>
        <v/>
      </c>
      <c r="T85">
        <f>HYPERLINK("https://klasma.github.io/Logging_2305/kartor/A 51820-2023 karta.png", "A 51820-2023")</f>
        <v/>
      </c>
      <c r="V85">
        <f>HYPERLINK("https://klasma.github.io/Logging_2305/klagomål/A 51820-2023 FSC-klagomål.docx", "A 51820-2023")</f>
        <v/>
      </c>
      <c r="W85">
        <f>HYPERLINK("https://klasma.github.io/Logging_2305/klagomålsmail/A 51820-2023 FSC-klagomål mail.docx", "A 51820-2023")</f>
        <v/>
      </c>
      <c r="X85">
        <f>HYPERLINK("https://klasma.github.io/Logging_2305/tillsyn/A 51820-2023 tillsynsbegäran.docx", "A 51820-2023")</f>
        <v/>
      </c>
      <c r="Y85">
        <f>HYPERLINK("https://klasma.github.io/Logging_2305/tillsynsmail/A 51820-2023 tillsynsbegäran mail.docx", "A 51820-2023")</f>
        <v/>
      </c>
      <c r="Z85">
        <f>HYPERLINK("https://klasma.github.io/Logging_2305/fåglar/A 51820-2023 prioriterade fågelarter.docx", "A 51820-2023")</f>
        <v/>
      </c>
    </row>
    <row r="86" ht="15" customHeight="1">
      <c r="A86" t="inlineStr">
        <is>
          <t>A 48780-2023</t>
        </is>
      </c>
      <c r="B86" s="1" t="n">
        <v>45208</v>
      </c>
      <c r="C86" s="1" t="n">
        <v>46193</v>
      </c>
      <c r="D86" t="inlineStr">
        <is>
          <t>JÄMTLANDS LÄN</t>
        </is>
      </c>
      <c r="E86" t="inlineStr">
        <is>
          <t>BRÄCKE</t>
        </is>
      </c>
      <c r="F86" t="inlineStr">
        <is>
          <t>Naturvårdsverket</t>
        </is>
      </c>
      <c r="G86" t="n">
        <v>11.2</v>
      </c>
      <c r="H86" t="n">
        <v>0</v>
      </c>
      <c r="I86" t="n">
        <v>0</v>
      </c>
      <c r="J86" t="n">
        <v>7</v>
      </c>
      <c r="K86" t="n">
        <v>0</v>
      </c>
      <c r="L86" t="n">
        <v>0</v>
      </c>
      <c r="M86" t="n">
        <v>0</v>
      </c>
      <c r="N86" t="n">
        <v>0</v>
      </c>
      <c r="O86" t="n">
        <v>7</v>
      </c>
      <c r="P86" t="n">
        <v>0</v>
      </c>
      <c r="Q86" t="n">
        <v>7</v>
      </c>
      <c r="R86" s="2" t="inlineStr">
        <is>
          <t>Blå taggsvamp
Dofttaggsvamp
Dropptaggsvamp
Lunglav
Reliktbock
Skarp dropptaggsvamp
Tallticka</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62113-2023</t>
        </is>
      </c>
      <c r="B87" s="1" t="n">
        <v>45266</v>
      </c>
      <c r="C87" s="1" t="n">
        <v>46193</v>
      </c>
      <c r="D87" t="inlineStr">
        <is>
          <t>JÄMTLANDS LÄN</t>
        </is>
      </c>
      <c r="E87" t="inlineStr">
        <is>
          <t>BRÄCKE</t>
        </is>
      </c>
      <c r="F87" t="inlineStr">
        <is>
          <t>Naturvårdsverket</t>
        </is>
      </c>
      <c r="G87" t="n">
        <v>4.5</v>
      </c>
      <c r="H87" t="n">
        <v>0</v>
      </c>
      <c r="I87" t="n">
        <v>0</v>
      </c>
      <c r="J87" t="n">
        <v>5</v>
      </c>
      <c r="K87" t="n">
        <v>2</v>
      </c>
      <c r="L87" t="n">
        <v>0</v>
      </c>
      <c r="M87" t="n">
        <v>0</v>
      </c>
      <c r="N87" t="n">
        <v>0</v>
      </c>
      <c r="O87" t="n">
        <v>7</v>
      </c>
      <c r="P87" t="n">
        <v>2</v>
      </c>
      <c r="Q87" t="n">
        <v>7</v>
      </c>
      <c r="R87" s="2" t="inlineStr">
        <is>
          <t>Skrovlig taggsvamp
Smalfotad taggsvamp
Blanksvart spiklav
Blå taggsvamp
Dropptaggsvamp
Orange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29272-2024</t>
        </is>
      </c>
      <c r="B88" s="1" t="n">
        <v>45482</v>
      </c>
      <c r="C88" s="1" t="n">
        <v>46193</v>
      </c>
      <c r="D88" t="inlineStr">
        <is>
          <t>JÄMTLANDS LÄN</t>
        </is>
      </c>
      <c r="E88" t="inlineStr">
        <is>
          <t>BRÄCKE</t>
        </is>
      </c>
      <c r="F88" t="inlineStr">
        <is>
          <t>SCA</t>
        </is>
      </c>
      <c r="G88" t="n">
        <v>1.6</v>
      </c>
      <c r="H88" t="n">
        <v>4</v>
      </c>
      <c r="I88" t="n">
        <v>0</v>
      </c>
      <c r="J88" t="n">
        <v>3</v>
      </c>
      <c r="K88" t="n">
        <v>1</v>
      </c>
      <c r="L88" t="n">
        <v>0</v>
      </c>
      <c r="M88" t="n">
        <v>0</v>
      </c>
      <c r="N88" t="n">
        <v>0</v>
      </c>
      <c r="O88" t="n">
        <v>4</v>
      </c>
      <c r="P88" t="n">
        <v>1</v>
      </c>
      <c r="Q88" t="n">
        <v>7</v>
      </c>
      <c r="R88" s="2" t="inlineStr">
        <is>
          <t>Garnlav
Lunglav
Skogshare
Tretåig hackspett
Spillkråka
Tjäder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25852-2026</t>
        </is>
      </c>
      <c r="B89" s="1" t="n">
        <v>46178</v>
      </c>
      <c r="C89" s="1" t="n">
        <v>46193</v>
      </c>
      <c r="D89" t="inlineStr">
        <is>
          <t>JÄMTLANDS LÄN</t>
        </is>
      </c>
      <c r="E89" t="inlineStr">
        <is>
          <t>BRÄCKE</t>
        </is>
      </c>
      <c r="F89" t="inlineStr">
        <is>
          <t>SCA</t>
        </is>
      </c>
      <c r="G89" t="n">
        <v>3.7</v>
      </c>
      <c r="H89" t="n">
        <v>0</v>
      </c>
      <c r="I89" t="n">
        <v>1</v>
      </c>
      <c r="J89" t="n">
        <v>5</v>
      </c>
      <c r="K89" t="n">
        <v>1</v>
      </c>
      <c r="L89" t="n">
        <v>0</v>
      </c>
      <c r="M89" t="n">
        <v>0</v>
      </c>
      <c r="N89" t="n">
        <v>0</v>
      </c>
      <c r="O89" t="n">
        <v>6</v>
      </c>
      <c r="P89" t="n">
        <v>1</v>
      </c>
      <c r="Q89" t="n">
        <v>7</v>
      </c>
      <c r="R89" s="2" t="inlineStr">
        <is>
          <t>Garnlav
Dvärgbägarlav
Kolflarnlav
Lunglav
Rynkskinn
Vedtrappmossa
Vedticka</t>
        </is>
      </c>
      <c r="S89">
        <f>HYPERLINK("https://klasma.github.io/Logging_2305/artfynd/A 25852-2026 artfynd.xlsx", "A 25852-2026")</f>
        <v/>
      </c>
      <c r="T89">
        <f>HYPERLINK("https://klasma.github.io/Logging_2305/kartor/A 25852-2026 karta.png", "A 25852-2026")</f>
        <v/>
      </c>
      <c r="V89">
        <f>HYPERLINK("https://klasma.github.io/Logging_2305/klagomål/A 25852-2026 FSC-klagomål.docx", "A 25852-2026")</f>
        <v/>
      </c>
      <c r="W89">
        <f>HYPERLINK("https://klasma.github.io/Logging_2305/klagomålsmail/A 25852-2026 FSC-klagomål mail.docx", "A 25852-2026")</f>
        <v/>
      </c>
      <c r="X89">
        <f>HYPERLINK("https://klasma.github.io/Logging_2305/tillsyn/A 25852-2026 tillsynsbegäran.docx", "A 25852-2026")</f>
        <v/>
      </c>
      <c r="Y89">
        <f>HYPERLINK("https://klasma.github.io/Logging_2305/tillsynsmail/A 25852-2026 tillsynsbegäran mail.docx", "A 25852-2026")</f>
        <v/>
      </c>
    </row>
    <row r="90" ht="15" customHeight="1">
      <c r="A90" t="inlineStr">
        <is>
          <t>A 34540-2025</t>
        </is>
      </c>
      <c r="B90" s="1" t="n">
        <v>45847</v>
      </c>
      <c r="C90" s="1" t="n">
        <v>46193</v>
      </c>
      <c r="D90" t="inlineStr">
        <is>
          <t>JÄMTLANDS LÄN</t>
        </is>
      </c>
      <c r="E90" t="inlineStr">
        <is>
          <t>BRÄCKE</t>
        </is>
      </c>
      <c r="F90" t="inlineStr">
        <is>
          <t>SCA</t>
        </is>
      </c>
      <c r="G90" t="n">
        <v>1.5</v>
      </c>
      <c r="H90" t="n">
        <v>2</v>
      </c>
      <c r="I90" t="n">
        <v>0</v>
      </c>
      <c r="J90" t="n">
        <v>4</v>
      </c>
      <c r="K90" t="n">
        <v>3</v>
      </c>
      <c r="L90" t="n">
        <v>0</v>
      </c>
      <c r="M90" t="n">
        <v>0</v>
      </c>
      <c r="N90" t="n">
        <v>0</v>
      </c>
      <c r="O90" t="n">
        <v>7</v>
      </c>
      <c r="P90" t="n">
        <v>3</v>
      </c>
      <c r="Q90" t="n">
        <v>7</v>
      </c>
      <c r="R90" s="2" t="inlineStr">
        <is>
          <t>Knärot
Skrovlig taggsvamp
Tallgråticka
Skarp dropptaggsvamp
Tallfingersvamp
Tallriska
Talltita</t>
        </is>
      </c>
      <c r="S90">
        <f>HYPERLINK("https://klasma.github.io/Logging_2305/artfynd/A 34540-2025 artfynd.xlsx", "A 34540-2025")</f>
        <v/>
      </c>
      <c r="T90">
        <f>HYPERLINK("https://klasma.github.io/Logging_2305/kartor/A 34540-2025 karta.png", "A 34540-2025")</f>
        <v/>
      </c>
      <c r="U90">
        <f>HYPERLINK("https://klasma.github.io/Logging_2305/knärot/A 34540-2025 karta knärot.png", "A 34540-2025")</f>
        <v/>
      </c>
      <c r="V90">
        <f>HYPERLINK("https://klasma.github.io/Logging_2305/klagomål/A 34540-2025 FSC-klagomål.docx", "A 34540-2025")</f>
        <v/>
      </c>
      <c r="W90">
        <f>HYPERLINK("https://klasma.github.io/Logging_2305/klagomålsmail/A 34540-2025 FSC-klagomål mail.docx", "A 34540-2025")</f>
        <v/>
      </c>
      <c r="X90">
        <f>HYPERLINK("https://klasma.github.io/Logging_2305/tillsyn/A 34540-2025 tillsynsbegäran.docx", "A 34540-2025")</f>
        <v/>
      </c>
      <c r="Y90">
        <f>HYPERLINK("https://klasma.github.io/Logging_2305/tillsynsmail/A 34540-2025 tillsynsbegäran mail.docx", "A 34540-2025")</f>
        <v/>
      </c>
      <c r="Z90">
        <f>HYPERLINK("https://klasma.github.io/Logging_2305/fåglar/A 34540-2025 prioriterade fågelarter.docx", "A 34540-2025")</f>
        <v/>
      </c>
    </row>
    <row r="91" ht="15" customHeight="1">
      <c r="A91" t="inlineStr">
        <is>
          <t>A 19437-2023</t>
        </is>
      </c>
      <c r="B91" s="1" t="n">
        <v>45049</v>
      </c>
      <c r="C91" s="1" t="n">
        <v>46193</v>
      </c>
      <c r="D91" t="inlineStr">
        <is>
          <t>JÄMTLANDS LÄN</t>
        </is>
      </c>
      <c r="E91" t="inlineStr">
        <is>
          <t>BRÄCKE</t>
        </is>
      </c>
      <c r="G91" t="n">
        <v>1.5</v>
      </c>
      <c r="H91" t="n">
        <v>0</v>
      </c>
      <c r="I91" t="n">
        <v>4</v>
      </c>
      <c r="J91" t="n">
        <v>2</v>
      </c>
      <c r="K91" t="n">
        <v>0</v>
      </c>
      <c r="L91" t="n">
        <v>0</v>
      </c>
      <c r="M91" t="n">
        <v>0</v>
      </c>
      <c r="N91" t="n">
        <v>0</v>
      </c>
      <c r="O91" t="n">
        <v>2</v>
      </c>
      <c r="P91" t="n">
        <v>0</v>
      </c>
      <c r="Q91" t="n">
        <v>6</v>
      </c>
      <c r="R91" s="2" t="inlineStr">
        <is>
          <t>Lunglav
Ullticka
Bårdlav
Gytterlav
Stuplav
Svart trolldruva</t>
        </is>
      </c>
      <c r="S91">
        <f>HYPERLINK("https://klasma.github.io/Logging_2305/artfynd/A 19437-2023 artfynd.xlsx", "A 19437-2023")</f>
        <v/>
      </c>
      <c r="T91">
        <f>HYPERLINK("https://klasma.github.io/Logging_2305/kartor/A 19437-2023 karta.png", "A 19437-2023")</f>
        <v/>
      </c>
      <c r="U91">
        <f>HYPERLINK("https://klasma.github.io/Logging_2305/knärot/A 19437-2023 karta knärot.png", "A 19437-2023")</f>
        <v/>
      </c>
      <c r="V91">
        <f>HYPERLINK("https://klasma.github.io/Logging_2305/klagomål/A 19437-2023 FSC-klagomål.docx", "A 19437-2023")</f>
        <v/>
      </c>
      <c r="W91">
        <f>HYPERLINK("https://klasma.github.io/Logging_2305/klagomålsmail/A 19437-2023 FSC-klagomål mail.docx", "A 19437-2023")</f>
        <v/>
      </c>
      <c r="X91">
        <f>HYPERLINK("https://klasma.github.io/Logging_2305/tillsyn/A 19437-2023 tillsynsbegäran.docx", "A 19437-2023")</f>
        <v/>
      </c>
      <c r="Y91">
        <f>HYPERLINK("https://klasma.github.io/Logging_2305/tillsynsmail/A 19437-2023 tillsynsbegäran mail.docx", "A 19437-2023")</f>
        <v/>
      </c>
    </row>
    <row r="92" ht="15" customHeight="1">
      <c r="A92" t="inlineStr">
        <is>
          <t>A 36456-2021</t>
        </is>
      </c>
      <c r="B92" s="1" t="n">
        <v>44390</v>
      </c>
      <c r="C92" s="1" t="n">
        <v>46193</v>
      </c>
      <c r="D92" t="inlineStr">
        <is>
          <t>JÄMTLANDS LÄN</t>
        </is>
      </c>
      <c r="E92" t="inlineStr">
        <is>
          <t>BRÄCKE</t>
        </is>
      </c>
      <c r="F92" t="inlineStr">
        <is>
          <t>SCA</t>
        </is>
      </c>
      <c r="G92" t="n">
        <v>2.7</v>
      </c>
      <c r="H92" t="n">
        <v>0</v>
      </c>
      <c r="I92" t="n">
        <v>1</v>
      </c>
      <c r="J92" t="n">
        <v>4</v>
      </c>
      <c r="K92" t="n">
        <v>1</v>
      </c>
      <c r="L92" t="n">
        <v>0</v>
      </c>
      <c r="M92" t="n">
        <v>0</v>
      </c>
      <c r="N92" t="n">
        <v>0</v>
      </c>
      <c r="O92" t="n">
        <v>5</v>
      </c>
      <c r="P92" t="n">
        <v>1</v>
      </c>
      <c r="Q92" t="n">
        <v>6</v>
      </c>
      <c r="R92" s="2" t="inlineStr">
        <is>
          <t>Garnlav
Kolflarnlav
Lunglav
Reliktbock
Skrovellav
Stuplav</t>
        </is>
      </c>
      <c r="S92">
        <f>HYPERLINK("https://klasma.github.io/Logging_2305/artfynd/A 36456-2021 artfynd.xlsx", "A 36456-2021")</f>
        <v/>
      </c>
      <c r="T92">
        <f>HYPERLINK("https://klasma.github.io/Logging_2305/kartor/A 36456-2021 karta.png", "A 36456-2021")</f>
        <v/>
      </c>
      <c r="V92">
        <f>HYPERLINK("https://klasma.github.io/Logging_2305/klagomål/A 36456-2021 FSC-klagomål.docx", "A 36456-2021")</f>
        <v/>
      </c>
      <c r="W92">
        <f>HYPERLINK("https://klasma.github.io/Logging_2305/klagomålsmail/A 36456-2021 FSC-klagomål mail.docx", "A 36456-2021")</f>
        <v/>
      </c>
      <c r="X92">
        <f>HYPERLINK("https://klasma.github.io/Logging_2305/tillsyn/A 36456-2021 tillsynsbegäran.docx", "A 36456-2021")</f>
        <v/>
      </c>
      <c r="Y92">
        <f>HYPERLINK("https://klasma.github.io/Logging_2305/tillsynsmail/A 36456-2021 tillsynsbegäran mail.docx", "A 36456-2021")</f>
        <v/>
      </c>
    </row>
    <row r="93" ht="15" customHeight="1">
      <c r="A93" t="inlineStr">
        <is>
          <t>A 43989-2023</t>
        </is>
      </c>
      <c r="B93" s="1" t="n">
        <v>45187</v>
      </c>
      <c r="C93" s="1" t="n">
        <v>46193</v>
      </c>
      <c r="D93" t="inlineStr">
        <is>
          <t>JÄMTLANDS LÄN</t>
        </is>
      </c>
      <c r="E93" t="inlineStr">
        <is>
          <t>BRÄCKE</t>
        </is>
      </c>
      <c r="F93" t="inlineStr">
        <is>
          <t>SCA</t>
        </is>
      </c>
      <c r="G93" t="n">
        <v>6.1</v>
      </c>
      <c r="H93" t="n">
        <v>5</v>
      </c>
      <c r="I93" t="n">
        <v>2</v>
      </c>
      <c r="J93" t="n">
        <v>2</v>
      </c>
      <c r="K93" t="n">
        <v>0</v>
      </c>
      <c r="L93" t="n">
        <v>0</v>
      </c>
      <c r="M93" t="n">
        <v>0</v>
      </c>
      <c r="N93" t="n">
        <v>0</v>
      </c>
      <c r="O93" t="n">
        <v>2</v>
      </c>
      <c r="P93" t="n">
        <v>0</v>
      </c>
      <c r="Q93" t="n">
        <v>6</v>
      </c>
      <c r="R93" s="2" t="inlineStr">
        <is>
          <t>Brunklöver
Rödvingetrast
Plattlummer
Spindelblomster
Fläcknycklar
Revlummer</t>
        </is>
      </c>
      <c r="S93">
        <f>HYPERLINK("https://klasma.github.io/Logging_2305/artfynd/A 43989-2023 artfynd.xlsx", "A 43989-2023")</f>
        <v/>
      </c>
      <c r="T93">
        <f>HYPERLINK("https://klasma.github.io/Logging_2305/kartor/A 43989-2023 karta.png", "A 43989-2023")</f>
        <v/>
      </c>
      <c r="V93">
        <f>HYPERLINK("https://klasma.github.io/Logging_2305/klagomål/A 43989-2023 FSC-klagomål.docx", "A 43989-2023")</f>
        <v/>
      </c>
      <c r="W93">
        <f>HYPERLINK("https://klasma.github.io/Logging_2305/klagomålsmail/A 43989-2023 FSC-klagomål mail.docx", "A 43989-2023")</f>
        <v/>
      </c>
      <c r="X93">
        <f>HYPERLINK("https://klasma.github.io/Logging_2305/tillsyn/A 43989-2023 tillsynsbegäran.docx", "A 43989-2023")</f>
        <v/>
      </c>
      <c r="Y93">
        <f>HYPERLINK("https://klasma.github.io/Logging_2305/tillsynsmail/A 43989-2023 tillsynsbegäran mail.docx", "A 43989-2023")</f>
        <v/>
      </c>
      <c r="Z93">
        <f>HYPERLINK("https://klasma.github.io/Logging_2305/fåglar/A 43989-2023 prioriterade fågelarter.docx", "A 43989-2023")</f>
        <v/>
      </c>
    </row>
    <row r="94" ht="15" customHeight="1">
      <c r="A94" t="inlineStr">
        <is>
          <t>A 15146-2024</t>
        </is>
      </c>
      <c r="B94" s="1" t="n">
        <v>45399</v>
      </c>
      <c r="C94" s="1" t="n">
        <v>46193</v>
      </c>
      <c r="D94" t="inlineStr">
        <is>
          <t>JÄMTLANDS LÄN</t>
        </is>
      </c>
      <c r="E94" t="inlineStr">
        <is>
          <t>BRÄCKE</t>
        </is>
      </c>
      <c r="F94" t="inlineStr">
        <is>
          <t>Naturvårdsverket</t>
        </is>
      </c>
      <c r="G94" t="n">
        <v>2.2</v>
      </c>
      <c r="H94" t="n">
        <v>0</v>
      </c>
      <c r="I94" t="n">
        <v>3</v>
      </c>
      <c r="J94" t="n">
        <v>2</v>
      </c>
      <c r="K94" t="n">
        <v>1</v>
      </c>
      <c r="L94" t="n">
        <v>0</v>
      </c>
      <c r="M94" t="n">
        <v>0</v>
      </c>
      <c r="N94" t="n">
        <v>0</v>
      </c>
      <c r="O94" t="n">
        <v>3</v>
      </c>
      <c r="P94" t="n">
        <v>1</v>
      </c>
      <c r="Q94" t="n">
        <v>6</v>
      </c>
      <c r="R94" s="2" t="inlineStr">
        <is>
          <t>Garnlav
Lunglav
Ullticka
Bårdlav
Korallblylav
Stuplav</t>
        </is>
      </c>
      <c r="S94">
        <f>HYPERLINK("https://klasma.github.io/Logging_2305/artfynd/A 15146-2024 artfynd.xlsx", "A 15146-2024")</f>
        <v/>
      </c>
      <c r="T94">
        <f>HYPERLINK("https://klasma.github.io/Logging_2305/kartor/A 15146-2024 karta.png", "A 15146-2024")</f>
        <v/>
      </c>
      <c r="V94">
        <f>HYPERLINK("https://klasma.github.io/Logging_2305/klagomål/A 15146-2024 FSC-klagomål.docx", "A 15146-2024")</f>
        <v/>
      </c>
      <c r="W94">
        <f>HYPERLINK("https://klasma.github.io/Logging_2305/klagomålsmail/A 15146-2024 FSC-klagomål mail.docx", "A 15146-2024")</f>
        <v/>
      </c>
      <c r="X94">
        <f>HYPERLINK("https://klasma.github.io/Logging_2305/tillsyn/A 15146-2024 tillsynsbegäran.docx", "A 15146-2024")</f>
        <v/>
      </c>
      <c r="Y94">
        <f>HYPERLINK("https://klasma.github.io/Logging_2305/tillsynsmail/A 15146-2024 tillsynsbegäran mail.docx", "A 15146-2024")</f>
        <v/>
      </c>
    </row>
    <row r="95" ht="15" customHeight="1">
      <c r="A95" t="inlineStr">
        <is>
          <t>A 35419-2024</t>
        </is>
      </c>
      <c r="B95" s="1" t="n">
        <v>45531</v>
      </c>
      <c r="C95" s="1" t="n">
        <v>46193</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14576-2024</t>
        </is>
      </c>
      <c r="B96" s="1" t="n">
        <v>45394</v>
      </c>
      <c r="C96" s="1" t="n">
        <v>46193</v>
      </c>
      <c r="D96" t="inlineStr">
        <is>
          <t>JÄMTLANDS LÄN</t>
        </is>
      </c>
      <c r="E96" t="inlineStr">
        <is>
          <t>BRÄCKE</t>
        </is>
      </c>
      <c r="F96" t="inlineStr">
        <is>
          <t>SCA</t>
        </is>
      </c>
      <c r="G96" t="n">
        <v>2.1</v>
      </c>
      <c r="H96" t="n">
        <v>0</v>
      </c>
      <c r="I96" t="n">
        <v>3</v>
      </c>
      <c r="J96" t="n">
        <v>3</v>
      </c>
      <c r="K96" t="n">
        <v>0</v>
      </c>
      <c r="L96" t="n">
        <v>0</v>
      </c>
      <c r="M96" t="n">
        <v>0</v>
      </c>
      <c r="N96" t="n">
        <v>0</v>
      </c>
      <c r="O96" t="n">
        <v>3</v>
      </c>
      <c r="P96" t="n">
        <v>0</v>
      </c>
      <c r="Q96" t="n">
        <v>6</v>
      </c>
      <c r="R96" s="2" t="inlineStr">
        <is>
          <t>Lunglav
Skrovellav
Ullticka
Korallblylav
Skinnlav
Stuplav</t>
        </is>
      </c>
      <c r="S96">
        <f>HYPERLINK("https://klasma.github.io/Logging_2305/artfynd/A 14576-2024 artfynd.xlsx", "A 14576-2024")</f>
        <v/>
      </c>
      <c r="T96">
        <f>HYPERLINK("https://klasma.github.io/Logging_2305/kartor/A 14576-2024 karta.png", "A 14576-2024")</f>
        <v/>
      </c>
      <c r="V96">
        <f>HYPERLINK("https://klasma.github.io/Logging_2305/klagomål/A 14576-2024 FSC-klagomål.docx", "A 14576-2024")</f>
        <v/>
      </c>
      <c r="W96">
        <f>HYPERLINK("https://klasma.github.io/Logging_2305/klagomålsmail/A 14576-2024 FSC-klagomål mail.docx", "A 14576-2024")</f>
        <v/>
      </c>
      <c r="X96">
        <f>HYPERLINK("https://klasma.github.io/Logging_2305/tillsyn/A 14576-2024 tillsynsbegäran.docx", "A 14576-2024")</f>
        <v/>
      </c>
      <c r="Y96">
        <f>HYPERLINK("https://klasma.github.io/Logging_2305/tillsynsmail/A 14576-2024 tillsynsbegäran mail.docx", "A 14576-2024")</f>
        <v/>
      </c>
    </row>
    <row r="97" ht="15" customHeight="1">
      <c r="A97" t="inlineStr">
        <is>
          <t>A 44934-2025</t>
        </is>
      </c>
      <c r="B97" s="1" t="n">
        <v>45918</v>
      </c>
      <c r="C97" s="1" t="n">
        <v>46193</v>
      </c>
      <c r="D97" t="inlineStr">
        <is>
          <t>JÄMTLANDS LÄN</t>
        </is>
      </c>
      <c r="E97" t="inlineStr">
        <is>
          <t>BRÄCKE</t>
        </is>
      </c>
      <c r="G97" t="n">
        <v>0.5</v>
      </c>
      <c r="H97" t="n">
        <v>0</v>
      </c>
      <c r="I97" t="n">
        <v>2</v>
      </c>
      <c r="J97" t="n">
        <v>3</v>
      </c>
      <c r="K97" t="n">
        <v>1</v>
      </c>
      <c r="L97" t="n">
        <v>0</v>
      </c>
      <c r="M97" t="n">
        <v>0</v>
      </c>
      <c r="N97" t="n">
        <v>0</v>
      </c>
      <c r="O97" t="n">
        <v>4</v>
      </c>
      <c r="P97" t="n">
        <v>1</v>
      </c>
      <c r="Q97" t="n">
        <v>6</v>
      </c>
      <c r="R97" s="2" t="inlineStr">
        <is>
          <t>Garnlav
Lunglav
Skrovellav
Vitgrynig nållav
Bollvitmossa
Trådfräken</t>
        </is>
      </c>
      <c r="S97">
        <f>HYPERLINK("https://klasma.github.io/Logging_2305/artfynd/A 44934-2025 artfynd.xlsx", "A 44934-2025")</f>
        <v/>
      </c>
      <c r="T97">
        <f>HYPERLINK("https://klasma.github.io/Logging_2305/kartor/A 44934-2025 karta.png", "A 44934-2025")</f>
        <v/>
      </c>
      <c r="V97">
        <f>HYPERLINK("https://klasma.github.io/Logging_2305/klagomål/A 44934-2025 FSC-klagomål.docx", "A 44934-2025")</f>
        <v/>
      </c>
      <c r="W97">
        <f>HYPERLINK("https://klasma.github.io/Logging_2305/klagomålsmail/A 44934-2025 FSC-klagomål mail.docx", "A 44934-2025")</f>
        <v/>
      </c>
      <c r="X97">
        <f>HYPERLINK("https://klasma.github.io/Logging_2305/tillsyn/A 44934-2025 tillsynsbegäran.docx", "A 44934-2025")</f>
        <v/>
      </c>
      <c r="Y97">
        <f>HYPERLINK("https://klasma.github.io/Logging_2305/tillsynsmail/A 44934-2025 tillsynsbegäran mail.docx", "A 44934-2025")</f>
        <v/>
      </c>
    </row>
    <row r="98" ht="15" customHeight="1">
      <c r="A98" t="inlineStr">
        <is>
          <t>A 20803-2026</t>
        </is>
      </c>
      <c r="B98" s="1" t="n">
        <v>46141</v>
      </c>
      <c r="C98" s="1" t="n">
        <v>46193</v>
      </c>
      <c r="D98" t="inlineStr">
        <is>
          <t>JÄMTLANDS LÄN</t>
        </is>
      </c>
      <c r="E98" t="inlineStr">
        <is>
          <t>BRÄCKE</t>
        </is>
      </c>
      <c r="F98" t="inlineStr">
        <is>
          <t>SCA</t>
        </is>
      </c>
      <c r="G98" t="n">
        <v>7.2</v>
      </c>
      <c r="H98" t="n">
        <v>0</v>
      </c>
      <c r="I98" t="n">
        <v>2</v>
      </c>
      <c r="J98" t="n">
        <v>4</v>
      </c>
      <c r="K98" t="n">
        <v>0</v>
      </c>
      <c r="L98" t="n">
        <v>0</v>
      </c>
      <c r="M98" t="n">
        <v>0</v>
      </c>
      <c r="N98" t="n">
        <v>0</v>
      </c>
      <c r="O98" t="n">
        <v>4</v>
      </c>
      <c r="P98" t="n">
        <v>0</v>
      </c>
      <c r="Q98" t="n">
        <v>6</v>
      </c>
      <c r="R98" s="2" t="inlineStr">
        <is>
          <t>Kolflarnlav
Lunglav
Skrovellav
Ullticka
Stuplav
Vedticka</t>
        </is>
      </c>
      <c r="S98">
        <f>HYPERLINK("https://klasma.github.io/Logging_2305/artfynd/A 20803-2026 artfynd.xlsx", "A 20803-2026")</f>
        <v/>
      </c>
      <c r="T98">
        <f>HYPERLINK("https://klasma.github.io/Logging_2305/kartor/A 20803-2026 karta.png", "A 20803-2026")</f>
        <v/>
      </c>
      <c r="V98">
        <f>HYPERLINK("https://klasma.github.io/Logging_2305/klagomål/A 20803-2026 FSC-klagomål.docx", "A 20803-2026")</f>
        <v/>
      </c>
      <c r="W98">
        <f>HYPERLINK("https://klasma.github.io/Logging_2305/klagomålsmail/A 20803-2026 FSC-klagomål mail.docx", "A 20803-2026")</f>
        <v/>
      </c>
      <c r="X98">
        <f>HYPERLINK("https://klasma.github.io/Logging_2305/tillsyn/A 20803-2026 tillsynsbegäran.docx", "A 20803-2026")</f>
        <v/>
      </c>
      <c r="Y98">
        <f>HYPERLINK("https://klasma.github.io/Logging_2305/tillsynsmail/A 20803-2026 tillsynsbegäran mail.docx", "A 20803-2026")</f>
        <v/>
      </c>
    </row>
    <row r="99" ht="15" customHeight="1">
      <c r="A99" t="inlineStr">
        <is>
          <t>A 56737-2025</t>
        </is>
      </c>
      <c r="B99" s="1" t="n">
        <v>45978</v>
      </c>
      <c r="C99" s="1" t="n">
        <v>46193</v>
      </c>
      <c r="D99" t="inlineStr">
        <is>
          <t>JÄMTLANDS LÄN</t>
        </is>
      </c>
      <c r="E99" t="inlineStr">
        <is>
          <t>BRÄCKE</t>
        </is>
      </c>
      <c r="F99" t="inlineStr">
        <is>
          <t>SCA</t>
        </is>
      </c>
      <c r="G99" t="n">
        <v>3.5</v>
      </c>
      <c r="H99" t="n">
        <v>0</v>
      </c>
      <c r="I99" t="n">
        <v>1</v>
      </c>
      <c r="J99" t="n">
        <v>4</v>
      </c>
      <c r="K99" t="n">
        <v>1</v>
      </c>
      <c r="L99" t="n">
        <v>0</v>
      </c>
      <c r="M99" t="n">
        <v>0</v>
      </c>
      <c r="N99" t="n">
        <v>0</v>
      </c>
      <c r="O99" t="n">
        <v>5</v>
      </c>
      <c r="P99" t="n">
        <v>1</v>
      </c>
      <c r="Q99" t="n">
        <v>6</v>
      </c>
      <c r="R99" s="2" t="inlineStr">
        <is>
          <t>Smultronkantarell
Blå taggsvamp
Dropptaggsvamp
Dvärgbägarlav
Reliktbock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18898-2025</t>
        </is>
      </c>
      <c r="B100" s="1" t="n">
        <v>45764</v>
      </c>
      <c r="C100" s="1" t="n">
        <v>46193</v>
      </c>
      <c r="D100" t="inlineStr">
        <is>
          <t>JÄMTLANDS LÄN</t>
        </is>
      </c>
      <c r="E100" t="inlineStr">
        <is>
          <t>BRÄCKE</t>
        </is>
      </c>
      <c r="F100" t="inlineStr">
        <is>
          <t>SCA</t>
        </is>
      </c>
      <c r="G100" t="n">
        <v>3.6</v>
      </c>
      <c r="H100" t="n">
        <v>3</v>
      </c>
      <c r="I100" t="n">
        <v>3</v>
      </c>
      <c r="J100" t="n">
        <v>1</v>
      </c>
      <c r="K100" t="n">
        <v>1</v>
      </c>
      <c r="L100" t="n">
        <v>0</v>
      </c>
      <c r="M100" t="n">
        <v>0</v>
      </c>
      <c r="N100" t="n">
        <v>0</v>
      </c>
      <c r="O100" t="n">
        <v>2</v>
      </c>
      <c r="P100" t="n">
        <v>1</v>
      </c>
      <c r="Q100" t="n">
        <v>6</v>
      </c>
      <c r="R100" s="2" t="inlineStr">
        <is>
          <t>Knärot
Lunglav
Korallblylav
Plattlummer
Skinnlav
Kungsfågel</t>
        </is>
      </c>
      <c r="S100">
        <f>HYPERLINK("https://klasma.github.io/Logging_2305/artfynd/A 18898-2025 artfynd.xlsx", "A 18898-2025")</f>
        <v/>
      </c>
      <c r="T100">
        <f>HYPERLINK("https://klasma.github.io/Logging_2305/kartor/A 18898-2025 karta.png", "A 18898-2025")</f>
        <v/>
      </c>
      <c r="U100">
        <f>HYPERLINK("https://klasma.github.io/Logging_2305/knärot/A 18898-2025 karta knärot.png", "A 18898-2025")</f>
        <v/>
      </c>
      <c r="V100">
        <f>HYPERLINK("https://klasma.github.io/Logging_2305/klagomål/A 18898-2025 FSC-klagomål.docx", "A 18898-2025")</f>
        <v/>
      </c>
      <c r="W100">
        <f>HYPERLINK("https://klasma.github.io/Logging_2305/klagomålsmail/A 18898-2025 FSC-klagomål mail.docx", "A 18898-2025")</f>
        <v/>
      </c>
      <c r="X100">
        <f>HYPERLINK("https://klasma.github.io/Logging_2305/tillsyn/A 18898-2025 tillsynsbegäran.docx", "A 18898-2025")</f>
        <v/>
      </c>
      <c r="Y100">
        <f>HYPERLINK("https://klasma.github.io/Logging_2305/tillsynsmail/A 18898-2025 tillsynsbegäran mail.docx", "A 18898-2025")</f>
        <v/>
      </c>
      <c r="Z100">
        <f>HYPERLINK("https://klasma.github.io/Logging_2305/fåglar/A 18898-2025 prioriterade fågelarter.docx", "A 18898-2025")</f>
        <v/>
      </c>
    </row>
    <row r="101" ht="15" customHeight="1">
      <c r="A101" t="inlineStr">
        <is>
          <t>A 47499-2023</t>
        </is>
      </c>
      <c r="B101" s="1" t="n">
        <v>45202</v>
      </c>
      <c r="C101" s="1" t="n">
        <v>46193</v>
      </c>
      <c r="D101" t="inlineStr">
        <is>
          <t>JÄMTLANDS LÄN</t>
        </is>
      </c>
      <c r="E101" t="inlineStr">
        <is>
          <t>BRÄCKE</t>
        </is>
      </c>
      <c r="F101" t="inlineStr">
        <is>
          <t>SCA</t>
        </is>
      </c>
      <c r="G101" t="n">
        <v>8.1</v>
      </c>
      <c r="H101" t="n">
        <v>2</v>
      </c>
      <c r="I101" t="n">
        <v>2</v>
      </c>
      <c r="J101" t="n">
        <v>3</v>
      </c>
      <c r="K101" t="n">
        <v>1</v>
      </c>
      <c r="L101" t="n">
        <v>0</v>
      </c>
      <c r="M101" t="n">
        <v>0</v>
      </c>
      <c r="N101" t="n">
        <v>0</v>
      </c>
      <c r="O101" t="n">
        <v>4</v>
      </c>
      <c r="P101" t="n">
        <v>1</v>
      </c>
      <c r="Q101" t="n">
        <v>6</v>
      </c>
      <c r="R101" s="2" t="inlineStr">
        <is>
          <t>Garnlav
Lunglav
Rosenticka
Ullticka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53280-2022</t>
        </is>
      </c>
      <c r="B102" s="1" t="n">
        <v>44876</v>
      </c>
      <c r="C102" s="1" t="n">
        <v>46193</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6</v>
      </c>
      <c r="R102" s="2" t="inlineStr">
        <is>
          <t>Kolflarnlav
Lunglav
Skinnlav
Spindelblomster
Stuplav
Järpe</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22307-2026</t>
        </is>
      </c>
      <c r="B103" s="1" t="n">
        <v>46154</v>
      </c>
      <c r="C103" s="1" t="n">
        <v>46193</v>
      </c>
      <c r="D103" t="inlineStr">
        <is>
          <t>JÄMTLANDS LÄN</t>
        </is>
      </c>
      <c r="E103" t="inlineStr">
        <is>
          <t>BRÄCKE</t>
        </is>
      </c>
      <c r="F103" t="inlineStr">
        <is>
          <t>SCA</t>
        </is>
      </c>
      <c r="G103" t="n">
        <v>4.6</v>
      </c>
      <c r="H103" t="n">
        <v>0</v>
      </c>
      <c r="I103" t="n">
        <v>1</v>
      </c>
      <c r="J103" t="n">
        <v>4</v>
      </c>
      <c r="K103" t="n">
        <v>1</v>
      </c>
      <c r="L103" t="n">
        <v>0</v>
      </c>
      <c r="M103" t="n">
        <v>0</v>
      </c>
      <c r="N103" t="n">
        <v>0</v>
      </c>
      <c r="O103" t="n">
        <v>5</v>
      </c>
      <c r="P103" t="n">
        <v>1</v>
      </c>
      <c r="Q103" t="n">
        <v>6</v>
      </c>
      <c r="R103" s="2" t="inlineStr">
        <is>
          <t>Garnlav
Kolflarnlav
Lunglav
Reliktbock
Skrovellav
Stuplav</t>
        </is>
      </c>
      <c r="S103">
        <f>HYPERLINK("https://klasma.github.io/Logging_2305/artfynd/A 22307-2026 artfynd.xlsx", "A 22307-2026")</f>
        <v/>
      </c>
      <c r="T103">
        <f>HYPERLINK("https://klasma.github.io/Logging_2305/kartor/A 22307-2026 karta.png", "A 22307-2026")</f>
        <v/>
      </c>
      <c r="V103">
        <f>HYPERLINK("https://klasma.github.io/Logging_2305/klagomål/A 22307-2026 FSC-klagomål.docx", "A 22307-2026")</f>
        <v/>
      </c>
      <c r="W103">
        <f>HYPERLINK("https://klasma.github.io/Logging_2305/klagomålsmail/A 22307-2026 FSC-klagomål mail.docx", "A 22307-2026")</f>
        <v/>
      </c>
      <c r="X103">
        <f>HYPERLINK("https://klasma.github.io/Logging_2305/tillsyn/A 22307-2026 tillsynsbegäran.docx", "A 22307-2026")</f>
        <v/>
      </c>
      <c r="Y103">
        <f>HYPERLINK("https://klasma.github.io/Logging_2305/tillsynsmail/A 22307-2026 tillsynsbegäran mail.docx", "A 22307-2026")</f>
        <v/>
      </c>
    </row>
    <row r="104" ht="15" customHeight="1">
      <c r="A104" t="inlineStr">
        <is>
          <t>A 12863-2024</t>
        </is>
      </c>
      <c r="B104" s="1" t="n">
        <v>45384</v>
      </c>
      <c r="C104" s="1" t="n">
        <v>46193</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45420-2022</t>
        </is>
      </c>
      <c r="B105" s="1" t="n">
        <v>44844</v>
      </c>
      <c r="C105" s="1" t="n">
        <v>46193</v>
      </c>
      <c r="D105" t="inlineStr">
        <is>
          <t>JÄMTLANDS LÄN</t>
        </is>
      </c>
      <c r="E105" t="inlineStr">
        <is>
          <t>BRÄCKE</t>
        </is>
      </c>
      <c r="F105" t="inlineStr">
        <is>
          <t>SCA</t>
        </is>
      </c>
      <c r="G105" t="n">
        <v>1.6</v>
      </c>
      <c r="H105" t="n">
        <v>1</v>
      </c>
      <c r="I105" t="n">
        <v>2</v>
      </c>
      <c r="J105" t="n">
        <v>3</v>
      </c>
      <c r="K105" t="n">
        <v>0</v>
      </c>
      <c r="L105" t="n">
        <v>0</v>
      </c>
      <c r="M105" t="n">
        <v>0</v>
      </c>
      <c r="N105" t="n">
        <v>0</v>
      </c>
      <c r="O105" t="n">
        <v>3</v>
      </c>
      <c r="P105" t="n">
        <v>0</v>
      </c>
      <c r="Q105" t="n">
        <v>5</v>
      </c>
      <c r="R105" s="2" t="inlineStr">
        <is>
          <t>Dropptaggsvamp
Talltita
Vitgrynig nållav
Rödgul trumpetsvamp
Svavelriska</t>
        </is>
      </c>
      <c r="S105">
        <f>HYPERLINK("https://klasma.github.io/Logging_2305/artfynd/A 45420-2022 artfynd.xlsx", "A 45420-2022")</f>
        <v/>
      </c>
      <c r="T105">
        <f>HYPERLINK("https://klasma.github.io/Logging_2305/kartor/A 45420-2022 karta.png", "A 45420-2022")</f>
        <v/>
      </c>
      <c r="V105">
        <f>HYPERLINK("https://klasma.github.io/Logging_2305/klagomål/A 45420-2022 FSC-klagomål.docx", "A 45420-2022")</f>
        <v/>
      </c>
      <c r="W105">
        <f>HYPERLINK("https://klasma.github.io/Logging_2305/klagomålsmail/A 45420-2022 FSC-klagomål mail.docx", "A 45420-2022")</f>
        <v/>
      </c>
      <c r="X105">
        <f>HYPERLINK("https://klasma.github.io/Logging_2305/tillsyn/A 45420-2022 tillsynsbegäran.docx", "A 45420-2022")</f>
        <v/>
      </c>
      <c r="Y105">
        <f>HYPERLINK("https://klasma.github.io/Logging_2305/tillsynsmail/A 45420-2022 tillsynsbegäran mail.docx", "A 45420-2022")</f>
        <v/>
      </c>
      <c r="Z105">
        <f>HYPERLINK("https://klasma.github.io/Logging_2305/fåglar/A 45420-2022 prioriterade fågelarter.docx", "A 45420-2022")</f>
        <v/>
      </c>
    </row>
    <row r="106" ht="15" customHeight="1">
      <c r="A106" t="inlineStr">
        <is>
          <t>A 33928-2022</t>
        </is>
      </c>
      <c r="B106" s="1" t="n">
        <v>44790</v>
      </c>
      <c r="C106" s="1" t="n">
        <v>46193</v>
      </c>
      <c r="D106" t="inlineStr">
        <is>
          <t>JÄMTLANDS LÄN</t>
        </is>
      </c>
      <c r="E106" t="inlineStr">
        <is>
          <t>BRÄCKE</t>
        </is>
      </c>
      <c r="G106" t="n">
        <v>5.3</v>
      </c>
      <c r="H106" t="n">
        <v>4</v>
      </c>
      <c r="I106" t="n">
        <v>3</v>
      </c>
      <c r="J106" t="n">
        <v>0</v>
      </c>
      <c r="K106" t="n">
        <v>0</v>
      </c>
      <c r="L106" t="n">
        <v>0</v>
      </c>
      <c r="M106" t="n">
        <v>0</v>
      </c>
      <c r="N106" t="n">
        <v>0</v>
      </c>
      <c r="O106" t="n">
        <v>0</v>
      </c>
      <c r="P106" t="n">
        <v>0</v>
      </c>
      <c r="Q106" t="n">
        <v>5</v>
      </c>
      <c r="R106" s="2" t="inlineStr">
        <is>
          <t>Gräsull
Korallrot
Tvåblad
Vanliga ängsnycklar
Revlummer</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26009-2024</t>
        </is>
      </c>
      <c r="B107" s="1" t="n">
        <v>45467</v>
      </c>
      <c r="C107" s="1" t="n">
        <v>46193</v>
      </c>
      <c r="D107" t="inlineStr">
        <is>
          <t>JÄMTLANDS LÄN</t>
        </is>
      </c>
      <c r="E107" t="inlineStr">
        <is>
          <t>BRÄCKE</t>
        </is>
      </c>
      <c r="F107" t="inlineStr">
        <is>
          <t>SCA</t>
        </is>
      </c>
      <c r="G107" t="n">
        <v>8.5</v>
      </c>
      <c r="H107" t="n">
        <v>3</v>
      </c>
      <c r="I107" t="n">
        <v>4</v>
      </c>
      <c r="J107" t="n">
        <v>0</v>
      </c>
      <c r="K107" t="n">
        <v>0</v>
      </c>
      <c r="L107" t="n">
        <v>0</v>
      </c>
      <c r="M107" t="n">
        <v>0</v>
      </c>
      <c r="N107" t="n">
        <v>0</v>
      </c>
      <c r="O107" t="n">
        <v>0</v>
      </c>
      <c r="P107" t="n">
        <v>0</v>
      </c>
      <c r="Q107" t="n">
        <v>5</v>
      </c>
      <c r="R107" s="2" t="inlineStr">
        <is>
          <t>Finbräken
Guckusko
Rödgul trumpetsvamp
Tvåblad
Fjällvråk</t>
        </is>
      </c>
      <c r="S107">
        <f>HYPERLINK("https://klasma.github.io/Logging_2305/artfynd/A 26009-2024 artfynd.xlsx", "A 26009-2024")</f>
        <v/>
      </c>
      <c r="T107">
        <f>HYPERLINK("https://klasma.github.io/Logging_2305/kartor/A 26009-2024 karta.png", "A 26009-2024")</f>
        <v/>
      </c>
      <c r="V107">
        <f>HYPERLINK("https://klasma.github.io/Logging_2305/klagomål/A 26009-2024 FSC-klagomål.docx", "A 26009-2024")</f>
        <v/>
      </c>
      <c r="W107">
        <f>HYPERLINK("https://klasma.github.io/Logging_2305/klagomålsmail/A 26009-2024 FSC-klagomål mail.docx", "A 26009-2024")</f>
        <v/>
      </c>
      <c r="X107">
        <f>HYPERLINK("https://klasma.github.io/Logging_2305/tillsyn/A 26009-2024 tillsynsbegäran.docx", "A 26009-2024")</f>
        <v/>
      </c>
      <c r="Y107">
        <f>HYPERLINK("https://klasma.github.io/Logging_2305/tillsynsmail/A 26009-2024 tillsynsbegäran mail.docx", "A 26009-2024")</f>
        <v/>
      </c>
      <c r="Z107">
        <f>HYPERLINK("https://klasma.github.io/Logging_2305/fåglar/A 26009-2024 prioriterade fågelarter.docx", "A 26009-2024")</f>
        <v/>
      </c>
    </row>
    <row r="108" ht="15" customHeight="1">
      <c r="A108" t="inlineStr">
        <is>
          <t>A 23246-2025</t>
        </is>
      </c>
      <c r="B108" s="1" t="n">
        <v>45791</v>
      </c>
      <c r="C108" s="1" t="n">
        <v>46193</v>
      </c>
      <c r="D108" t="inlineStr">
        <is>
          <t>JÄMTLANDS LÄN</t>
        </is>
      </c>
      <c r="E108" t="inlineStr">
        <is>
          <t>BRÄCKE</t>
        </is>
      </c>
      <c r="F108" t="inlineStr">
        <is>
          <t>SCA</t>
        </is>
      </c>
      <c r="G108" t="n">
        <v>4.2</v>
      </c>
      <c r="H108" t="n">
        <v>0</v>
      </c>
      <c r="I108" t="n">
        <v>1</v>
      </c>
      <c r="J108" t="n">
        <v>3</v>
      </c>
      <c r="K108" t="n">
        <v>1</v>
      </c>
      <c r="L108" t="n">
        <v>0</v>
      </c>
      <c r="M108" t="n">
        <v>0</v>
      </c>
      <c r="N108" t="n">
        <v>0</v>
      </c>
      <c r="O108" t="n">
        <v>4</v>
      </c>
      <c r="P108" t="n">
        <v>1</v>
      </c>
      <c r="Q108" t="n">
        <v>5</v>
      </c>
      <c r="R108" s="2" t="inlineStr">
        <is>
          <t>Garnlav
Lunglav
Ullticka
Vedtrappmossa
Bårdlav</t>
        </is>
      </c>
      <c r="S108">
        <f>HYPERLINK("https://klasma.github.io/Logging_2305/artfynd/A 23246-2025 artfynd.xlsx", "A 23246-2025")</f>
        <v/>
      </c>
      <c r="T108">
        <f>HYPERLINK("https://klasma.github.io/Logging_2305/kartor/A 23246-2025 karta.png", "A 23246-2025")</f>
        <v/>
      </c>
      <c r="V108">
        <f>HYPERLINK("https://klasma.github.io/Logging_2305/klagomål/A 23246-2025 FSC-klagomål.docx", "A 23246-2025")</f>
        <v/>
      </c>
      <c r="W108">
        <f>HYPERLINK("https://klasma.github.io/Logging_2305/klagomålsmail/A 23246-2025 FSC-klagomål mail.docx", "A 23246-2025")</f>
        <v/>
      </c>
      <c r="X108">
        <f>HYPERLINK("https://klasma.github.io/Logging_2305/tillsyn/A 23246-2025 tillsynsbegäran.docx", "A 23246-2025")</f>
        <v/>
      </c>
      <c r="Y108">
        <f>HYPERLINK("https://klasma.github.io/Logging_2305/tillsynsmail/A 23246-2025 tillsynsbegäran mail.docx", "A 23246-2025")</f>
        <v/>
      </c>
    </row>
    <row r="109" ht="15" customHeight="1">
      <c r="A109" t="inlineStr">
        <is>
          <t>A 23854-2025</t>
        </is>
      </c>
      <c r="B109" s="1" t="n">
        <v>45793</v>
      </c>
      <c r="C109" s="1" t="n">
        <v>46193</v>
      </c>
      <c r="D109" t="inlineStr">
        <is>
          <t>JÄMTLANDS LÄN</t>
        </is>
      </c>
      <c r="E109" t="inlineStr">
        <is>
          <t>BRÄCKE</t>
        </is>
      </c>
      <c r="F109" t="inlineStr">
        <is>
          <t>SCA</t>
        </is>
      </c>
      <c r="G109" t="n">
        <v>4.5</v>
      </c>
      <c r="H109" t="n">
        <v>2</v>
      </c>
      <c r="I109" t="n">
        <v>1</v>
      </c>
      <c r="J109" t="n">
        <v>1</v>
      </c>
      <c r="K109" t="n">
        <v>1</v>
      </c>
      <c r="L109" t="n">
        <v>0</v>
      </c>
      <c r="M109" t="n">
        <v>0</v>
      </c>
      <c r="N109" t="n">
        <v>0</v>
      </c>
      <c r="O109" t="n">
        <v>2</v>
      </c>
      <c r="P109" t="n">
        <v>1</v>
      </c>
      <c r="Q109" t="n">
        <v>5</v>
      </c>
      <c r="R109" s="2" t="inlineStr">
        <is>
          <t>Garnlav
Skuggblåslav
Kransrams
Järpe
Tjäder</t>
        </is>
      </c>
      <c r="S109">
        <f>HYPERLINK("https://klasma.github.io/Logging_2305/artfynd/A 23854-2025 artfynd.xlsx", "A 23854-2025")</f>
        <v/>
      </c>
      <c r="T109">
        <f>HYPERLINK("https://klasma.github.io/Logging_2305/kartor/A 23854-2025 karta.png", "A 23854-2025")</f>
        <v/>
      </c>
      <c r="V109">
        <f>HYPERLINK("https://klasma.github.io/Logging_2305/klagomål/A 23854-2025 FSC-klagomål.docx", "A 23854-2025")</f>
        <v/>
      </c>
      <c r="W109">
        <f>HYPERLINK("https://klasma.github.io/Logging_2305/klagomålsmail/A 23854-2025 FSC-klagomål mail.docx", "A 23854-2025")</f>
        <v/>
      </c>
      <c r="X109">
        <f>HYPERLINK("https://klasma.github.io/Logging_2305/tillsyn/A 23854-2025 tillsynsbegäran.docx", "A 23854-2025")</f>
        <v/>
      </c>
      <c r="Y109">
        <f>HYPERLINK("https://klasma.github.io/Logging_2305/tillsynsmail/A 23854-2025 tillsynsbegäran mail.docx", "A 23854-2025")</f>
        <v/>
      </c>
      <c r="Z109">
        <f>HYPERLINK("https://klasma.github.io/Logging_2305/fåglar/A 23854-2025 prioriterade fågelarter.docx", "A 23854-2025")</f>
        <v/>
      </c>
    </row>
    <row r="110" ht="15" customHeight="1">
      <c r="A110" t="inlineStr">
        <is>
          <t>A 31592-2025</t>
        </is>
      </c>
      <c r="B110" s="1" t="n">
        <v>45833</v>
      </c>
      <c r="C110" s="1" t="n">
        <v>46193</v>
      </c>
      <c r="D110" t="inlineStr">
        <is>
          <t>JÄMTLANDS LÄN</t>
        </is>
      </c>
      <c r="E110" t="inlineStr">
        <is>
          <t>BRÄCKE</t>
        </is>
      </c>
      <c r="F110" t="inlineStr">
        <is>
          <t>SCA</t>
        </is>
      </c>
      <c r="G110" t="n">
        <v>4.2</v>
      </c>
      <c r="H110" t="n">
        <v>0</v>
      </c>
      <c r="I110" t="n">
        <v>0</v>
      </c>
      <c r="J110" t="n">
        <v>5</v>
      </c>
      <c r="K110" t="n">
        <v>0</v>
      </c>
      <c r="L110" t="n">
        <v>0</v>
      </c>
      <c r="M110" t="n">
        <v>0</v>
      </c>
      <c r="N110" t="n">
        <v>0</v>
      </c>
      <c r="O110" t="n">
        <v>5</v>
      </c>
      <c r="P110" t="n">
        <v>0</v>
      </c>
      <c r="Q110" t="n">
        <v>5</v>
      </c>
      <c r="R110" s="2" t="inlineStr">
        <is>
          <t>Grantaggsvamp
Kryddspindling
Lunglav
Rosenticka
Ullticka</t>
        </is>
      </c>
      <c r="S110">
        <f>HYPERLINK("https://klasma.github.io/Logging_2305/artfynd/A 31592-2025 artfynd.xlsx", "A 31592-2025")</f>
        <v/>
      </c>
      <c r="T110">
        <f>HYPERLINK("https://klasma.github.io/Logging_2305/kartor/A 31592-2025 karta.png", "A 31592-2025")</f>
        <v/>
      </c>
      <c r="V110">
        <f>HYPERLINK("https://klasma.github.io/Logging_2305/klagomål/A 31592-2025 FSC-klagomål.docx", "A 31592-2025")</f>
        <v/>
      </c>
      <c r="W110">
        <f>HYPERLINK("https://klasma.github.io/Logging_2305/klagomålsmail/A 31592-2025 FSC-klagomål mail.docx", "A 31592-2025")</f>
        <v/>
      </c>
      <c r="X110">
        <f>HYPERLINK("https://klasma.github.io/Logging_2305/tillsyn/A 31592-2025 tillsynsbegäran.docx", "A 31592-2025")</f>
        <v/>
      </c>
      <c r="Y110">
        <f>HYPERLINK("https://klasma.github.io/Logging_2305/tillsynsmail/A 31592-2025 tillsynsbegäran mail.docx", "A 31592-2025")</f>
        <v/>
      </c>
    </row>
    <row r="111" ht="15" customHeight="1">
      <c r="A111" t="inlineStr">
        <is>
          <t>A 34748-2025</t>
        </is>
      </c>
      <c r="B111" s="1" t="n">
        <v>45848</v>
      </c>
      <c r="C111" s="1" t="n">
        <v>46193</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57076-2024</t>
        </is>
      </c>
      <c r="B112" s="1" t="n">
        <v>45629</v>
      </c>
      <c r="C112" s="1" t="n">
        <v>46193</v>
      </c>
      <c r="D112" t="inlineStr">
        <is>
          <t>JÄMTLANDS LÄN</t>
        </is>
      </c>
      <c r="E112" t="inlineStr">
        <is>
          <t>BRÄCKE</t>
        </is>
      </c>
      <c r="F112" t="inlineStr">
        <is>
          <t>SCA</t>
        </is>
      </c>
      <c r="G112" t="n">
        <v>1.3</v>
      </c>
      <c r="H112" t="n">
        <v>2</v>
      </c>
      <c r="I112" t="n">
        <v>2</v>
      </c>
      <c r="J112" t="n">
        <v>2</v>
      </c>
      <c r="K112" t="n">
        <v>1</v>
      </c>
      <c r="L112" t="n">
        <v>0</v>
      </c>
      <c r="M112" t="n">
        <v>0</v>
      </c>
      <c r="N112" t="n">
        <v>0</v>
      </c>
      <c r="O112" t="n">
        <v>3</v>
      </c>
      <c r="P112" t="n">
        <v>1</v>
      </c>
      <c r="Q112" t="n">
        <v>5</v>
      </c>
      <c r="R112" s="2" t="inlineStr">
        <is>
          <t>Knärot
Lunglav
Tretåig hackspett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c r="Z112">
        <f>HYPERLINK("https://klasma.github.io/Logging_2305/fåglar/A 57076-2024 prioriterade fågelarter.docx", "A 57076-2024")</f>
        <v/>
      </c>
    </row>
    <row r="113" ht="15" customHeight="1">
      <c r="A113" t="inlineStr">
        <is>
          <t>A 29464-2024</t>
        </is>
      </c>
      <c r="B113" s="1" t="n">
        <v>45483</v>
      </c>
      <c r="C113" s="1" t="n">
        <v>46193</v>
      </c>
      <c r="D113" t="inlineStr">
        <is>
          <t>JÄMTLANDS LÄN</t>
        </is>
      </c>
      <c r="E113" t="inlineStr">
        <is>
          <t>BRÄCKE</t>
        </is>
      </c>
      <c r="F113" t="inlineStr">
        <is>
          <t>SCA</t>
        </is>
      </c>
      <c r="G113" t="n">
        <v>4</v>
      </c>
      <c r="H113" t="n">
        <v>0</v>
      </c>
      <c r="I113" t="n">
        <v>1</v>
      </c>
      <c r="J113" t="n">
        <v>3</v>
      </c>
      <c r="K113" t="n">
        <v>1</v>
      </c>
      <c r="L113" t="n">
        <v>0</v>
      </c>
      <c r="M113" t="n">
        <v>0</v>
      </c>
      <c r="N113" t="n">
        <v>0</v>
      </c>
      <c r="O113" t="n">
        <v>4</v>
      </c>
      <c r="P113" t="n">
        <v>1</v>
      </c>
      <c r="Q113" t="n">
        <v>5</v>
      </c>
      <c r="R113" s="2" t="inlineStr">
        <is>
          <t>Garnlav
Gammelgransskål
Kolflarnlav
Lunglav
Stuplav</t>
        </is>
      </c>
      <c r="S113">
        <f>HYPERLINK("https://klasma.github.io/Logging_2305/artfynd/A 29464-2024 artfynd.xlsx", "A 29464-2024")</f>
        <v/>
      </c>
      <c r="T113">
        <f>HYPERLINK("https://klasma.github.io/Logging_2305/kartor/A 29464-2024 karta.png", "A 29464-2024")</f>
        <v/>
      </c>
      <c r="V113">
        <f>HYPERLINK("https://klasma.github.io/Logging_2305/klagomål/A 29464-2024 FSC-klagomål.docx", "A 29464-2024")</f>
        <v/>
      </c>
      <c r="W113">
        <f>HYPERLINK("https://klasma.github.io/Logging_2305/klagomålsmail/A 29464-2024 FSC-klagomål mail.docx", "A 29464-2024")</f>
        <v/>
      </c>
      <c r="X113">
        <f>HYPERLINK("https://klasma.github.io/Logging_2305/tillsyn/A 29464-2024 tillsynsbegäran.docx", "A 29464-2024")</f>
        <v/>
      </c>
      <c r="Y113">
        <f>HYPERLINK("https://klasma.github.io/Logging_2305/tillsynsmail/A 29464-2024 tillsynsbegäran mail.docx", "A 29464-2024")</f>
        <v/>
      </c>
    </row>
    <row r="114" ht="15" customHeight="1">
      <c r="A114" t="inlineStr">
        <is>
          <t>A 59719-2024</t>
        </is>
      </c>
      <c r="B114" s="1" t="n">
        <v>45639</v>
      </c>
      <c r="C114" s="1" t="n">
        <v>46193</v>
      </c>
      <c r="D114" t="inlineStr">
        <is>
          <t>JÄMTLANDS LÄN</t>
        </is>
      </c>
      <c r="E114" t="inlineStr">
        <is>
          <t>BRÄCKE</t>
        </is>
      </c>
      <c r="F114" t="inlineStr">
        <is>
          <t>SCA</t>
        </is>
      </c>
      <c r="G114" t="n">
        <v>1.8</v>
      </c>
      <c r="H114" t="n">
        <v>1</v>
      </c>
      <c r="I114" t="n">
        <v>2</v>
      </c>
      <c r="J114" t="n">
        <v>3</v>
      </c>
      <c r="K114" t="n">
        <v>0</v>
      </c>
      <c r="L114" t="n">
        <v>0</v>
      </c>
      <c r="M114" t="n">
        <v>0</v>
      </c>
      <c r="N114" t="n">
        <v>0</v>
      </c>
      <c r="O114" t="n">
        <v>3</v>
      </c>
      <c r="P114" t="n">
        <v>0</v>
      </c>
      <c r="Q114" t="n">
        <v>5</v>
      </c>
      <c r="R114" s="2" t="inlineStr">
        <is>
          <t>Lunglav
Tretåig hackspett
Ullticka
Trådticka
Vedticka</t>
        </is>
      </c>
      <c r="S114">
        <f>HYPERLINK("https://klasma.github.io/Logging_2305/artfynd/A 59719-2024 artfynd.xlsx", "A 59719-2024")</f>
        <v/>
      </c>
      <c r="T114">
        <f>HYPERLINK("https://klasma.github.io/Logging_2305/kartor/A 59719-2024 karta.png", "A 59719-2024")</f>
        <v/>
      </c>
      <c r="V114">
        <f>HYPERLINK("https://klasma.github.io/Logging_2305/klagomål/A 59719-2024 FSC-klagomål.docx", "A 59719-2024")</f>
        <v/>
      </c>
      <c r="W114">
        <f>HYPERLINK("https://klasma.github.io/Logging_2305/klagomålsmail/A 59719-2024 FSC-klagomål mail.docx", "A 59719-2024")</f>
        <v/>
      </c>
      <c r="X114">
        <f>HYPERLINK("https://klasma.github.io/Logging_2305/tillsyn/A 59719-2024 tillsynsbegäran.docx", "A 59719-2024")</f>
        <v/>
      </c>
      <c r="Y114">
        <f>HYPERLINK("https://klasma.github.io/Logging_2305/tillsynsmail/A 59719-2024 tillsynsbegäran mail.docx", "A 59719-2024")</f>
        <v/>
      </c>
      <c r="Z114">
        <f>HYPERLINK("https://klasma.github.io/Logging_2305/fåglar/A 59719-2024 prioriterade fågelarter.docx", "A 59719-2024")</f>
        <v/>
      </c>
    </row>
    <row r="115" ht="15" customHeight="1">
      <c r="A115" t="inlineStr">
        <is>
          <t>A 37707-2025</t>
        </is>
      </c>
      <c r="B115" s="1" t="n">
        <v>45880</v>
      </c>
      <c r="C115" s="1" t="n">
        <v>46193</v>
      </c>
      <c r="D115" t="inlineStr">
        <is>
          <t>JÄMTLANDS LÄN</t>
        </is>
      </c>
      <c r="E115" t="inlineStr">
        <is>
          <t>BRÄCKE</t>
        </is>
      </c>
      <c r="G115" t="n">
        <v>6.6</v>
      </c>
      <c r="H115" t="n">
        <v>0</v>
      </c>
      <c r="I115" t="n">
        <v>0</v>
      </c>
      <c r="J115" t="n">
        <v>5</v>
      </c>
      <c r="K115" t="n">
        <v>0</v>
      </c>
      <c r="L115" t="n">
        <v>0</v>
      </c>
      <c r="M115" t="n">
        <v>0</v>
      </c>
      <c r="N115" t="n">
        <v>0</v>
      </c>
      <c r="O115" t="n">
        <v>5</v>
      </c>
      <c r="P115" t="n">
        <v>0</v>
      </c>
      <c r="Q115" t="n">
        <v>5</v>
      </c>
      <c r="R115" s="2" t="inlineStr">
        <is>
          <t>Dvärgbägarlav
Mörk kolflarnlav
Reliktbock
Vaddporing
Vedflamlav</t>
        </is>
      </c>
      <c r="S115">
        <f>HYPERLINK("https://klasma.github.io/Logging_2305/artfynd/A 37707-2025 artfynd.xlsx", "A 37707-2025")</f>
        <v/>
      </c>
      <c r="T115">
        <f>HYPERLINK("https://klasma.github.io/Logging_2305/kartor/A 37707-2025 karta.png", "A 37707-2025")</f>
        <v/>
      </c>
      <c r="V115">
        <f>HYPERLINK("https://klasma.github.io/Logging_2305/klagomål/A 37707-2025 FSC-klagomål.docx", "A 37707-2025")</f>
        <v/>
      </c>
      <c r="W115">
        <f>HYPERLINK("https://klasma.github.io/Logging_2305/klagomålsmail/A 37707-2025 FSC-klagomål mail.docx", "A 37707-2025")</f>
        <v/>
      </c>
      <c r="X115">
        <f>HYPERLINK("https://klasma.github.io/Logging_2305/tillsyn/A 37707-2025 tillsynsbegäran.docx", "A 37707-2025")</f>
        <v/>
      </c>
      <c r="Y115">
        <f>HYPERLINK("https://klasma.github.io/Logging_2305/tillsynsmail/A 37707-2025 tillsynsbegäran mail.docx", "A 37707-2025")</f>
        <v/>
      </c>
    </row>
    <row r="116" ht="15" customHeight="1">
      <c r="A116" t="inlineStr">
        <is>
          <t>A 48779-2023</t>
        </is>
      </c>
      <c r="B116" s="1" t="n">
        <v>45208</v>
      </c>
      <c r="C116" s="1" t="n">
        <v>46193</v>
      </c>
      <c r="D116" t="inlineStr">
        <is>
          <t>JÄMTLANDS LÄN</t>
        </is>
      </c>
      <c r="E116" t="inlineStr">
        <is>
          <t>BRÄCKE</t>
        </is>
      </c>
      <c r="F116" t="inlineStr">
        <is>
          <t>Naturvårdsverket</t>
        </is>
      </c>
      <c r="G116" t="n">
        <v>5.4</v>
      </c>
      <c r="H116" t="n">
        <v>1</v>
      </c>
      <c r="I116" t="n">
        <v>0</v>
      </c>
      <c r="J116" t="n">
        <v>4</v>
      </c>
      <c r="K116" t="n">
        <v>1</v>
      </c>
      <c r="L116" t="n">
        <v>0</v>
      </c>
      <c r="M116" t="n">
        <v>0</v>
      </c>
      <c r="N116" t="n">
        <v>0</v>
      </c>
      <c r="O116" t="n">
        <v>5</v>
      </c>
      <c r="P116" t="n">
        <v>1</v>
      </c>
      <c r="Q116" t="n">
        <v>5</v>
      </c>
      <c r="R116" s="2" t="inlineStr">
        <is>
          <t>Knärot
Blå taggsvamp
Grantaggsvamp
Orange taggsvamp
Stjärntagging</t>
        </is>
      </c>
      <c r="S116">
        <f>HYPERLINK("https://klasma.github.io/Logging_2305/artfynd/A 48779-2023 artfynd.xlsx", "A 48779-2023")</f>
        <v/>
      </c>
      <c r="T116">
        <f>HYPERLINK("https://klasma.github.io/Logging_2305/kartor/A 48779-2023 karta.png", "A 48779-2023")</f>
        <v/>
      </c>
      <c r="U116">
        <f>HYPERLINK("https://klasma.github.io/Logging_2305/knärot/A 48779-2023 karta knärot.png", "A 48779-2023")</f>
        <v/>
      </c>
      <c r="V116">
        <f>HYPERLINK("https://klasma.github.io/Logging_2305/klagomål/A 48779-2023 FSC-klagomål.docx", "A 48779-2023")</f>
        <v/>
      </c>
      <c r="W116">
        <f>HYPERLINK("https://klasma.github.io/Logging_2305/klagomålsmail/A 48779-2023 FSC-klagomål mail.docx", "A 48779-2023")</f>
        <v/>
      </c>
      <c r="X116">
        <f>HYPERLINK("https://klasma.github.io/Logging_2305/tillsyn/A 48779-2023 tillsynsbegäran.docx", "A 48779-2023")</f>
        <v/>
      </c>
      <c r="Y116">
        <f>HYPERLINK("https://klasma.github.io/Logging_2305/tillsynsmail/A 48779-2023 tillsynsbegäran mail.docx", "A 48779-2023")</f>
        <v/>
      </c>
    </row>
    <row r="117" ht="15" customHeight="1">
      <c r="A117" t="inlineStr">
        <is>
          <t>A 9406-2026</t>
        </is>
      </c>
      <c r="B117" s="1" t="n">
        <v>46071</v>
      </c>
      <c r="C117" s="1" t="n">
        <v>46193</v>
      </c>
      <c r="D117" t="inlineStr">
        <is>
          <t>JÄMTLANDS LÄN</t>
        </is>
      </c>
      <c r="E117" t="inlineStr">
        <is>
          <t>BRÄCKE</t>
        </is>
      </c>
      <c r="F117" t="inlineStr">
        <is>
          <t>SCA</t>
        </is>
      </c>
      <c r="G117" t="n">
        <v>1.5</v>
      </c>
      <c r="H117" t="n">
        <v>3</v>
      </c>
      <c r="I117" t="n">
        <v>0</v>
      </c>
      <c r="J117" t="n">
        <v>2</v>
      </c>
      <c r="K117" t="n">
        <v>2</v>
      </c>
      <c r="L117" t="n">
        <v>0</v>
      </c>
      <c r="M117" t="n">
        <v>0</v>
      </c>
      <c r="N117" t="n">
        <v>0</v>
      </c>
      <c r="O117" t="n">
        <v>4</v>
      </c>
      <c r="P117" t="n">
        <v>2</v>
      </c>
      <c r="Q117" t="n">
        <v>5</v>
      </c>
      <c r="R117" s="2" t="inlineStr">
        <is>
          <t>Garnlav
Knärot
Tretåig hackspett
Ullticka
Blåsippa</t>
        </is>
      </c>
      <c r="S117">
        <f>HYPERLINK("https://klasma.github.io/Logging_2305/artfynd/A 9406-2026 artfynd.xlsx", "A 9406-2026")</f>
        <v/>
      </c>
      <c r="T117">
        <f>HYPERLINK("https://klasma.github.io/Logging_2305/kartor/A 9406-2026 karta.png", "A 9406-2026")</f>
        <v/>
      </c>
      <c r="U117">
        <f>HYPERLINK("https://klasma.github.io/Logging_2305/knärot/A 9406-2026 karta knärot.png", "A 9406-2026")</f>
        <v/>
      </c>
      <c r="V117">
        <f>HYPERLINK("https://klasma.github.io/Logging_2305/klagomål/A 9406-2026 FSC-klagomål.docx", "A 9406-2026")</f>
        <v/>
      </c>
      <c r="W117">
        <f>HYPERLINK("https://klasma.github.io/Logging_2305/klagomålsmail/A 9406-2026 FSC-klagomål mail.docx", "A 9406-2026")</f>
        <v/>
      </c>
      <c r="X117">
        <f>HYPERLINK("https://klasma.github.io/Logging_2305/tillsyn/A 9406-2026 tillsynsbegäran.docx", "A 9406-2026")</f>
        <v/>
      </c>
      <c r="Y117">
        <f>HYPERLINK("https://klasma.github.io/Logging_2305/tillsynsmail/A 9406-2026 tillsynsbegäran mail.docx", "A 9406-2026")</f>
        <v/>
      </c>
      <c r="Z117">
        <f>HYPERLINK("https://klasma.github.io/Logging_2305/fåglar/A 9406-2026 prioriterade fågelarter.docx", "A 9406-2026")</f>
        <v/>
      </c>
    </row>
    <row r="118" ht="15" customHeight="1">
      <c r="A118" t="inlineStr">
        <is>
          <t>A 42105-2024</t>
        </is>
      </c>
      <c r="B118" s="1" t="n">
        <v>45562</v>
      </c>
      <c r="C118" s="1" t="n">
        <v>46193</v>
      </c>
      <c r="D118" t="inlineStr">
        <is>
          <t>JÄMTLANDS LÄN</t>
        </is>
      </c>
      <c r="E118" t="inlineStr">
        <is>
          <t>BRÄCKE</t>
        </is>
      </c>
      <c r="F118" t="inlineStr">
        <is>
          <t>SCA</t>
        </is>
      </c>
      <c r="G118" t="n">
        <v>2.2</v>
      </c>
      <c r="H118" t="n">
        <v>0</v>
      </c>
      <c r="I118" t="n">
        <v>0</v>
      </c>
      <c r="J118" t="n">
        <v>4</v>
      </c>
      <c r="K118" t="n">
        <v>1</v>
      </c>
      <c r="L118" t="n">
        <v>0</v>
      </c>
      <c r="M118" t="n">
        <v>0</v>
      </c>
      <c r="N118" t="n">
        <v>0</v>
      </c>
      <c r="O118" t="n">
        <v>5</v>
      </c>
      <c r="P118" t="n">
        <v>1</v>
      </c>
      <c r="Q118" t="n">
        <v>5</v>
      </c>
      <c r="R118" s="2" t="inlineStr">
        <is>
          <t>Gränsticka
Mörk kolflarnlav
Ullticka
Vedflamlav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30607-2022</t>
        </is>
      </c>
      <c r="B119" s="1" t="n">
        <v>44762</v>
      </c>
      <c r="C119" s="1" t="n">
        <v>46193</v>
      </c>
      <c r="D119" t="inlineStr">
        <is>
          <t>JÄMTLANDS LÄN</t>
        </is>
      </c>
      <c r="E119" t="inlineStr">
        <is>
          <t>BRÄCKE</t>
        </is>
      </c>
      <c r="F119" t="inlineStr">
        <is>
          <t>SCA</t>
        </is>
      </c>
      <c r="G119" t="n">
        <v>1</v>
      </c>
      <c r="H119" t="n">
        <v>2</v>
      </c>
      <c r="I119" t="n">
        <v>0</v>
      </c>
      <c r="J119" t="n">
        <v>1</v>
      </c>
      <c r="K119" t="n">
        <v>2</v>
      </c>
      <c r="L119" t="n">
        <v>0</v>
      </c>
      <c r="M119" t="n">
        <v>0</v>
      </c>
      <c r="N119" t="n">
        <v>0</v>
      </c>
      <c r="O119" t="n">
        <v>3</v>
      </c>
      <c r="P119" t="n">
        <v>2</v>
      </c>
      <c r="Q119" t="n">
        <v>4</v>
      </c>
      <c r="R119" s="2" t="inlineStr">
        <is>
          <t>Bredbrämad bastardsvärmare
Violett guldvinge
Brunklöver
Fläcknycklar</t>
        </is>
      </c>
      <c r="S119">
        <f>HYPERLINK("https://klasma.github.io/Logging_2305/artfynd/A 30607-2022 artfynd.xlsx", "A 30607-2022")</f>
        <v/>
      </c>
      <c r="T119">
        <f>HYPERLINK("https://klasma.github.io/Logging_2305/kartor/A 30607-2022 karta.png", "A 30607-2022")</f>
        <v/>
      </c>
      <c r="V119">
        <f>HYPERLINK("https://klasma.github.io/Logging_2305/klagomål/A 30607-2022 FSC-klagomål.docx", "A 30607-2022")</f>
        <v/>
      </c>
      <c r="W119">
        <f>HYPERLINK("https://klasma.github.io/Logging_2305/klagomålsmail/A 30607-2022 FSC-klagomål mail.docx", "A 30607-2022")</f>
        <v/>
      </c>
      <c r="X119">
        <f>HYPERLINK("https://klasma.github.io/Logging_2305/tillsyn/A 30607-2022 tillsynsbegäran.docx", "A 30607-2022")</f>
        <v/>
      </c>
      <c r="Y119">
        <f>HYPERLINK("https://klasma.github.io/Logging_2305/tillsynsmail/A 30607-2022 tillsynsbegäran mail.docx", "A 30607-2022")</f>
        <v/>
      </c>
    </row>
    <row r="120" ht="15" customHeight="1">
      <c r="A120" t="inlineStr">
        <is>
          <t>A 36820-2021</t>
        </is>
      </c>
      <c r="B120" s="1" t="n">
        <v>44392</v>
      </c>
      <c r="C120" s="1" t="n">
        <v>46193</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32260-2024</t>
        </is>
      </c>
      <c r="B121" s="1" t="n">
        <v>45511</v>
      </c>
      <c r="C121" s="1" t="n">
        <v>46193</v>
      </c>
      <c r="D121" t="inlineStr">
        <is>
          <t>JÄMTLANDS LÄN</t>
        </is>
      </c>
      <c r="E121" t="inlineStr">
        <is>
          <t>BRÄCKE</t>
        </is>
      </c>
      <c r="F121" t="inlineStr">
        <is>
          <t>SCA</t>
        </is>
      </c>
      <c r="G121" t="n">
        <v>3.7</v>
      </c>
      <c r="H121" t="n">
        <v>0</v>
      </c>
      <c r="I121" t="n">
        <v>1</v>
      </c>
      <c r="J121" t="n">
        <v>2</v>
      </c>
      <c r="K121" t="n">
        <v>1</v>
      </c>
      <c r="L121" t="n">
        <v>0</v>
      </c>
      <c r="M121" t="n">
        <v>0</v>
      </c>
      <c r="N121" t="n">
        <v>0</v>
      </c>
      <c r="O121" t="n">
        <v>3</v>
      </c>
      <c r="P121" t="n">
        <v>1</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47183-2023</t>
        </is>
      </c>
      <c r="B122" s="1" t="n">
        <v>45201</v>
      </c>
      <c r="C122" s="1" t="n">
        <v>46193</v>
      </c>
      <c r="D122" t="inlineStr">
        <is>
          <t>JÄMTLANDS LÄN</t>
        </is>
      </c>
      <c r="E122" t="inlineStr">
        <is>
          <t>BRÄCKE</t>
        </is>
      </c>
      <c r="F122" t="inlineStr">
        <is>
          <t>SCA</t>
        </is>
      </c>
      <c r="G122" t="n">
        <v>1.2</v>
      </c>
      <c r="H122" t="n">
        <v>3</v>
      </c>
      <c r="I122" t="n">
        <v>1</v>
      </c>
      <c r="J122" t="n">
        <v>1</v>
      </c>
      <c r="K122" t="n">
        <v>1</v>
      </c>
      <c r="L122" t="n">
        <v>0</v>
      </c>
      <c r="M122" t="n">
        <v>0</v>
      </c>
      <c r="N122" t="n">
        <v>0</v>
      </c>
      <c r="O122" t="n">
        <v>2</v>
      </c>
      <c r="P122" t="n">
        <v>1</v>
      </c>
      <c r="Q122" t="n">
        <v>4</v>
      </c>
      <c r="R122" s="2" t="inlineStr">
        <is>
          <t>Knärot
Lunglav
Spindelblomster
Fläcknycklar</t>
        </is>
      </c>
      <c r="S122">
        <f>HYPERLINK("https://klasma.github.io/Logging_2305/artfynd/A 47183-2023 artfynd.xlsx", "A 47183-2023")</f>
        <v/>
      </c>
      <c r="T122">
        <f>HYPERLINK("https://klasma.github.io/Logging_2305/kartor/A 47183-2023 karta.png", "A 47183-2023")</f>
        <v/>
      </c>
      <c r="U122">
        <f>HYPERLINK("https://klasma.github.io/Logging_2305/knärot/A 47183-2023 karta knärot.png", "A 47183-2023")</f>
        <v/>
      </c>
      <c r="V122">
        <f>HYPERLINK("https://klasma.github.io/Logging_2305/klagomål/A 47183-2023 FSC-klagomål.docx", "A 47183-2023")</f>
        <v/>
      </c>
      <c r="W122">
        <f>HYPERLINK("https://klasma.github.io/Logging_2305/klagomålsmail/A 47183-2023 FSC-klagomål mail.docx", "A 47183-2023")</f>
        <v/>
      </c>
      <c r="X122">
        <f>HYPERLINK("https://klasma.github.io/Logging_2305/tillsyn/A 47183-2023 tillsynsbegäran.docx", "A 47183-2023")</f>
        <v/>
      </c>
      <c r="Y122">
        <f>HYPERLINK("https://klasma.github.io/Logging_2305/tillsynsmail/A 47183-2023 tillsynsbegäran mail.docx", "A 47183-2023")</f>
        <v/>
      </c>
    </row>
    <row r="123" ht="15" customHeight="1">
      <c r="A123" t="inlineStr">
        <is>
          <t>A 37061-2021</t>
        </is>
      </c>
      <c r="B123" s="1" t="n">
        <v>44393</v>
      </c>
      <c r="C123" s="1" t="n">
        <v>46193</v>
      </c>
      <c r="D123" t="inlineStr">
        <is>
          <t>JÄMTLANDS LÄN</t>
        </is>
      </c>
      <c r="E123" t="inlineStr">
        <is>
          <t>BRÄCKE</t>
        </is>
      </c>
      <c r="F123" t="inlineStr">
        <is>
          <t>SCA</t>
        </is>
      </c>
      <c r="G123" t="n">
        <v>3.4</v>
      </c>
      <c r="H123" t="n">
        <v>1</v>
      </c>
      <c r="I123" t="n">
        <v>1</v>
      </c>
      <c r="J123" t="n">
        <v>2</v>
      </c>
      <c r="K123" t="n">
        <v>1</v>
      </c>
      <c r="L123" t="n">
        <v>0</v>
      </c>
      <c r="M123" t="n">
        <v>0</v>
      </c>
      <c r="N123" t="n">
        <v>0</v>
      </c>
      <c r="O123" t="n">
        <v>3</v>
      </c>
      <c r="P123" t="n">
        <v>1</v>
      </c>
      <c r="Q123" t="n">
        <v>4</v>
      </c>
      <c r="R123" s="2" t="inlineStr">
        <is>
          <t>Knärot
Lunglav
Skrovellav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47295-2023</t>
        </is>
      </c>
      <c r="B124" s="1" t="n">
        <v>45196</v>
      </c>
      <c r="C124" s="1" t="n">
        <v>46193</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25717-2024</t>
        </is>
      </c>
      <c r="B125" s="1" t="n">
        <v>45463</v>
      </c>
      <c r="C125" s="1" t="n">
        <v>46193</v>
      </c>
      <c r="D125" t="inlineStr">
        <is>
          <t>JÄMTLANDS LÄN</t>
        </is>
      </c>
      <c r="E125" t="inlineStr">
        <is>
          <t>BRÄCKE</t>
        </is>
      </c>
      <c r="G125" t="n">
        <v>2.9</v>
      </c>
      <c r="H125" t="n">
        <v>1</v>
      </c>
      <c r="I125" t="n">
        <v>1</v>
      </c>
      <c r="J125" t="n">
        <v>2</v>
      </c>
      <c r="K125" t="n">
        <v>1</v>
      </c>
      <c r="L125" t="n">
        <v>0</v>
      </c>
      <c r="M125" t="n">
        <v>0</v>
      </c>
      <c r="N125" t="n">
        <v>0</v>
      </c>
      <c r="O125" t="n">
        <v>3</v>
      </c>
      <c r="P125" t="n">
        <v>1</v>
      </c>
      <c r="Q125" t="n">
        <v>4</v>
      </c>
      <c r="R125" s="2" t="inlineStr">
        <is>
          <t>Knärot
Dropptaggsvamp
Lunglav
Skinnlav</t>
        </is>
      </c>
      <c r="S125">
        <f>HYPERLINK("https://klasma.github.io/Logging_2305/artfynd/A 25717-2024 artfynd.xlsx", "A 25717-2024")</f>
        <v/>
      </c>
      <c r="T125">
        <f>HYPERLINK("https://klasma.github.io/Logging_2305/kartor/A 25717-2024 karta.png", "A 25717-2024")</f>
        <v/>
      </c>
      <c r="U125">
        <f>HYPERLINK("https://klasma.github.io/Logging_2305/knärot/A 25717-2024 karta knärot.png", "A 25717-2024")</f>
        <v/>
      </c>
      <c r="V125">
        <f>HYPERLINK("https://klasma.github.io/Logging_2305/klagomål/A 25717-2024 FSC-klagomål.docx", "A 25717-2024")</f>
        <v/>
      </c>
      <c r="W125">
        <f>HYPERLINK("https://klasma.github.io/Logging_2305/klagomålsmail/A 25717-2024 FSC-klagomål mail.docx", "A 25717-2024")</f>
        <v/>
      </c>
      <c r="X125">
        <f>HYPERLINK("https://klasma.github.io/Logging_2305/tillsyn/A 25717-2024 tillsynsbegäran.docx", "A 25717-2024")</f>
        <v/>
      </c>
      <c r="Y125">
        <f>HYPERLINK("https://klasma.github.io/Logging_2305/tillsynsmail/A 25717-2024 tillsynsbegäran mail.docx", "A 25717-2024")</f>
        <v/>
      </c>
    </row>
    <row r="126" ht="15" customHeight="1">
      <c r="A126" t="inlineStr">
        <is>
          <t>A 42590-2025</t>
        </is>
      </c>
      <c r="B126" s="1" t="n">
        <v>45905</v>
      </c>
      <c r="C126" s="1" t="n">
        <v>46193</v>
      </c>
      <c r="D126" t="inlineStr">
        <is>
          <t>JÄMTLANDS LÄN</t>
        </is>
      </c>
      <c r="E126" t="inlineStr">
        <is>
          <t>BRÄCKE</t>
        </is>
      </c>
      <c r="F126" t="inlineStr">
        <is>
          <t>SCA</t>
        </is>
      </c>
      <c r="G126" t="n">
        <v>24.2</v>
      </c>
      <c r="H126" t="n">
        <v>0</v>
      </c>
      <c r="I126" t="n">
        <v>0</v>
      </c>
      <c r="J126" t="n">
        <v>4</v>
      </c>
      <c r="K126" t="n">
        <v>0</v>
      </c>
      <c r="L126" t="n">
        <v>0</v>
      </c>
      <c r="M126" t="n">
        <v>0</v>
      </c>
      <c r="N126" t="n">
        <v>0</v>
      </c>
      <c r="O126" t="n">
        <v>4</v>
      </c>
      <c r="P126" t="n">
        <v>0</v>
      </c>
      <c r="Q126" t="n">
        <v>4</v>
      </c>
      <c r="R126" s="2" t="inlineStr">
        <is>
          <t>Blå taggsvamp
Rosenticka
Skarp dropptaggsvamp
Ullticka</t>
        </is>
      </c>
      <c r="S126">
        <f>HYPERLINK("https://klasma.github.io/Logging_2305/artfynd/A 42590-2025 artfynd.xlsx", "A 42590-2025")</f>
        <v/>
      </c>
      <c r="T126">
        <f>HYPERLINK("https://klasma.github.io/Logging_2305/kartor/A 42590-2025 karta.png", "A 42590-2025")</f>
        <v/>
      </c>
      <c r="V126">
        <f>HYPERLINK("https://klasma.github.io/Logging_2305/klagomål/A 42590-2025 FSC-klagomål.docx", "A 42590-2025")</f>
        <v/>
      </c>
      <c r="W126">
        <f>HYPERLINK("https://klasma.github.io/Logging_2305/klagomålsmail/A 42590-2025 FSC-klagomål mail.docx", "A 42590-2025")</f>
        <v/>
      </c>
      <c r="X126">
        <f>HYPERLINK("https://klasma.github.io/Logging_2305/tillsyn/A 42590-2025 tillsynsbegäran.docx", "A 42590-2025")</f>
        <v/>
      </c>
      <c r="Y126">
        <f>HYPERLINK("https://klasma.github.io/Logging_2305/tillsynsmail/A 42590-2025 tillsynsbegäran mail.docx", "A 42590-2025")</f>
        <v/>
      </c>
    </row>
    <row r="127" ht="15" customHeight="1">
      <c r="A127" t="inlineStr">
        <is>
          <t>A 15263-2025</t>
        </is>
      </c>
      <c r="B127" s="1" t="n">
        <v>45744</v>
      </c>
      <c r="C127" s="1" t="n">
        <v>46193</v>
      </c>
      <c r="D127" t="inlineStr">
        <is>
          <t>JÄMTLANDS LÄN</t>
        </is>
      </c>
      <c r="E127" t="inlineStr">
        <is>
          <t>BRÄCKE</t>
        </is>
      </c>
      <c r="F127" t="inlineStr">
        <is>
          <t>SCA</t>
        </is>
      </c>
      <c r="G127" t="n">
        <v>2</v>
      </c>
      <c r="H127" t="n">
        <v>0</v>
      </c>
      <c r="I127" t="n">
        <v>1</v>
      </c>
      <c r="J127" t="n">
        <v>2</v>
      </c>
      <c r="K127" t="n">
        <v>1</v>
      </c>
      <c r="L127" t="n">
        <v>0</v>
      </c>
      <c r="M127" t="n">
        <v>0</v>
      </c>
      <c r="N127" t="n">
        <v>0</v>
      </c>
      <c r="O127" t="n">
        <v>3</v>
      </c>
      <c r="P127" t="n">
        <v>1</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47172-2023</t>
        </is>
      </c>
      <c r="B128" s="1" t="n">
        <v>45201</v>
      </c>
      <c r="C128" s="1" t="n">
        <v>46193</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56156-2024</t>
        </is>
      </c>
      <c r="B129" s="1" t="n">
        <v>45624</v>
      </c>
      <c r="C129" s="1" t="n">
        <v>46193</v>
      </c>
      <c r="D129" t="inlineStr">
        <is>
          <t>JÄMTLANDS LÄN</t>
        </is>
      </c>
      <c r="E129" t="inlineStr">
        <is>
          <t>BRÄCKE</t>
        </is>
      </c>
      <c r="F129" t="inlineStr">
        <is>
          <t>SCA</t>
        </is>
      </c>
      <c r="G129" t="n">
        <v>4.4</v>
      </c>
      <c r="H129" t="n">
        <v>0</v>
      </c>
      <c r="I129" t="n">
        <v>1</v>
      </c>
      <c r="J129" t="n">
        <v>3</v>
      </c>
      <c r="K129" t="n">
        <v>0</v>
      </c>
      <c r="L129" t="n">
        <v>0</v>
      </c>
      <c r="M129" t="n">
        <v>0</v>
      </c>
      <c r="N129" t="n">
        <v>0</v>
      </c>
      <c r="O129" t="n">
        <v>3</v>
      </c>
      <c r="P129" t="n">
        <v>0</v>
      </c>
      <c r="Q129" t="n">
        <v>4</v>
      </c>
      <c r="R129" s="2" t="inlineStr">
        <is>
          <t>Dropptaggsvamp
Flattoppad klubbsvamp
Reliktbock
Strimspindling</t>
        </is>
      </c>
      <c r="S129">
        <f>HYPERLINK("https://klasma.github.io/Logging_2305/artfynd/A 56156-2024 artfynd.xlsx", "A 56156-2024")</f>
        <v/>
      </c>
      <c r="T129">
        <f>HYPERLINK("https://klasma.github.io/Logging_2305/kartor/A 56156-2024 karta.png", "A 56156-2024")</f>
        <v/>
      </c>
      <c r="V129">
        <f>HYPERLINK("https://klasma.github.io/Logging_2305/klagomål/A 56156-2024 FSC-klagomål.docx", "A 56156-2024")</f>
        <v/>
      </c>
      <c r="W129">
        <f>HYPERLINK("https://klasma.github.io/Logging_2305/klagomålsmail/A 56156-2024 FSC-klagomål mail.docx", "A 56156-2024")</f>
        <v/>
      </c>
      <c r="X129">
        <f>HYPERLINK("https://klasma.github.io/Logging_2305/tillsyn/A 56156-2024 tillsynsbegäran.docx", "A 56156-2024")</f>
        <v/>
      </c>
      <c r="Y129">
        <f>HYPERLINK("https://klasma.github.io/Logging_2305/tillsynsmail/A 56156-2024 tillsynsbegäran mail.docx", "A 56156-2024")</f>
        <v/>
      </c>
    </row>
    <row r="130" ht="15" customHeight="1">
      <c r="A130" t="inlineStr">
        <is>
          <t>A 57473-2024</t>
        </is>
      </c>
      <c r="B130" s="1" t="n">
        <v>45630</v>
      </c>
      <c r="C130" s="1" t="n">
        <v>46193</v>
      </c>
      <c r="D130" t="inlineStr">
        <is>
          <t>JÄMTLANDS LÄN</t>
        </is>
      </c>
      <c r="E130" t="inlineStr">
        <is>
          <t>BRÄCKE</t>
        </is>
      </c>
      <c r="F130" t="inlineStr">
        <is>
          <t>SCA</t>
        </is>
      </c>
      <c r="G130" t="n">
        <v>0.8</v>
      </c>
      <c r="H130" t="n">
        <v>1</v>
      </c>
      <c r="I130" t="n">
        <v>0</v>
      </c>
      <c r="J130" t="n">
        <v>3</v>
      </c>
      <c r="K130" t="n">
        <v>1</v>
      </c>
      <c r="L130" t="n">
        <v>0</v>
      </c>
      <c r="M130" t="n">
        <v>0</v>
      </c>
      <c r="N130" t="n">
        <v>0</v>
      </c>
      <c r="O130" t="n">
        <v>4</v>
      </c>
      <c r="P130" t="n">
        <v>1</v>
      </c>
      <c r="Q130" t="n">
        <v>4</v>
      </c>
      <c r="R130" s="2" t="inlineStr">
        <is>
          <t>Garnlav
Lunglav
Tretåig hackspett
Ullticka</t>
        </is>
      </c>
      <c r="S130">
        <f>HYPERLINK("https://klasma.github.io/Logging_2305/artfynd/A 57473-2024 artfynd.xlsx", "A 57473-2024")</f>
        <v/>
      </c>
      <c r="T130">
        <f>HYPERLINK("https://klasma.github.io/Logging_2305/kartor/A 57473-2024 karta.png", "A 57473-2024")</f>
        <v/>
      </c>
      <c r="U130">
        <f>HYPERLINK("https://klasma.github.io/Logging_2305/knärot/A 57473-2024 karta knärot.png", "A 57473-2024")</f>
        <v/>
      </c>
      <c r="V130">
        <f>HYPERLINK("https://klasma.github.io/Logging_2305/klagomål/A 57473-2024 FSC-klagomål.docx", "A 57473-2024")</f>
        <v/>
      </c>
      <c r="W130">
        <f>HYPERLINK("https://klasma.github.io/Logging_2305/klagomålsmail/A 57473-2024 FSC-klagomål mail.docx", "A 57473-2024")</f>
        <v/>
      </c>
      <c r="X130">
        <f>HYPERLINK("https://klasma.github.io/Logging_2305/tillsyn/A 57473-2024 tillsynsbegäran.docx", "A 57473-2024")</f>
        <v/>
      </c>
      <c r="Y130">
        <f>HYPERLINK("https://klasma.github.io/Logging_2305/tillsynsmail/A 57473-2024 tillsynsbegäran mail.docx", "A 57473-2024")</f>
        <v/>
      </c>
      <c r="Z130">
        <f>HYPERLINK("https://klasma.github.io/Logging_2305/fåglar/A 57473-2024 prioriterade fågelarter.docx", "A 57473-2024")</f>
        <v/>
      </c>
    </row>
    <row r="131" ht="15" customHeight="1">
      <c r="A131" t="inlineStr">
        <is>
          <t>A 30991-2024</t>
        </is>
      </c>
      <c r="B131" s="1" t="n">
        <v>45499</v>
      </c>
      <c r="C131" s="1" t="n">
        <v>46193</v>
      </c>
      <c r="D131" t="inlineStr">
        <is>
          <t>JÄMTLANDS LÄN</t>
        </is>
      </c>
      <c r="E131" t="inlineStr">
        <is>
          <t>BRÄCKE</t>
        </is>
      </c>
      <c r="F131" t="inlineStr">
        <is>
          <t>Sveaskog</t>
        </is>
      </c>
      <c r="G131" t="n">
        <v>4.7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HYPERLINK("https://klasma.github.io/Logging_2305/artfynd/A 30991-2024 artfynd.xlsx", "A 30991-2024")</f>
        <v/>
      </c>
      <c r="T131">
        <f>HYPERLINK("https://klasma.github.io/Logging_2305/kartor/A 30991-2024 karta.png", "A 30991-2024")</f>
        <v/>
      </c>
      <c r="U131">
        <f>HYPERLINK("https://klasma.github.io/Logging_2305/knärot/A 30991-2024 karta knärot.png", "A 30991-2024")</f>
        <v/>
      </c>
      <c r="V131">
        <f>HYPERLINK("https://klasma.github.io/Logging_2305/klagomål/A 30991-2024 FSC-klagomål.docx", "A 30991-2024")</f>
        <v/>
      </c>
      <c r="W131">
        <f>HYPERLINK("https://klasma.github.io/Logging_2305/klagomålsmail/A 30991-2024 FSC-klagomål mail.docx", "A 30991-2024")</f>
        <v/>
      </c>
      <c r="X131">
        <f>HYPERLINK("https://klasma.github.io/Logging_2305/tillsyn/A 30991-2024 tillsynsbegäran.docx", "A 30991-2024")</f>
        <v/>
      </c>
      <c r="Y131">
        <f>HYPERLINK("https://klasma.github.io/Logging_2305/tillsynsmail/A 30991-2024 tillsynsbegäran mail.docx", "A 30991-2024")</f>
        <v/>
      </c>
      <c r="Z131">
        <f>HYPERLINK("https://klasma.github.io/Logging_2305/fåglar/A 30991-2024 prioriterade fågelarter.docx", "A 30991-2024")</f>
        <v/>
      </c>
    </row>
    <row r="132" ht="15" customHeight="1">
      <c r="A132" t="inlineStr">
        <is>
          <t>A 21441-2025</t>
        </is>
      </c>
      <c r="B132" s="1" t="n">
        <v>45782</v>
      </c>
      <c r="C132" s="1" t="n">
        <v>46193</v>
      </c>
      <c r="D132" t="inlineStr">
        <is>
          <t>JÄMTLANDS LÄN</t>
        </is>
      </c>
      <c r="E132" t="inlineStr">
        <is>
          <t>BRÄCKE</t>
        </is>
      </c>
      <c r="F132" t="inlineStr">
        <is>
          <t>SCA</t>
        </is>
      </c>
      <c r="G132" t="n">
        <v>5.5</v>
      </c>
      <c r="H132" t="n">
        <v>2</v>
      </c>
      <c r="I132" t="n">
        <v>1</v>
      </c>
      <c r="J132" t="n">
        <v>2</v>
      </c>
      <c r="K132" t="n">
        <v>1</v>
      </c>
      <c r="L132" t="n">
        <v>0</v>
      </c>
      <c r="M132" t="n">
        <v>0</v>
      </c>
      <c r="N132" t="n">
        <v>0</v>
      </c>
      <c r="O132" t="n">
        <v>3</v>
      </c>
      <c r="P132" t="n">
        <v>1</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21449-2025</t>
        </is>
      </c>
      <c r="B133" s="1" t="n">
        <v>45782</v>
      </c>
      <c r="C133" s="1" t="n">
        <v>46193</v>
      </c>
      <c r="D133" t="inlineStr">
        <is>
          <t>JÄMTLANDS LÄN</t>
        </is>
      </c>
      <c r="E133" t="inlineStr">
        <is>
          <t>BRÄCKE</t>
        </is>
      </c>
      <c r="F133" t="inlineStr">
        <is>
          <t>SCA</t>
        </is>
      </c>
      <c r="G133" t="n">
        <v>0.3</v>
      </c>
      <c r="H133" t="n">
        <v>2</v>
      </c>
      <c r="I133" t="n">
        <v>1</v>
      </c>
      <c r="J133" t="n">
        <v>1</v>
      </c>
      <c r="K133" t="n">
        <v>1</v>
      </c>
      <c r="L133" t="n">
        <v>0</v>
      </c>
      <c r="M133" t="n">
        <v>0</v>
      </c>
      <c r="N133" t="n">
        <v>0</v>
      </c>
      <c r="O133" t="n">
        <v>2</v>
      </c>
      <c r="P133" t="n">
        <v>1</v>
      </c>
      <c r="Q133" t="n">
        <v>4</v>
      </c>
      <c r="R133" s="2" t="inlineStr">
        <is>
          <t>Bredbrämad bastardsvärmare
Turkos blåvinge
Tvåblad
Brudsporre</t>
        </is>
      </c>
      <c r="S133">
        <f>HYPERLINK("https://klasma.github.io/Logging_2305/artfynd/A 21449-2025 artfynd.xlsx", "A 21449-2025")</f>
        <v/>
      </c>
      <c r="T133">
        <f>HYPERLINK("https://klasma.github.io/Logging_2305/kartor/A 21449-2025 karta.png", "A 21449-2025")</f>
        <v/>
      </c>
      <c r="V133">
        <f>HYPERLINK("https://klasma.github.io/Logging_2305/klagomål/A 21449-2025 FSC-klagomål.docx", "A 21449-2025")</f>
        <v/>
      </c>
      <c r="W133">
        <f>HYPERLINK("https://klasma.github.io/Logging_2305/klagomålsmail/A 21449-2025 FSC-klagomål mail.docx", "A 21449-2025")</f>
        <v/>
      </c>
      <c r="X133">
        <f>HYPERLINK("https://klasma.github.io/Logging_2305/tillsyn/A 21449-2025 tillsynsbegäran.docx", "A 21449-2025")</f>
        <v/>
      </c>
      <c r="Y133">
        <f>HYPERLINK("https://klasma.github.io/Logging_2305/tillsynsmail/A 21449-2025 tillsynsbegäran mail.docx", "A 21449-2025")</f>
        <v/>
      </c>
    </row>
    <row r="134" ht="15" customHeight="1">
      <c r="A134" t="inlineStr">
        <is>
          <t>A 15144-2024</t>
        </is>
      </c>
      <c r="B134" s="1" t="n">
        <v>45399</v>
      </c>
      <c r="C134" s="1" t="n">
        <v>46193</v>
      </c>
      <c r="D134" t="inlineStr">
        <is>
          <t>JÄMTLANDS LÄN</t>
        </is>
      </c>
      <c r="E134" t="inlineStr">
        <is>
          <t>BRÄCKE</t>
        </is>
      </c>
      <c r="F134" t="inlineStr">
        <is>
          <t>SCA</t>
        </is>
      </c>
      <c r="G134" t="n">
        <v>1.5</v>
      </c>
      <c r="H134" t="n">
        <v>0</v>
      </c>
      <c r="I134" t="n">
        <v>1</v>
      </c>
      <c r="J134" t="n">
        <v>2</v>
      </c>
      <c r="K134" t="n">
        <v>1</v>
      </c>
      <c r="L134" t="n">
        <v>0</v>
      </c>
      <c r="M134" t="n">
        <v>0</v>
      </c>
      <c r="N134" t="n">
        <v>0</v>
      </c>
      <c r="O134" t="n">
        <v>3</v>
      </c>
      <c r="P134" t="n">
        <v>1</v>
      </c>
      <c r="Q134" t="n">
        <v>4</v>
      </c>
      <c r="R134" s="2" t="inlineStr">
        <is>
          <t>Gräddporing
Grantaggsvamp
Ullticka
Kransrams</t>
        </is>
      </c>
      <c r="S134">
        <f>HYPERLINK("https://klasma.github.io/Logging_2305/artfynd/A 15144-2024 artfynd.xlsx", "A 15144-2024")</f>
        <v/>
      </c>
      <c r="T134">
        <f>HYPERLINK("https://klasma.github.io/Logging_2305/kartor/A 15144-2024 karta.png", "A 15144-2024")</f>
        <v/>
      </c>
      <c r="V134">
        <f>HYPERLINK("https://klasma.github.io/Logging_2305/klagomål/A 15144-2024 FSC-klagomål.docx", "A 15144-2024")</f>
        <v/>
      </c>
      <c r="W134">
        <f>HYPERLINK("https://klasma.github.io/Logging_2305/klagomålsmail/A 15144-2024 FSC-klagomål mail.docx", "A 15144-2024")</f>
        <v/>
      </c>
      <c r="X134">
        <f>HYPERLINK("https://klasma.github.io/Logging_2305/tillsyn/A 15144-2024 tillsynsbegäran.docx", "A 15144-2024")</f>
        <v/>
      </c>
      <c r="Y134">
        <f>HYPERLINK("https://klasma.github.io/Logging_2305/tillsynsmail/A 15144-2024 tillsynsbegäran mail.docx", "A 15144-2024")</f>
        <v/>
      </c>
    </row>
    <row r="135" ht="15" customHeight="1">
      <c r="A135" t="inlineStr">
        <is>
          <t>A 10543-2022</t>
        </is>
      </c>
      <c r="B135" s="1" t="n">
        <v>44623</v>
      </c>
      <c r="C135" s="1" t="n">
        <v>46193</v>
      </c>
      <c r="D135" t="inlineStr">
        <is>
          <t>JÄMTLANDS LÄN</t>
        </is>
      </c>
      <c r="E135" t="inlineStr">
        <is>
          <t>BRÄCKE</t>
        </is>
      </c>
      <c r="G135" t="n">
        <v>9.199999999999999</v>
      </c>
      <c r="H135" t="n">
        <v>4</v>
      </c>
      <c r="I135" t="n">
        <v>0</v>
      </c>
      <c r="J135" t="n">
        <v>1</v>
      </c>
      <c r="K135" t="n">
        <v>1</v>
      </c>
      <c r="L135" t="n">
        <v>0</v>
      </c>
      <c r="M135" t="n">
        <v>0</v>
      </c>
      <c r="N135" t="n">
        <v>0</v>
      </c>
      <c r="O135" t="n">
        <v>2</v>
      </c>
      <c r="P135" t="n">
        <v>1</v>
      </c>
      <c r="Q135" t="n">
        <v>4</v>
      </c>
      <c r="R135" s="2" t="inlineStr">
        <is>
          <t>Knärot
Tretåig hackspett
Järpe
Nattviol</t>
        </is>
      </c>
      <c r="S135">
        <f>HYPERLINK("https://klasma.github.io/Logging_2305/artfynd/A 10543-2022 artfynd.xlsx", "A 10543-2022")</f>
        <v/>
      </c>
      <c r="T135">
        <f>HYPERLINK("https://klasma.github.io/Logging_2305/kartor/A 10543-2022 karta.png", "A 10543-2022")</f>
        <v/>
      </c>
      <c r="U135">
        <f>HYPERLINK("https://klasma.github.io/Logging_2305/knärot/A 10543-2022 karta knärot.png", "A 10543-2022")</f>
        <v/>
      </c>
      <c r="V135">
        <f>HYPERLINK("https://klasma.github.io/Logging_2305/klagomål/A 10543-2022 FSC-klagomål.docx", "A 10543-2022")</f>
        <v/>
      </c>
      <c r="W135">
        <f>HYPERLINK("https://klasma.github.io/Logging_2305/klagomålsmail/A 10543-2022 FSC-klagomål mail.docx", "A 10543-2022")</f>
        <v/>
      </c>
      <c r="X135">
        <f>HYPERLINK("https://klasma.github.io/Logging_2305/tillsyn/A 10543-2022 tillsynsbegäran.docx", "A 10543-2022")</f>
        <v/>
      </c>
      <c r="Y135">
        <f>HYPERLINK("https://klasma.github.io/Logging_2305/tillsynsmail/A 10543-2022 tillsynsbegäran mail.docx", "A 10543-2022")</f>
        <v/>
      </c>
      <c r="Z135">
        <f>HYPERLINK("https://klasma.github.io/Logging_2305/fåglar/A 10543-2022 prioriterade fågelarter.docx", "A 10543-2022")</f>
        <v/>
      </c>
    </row>
    <row r="136" ht="15" customHeight="1">
      <c r="A136" t="inlineStr">
        <is>
          <t>A 31378-2025</t>
        </is>
      </c>
      <c r="B136" s="1" t="n">
        <v>45833</v>
      </c>
      <c r="C136" s="1" t="n">
        <v>46193</v>
      </c>
      <c r="D136" t="inlineStr">
        <is>
          <t>JÄMTLANDS LÄN</t>
        </is>
      </c>
      <c r="E136" t="inlineStr">
        <is>
          <t>BRÄCKE</t>
        </is>
      </c>
      <c r="F136" t="inlineStr">
        <is>
          <t>SCA</t>
        </is>
      </c>
      <c r="G136" t="n">
        <v>1.6</v>
      </c>
      <c r="H136" t="n">
        <v>1</v>
      </c>
      <c r="I136" t="n">
        <v>1</v>
      </c>
      <c r="J136" t="n">
        <v>1</v>
      </c>
      <c r="K136" t="n">
        <v>2</v>
      </c>
      <c r="L136" t="n">
        <v>0</v>
      </c>
      <c r="M136" t="n">
        <v>0</v>
      </c>
      <c r="N136" t="n">
        <v>0</v>
      </c>
      <c r="O136" t="n">
        <v>3</v>
      </c>
      <c r="P136" t="n">
        <v>2</v>
      </c>
      <c r="Q136" t="n">
        <v>4</v>
      </c>
      <c r="R136" s="2" t="inlineStr">
        <is>
          <t>Gränsticka
Knärot
Lunglav
Stuplav</t>
        </is>
      </c>
      <c r="S136">
        <f>HYPERLINK("https://klasma.github.io/Logging_2305/artfynd/A 31378-2025 artfynd.xlsx", "A 31378-2025")</f>
        <v/>
      </c>
      <c r="T136">
        <f>HYPERLINK("https://klasma.github.io/Logging_2305/kartor/A 31378-2025 karta.png", "A 31378-2025")</f>
        <v/>
      </c>
      <c r="U136">
        <f>HYPERLINK("https://klasma.github.io/Logging_2305/knärot/A 31378-2025 karta knärot.png", "A 31378-2025")</f>
        <v/>
      </c>
      <c r="V136">
        <f>HYPERLINK("https://klasma.github.io/Logging_2305/klagomål/A 31378-2025 FSC-klagomål.docx", "A 31378-2025")</f>
        <v/>
      </c>
      <c r="W136">
        <f>HYPERLINK("https://klasma.github.io/Logging_2305/klagomålsmail/A 31378-2025 FSC-klagomål mail.docx", "A 31378-2025")</f>
        <v/>
      </c>
      <c r="X136">
        <f>HYPERLINK("https://klasma.github.io/Logging_2305/tillsyn/A 31378-2025 tillsynsbegäran.docx", "A 31378-2025")</f>
        <v/>
      </c>
      <c r="Y136">
        <f>HYPERLINK("https://klasma.github.io/Logging_2305/tillsynsmail/A 31378-2025 tillsynsbegäran mail.docx", "A 31378-2025")</f>
        <v/>
      </c>
    </row>
    <row r="137" ht="15" customHeight="1">
      <c r="A137" t="inlineStr">
        <is>
          <t>A 58584-2021</t>
        </is>
      </c>
      <c r="B137" s="1" t="n">
        <v>44488</v>
      </c>
      <c r="C137" s="1" t="n">
        <v>46193</v>
      </c>
      <c r="D137" t="inlineStr">
        <is>
          <t>JÄMTLANDS LÄN</t>
        </is>
      </c>
      <c r="E137" t="inlineStr">
        <is>
          <t>BRÄCKE</t>
        </is>
      </c>
      <c r="G137" t="n">
        <v>32</v>
      </c>
      <c r="H137" t="n">
        <v>1</v>
      </c>
      <c r="I137" t="n">
        <v>1</v>
      </c>
      <c r="J137" t="n">
        <v>1</v>
      </c>
      <c r="K137" t="n">
        <v>1</v>
      </c>
      <c r="L137" t="n">
        <v>0</v>
      </c>
      <c r="M137" t="n">
        <v>0</v>
      </c>
      <c r="N137" t="n">
        <v>0</v>
      </c>
      <c r="O137" t="n">
        <v>2</v>
      </c>
      <c r="P137" t="n">
        <v>1</v>
      </c>
      <c r="Q137" t="n">
        <v>4</v>
      </c>
      <c r="R137" s="2" t="inlineStr">
        <is>
          <t>Garnlav
Lunglav
Bårdlav
Fläcknycklar</t>
        </is>
      </c>
      <c r="S137">
        <f>HYPERLINK("https://klasma.github.io/Logging_2305/artfynd/A 58584-2021 artfynd.xlsx", "A 58584-2021")</f>
        <v/>
      </c>
      <c r="T137">
        <f>HYPERLINK("https://klasma.github.io/Logging_2305/kartor/A 58584-2021 karta.png", "A 58584-2021")</f>
        <v/>
      </c>
      <c r="U137">
        <f>HYPERLINK("https://klasma.github.io/Logging_2305/knärot/A 58584-2021 karta knärot.png", "A 58584-2021")</f>
        <v/>
      </c>
      <c r="V137">
        <f>HYPERLINK("https://klasma.github.io/Logging_2305/klagomål/A 58584-2021 FSC-klagomål.docx", "A 58584-2021")</f>
        <v/>
      </c>
      <c r="W137">
        <f>HYPERLINK("https://klasma.github.io/Logging_2305/klagomålsmail/A 58584-2021 FSC-klagomål mail.docx", "A 58584-2021")</f>
        <v/>
      </c>
      <c r="X137">
        <f>HYPERLINK("https://klasma.github.io/Logging_2305/tillsyn/A 58584-2021 tillsynsbegäran.docx", "A 58584-2021")</f>
        <v/>
      </c>
      <c r="Y137">
        <f>HYPERLINK("https://klasma.github.io/Logging_2305/tillsynsmail/A 58584-2021 tillsynsbegäran mail.docx", "A 58584-2021")</f>
        <v/>
      </c>
    </row>
    <row r="138" ht="15" customHeight="1">
      <c r="A138" t="inlineStr">
        <is>
          <t>A 48479-2023</t>
        </is>
      </c>
      <c r="B138" s="1" t="n">
        <v>45206</v>
      </c>
      <c r="C138" s="1" t="n">
        <v>46193</v>
      </c>
      <c r="D138" t="inlineStr">
        <is>
          <t>JÄMTLANDS LÄN</t>
        </is>
      </c>
      <c r="E138" t="inlineStr">
        <is>
          <t>BRÄCKE</t>
        </is>
      </c>
      <c r="F138" t="inlineStr">
        <is>
          <t>SCA</t>
        </is>
      </c>
      <c r="G138" t="n">
        <v>8.1</v>
      </c>
      <c r="H138" t="n">
        <v>0</v>
      </c>
      <c r="I138" t="n">
        <v>3</v>
      </c>
      <c r="J138" t="n">
        <v>1</v>
      </c>
      <c r="K138" t="n">
        <v>0</v>
      </c>
      <c r="L138" t="n">
        <v>0</v>
      </c>
      <c r="M138" t="n">
        <v>0</v>
      </c>
      <c r="N138" t="n">
        <v>0</v>
      </c>
      <c r="O138" t="n">
        <v>1</v>
      </c>
      <c r="P138" t="n">
        <v>0</v>
      </c>
      <c r="Q138" t="n">
        <v>4</v>
      </c>
      <c r="R138" s="2" t="inlineStr">
        <is>
          <t>Tallticka
Gytterlav
Korallblylav
Stuplav</t>
        </is>
      </c>
      <c r="S138">
        <f>HYPERLINK("https://klasma.github.io/Logging_2305/artfynd/A 48479-2023 artfynd.xlsx", "A 48479-2023")</f>
        <v/>
      </c>
      <c r="T138">
        <f>HYPERLINK("https://klasma.github.io/Logging_2305/kartor/A 48479-2023 karta.png", "A 48479-2023")</f>
        <v/>
      </c>
      <c r="V138">
        <f>HYPERLINK("https://klasma.github.io/Logging_2305/klagomål/A 48479-2023 FSC-klagomål.docx", "A 48479-2023")</f>
        <v/>
      </c>
      <c r="W138">
        <f>HYPERLINK("https://klasma.github.io/Logging_2305/klagomålsmail/A 48479-2023 FSC-klagomål mail.docx", "A 48479-2023")</f>
        <v/>
      </c>
      <c r="X138">
        <f>HYPERLINK("https://klasma.github.io/Logging_2305/tillsyn/A 48479-2023 tillsynsbegäran.docx", "A 48479-2023")</f>
        <v/>
      </c>
      <c r="Y138">
        <f>HYPERLINK("https://klasma.github.io/Logging_2305/tillsynsmail/A 48479-2023 tillsynsbegäran mail.docx", "A 48479-2023")</f>
        <v/>
      </c>
    </row>
    <row r="139" ht="15" customHeight="1">
      <c r="A139" t="inlineStr">
        <is>
          <t>A 30881-2025</t>
        </is>
      </c>
      <c r="B139" s="1" t="n">
        <v>45832</v>
      </c>
      <c r="C139" s="1" t="n">
        <v>46193</v>
      </c>
      <c r="D139" t="inlineStr">
        <is>
          <t>JÄMTLANDS LÄN</t>
        </is>
      </c>
      <c r="E139" t="inlineStr">
        <is>
          <t>BRÄCKE</t>
        </is>
      </c>
      <c r="F139" t="inlineStr">
        <is>
          <t>SCA</t>
        </is>
      </c>
      <c r="G139" t="n">
        <v>3.3</v>
      </c>
      <c r="H139" t="n">
        <v>2</v>
      </c>
      <c r="I139" t="n">
        <v>0</v>
      </c>
      <c r="J139" t="n">
        <v>2</v>
      </c>
      <c r="K139" t="n">
        <v>2</v>
      </c>
      <c r="L139" t="n">
        <v>0</v>
      </c>
      <c r="M139" t="n">
        <v>0</v>
      </c>
      <c r="N139" t="n">
        <v>0</v>
      </c>
      <c r="O139" t="n">
        <v>4</v>
      </c>
      <c r="P139" t="n">
        <v>2</v>
      </c>
      <c r="Q139" t="n">
        <v>4</v>
      </c>
      <c r="R139" s="2" t="inlineStr">
        <is>
          <t>Knärot
Lappticka
Rosenticka
Talltita</t>
        </is>
      </c>
      <c r="S139">
        <f>HYPERLINK("https://klasma.github.io/Logging_2305/artfynd/A 30881-2025 artfynd.xlsx", "A 30881-2025")</f>
        <v/>
      </c>
      <c r="T139">
        <f>HYPERLINK("https://klasma.github.io/Logging_2305/kartor/A 30881-2025 karta.png", "A 30881-2025")</f>
        <v/>
      </c>
      <c r="U139">
        <f>HYPERLINK("https://klasma.github.io/Logging_2305/knärot/A 30881-2025 karta knärot.png", "A 30881-2025")</f>
        <v/>
      </c>
      <c r="V139">
        <f>HYPERLINK("https://klasma.github.io/Logging_2305/klagomål/A 30881-2025 FSC-klagomål.docx", "A 30881-2025")</f>
        <v/>
      </c>
      <c r="W139">
        <f>HYPERLINK("https://klasma.github.io/Logging_2305/klagomålsmail/A 30881-2025 FSC-klagomål mail.docx", "A 30881-2025")</f>
        <v/>
      </c>
      <c r="X139">
        <f>HYPERLINK("https://klasma.github.io/Logging_2305/tillsyn/A 30881-2025 tillsynsbegäran.docx", "A 30881-2025")</f>
        <v/>
      </c>
      <c r="Y139">
        <f>HYPERLINK("https://klasma.github.io/Logging_2305/tillsynsmail/A 30881-2025 tillsynsbegäran mail.docx", "A 30881-2025")</f>
        <v/>
      </c>
      <c r="Z139">
        <f>HYPERLINK("https://klasma.github.io/Logging_2305/fåglar/A 30881-2025 prioriterade fågelarter.docx", "A 30881-2025")</f>
        <v/>
      </c>
    </row>
    <row r="140" ht="15" customHeight="1">
      <c r="A140" t="inlineStr">
        <is>
          <t>A 2298-2025</t>
        </is>
      </c>
      <c r="B140" s="1" t="n">
        <v>45673</v>
      </c>
      <c r="C140" s="1" t="n">
        <v>46193</v>
      </c>
      <c r="D140" t="inlineStr">
        <is>
          <t>JÄMTLANDS LÄN</t>
        </is>
      </c>
      <c r="E140" t="inlineStr">
        <is>
          <t>BRÄCKE</t>
        </is>
      </c>
      <c r="F140" t="inlineStr">
        <is>
          <t>SCA</t>
        </is>
      </c>
      <c r="G140" t="n">
        <v>8.300000000000001</v>
      </c>
      <c r="H140" t="n">
        <v>0</v>
      </c>
      <c r="I140" t="n">
        <v>0</v>
      </c>
      <c r="J140" t="n">
        <v>4</v>
      </c>
      <c r="K140" t="n">
        <v>0</v>
      </c>
      <c r="L140" t="n">
        <v>0</v>
      </c>
      <c r="M140" t="n">
        <v>0</v>
      </c>
      <c r="N140" t="n">
        <v>0</v>
      </c>
      <c r="O140" t="n">
        <v>4</v>
      </c>
      <c r="P140" t="n">
        <v>0</v>
      </c>
      <c r="Q140" t="n">
        <v>4</v>
      </c>
      <c r="R140" s="2" t="inlineStr">
        <is>
          <t>Gammelgransskål
Rynkskinn
Ullticka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28553-2024</t>
        </is>
      </c>
      <c r="B141" s="1" t="n">
        <v>45478</v>
      </c>
      <c r="C141" s="1" t="n">
        <v>46193</v>
      </c>
      <c r="D141" t="inlineStr">
        <is>
          <t>JÄMTLANDS LÄN</t>
        </is>
      </c>
      <c r="E141" t="inlineStr">
        <is>
          <t>BRÄCKE</t>
        </is>
      </c>
      <c r="G141" t="n">
        <v>14.5</v>
      </c>
      <c r="H141" t="n">
        <v>2</v>
      </c>
      <c r="I141" t="n">
        <v>0</v>
      </c>
      <c r="J141" t="n">
        <v>2</v>
      </c>
      <c r="K141" t="n">
        <v>1</v>
      </c>
      <c r="L141" t="n">
        <v>0</v>
      </c>
      <c r="M141" t="n">
        <v>0</v>
      </c>
      <c r="N141" t="n">
        <v>0</v>
      </c>
      <c r="O141" t="n">
        <v>3</v>
      </c>
      <c r="P141" t="n">
        <v>1</v>
      </c>
      <c r="Q141" t="n">
        <v>4</v>
      </c>
      <c r="R141" s="2" t="inlineStr">
        <is>
          <t>Knärot
Lunglav
Tretåig hackspett
Sälg</t>
        </is>
      </c>
      <c r="S141">
        <f>HYPERLINK("https://klasma.github.io/Logging_2305/artfynd/A 28553-2024 artfynd.xlsx", "A 28553-2024")</f>
        <v/>
      </c>
      <c r="T141">
        <f>HYPERLINK("https://klasma.github.io/Logging_2305/kartor/A 28553-2024 karta.png", "A 28553-2024")</f>
        <v/>
      </c>
      <c r="U141">
        <f>HYPERLINK("https://klasma.github.io/Logging_2305/knärot/A 28553-2024 karta knärot.png", "A 28553-2024")</f>
        <v/>
      </c>
      <c r="V141">
        <f>HYPERLINK("https://klasma.github.io/Logging_2305/klagomål/A 28553-2024 FSC-klagomål.docx", "A 28553-2024")</f>
        <v/>
      </c>
      <c r="W141">
        <f>HYPERLINK("https://klasma.github.io/Logging_2305/klagomålsmail/A 28553-2024 FSC-klagomål mail.docx", "A 28553-2024")</f>
        <v/>
      </c>
      <c r="X141">
        <f>HYPERLINK("https://klasma.github.io/Logging_2305/tillsyn/A 28553-2024 tillsynsbegäran.docx", "A 28553-2024")</f>
        <v/>
      </c>
      <c r="Y141">
        <f>HYPERLINK("https://klasma.github.io/Logging_2305/tillsynsmail/A 28553-2024 tillsynsbegäran mail.docx", "A 28553-2024")</f>
        <v/>
      </c>
      <c r="Z141">
        <f>HYPERLINK("https://klasma.github.io/Logging_2305/fåglar/A 28553-2024 prioriterade fågelarter.docx", "A 28553-2024")</f>
        <v/>
      </c>
    </row>
    <row r="142" ht="15" customHeight="1">
      <c r="A142" t="inlineStr">
        <is>
          <t>A 19336-2024</t>
        </is>
      </c>
      <c r="B142" s="1" t="n">
        <v>45428</v>
      </c>
      <c r="C142" s="1" t="n">
        <v>46193</v>
      </c>
      <c r="D142" t="inlineStr">
        <is>
          <t>JÄMTLANDS LÄN</t>
        </is>
      </c>
      <c r="E142" t="inlineStr">
        <is>
          <t>BRÄCKE</t>
        </is>
      </c>
      <c r="F142" t="inlineStr">
        <is>
          <t>SCA</t>
        </is>
      </c>
      <c r="G142" t="n">
        <v>5.8</v>
      </c>
      <c r="H142" t="n">
        <v>1</v>
      </c>
      <c r="I142" t="n">
        <v>1</v>
      </c>
      <c r="J142" t="n">
        <v>2</v>
      </c>
      <c r="K142" t="n">
        <v>0</v>
      </c>
      <c r="L142" t="n">
        <v>0</v>
      </c>
      <c r="M142" t="n">
        <v>0</v>
      </c>
      <c r="N142" t="n">
        <v>0</v>
      </c>
      <c r="O142" t="n">
        <v>2</v>
      </c>
      <c r="P142" t="n">
        <v>0</v>
      </c>
      <c r="Q142" t="n">
        <v>4</v>
      </c>
      <c r="R142" s="2" t="inlineStr">
        <is>
          <t>Lunglav
Violmussling
Korallblylav
Spillkråka</t>
        </is>
      </c>
      <c r="S142">
        <f>HYPERLINK("https://klasma.github.io/Logging_2305/artfynd/A 19336-2024 artfynd.xlsx", "A 19336-2024")</f>
        <v/>
      </c>
      <c r="T142">
        <f>HYPERLINK("https://klasma.github.io/Logging_2305/kartor/A 19336-2024 karta.png", "A 19336-2024")</f>
        <v/>
      </c>
      <c r="V142">
        <f>HYPERLINK("https://klasma.github.io/Logging_2305/klagomål/A 19336-2024 FSC-klagomål.docx", "A 19336-2024")</f>
        <v/>
      </c>
      <c r="W142">
        <f>HYPERLINK("https://klasma.github.io/Logging_2305/klagomålsmail/A 19336-2024 FSC-klagomål mail.docx", "A 19336-2024")</f>
        <v/>
      </c>
      <c r="X142">
        <f>HYPERLINK("https://klasma.github.io/Logging_2305/tillsyn/A 19336-2024 tillsynsbegäran.docx", "A 19336-2024")</f>
        <v/>
      </c>
      <c r="Y142">
        <f>HYPERLINK("https://klasma.github.io/Logging_2305/tillsynsmail/A 19336-2024 tillsynsbegäran mail.docx", "A 19336-2024")</f>
        <v/>
      </c>
      <c r="Z142">
        <f>HYPERLINK("https://klasma.github.io/Logging_2305/fåglar/A 19336-2024 prioriterade fågelarter.docx", "A 19336-2024")</f>
        <v/>
      </c>
    </row>
    <row r="143" ht="15" customHeight="1">
      <c r="A143" t="inlineStr">
        <is>
          <t>A 57079-2023</t>
        </is>
      </c>
      <c r="B143" s="1" t="n">
        <v>45244</v>
      </c>
      <c r="C143" s="1" t="n">
        <v>46193</v>
      </c>
      <c r="D143" t="inlineStr">
        <is>
          <t>JÄMTLANDS LÄN</t>
        </is>
      </c>
      <c r="E143" t="inlineStr">
        <is>
          <t>BRÄCKE</t>
        </is>
      </c>
      <c r="F143" t="inlineStr">
        <is>
          <t>SCA</t>
        </is>
      </c>
      <c r="G143" t="n">
        <v>9.9</v>
      </c>
      <c r="H143" t="n">
        <v>0</v>
      </c>
      <c r="I143" t="n">
        <v>2</v>
      </c>
      <c r="J143" t="n">
        <v>1</v>
      </c>
      <c r="K143" t="n">
        <v>1</v>
      </c>
      <c r="L143" t="n">
        <v>0</v>
      </c>
      <c r="M143" t="n">
        <v>0</v>
      </c>
      <c r="N143" t="n">
        <v>0</v>
      </c>
      <c r="O143" t="n">
        <v>2</v>
      </c>
      <c r="P143" t="n">
        <v>1</v>
      </c>
      <c r="Q143" t="n">
        <v>4</v>
      </c>
      <c r="R143" s="2" t="inlineStr">
        <is>
          <t>Garnlav
Lunglav
Korallblylav
Skinnlav</t>
        </is>
      </c>
      <c r="S143">
        <f>HYPERLINK("https://klasma.github.io/Logging_2305/artfynd/A 57079-2023 artfynd.xlsx", "A 57079-2023")</f>
        <v/>
      </c>
      <c r="T143">
        <f>HYPERLINK("https://klasma.github.io/Logging_2305/kartor/A 57079-2023 karta.png", "A 57079-2023")</f>
        <v/>
      </c>
      <c r="V143">
        <f>HYPERLINK("https://klasma.github.io/Logging_2305/klagomål/A 57079-2023 FSC-klagomål.docx", "A 57079-2023")</f>
        <v/>
      </c>
      <c r="W143">
        <f>HYPERLINK("https://klasma.github.io/Logging_2305/klagomålsmail/A 57079-2023 FSC-klagomål mail.docx", "A 57079-2023")</f>
        <v/>
      </c>
      <c r="X143">
        <f>HYPERLINK("https://klasma.github.io/Logging_2305/tillsyn/A 57079-2023 tillsynsbegäran.docx", "A 57079-2023")</f>
        <v/>
      </c>
      <c r="Y143">
        <f>HYPERLINK("https://klasma.github.io/Logging_2305/tillsynsmail/A 57079-2023 tillsynsbegäran mail.docx", "A 57079-2023")</f>
        <v/>
      </c>
    </row>
    <row r="144" ht="15" customHeight="1">
      <c r="A144" t="inlineStr">
        <is>
          <t>A 47560-2024</t>
        </is>
      </c>
      <c r="B144" s="1" t="n">
        <v>45587</v>
      </c>
      <c r="C144" s="1" t="n">
        <v>46193</v>
      </c>
      <c r="D144" t="inlineStr">
        <is>
          <t>JÄMTLANDS LÄN</t>
        </is>
      </c>
      <c r="E144" t="inlineStr">
        <is>
          <t>BRÄCKE</t>
        </is>
      </c>
      <c r="G144" t="n">
        <v>4.3</v>
      </c>
      <c r="H144" t="n">
        <v>1</v>
      </c>
      <c r="I144" t="n">
        <v>0</v>
      </c>
      <c r="J144" t="n">
        <v>2</v>
      </c>
      <c r="K144" t="n">
        <v>2</v>
      </c>
      <c r="L144" t="n">
        <v>0</v>
      </c>
      <c r="M144" t="n">
        <v>0</v>
      </c>
      <c r="N144" t="n">
        <v>0</v>
      </c>
      <c r="O144" t="n">
        <v>4</v>
      </c>
      <c r="P144" t="n">
        <v>2</v>
      </c>
      <c r="Q144" t="n">
        <v>4</v>
      </c>
      <c r="R144" s="2" t="inlineStr">
        <is>
          <t>Garnlav
Knärot
Lunglav
Ullticka</t>
        </is>
      </c>
      <c r="S144">
        <f>HYPERLINK("https://klasma.github.io/Logging_2305/artfynd/A 47560-2024 artfynd.xlsx", "A 47560-2024")</f>
        <v/>
      </c>
      <c r="T144">
        <f>HYPERLINK("https://klasma.github.io/Logging_2305/kartor/A 47560-2024 karta.png", "A 47560-2024")</f>
        <v/>
      </c>
      <c r="U144">
        <f>HYPERLINK("https://klasma.github.io/Logging_2305/knärot/A 47560-2024 karta knärot.png", "A 47560-2024")</f>
        <v/>
      </c>
      <c r="V144">
        <f>HYPERLINK("https://klasma.github.io/Logging_2305/klagomål/A 47560-2024 FSC-klagomål.docx", "A 47560-2024")</f>
        <v/>
      </c>
      <c r="W144">
        <f>HYPERLINK("https://klasma.github.io/Logging_2305/klagomålsmail/A 47560-2024 FSC-klagomål mail.docx", "A 47560-2024")</f>
        <v/>
      </c>
      <c r="X144">
        <f>HYPERLINK("https://klasma.github.io/Logging_2305/tillsyn/A 47560-2024 tillsynsbegäran.docx", "A 47560-2024")</f>
        <v/>
      </c>
      <c r="Y144">
        <f>HYPERLINK("https://klasma.github.io/Logging_2305/tillsynsmail/A 47560-2024 tillsynsbegäran mail.docx", "A 47560-2024")</f>
        <v/>
      </c>
    </row>
    <row r="145" ht="15" customHeight="1">
      <c r="A145" t="inlineStr">
        <is>
          <t>A 43620-2023</t>
        </is>
      </c>
      <c r="B145" s="1" t="n">
        <v>45184</v>
      </c>
      <c r="C145" s="1" t="n">
        <v>46193</v>
      </c>
      <c r="D145" t="inlineStr">
        <is>
          <t>JÄMTLANDS LÄN</t>
        </is>
      </c>
      <c r="E145" t="inlineStr">
        <is>
          <t>BRÄCKE</t>
        </is>
      </c>
      <c r="G145" t="n">
        <v>17.8</v>
      </c>
      <c r="H145" t="n">
        <v>0</v>
      </c>
      <c r="I145" t="n">
        <v>2</v>
      </c>
      <c r="J145" t="n">
        <v>2</v>
      </c>
      <c r="K145" t="n">
        <v>0</v>
      </c>
      <c r="L145" t="n">
        <v>0</v>
      </c>
      <c r="M145" t="n">
        <v>0</v>
      </c>
      <c r="N145" t="n">
        <v>0</v>
      </c>
      <c r="O145" t="n">
        <v>2</v>
      </c>
      <c r="P145" t="n">
        <v>0</v>
      </c>
      <c r="Q145" t="n">
        <v>4</v>
      </c>
      <c r="R145" s="2" t="inlineStr">
        <is>
          <t>Lunglav
Skrovellav
Bårdlav
Skinnlav</t>
        </is>
      </c>
      <c r="S145">
        <f>HYPERLINK("https://klasma.github.io/Logging_2305/artfynd/A 43620-2023 artfynd.xlsx", "A 43620-2023")</f>
        <v/>
      </c>
      <c r="T145">
        <f>HYPERLINK("https://klasma.github.io/Logging_2305/kartor/A 43620-2023 karta.png", "A 43620-2023")</f>
        <v/>
      </c>
      <c r="V145">
        <f>HYPERLINK("https://klasma.github.io/Logging_2305/klagomål/A 43620-2023 FSC-klagomål.docx", "A 43620-2023")</f>
        <v/>
      </c>
      <c r="W145">
        <f>HYPERLINK("https://klasma.github.io/Logging_2305/klagomålsmail/A 43620-2023 FSC-klagomål mail.docx", "A 43620-2023")</f>
        <v/>
      </c>
      <c r="X145">
        <f>HYPERLINK("https://klasma.github.io/Logging_2305/tillsyn/A 43620-2023 tillsynsbegäran.docx", "A 43620-2023")</f>
        <v/>
      </c>
      <c r="Y145">
        <f>HYPERLINK("https://klasma.github.io/Logging_2305/tillsynsmail/A 43620-2023 tillsynsbegäran mail.docx", "A 43620-2023")</f>
        <v/>
      </c>
    </row>
    <row r="146" ht="15" customHeight="1">
      <c r="A146" t="inlineStr">
        <is>
          <t>A 15910-2026</t>
        </is>
      </c>
      <c r="B146" s="1" t="n">
        <v>46107</v>
      </c>
      <c r="C146" s="1" t="n">
        <v>46193</v>
      </c>
      <c r="D146" t="inlineStr">
        <is>
          <t>JÄMTLANDS LÄN</t>
        </is>
      </c>
      <c r="E146" t="inlineStr">
        <is>
          <t>BRÄCKE</t>
        </is>
      </c>
      <c r="G146" t="n">
        <v>9.800000000000001</v>
      </c>
      <c r="H146" t="n">
        <v>0</v>
      </c>
      <c r="I146" t="n">
        <v>1</v>
      </c>
      <c r="J146" t="n">
        <v>3</v>
      </c>
      <c r="K146" t="n">
        <v>0</v>
      </c>
      <c r="L146" t="n">
        <v>0</v>
      </c>
      <c r="M146" t="n">
        <v>0</v>
      </c>
      <c r="N146" t="n">
        <v>0</v>
      </c>
      <c r="O146" t="n">
        <v>3</v>
      </c>
      <c r="P146" t="n">
        <v>0</v>
      </c>
      <c r="Q146" t="n">
        <v>4</v>
      </c>
      <c r="R146" s="2" t="inlineStr">
        <is>
          <t>Lunglav
Skrovellav
Vårärt
Svart trolldruva</t>
        </is>
      </c>
      <c r="S146">
        <f>HYPERLINK("https://klasma.github.io/Logging_2305/artfynd/A 15910-2026 artfynd.xlsx", "A 15910-2026")</f>
        <v/>
      </c>
      <c r="T146">
        <f>HYPERLINK("https://klasma.github.io/Logging_2305/kartor/A 15910-2026 karta.png", "A 15910-2026")</f>
        <v/>
      </c>
      <c r="V146">
        <f>HYPERLINK("https://klasma.github.io/Logging_2305/klagomål/A 15910-2026 FSC-klagomål.docx", "A 15910-2026")</f>
        <v/>
      </c>
      <c r="W146">
        <f>HYPERLINK("https://klasma.github.io/Logging_2305/klagomålsmail/A 15910-2026 FSC-klagomål mail.docx", "A 15910-2026")</f>
        <v/>
      </c>
      <c r="X146">
        <f>HYPERLINK("https://klasma.github.io/Logging_2305/tillsyn/A 15910-2026 tillsynsbegäran.docx", "A 15910-2026")</f>
        <v/>
      </c>
      <c r="Y146">
        <f>HYPERLINK("https://klasma.github.io/Logging_2305/tillsynsmail/A 15910-2026 tillsynsbegäran mail.docx", "A 15910-2026")</f>
        <v/>
      </c>
    </row>
    <row r="147" ht="15" customHeight="1">
      <c r="A147" t="inlineStr">
        <is>
          <t>A 25482-2026</t>
        </is>
      </c>
      <c r="B147" s="1" t="n">
        <v>46177</v>
      </c>
      <c r="C147" s="1" t="n">
        <v>46193</v>
      </c>
      <c r="D147" t="inlineStr">
        <is>
          <t>JÄMTLANDS LÄN</t>
        </is>
      </c>
      <c r="E147" t="inlineStr">
        <is>
          <t>BRÄCKE</t>
        </is>
      </c>
      <c r="G147" t="n">
        <v>8.199999999999999</v>
      </c>
      <c r="H147" t="n">
        <v>0</v>
      </c>
      <c r="I147" t="n">
        <v>0</v>
      </c>
      <c r="J147" t="n">
        <v>3</v>
      </c>
      <c r="K147" t="n">
        <v>1</v>
      </c>
      <c r="L147" t="n">
        <v>0</v>
      </c>
      <c r="M147" t="n">
        <v>0</v>
      </c>
      <c r="N147" t="n">
        <v>0</v>
      </c>
      <c r="O147" t="n">
        <v>4</v>
      </c>
      <c r="P147" t="n">
        <v>1</v>
      </c>
      <c r="Q147" t="n">
        <v>4</v>
      </c>
      <c r="R147" s="2" t="inlineStr">
        <is>
          <t>Garnlav
Lunglav
Vedflamlav
Vedskivlav</t>
        </is>
      </c>
      <c r="S147">
        <f>HYPERLINK("https://klasma.github.io/Logging_2305/artfynd/A 25482-2026 artfynd.xlsx", "A 25482-2026")</f>
        <v/>
      </c>
      <c r="T147">
        <f>HYPERLINK("https://klasma.github.io/Logging_2305/kartor/A 25482-2026 karta.png", "A 25482-2026")</f>
        <v/>
      </c>
      <c r="V147">
        <f>HYPERLINK("https://klasma.github.io/Logging_2305/klagomål/A 25482-2026 FSC-klagomål.docx", "A 25482-2026")</f>
        <v/>
      </c>
      <c r="W147">
        <f>HYPERLINK("https://klasma.github.io/Logging_2305/klagomålsmail/A 25482-2026 FSC-klagomål mail.docx", "A 25482-2026")</f>
        <v/>
      </c>
      <c r="X147">
        <f>HYPERLINK("https://klasma.github.io/Logging_2305/tillsyn/A 25482-2026 tillsynsbegäran.docx", "A 25482-2026")</f>
        <v/>
      </c>
      <c r="Y147">
        <f>HYPERLINK("https://klasma.github.io/Logging_2305/tillsynsmail/A 25482-2026 tillsynsbegäran mail.docx", "A 25482-2026")</f>
        <v/>
      </c>
    </row>
    <row r="148" ht="15" customHeight="1">
      <c r="A148" t="inlineStr">
        <is>
          <t>A 20070-2022</t>
        </is>
      </c>
      <c r="B148" s="1" t="n">
        <v>44697</v>
      </c>
      <c r="C148" s="1" t="n">
        <v>46193</v>
      </c>
      <c r="D148" t="inlineStr">
        <is>
          <t>JÄMTLANDS LÄN</t>
        </is>
      </c>
      <c r="E148" t="inlineStr">
        <is>
          <t>BRÄCKE</t>
        </is>
      </c>
      <c r="F148" t="inlineStr">
        <is>
          <t>SCA</t>
        </is>
      </c>
      <c r="G148" t="n">
        <v>4.9</v>
      </c>
      <c r="H148" t="n">
        <v>3</v>
      </c>
      <c r="I148" t="n">
        <v>1</v>
      </c>
      <c r="J148" t="n">
        <v>2</v>
      </c>
      <c r="K148" t="n">
        <v>0</v>
      </c>
      <c r="L148" t="n">
        <v>0</v>
      </c>
      <c r="M148" t="n">
        <v>0</v>
      </c>
      <c r="N148" t="n">
        <v>0</v>
      </c>
      <c r="O148" t="n">
        <v>2</v>
      </c>
      <c r="P148" t="n">
        <v>0</v>
      </c>
      <c r="Q148" t="n">
        <v>3</v>
      </c>
      <c r="R148" s="2" t="inlineStr">
        <is>
          <t>Lavskrika
Talltita
Plattlummer</t>
        </is>
      </c>
      <c r="S148">
        <f>HYPERLINK("https://klasma.github.io/Logging_2305/artfynd/A 20070-2022 artfynd.xlsx", "A 20070-2022")</f>
        <v/>
      </c>
      <c r="T148">
        <f>HYPERLINK("https://klasma.github.io/Logging_2305/kartor/A 20070-2022 karta.png", "A 20070-2022")</f>
        <v/>
      </c>
      <c r="U148">
        <f>HYPERLINK("https://klasma.github.io/Logging_2305/knärot/A 20070-2022 karta knärot.png", "A 20070-2022")</f>
        <v/>
      </c>
      <c r="V148">
        <f>HYPERLINK("https://klasma.github.io/Logging_2305/klagomål/A 20070-2022 FSC-klagomål.docx", "A 20070-2022")</f>
        <v/>
      </c>
      <c r="W148">
        <f>HYPERLINK("https://klasma.github.io/Logging_2305/klagomålsmail/A 20070-2022 FSC-klagomål mail.docx", "A 20070-2022")</f>
        <v/>
      </c>
      <c r="X148">
        <f>HYPERLINK("https://klasma.github.io/Logging_2305/tillsyn/A 20070-2022 tillsynsbegäran.docx", "A 20070-2022")</f>
        <v/>
      </c>
      <c r="Y148">
        <f>HYPERLINK("https://klasma.github.io/Logging_2305/tillsynsmail/A 20070-2022 tillsynsbegäran mail.docx", "A 20070-2022")</f>
        <v/>
      </c>
      <c r="Z148">
        <f>HYPERLINK("https://klasma.github.io/Logging_2305/fåglar/A 20070-2022 prioriterade fågelarter.docx", "A 20070-2022")</f>
        <v/>
      </c>
    </row>
    <row r="149" ht="15" customHeight="1">
      <c r="A149" t="inlineStr">
        <is>
          <t>A 44428-2022</t>
        </is>
      </c>
      <c r="B149" s="1" t="n">
        <v>44839</v>
      </c>
      <c r="C149" s="1" t="n">
        <v>46193</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Dropptaggsvamp
Motaggsvamp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30989-2024</t>
        </is>
      </c>
      <c r="B150" s="1" t="n">
        <v>45499</v>
      </c>
      <c r="C150" s="1" t="n">
        <v>46193</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12601-2022</t>
        </is>
      </c>
      <c r="B151" s="1" t="n">
        <v>44638</v>
      </c>
      <c r="C151" s="1" t="n">
        <v>46193</v>
      </c>
      <c r="D151" t="inlineStr">
        <is>
          <t>JÄMTLANDS LÄN</t>
        </is>
      </c>
      <c r="E151" t="inlineStr">
        <is>
          <t>BRÄCKE</t>
        </is>
      </c>
      <c r="G151" t="n">
        <v>3.1</v>
      </c>
      <c r="H151" t="n">
        <v>2</v>
      </c>
      <c r="I151" t="n">
        <v>2</v>
      </c>
      <c r="J151" t="n">
        <v>0</v>
      </c>
      <c r="K151" t="n">
        <v>0</v>
      </c>
      <c r="L151" t="n">
        <v>0</v>
      </c>
      <c r="M151" t="n">
        <v>0</v>
      </c>
      <c r="N151" t="n">
        <v>0</v>
      </c>
      <c r="O151" t="n">
        <v>0</v>
      </c>
      <c r="P151" t="n">
        <v>0</v>
      </c>
      <c r="Q151" t="n">
        <v>3</v>
      </c>
      <c r="R151" s="2" t="inlineStr">
        <is>
          <t>Finbräken
Tvåblad
Blåsippa</t>
        </is>
      </c>
      <c r="S151">
        <f>HYPERLINK("https://klasma.github.io/Logging_2305/artfynd/A 12601-2022 artfynd.xlsx", "A 12601-2022")</f>
        <v/>
      </c>
      <c r="T151">
        <f>HYPERLINK("https://klasma.github.io/Logging_2305/kartor/A 12601-2022 karta.png", "A 12601-2022")</f>
        <v/>
      </c>
      <c r="V151">
        <f>HYPERLINK("https://klasma.github.io/Logging_2305/klagomål/A 12601-2022 FSC-klagomål.docx", "A 12601-2022")</f>
        <v/>
      </c>
      <c r="W151">
        <f>HYPERLINK("https://klasma.github.io/Logging_2305/klagomålsmail/A 12601-2022 FSC-klagomål mail.docx", "A 12601-2022")</f>
        <v/>
      </c>
      <c r="X151">
        <f>HYPERLINK("https://klasma.github.io/Logging_2305/tillsyn/A 12601-2022 tillsynsbegäran.docx", "A 12601-2022")</f>
        <v/>
      </c>
      <c r="Y151">
        <f>HYPERLINK("https://klasma.github.io/Logging_2305/tillsynsmail/A 12601-2022 tillsynsbegäran mail.docx", "A 12601-2022")</f>
        <v/>
      </c>
    </row>
    <row r="152" ht="15" customHeight="1">
      <c r="A152" t="inlineStr">
        <is>
          <t>A 41486-2024</t>
        </is>
      </c>
      <c r="B152" s="1" t="n">
        <v>45560</v>
      </c>
      <c r="C152" s="1" t="n">
        <v>46193</v>
      </c>
      <c r="D152" t="inlineStr">
        <is>
          <t>JÄMTLANDS LÄN</t>
        </is>
      </c>
      <c r="E152" t="inlineStr">
        <is>
          <t>BRÄCKE</t>
        </is>
      </c>
      <c r="F152" t="inlineStr">
        <is>
          <t>SCA</t>
        </is>
      </c>
      <c r="G152" t="n">
        <v>5.3</v>
      </c>
      <c r="H152" t="n">
        <v>0</v>
      </c>
      <c r="I152" t="n">
        <v>0</v>
      </c>
      <c r="J152" t="n">
        <v>2</v>
      </c>
      <c r="K152" t="n">
        <v>1</v>
      </c>
      <c r="L152" t="n">
        <v>0</v>
      </c>
      <c r="M152" t="n">
        <v>0</v>
      </c>
      <c r="N152" t="n">
        <v>0</v>
      </c>
      <c r="O152" t="n">
        <v>3</v>
      </c>
      <c r="P152" t="n">
        <v>1</v>
      </c>
      <c r="Q152" t="n">
        <v>3</v>
      </c>
      <c r="R152" s="2" t="inlineStr">
        <is>
          <t>Gränsticka
Lunglav
Ullticka</t>
        </is>
      </c>
      <c r="S152">
        <f>HYPERLINK("https://klasma.github.io/Logging_2305/artfynd/A 41486-2024 artfynd.xlsx", "A 41486-2024")</f>
        <v/>
      </c>
      <c r="T152">
        <f>HYPERLINK("https://klasma.github.io/Logging_2305/kartor/A 41486-2024 karta.png", "A 41486-2024")</f>
        <v/>
      </c>
      <c r="V152">
        <f>HYPERLINK("https://klasma.github.io/Logging_2305/klagomål/A 41486-2024 FSC-klagomål.docx", "A 41486-2024")</f>
        <v/>
      </c>
      <c r="W152">
        <f>HYPERLINK("https://klasma.github.io/Logging_2305/klagomålsmail/A 41486-2024 FSC-klagomål mail.docx", "A 41486-2024")</f>
        <v/>
      </c>
      <c r="X152">
        <f>HYPERLINK("https://klasma.github.io/Logging_2305/tillsyn/A 41486-2024 tillsynsbegäran.docx", "A 41486-2024")</f>
        <v/>
      </c>
      <c r="Y152">
        <f>HYPERLINK("https://klasma.github.io/Logging_2305/tillsynsmail/A 41486-2024 tillsynsbegäran mail.docx", "A 41486-2024")</f>
        <v/>
      </c>
    </row>
    <row r="153" ht="15" customHeight="1">
      <c r="A153" t="inlineStr">
        <is>
          <t>A 12588-2024</t>
        </is>
      </c>
      <c r="B153" s="1" t="n">
        <v>45379</v>
      </c>
      <c r="C153" s="1" t="n">
        <v>46193</v>
      </c>
      <c r="D153" t="inlineStr">
        <is>
          <t>JÄMTLANDS LÄN</t>
        </is>
      </c>
      <c r="E153" t="inlineStr">
        <is>
          <t>BRÄCKE</t>
        </is>
      </c>
      <c r="F153" t="inlineStr">
        <is>
          <t>SCA</t>
        </is>
      </c>
      <c r="G153" t="n">
        <v>5.1</v>
      </c>
      <c r="H153" t="n">
        <v>0</v>
      </c>
      <c r="I153" t="n">
        <v>0</v>
      </c>
      <c r="J153" t="n">
        <v>3</v>
      </c>
      <c r="K153" t="n">
        <v>0</v>
      </c>
      <c r="L153" t="n">
        <v>0</v>
      </c>
      <c r="M153" t="n">
        <v>0</v>
      </c>
      <c r="N153" t="n">
        <v>0</v>
      </c>
      <c r="O153" t="n">
        <v>3</v>
      </c>
      <c r="P153" t="n">
        <v>0</v>
      </c>
      <c r="Q153" t="n">
        <v>3</v>
      </c>
      <c r="R153" s="2" t="inlineStr">
        <is>
          <t>Blå taggsvamp
Lunglav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52269-2023</t>
        </is>
      </c>
      <c r="B154" s="1" t="n">
        <v>45217</v>
      </c>
      <c r="C154" s="1" t="n">
        <v>46193</v>
      </c>
      <c r="D154" t="inlineStr">
        <is>
          <t>JÄMTLANDS LÄN</t>
        </is>
      </c>
      <c r="E154" t="inlineStr">
        <is>
          <t>BRÄCKE</t>
        </is>
      </c>
      <c r="F154" t="inlineStr">
        <is>
          <t>SCA</t>
        </is>
      </c>
      <c r="G154" t="n">
        <v>2.4</v>
      </c>
      <c r="H154" t="n">
        <v>0</v>
      </c>
      <c r="I154" t="n">
        <v>0</v>
      </c>
      <c r="J154" t="n">
        <v>2</v>
      </c>
      <c r="K154" t="n">
        <v>1</v>
      </c>
      <c r="L154" t="n">
        <v>0</v>
      </c>
      <c r="M154" t="n">
        <v>0</v>
      </c>
      <c r="N154" t="n">
        <v>0</v>
      </c>
      <c r="O154" t="n">
        <v>3</v>
      </c>
      <c r="P154" t="n">
        <v>1</v>
      </c>
      <c r="Q154" t="n">
        <v>3</v>
      </c>
      <c r="R154" s="2" t="inlineStr">
        <is>
          <t>Garnlav
Dropptaggsvamp
Vedflamlav</t>
        </is>
      </c>
      <c r="S154">
        <f>HYPERLINK("https://klasma.github.io/Logging_2305/artfynd/A 52269-2023 artfynd.xlsx", "A 52269-2023")</f>
        <v/>
      </c>
      <c r="T154">
        <f>HYPERLINK("https://klasma.github.io/Logging_2305/kartor/A 52269-2023 karta.png", "A 52269-2023")</f>
        <v/>
      </c>
      <c r="V154">
        <f>HYPERLINK("https://klasma.github.io/Logging_2305/klagomål/A 52269-2023 FSC-klagomål.docx", "A 52269-2023")</f>
        <v/>
      </c>
      <c r="W154">
        <f>HYPERLINK("https://klasma.github.io/Logging_2305/klagomålsmail/A 52269-2023 FSC-klagomål mail.docx", "A 52269-2023")</f>
        <v/>
      </c>
      <c r="X154">
        <f>HYPERLINK("https://klasma.github.io/Logging_2305/tillsyn/A 52269-2023 tillsynsbegäran.docx", "A 52269-2023")</f>
        <v/>
      </c>
      <c r="Y154">
        <f>HYPERLINK("https://klasma.github.io/Logging_2305/tillsynsmail/A 52269-2023 tillsynsbegäran mail.docx", "A 52269-2023")</f>
        <v/>
      </c>
    </row>
    <row r="155" ht="15" customHeight="1">
      <c r="A155" t="inlineStr">
        <is>
          <t>A 3020-2023</t>
        </is>
      </c>
      <c r="B155" s="1" t="n">
        <v>44945</v>
      </c>
      <c r="C155" s="1" t="n">
        <v>46193</v>
      </c>
      <c r="D155" t="inlineStr">
        <is>
          <t>JÄMTLANDS LÄN</t>
        </is>
      </c>
      <c r="E155" t="inlineStr">
        <is>
          <t>BRÄCKE</t>
        </is>
      </c>
      <c r="F155" t="inlineStr">
        <is>
          <t>SCA</t>
        </is>
      </c>
      <c r="G155" t="n">
        <v>2.3</v>
      </c>
      <c r="H155" t="n">
        <v>0</v>
      </c>
      <c r="I155" t="n">
        <v>2</v>
      </c>
      <c r="J155" t="n">
        <v>1</v>
      </c>
      <c r="K155" t="n">
        <v>0</v>
      </c>
      <c r="L155" t="n">
        <v>0</v>
      </c>
      <c r="M155" t="n">
        <v>0</v>
      </c>
      <c r="N155" t="n">
        <v>0</v>
      </c>
      <c r="O155" t="n">
        <v>1</v>
      </c>
      <c r="P155" t="n">
        <v>0</v>
      </c>
      <c r="Q155" t="n">
        <v>3</v>
      </c>
      <c r="R155" s="2" t="inlineStr">
        <is>
          <t>Lunglav
Dvärgtufs
Skinnlav</t>
        </is>
      </c>
      <c r="S155">
        <f>HYPERLINK("https://klasma.github.io/Logging_2305/artfynd/A 3020-2023 artfynd.xlsx", "A 3020-2023")</f>
        <v/>
      </c>
      <c r="T155">
        <f>HYPERLINK("https://klasma.github.io/Logging_2305/kartor/A 3020-2023 karta.png", "A 3020-2023")</f>
        <v/>
      </c>
      <c r="V155">
        <f>HYPERLINK("https://klasma.github.io/Logging_2305/klagomål/A 3020-2023 FSC-klagomål.docx", "A 3020-2023")</f>
        <v/>
      </c>
      <c r="W155">
        <f>HYPERLINK("https://klasma.github.io/Logging_2305/klagomålsmail/A 3020-2023 FSC-klagomål mail.docx", "A 3020-2023")</f>
        <v/>
      </c>
      <c r="X155">
        <f>HYPERLINK("https://klasma.github.io/Logging_2305/tillsyn/A 3020-2023 tillsynsbegäran.docx", "A 3020-2023")</f>
        <v/>
      </c>
      <c r="Y155">
        <f>HYPERLINK("https://klasma.github.io/Logging_2305/tillsynsmail/A 3020-2023 tillsynsbegäran mail.docx", "A 3020-2023")</f>
        <v/>
      </c>
    </row>
    <row r="156" ht="15" customHeight="1">
      <c r="A156" t="inlineStr">
        <is>
          <t>A 57105-2024</t>
        </is>
      </c>
      <c r="B156" s="1" t="n">
        <v>45629</v>
      </c>
      <c r="C156" s="1" t="n">
        <v>46193</v>
      </c>
      <c r="D156" t="inlineStr">
        <is>
          <t>JÄMTLANDS LÄN</t>
        </is>
      </c>
      <c r="E156" t="inlineStr">
        <is>
          <t>BRÄCKE</t>
        </is>
      </c>
      <c r="G156" t="n">
        <v>1.7</v>
      </c>
      <c r="H156" t="n">
        <v>0</v>
      </c>
      <c r="I156" t="n">
        <v>0</v>
      </c>
      <c r="J156" t="n">
        <v>2</v>
      </c>
      <c r="K156" t="n">
        <v>1</v>
      </c>
      <c r="L156" t="n">
        <v>0</v>
      </c>
      <c r="M156" t="n">
        <v>0</v>
      </c>
      <c r="N156" t="n">
        <v>0</v>
      </c>
      <c r="O156" t="n">
        <v>3</v>
      </c>
      <c r="P156" t="n">
        <v>1</v>
      </c>
      <c r="Q156" t="n">
        <v>3</v>
      </c>
      <c r="R156" s="2" t="inlineStr">
        <is>
          <t>Garnlav
Lunglav
Ullticka</t>
        </is>
      </c>
      <c r="S156">
        <f>HYPERLINK("https://klasma.github.io/Logging_2305/artfynd/A 57105-2024 artfynd.xlsx", "A 57105-2024")</f>
        <v/>
      </c>
      <c r="T156">
        <f>HYPERLINK("https://klasma.github.io/Logging_2305/kartor/A 57105-2024 karta.png", "A 57105-2024")</f>
        <v/>
      </c>
      <c r="V156">
        <f>HYPERLINK("https://klasma.github.io/Logging_2305/klagomål/A 57105-2024 FSC-klagomål.docx", "A 57105-2024")</f>
        <v/>
      </c>
      <c r="W156">
        <f>HYPERLINK("https://klasma.github.io/Logging_2305/klagomålsmail/A 57105-2024 FSC-klagomål mail.docx", "A 57105-2024")</f>
        <v/>
      </c>
      <c r="X156">
        <f>HYPERLINK("https://klasma.github.io/Logging_2305/tillsyn/A 57105-2024 tillsynsbegäran.docx", "A 57105-2024")</f>
        <v/>
      </c>
      <c r="Y156">
        <f>HYPERLINK("https://klasma.github.io/Logging_2305/tillsynsmail/A 57105-2024 tillsynsbegäran mail.docx", "A 57105-2024")</f>
        <v/>
      </c>
    </row>
    <row r="157" ht="15" customHeight="1">
      <c r="A157" t="inlineStr">
        <is>
          <t>A 698-2025</t>
        </is>
      </c>
      <c r="B157" s="1" t="n">
        <v>45665</v>
      </c>
      <c r="C157" s="1" t="n">
        <v>46193</v>
      </c>
      <c r="D157" t="inlineStr">
        <is>
          <t>JÄMTLANDS LÄN</t>
        </is>
      </c>
      <c r="E157" t="inlineStr">
        <is>
          <t>BRÄCKE</t>
        </is>
      </c>
      <c r="F157" t="inlineStr">
        <is>
          <t>SCA</t>
        </is>
      </c>
      <c r="G157" t="n">
        <v>4.6</v>
      </c>
      <c r="H157" t="n">
        <v>0</v>
      </c>
      <c r="I157" t="n">
        <v>0</v>
      </c>
      <c r="J157" t="n">
        <v>2</v>
      </c>
      <c r="K157" t="n">
        <v>1</v>
      </c>
      <c r="L157" t="n">
        <v>0</v>
      </c>
      <c r="M157" t="n">
        <v>0</v>
      </c>
      <c r="N157" t="n">
        <v>0</v>
      </c>
      <c r="O157" t="n">
        <v>3</v>
      </c>
      <c r="P157" t="n">
        <v>1</v>
      </c>
      <c r="Q157" t="n">
        <v>3</v>
      </c>
      <c r="R157" s="2" t="inlineStr">
        <is>
          <t>Garnlav
Lunglav
Ullticka</t>
        </is>
      </c>
      <c r="S157">
        <f>HYPERLINK("https://klasma.github.io/Logging_2305/artfynd/A 698-2025 artfynd.xlsx", "A 698-2025")</f>
        <v/>
      </c>
      <c r="T157">
        <f>HYPERLINK("https://klasma.github.io/Logging_2305/kartor/A 698-2025 karta.png", "A 698-2025")</f>
        <v/>
      </c>
      <c r="V157">
        <f>HYPERLINK("https://klasma.github.io/Logging_2305/klagomål/A 698-2025 FSC-klagomål.docx", "A 698-2025")</f>
        <v/>
      </c>
      <c r="W157">
        <f>HYPERLINK("https://klasma.github.io/Logging_2305/klagomålsmail/A 698-2025 FSC-klagomål mail.docx", "A 698-2025")</f>
        <v/>
      </c>
      <c r="X157">
        <f>HYPERLINK("https://klasma.github.io/Logging_2305/tillsyn/A 698-2025 tillsynsbegäran.docx", "A 698-2025")</f>
        <v/>
      </c>
      <c r="Y157">
        <f>HYPERLINK("https://klasma.github.io/Logging_2305/tillsynsmail/A 698-2025 tillsynsbegäran mail.docx", "A 698-2025")</f>
        <v/>
      </c>
    </row>
    <row r="158" ht="15" customHeight="1">
      <c r="A158" t="inlineStr">
        <is>
          <t>A 37048-2021</t>
        </is>
      </c>
      <c r="B158" s="1" t="n">
        <v>44393</v>
      </c>
      <c r="C158" s="1" t="n">
        <v>46193</v>
      </c>
      <c r="D158" t="inlineStr">
        <is>
          <t>JÄMTLANDS LÄN</t>
        </is>
      </c>
      <c r="E158" t="inlineStr">
        <is>
          <t>BRÄCKE</t>
        </is>
      </c>
      <c r="F158" t="inlineStr">
        <is>
          <t>SCA</t>
        </is>
      </c>
      <c r="G158" t="n">
        <v>5.5</v>
      </c>
      <c r="H158" t="n">
        <v>0</v>
      </c>
      <c r="I158" t="n">
        <v>2</v>
      </c>
      <c r="J158" t="n">
        <v>1</v>
      </c>
      <c r="K158" t="n">
        <v>0</v>
      </c>
      <c r="L158" t="n">
        <v>0</v>
      </c>
      <c r="M158" t="n">
        <v>0</v>
      </c>
      <c r="N158" t="n">
        <v>0</v>
      </c>
      <c r="O158" t="n">
        <v>1</v>
      </c>
      <c r="P158" t="n">
        <v>0</v>
      </c>
      <c r="Q158" t="n">
        <v>3</v>
      </c>
      <c r="R158" s="2" t="inlineStr">
        <is>
          <t>Lunglav
Bårdlav
Stuplav</t>
        </is>
      </c>
      <c r="S158">
        <f>HYPERLINK("https://klasma.github.io/Logging_2305/artfynd/A 37048-2021 artfynd.xlsx", "A 37048-2021")</f>
        <v/>
      </c>
      <c r="T158">
        <f>HYPERLINK("https://klasma.github.io/Logging_2305/kartor/A 37048-2021 karta.png", "A 37048-2021")</f>
        <v/>
      </c>
      <c r="V158">
        <f>HYPERLINK("https://klasma.github.io/Logging_2305/klagomål/A 37048-2021 FSC-klagomål.docx", "A 37048-2021")</f>
        <v/>
      </c>
      <c r="W158">
        <f>HYPERLINK("https://klasma.github.io/Logging_2305/klagomålsmail/A 37048-2021 FSC-klagomål mail.docx", "A 37048-2021")</f>
        <v/>
      </c>
      <c r="X158">
        <f>HYPERLINK("https://klasma.github.io/Logging_2305/tillsyn/A 37048-2021 tillsynsbegäran.docx", "A 37048-2021")</f>
        <v/>
      </c>
      <c r="Y158">
        <f>HYPERLINK("https://klasma.github.io/Logging_2305/tillsynsmail/A 37048-2021 tillsynsbegäran mail.docx", "A 37048-2021")</f>
        <v/>
      </c>
    </row>
    <row r="159" ht="15" customHeight="1">
      <c r="A159" t="inlineStr">
        <is>
          <t>A 49375-2024</t>
        </is>
      </c>
      <c r="B159" s="1" t="n">
        <v>45595</v>
      </c>
      <c r="C159" s="1" t="n">
        <v>46193</v>
      </c>
      <c r="D159" t="inlineStr">
        <is>
          <t>JÄMTLANDS LÄN</t>
        </is>
      </c>
      <c r="E159" t="inlineStr">
        <is>
          <t>BRÄCKE</t>
        </is>
      </c>
      <c r="F159" t="inlineStr">
        <is>
          <t>SCA</t>
        </is>
      </c>
      <c r="G159" t="n">
        <v>8.5</v>
      </c>
      <c r="H159" t="n">
        <v>0</v>
      </c>
      <c r="I159" t="n">
        <v>0</v>
      </c>
      <c r="J159" t="n">
        <v>3</v>
      </c>
      <c r="K159" t="n">
        <v>0</v>
      </c>
      <c r="L159" t="n">
        <v>0</v>
      </c>
      <c r="M159" t="n">
        <v>0</v>
      </c>
      <c r="N159" t="n">
        <v>0</v>
      </c>
      <c r="O159" t="n">
        <v>3</v>
      </c>
      <c r="P159" t="n">
        <v>0</v>
      </c>
      <c r="Q159" t="n">
        <v>3</v>
      </c>
      <c r="R159" s="2" t="inlineStr">
        <is>
          <t>Doftskinn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6768-2023</t>
        </is>
      </c>
      <c r="B160" s="1" t="n">
        <v>44966</v>
      </c>
      <c r="C160" s="1" t="n">
        <v>46193</v>
      </c>
      <c r="D160" t="inlineStr">
        <is>
          <t>JÄMTLANDS LÄN</t>
        </is>
      </c>
      <c r="E160" t="inlineStr">
        <is>
          <t>BRÄCKE</t>
        </is>
      </c>
      <c r="G160" t="n">
        <v>3.4</v>
      </c>
      <c r="H160" t="n">
        <v>2</v>
      </c>
      <c r="I160" t="n">
        <v>1</v>
      </c>
      <c r="J160" t="n">
        <v>1</v>
      </c>
      <c r="K160" t="n">
        <v>1</v>
      </c>
      <c r="L160" t="n">
        <v>0</v>
      </c>
      <c r="M160" t="n">
        <v>0</v>
      </c>
      <c r="N160" t="n">
        <v>0</v>
      </c>
      <c r="O160" t="n">
        <v>2</v>
      </c>
      <c r="P160" t="n">
        <v>1</v>
      </c>
      <c r="Q160" t="n">
        <v>3</v>
      </c>
      <c r="R160" s="2" t="inlineStr">
        <is>
          <t>Knärot
Gammelgransskål
Spindelblomster</t>
        </is>
      </c>
      <c r="S160">
        <f>HYPERLINK("https://klasma.github.io/Logging_2305/artfynd/A 6768-2023 artfynd.xlsx", "A 6768-2023")</f>
        <v/>
      </c>
      <c r="T160">
        <f>HYPERLINK("https://klasma.github.io/Logging_2305/kartor/A 6768-2023 karta.png", "A 6768-2023")</f>
        <v/>
      </c>
      <c r="U160">
        <f>HYPERLINK("https://klasma.github.io/Logging_2305/knärot/A 6768-2023 karta knärot.png", "A 6768-2023")</f>
        <v/>
      </c>
      <c r="V160">
        <f>HYPERLINK("https://klasma.github.io/Logging_2305/klagomål/A 6768-2023 FSC-klagomål.docx", "A 6768-2023")</f>
        <v/>
      </c>
      <c r="W160">
        <f>HYPERLINK("https://klasma.github.io/Logging_2305/klagomålsmail/A 6768-2023 FSC-klagomål mail.docx", "A 6768-2023")</f>
        <v/>
      </c>
      <c r="X160">
        <f>HYPERLINK("https://klasma.github.io/Logging_2305/tillsyn/A 6768-2023 tillsynsbegäran.docx", "A 6768-2023")</f>
        <v/>
      </c>
      <c r="Y160">
        <f>HYPERLINK("https://klasma.github.io/Logging_2305/tillsynsmail/A 6768-2023 tillsynsbegäran mail.docx", "A 6768-2023")</f>
        <v/>
      </c>
    </row>
    <row r="161" ht="15" customHeight="1">
      <c r="A161" t="inlineStr">
        <is>
          <t>A 32654-2024</t>
        </is>
      </c>
      <c r="B161" s="1" t="n">
        <v>45513</v>
      </c>
      <c r="C161" s="1" t="n">
        <v>46193</v>
      </c>
      <c r="D161" t="inlineStr">
        <is>
          <t>JÄMTLANDS LÄN</t>
        </is>
      </c>
      <c r="E161" t="inlineStr">
        <is>
          <t>BRÄCKE</t>
        </is>
      </c>
      <c r="F161" t="inlineStr">
        <is>
          <t>SCA</t>
        </is>
      </c>
      <c r="G161" t="n">
        <v>4.2</v>
      </c>
      <c r="H161" t="n">
        <v>0</v>
      </c>
      <c r="I161" t="n">
        <v>1</v>
      </c>
      <c r="J161" t="n">
        <v>1</v>
      </c>
      <c r="K161" t="n">
        <v>1</v>
      </c>
      <c r="L161" t="n">
        <v>0</v>
      </c>
      <c r="M161" t="n">
        <v>0</v>
      </c>
      <c r="N161" t="n">
        <v>0</v>
      </c>
      <c r="O161" t="n">
        <v>2</v>
      </c>
      <c r="P161" t="n">
        <v>1</v>
      </c>
      <c r="Q161" t="n">
        <v>3</v>
      </c>
      <c r="R161" s="2" t="inlineStr">
        <is>
          <t>Garnlav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29455-2024</t>
        </is>
      </c>
      <c r="B162" s="1" t="n">
        <v>45483</v>
      </c>
      <c r="C162" s="1" t="n">
        <v>46193</v>
      </c>
      <c r="D162" t="inlineStr">
        <is>
          <t>JÄMTLANDS LÄN</t>
        </is>
      </c>
      <c r="E162" t="inlineStr">
        <is>
          <t>BRÄCKE</t>
        </is>
      </c>
      <c r="F162" t="inlineStr">
        <is>
          <t>SCA</t>
        </is>
      </c>
      <c r="G162" t="n">
        <v>6</v>
      </c>
      <c r="H162" t="n">
        <v>0</v>
      </c>
      <c r="I162" t="n">
        <v>0</v>
      </c>
      <c r="J162" t="n">
        <v>2</v>
      </c>
      <c r="K162" t="n">
        <v>1</v>
      </c>
      <c r="L162" t="n">
        <v>0</v>
      </c>
      <c r="M162" t="n">
        <v>0</v>
      </c>
      <c r="N162" t="n">
        <v>0</v>
      </c>
      <c r="O162" t="n">
        <v>3</v>
      </c>
      <c r="P162" t="n">
        <v>1</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38280-2021</t>
        </is>
      </c>
      <c r="B163" s="1" t="n">
        <v>44405</v>
      </c>
      <c r="C163" s="1" t="n">
        <v>46193</v>
      </c>
      <c r="D163" t="inlineStr">
        <is>
          <t>JÄMTLANDS LÄN</t>
        </is>
      </c>
      <c r="E163" t="inlineStr">
        <is>
          <t>BRÄCKE</t>
        </is>
      </c>
      <c r="F163" t="inlineStr">
        <is>
          <t>SCA</t>
        </is>
      </c>
      <c r="G163" t="n">
        <v>0.5</v>
      </c>
      <c r="H163" t="n">
        <v>0</v>
      </c>
      <c r="I163" t="n">
        <v>0</v>
      </c>
      <c r="J163" t="n">
        <v>2</v>
      </c>
      <c r="K163" t="n">
        <v>1</v>
      </c>
      <c r="L163" t="n">
        <v>0</v>
      </c>
      <c r="M163" t="n">
        <v>0</v>
      </c>
      <c r="N163" t="n">
        <v>0</v>
      </c>
      <c r="O163" t="n">
        <v>3</v>
      </c>
      <c r="P163" t="n">
        <v>1</v>
      </c>
      <c r="Q163" t="n">
        <v>3</v>
      </c>
      <c r="R163" s="2" t="inlineStr">
        <is>
          <t>Gräddporing
Dropptaggsvamp
Vaddporing</t>
        </is>
      </c>
      <c r="S163">
        <f>HYPERLINK("https://klasma.github.io/Logging_2305/artfynd/A 38280-2021 artfynd.xlsx", "A 38280-2021")</f>
        <v/>
      </c>
      <c r="T163">
        <f>HYPERLINK("https://klasma.github.io/Logging_2305/kartor/A 38280-2021 karta.png", "A 38280-2021")</f>
        <v/>
      </c>
      <c r="V163">
        <f>HYPERLINK("https://klasma.github.io/Logging_2305/klagomål/A 38280-2021 FSC-klagomål.docx", "A 38280-2021")</f>
        <v/>
      </c>
      <c r="W163">
        <f>HYPERLINK("https://klasma.github.io/Logging_2305/klagomålsmail/A 38280-2021 FSC-klagomål mail.docx", "A 38280-2021")</f>
        <v/>
      </c>
      <c r="X163">
        <f>HYPERLINK("https://klasma.github.io/Logging_2305/tillsyn/A 38280-2021 tillsynsbegäran.docx", "A 38280-2021")</f>
        <v/>
      </c>
      <c r="Y163">
        <f>HYPERLINK("https://klasma.github.io/Logging_2305/tillsynsmail/A 38280-2021 tillsynsbegäran mail.docx", "A 38280-2021")</f>
        <v/>
      </c>
    </row>
    <row r="164" ht="15" customHeight="1">
      <c r="A164" t="inlineStr">
        <is>
          <t>A 17912-2025</t>
        </is>
      </c>
      <c r="B164" s="1" t="n">
        <v>45758</v>
      </c>
      <c r="C164" s="1" t="n">
        <v>46193</v>
      </c>
      <c r="D164" t="inlineStr">
        <is>
          <t>JÄMTLANDS LÄN</t>
        </is>
      </c>
      <c r="E164" t="inlineStr">
        <is>
          <t>BRÄCKE</t>
        </is>
      </c>
      <c r="G164" t="n">
        <v>2</v>
      </c>
      <c r="H164" t="n">
        <v>0</v>
      </c>
      <c r="I164" t="n">
        <v>1</v>
      </c>
      <c r="J164" t="n">
        <v>2</v>
      </c>
      <c r="K164" t="n">
        <v>0</v>
      </c>
      <c r="L164" t="n">
        <v>0</v>
      </c>
      <c r="M164" t="n">
        <v>0</v>
      </c>
      <c r="N164" t="n">
        <v>0</v>
      </c>
      <c r="O164" t="n">
        <v>2</v>
      </c>
      <c r="P164" t="n">
        <v>0</v>
      </c>
      <c r="Q164" t="n">
        <v>3</v>
      </c>
      <c r="R164" s="2" t="inlineStr">
        <is>
          <t>Kolflarnlav
Lunglav
Grönpyrola</t>
        </is>
      </c>
      <c r="S164">
        <f>HYPERLINK("https://klasma.github.io/Logging_2305/artfynd/A 17912-2025 artfynd.xlsx", "A 17912-2025")</f>
        <v/>
      </c>
      <c r="T164">
        <f>HYPERLINK("https://klasma.github.io/Logging_2305/kartor/A 17912-2025 karta.png", "A 17912-2025")</f>
        <v/>
      </c>
      <c r="V164">
        <f>HYPERLINK("https://klasma.github.io/Logging_2305/klagomål/A 17912-2025 FSC-klagomål.docx", "A 17912-2025")</f>
        <v/>
      </c>
      <c r="W164">
        <f>HYPERLINK("https://klasma.github.io/Logging_2305/klagomålsmail/A 17912-2025 FSC-klagomål mail.docx", "A 17912-2025")</f>
        <v/>
      </c>
      <c r="X164">
        <f>HYPERLINK("https://klasma.github.io/Logging_2305/tillsyn/A 17912-2025 tillsynsbegäran.docx", "A 17912-2025")</f>
        <v/>
      </c>
      <c r="Y164">
        <f>HYPERLINK("https://klasma.github.io/Logging_2305/tillsynsmail/A 17912-2025 tillsynsbegäran mail.docx", "A 17912-2025")</f>
        <v/>
      </c>
    </row>
    <row r="165" ht="15" customHeight="1">
      <c r="A165" t="inlineStr">
        <is>
          <t>A 23460-2025</t>
        </is>
      </c>
      <c r="B165" s="1" t="n">
        <v>45792</v>
      </c>
      <c r="C165" s="1" t="n">
        <v>46193</v>
      </c>
      <c r="D165" t="inlineStr">
        <is>
          <t>JÄMTLANDS LÄN</t>
        </is>
      </c>
      <c r="E165" t="inlineStr">
        <is>
          <t>BRÄCKE</t>
        </is>
      </c>
      <c r="F165" t="inlineStr">
        <is>
          <t>SCA</t>
        </is>
      </c>
      <c r="G165" t="n">
        <v>2.3</v>
      </c>
      <c r="H165" t="n">
        <v>1</v>
      </c>
      <c r="I165" t="n">
        <v>1</v>
      </c>
      <c r="J165" t="n">
        <v>1</v>
      </c>
      <c r="K165" t="n">
        <v>0</v>
      </c>
      <c r="L165" t="n">
        <v>0</v>
      </c>
      <c r="M165" t="n">
        <v>0</v>
      </c>
      <c r="N165" t="n">
        <v>0</v>
      </c>
      <c r="O165" t="n">
        <v>1</v>
      </c>
      <c r="P165" t="n">
        <v>0</v>
      </c>
      <c r="Q165" t="n">
        <v>3</v>
      </c>
      <c r="R165" s="2" t="inlineStr">
        <is>
          <t>Brunklöver
Underviol
Fläcknycklar</t>
        </is>
      </c>
      <c r="S165">
        <f>HYPERLINK("https://klasma.github.io/Logging_2305/artfynd/A 23460-2025 artfynd.xlsx", "A 23460-2025")</f>
        <v/>
      </c>
      <c r="T165">
        <f>HYPERLINK("https://klasma.github.io/Logging_2305/kartor/A 23460-2025 karta.png", "A 23460-2025")</f>
        <v/>
      </c>
      <c r="V165">
        <f>HYPERLINK("https://klasma.github.io/Logging_2305/klagomål/A 23460-2025 FSC-klagomål.docx", "A 23460-2025")</f>
        <v/>
      </c>
      <c r="W165">
        <f>HYPERLINK("https://klasma.github.io/Logging_2305/klagomålsmail/A 23460-2025 FSC-klagomål mail.docx", "A 23460-2025")</f>
        <v/>
      </c>
      <c r="X165">
        <f>HYPERLINK("https://klasma.github.io/Logging_2305/tillsyn/A 23460-2025 tillsynsbegäran.docx", "A 23460-2025")</f>
        <v/>
      </c>
      <c r="Y165">
        <f>HYPERLINK("https://klasma.github.io/Logging_2305/tillsynsmail/A 23460-2025 tillsynsbegäran mail.docx", "A 23460-2025")</f>
        <v/>
      </c>
    </row>
    <row r="166" ht="15" customHeight="1">
      <c r="A166" t="inlineStr">
        <is>
          <t>A 29672-2024</t>
        </is>
      </c>
      <c r="B166" s="1" t="n">
        <v>45484</v>
      </c>
      <c r="C166" s="1" t="n">
        <v>46193</v>
      </c>
      <c r="D166" t="inlineStr">
        <is>
          <t>JÄMTLANDS LÄN</t>
        </is>
      </c>
      <c r="E166" t="inlineStr">
        <is>
          <t>BRÄCKE</t>
        </is>
      </c>
      <c r="F166" t="inlineStr">
        <is>
          <t>SCA</t>
        </is>
      </c>
      <c r="G166" t="n">
        <v>1.2</v>
      </c>
      <c r="H166" t="n">
        <v>0</v>
      </c>
      <c r="I166" t="n">
        <v>0</v>
      </c>
      <c r="J166" t="n">
        <v>3</v>
      </c>
      <c r="K166" t="n">
        <v>0</v>
      </c>
      <c r="L166" t="n">
        <v>0</v>
      </c>
      <c r="M166" t="n">
        <v>0</v>
      </c>
      <c r="N166" t="n">
        <v>0</v>
      </c>
      <c r="O166" t="n">
        <v>3</v>
      </c>
      <c r="P166" t="n">
        <v>0</v>
      </c>
      <c r="Q166" t="n">
        <v>3</v>
      </c>
      <c r="R166" s="2" t="inlineStr">
        <is>
          <t>Stiftgelélav
Vedflikmossa
Vedtrappmossa</t>
        </is>
      </c>
      <c r="S166">
        <f>HYPERLINK("https://klasma.github.io/Logging_2305/artfynd/A 29672-2024 artfynd.xlsx", "A 29672-2024")</f>
        <v/>
      </c>
      <c r="T166">
        <f>HYPERLINK("https://klasma.github.io/Logging_2305/kartor/A 29672-2024 karta.png", "A 29672-2024")</f>
        <v/>
      </c>
      <c r="V166">
        <f>HYPERLINK("https://klasma.github.io/Logging_2305/klagomål/A 29672-2024 FSC-klagomål.docx", "A 29672-2024")</f>
        <v/>
      </c>
      <c r="W166">
        <f>HYPERLINK("https://klasma.github.io/Logging_2305/klagomålsmail/A 29672-2024 FSC-klagomål mail.docx", "A 29672-2024")</f>
        <v/>
      </c>
      <c r="X166">
        <f>HYPERLINK("https://klasma.github.io/Logging_2305/tillsyn/A 29672-2024 tillsynsbegäran.docx", "A 29672-2024")</f>
        <v/>
      </c>
      <c r="Y166">
        <f>HYPERLINK("https://klasma.github.io/Logging_2305/tillsynsmail/A 29672-2024 tillsynsbegäran mail.docx", "A 29672-2024")</f>
        <v/>
      </c>
    </row>
    <row r="167" ht="15" customHeight="1">
      <c r="A167" t="inlineStr">
        <is>
          <t>A 60610-2024</t>
        </is>
      </c>
      <c r="B167" s="1" t="n">
        <v>45644</v>
      </c>
      <c r="C167" s="1" t="n">
        <v>46193</v>
      </c>
      <c r="D167" t="inlineStr">
        <is>
          <t>JÄMTLANDS LÄN</t>
        </is>
      </c>
      <c r="E167" t="inlineStr">
        <is>
          <t>BRÄCKE</t>
        </is>
      </c>
      <c r="F167" t="inlineStr">
        <is>
          <t>SCA</t>
        </is>
      </c>
      <c r="G167" t="n">
        <v>1.1</v>
      </c>
      <c r="H167" t="n">
        <v>0</v>
      </c>
      <c r="I167" t="n">
        <v>0</v>
      </c>
      <c r="J167" t="n">
        <v>2</v>
      </c>
      <c r="K167" t="n">
        <v>1</v>
      </c>
      <c r="L167" t="n">
        <v>0</v>
      </c>
      <c r="M167" t="n">
        <v>0</v>
      </c>
      <c r="N167" t="n">
        <v>0</v>
      </c>
      <c r="O167" t="n">
        <v>3</v>
      </c>
      <c r="P167" t="n">
        <v>1</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47073-2025</t>
        </is>
      </c>
      <c r="B168" s="1" t="n">
        <v>45929</v>
      </c>
      <c r="C168" s="1" t="n">
        <v>46193</v>
      </c>
      <c r="D168" t="inlineStr">
        <is>
          <t>JÄMTLANDS LÄN</t>
        </is>
      </c>
      <c r="E168" t="inlineStr">
        <is>
          <t>BRÄCKE</t>
        </is>
      </c>
      <c r="F168" t="inlineStr">
        <is>
          <t>SCA</t>
        </is>
      </c>
      <c r="G168" t="n">
        <v>4</v>
      </c>
      <c r="H168" t="n">
        <v>0</v>
      </c>
      <c r="I168" t="n">
        <v>0</v>
      </c>
      <c r="J168" t="n">
        <v>3</v>
      </c>
      <c r="K168" t="n">
        <v>0</v>
      </c>
      <c r="L168" t="n">
        <v>0</v>
      </c>
      <c r="M168" t="n">
        <v>0</v>
      </c>
      <c r="N168" t="n">
        <v>0</v>
      </c>
      <c r="O168" t="n">
        <v>3</v>
      </c>
      <c r="P168" t="n">
        <v>0</v>
      </c>
      <c r="Q168" t="n">
        <v>3</v>
      </c>
      <c r="R168" s="2" t="inlineStr">
        <is>
          <t>Dvärgbägarlav
Mörk kolflarnlav
Reliktbock</t>
        </is>
      </c>
      <c r="S168">
        <f>HYPERLINK("https://klasma.github.io/Logging_2305/artfynd/A 47073-2025 artfynd.xlsx", "A 47073-2025")</f>
        <v/>
      </c>
      <c r="T168">
        <f>HYPERLINK("https://klasma.github.io/Logging_2305/kartor/A 47073-2025 karta.png", "A 47073-2025")</f>
        <v/>
      </c>
      <c r="V168">
        <f>HYPERLINK("https://klasma.github.io/Logging_2305/klagomål/A 47073-2025 FSC-klagomål.docx", "A 47073-2025")</f>
        <v/>
      </c>
      <c r="W168">
        <f>HYPERLINK("https://klasma.github.io/Logging_2305/klagomålsmail/A 47073-2025 FSC-klagomål mail.docx", "A 47073-2025")</f>
        <v/>
      </c>
      <c r="X168">
        <f>HYPERLINK("https://klasma.github.io/Logging_2305/tillsyn/A 47073-2025 tillsynsbegäran.docx", "A 47073-2025")</f>
        <v/>
      </c>
      <c r="Y168">
        <f>HYPERLINK("https://klasma.github.io/Logging_2305/tillsynsmail/A 47073-2025 tillsynsbegäran mail.docx", "A 47073-2025")</f>
        <v/>
      </c>
    </row>
    <row r="169" ht="15" customHeight="1">
      <c r="A169" t="inlineStr">
        <is>
          <t>A 47038-2025</t>
        </is>
      </c>
      <c r="B169" s="1" t="n">
        <v>45929</v>
      </c>
      <c r="C169" s="1" t="n">
        <v>46193</v>
      </c>
      <c r="D169" t="inlineStr">
        <is>
          <t>JÄMTLANDS LÄN</t>
        </is>
      </c>
      <c r="E169" t="inlineStr">
        <is>
          <t>BRÄCKE</t>
        </is>
      </c>
      <c r="F169" t="inlineStr">
        <is>
          <t>SCA</t>
        </is>
      </c>
      <c r="G169" t="n">
        <v>1.2</v>
      </c>
      <c r="H169" t="n">
        <v>0</v>
      </c>
      <c r="I169" t="n">
        <v>1</v>
      </c>
      <c r="J169" t="n">
        <v>1</v>
      </c>
      <c r="K169" t="n">
        <v>1</v>
      </c>
      <c r="L169" t="n">
        <v>0</v>
      </c>
      <c r="M169" t="n">
        <v>0</v>
      </c>
      <c r="N169" t="n">
        <v>0</v>
      </c>
      <c r="O169" t="n">
        <v>2</v>
      </c>
      <c r="P169" t="n">
        <v>1</v>
      </c>
      <c r="Q169" t="n">
        <v>3</v>
      </c>
      <c r="R169" s="2" t="inlineStr">
        <is>
          <t>Garnlav
Skarp dropptaggsvamp
Skinnlav</t>
        </is>
      </c>
      <c r="S169">
        <f>HYPERLINK("https://klasma.github.io/Logging_2305/artfynd/A 47038-2025 artfynd.xlsx", "A 47038-2025")</f>
        <v/>
      </c>
      <c r="T169">
        <f>HYPERLINK("https://klasma.github.io/Logging_2305/kartor/A 47038-2025 karta.png", "A 47038-2025")</f>
        <v/>
      </c>
      <c r="V169">
        <f>HYPERLINK("https://klasma.github.io/Logging_2305/klagomål/A 47038-2025 FSC-klagomål.docx", "A 47038-2025")</f>
        <v/>
      </c>
      <c r="W169">
        <f>HYPERLINK("https://klasma.github.io/Logging_2305/klagomålsmail/A 47038-2025 FSC-klagomål mail.docx", "A 47038-2025")</f>
        <v/>
      </c>
      <c r="X169">
        <f>HYPERLINK("https://klasma.github.io/Logging_2305/tillsyn/A 47038-2025 tillsynsbegäran.docx", "A 47038-2025")</f>
        <v/>
      </c>
      <c r="Y169">
        <f>HYPERLINK("https://klasma.github.io/Logging_2305/tillsynsmail/A 47038-2025 tillsynsbegäran mail.docx", "A 47038-2025")</f>
        <v/>
      </c>
    </row>
    <row r="170" ht="15" customHeight="1">
      <c r="A170" t="inlineStr">
        <is>
          <t>A 49624-2025</t>
        </is>
      </c>
      <c r="B170" s="1" t="n">
        <v>45939</v>
      </c>
      <c r="C170" s="1" t="n">
        <v>46193</v>
      </c>
      <c r="D170" t="inlineStr">
        <is>
          <t>JÄMTLANDS LÄN</t>
        </is>
      </c>
      <c r="E170" t="inlineStr">
        <is>
          <t>BRÄCKE</t>
        </is>
      </c>
      <c r="F170" t="inlineStr">
        <is>
          <t>SCA</t>
        </is>
      </c>
      <c r="G170" t="n">
        <v>5.1</v>
      </c>
      <c r="H170" t="n">
        <v>0</v>
      </c>
      <c r="I170" t="n">
        <v>1</v>
      </c>
      <c r="J170" t="n">
        <v>1</v>
      </c>
      <c r="K170" t="n">
        <v>1</v>
      </c>
      <c r="L170" t="n">
        <v>0</v>
      </c>
      <c r="M170" t="n">
        <v>0</v>
      </c>
      <c r="N170" t="n">
        <v>0</v>
      </c>
      <c r="O170" t="n">
        <v>2</v>
      </c>
      <c r="P170" t="n">
        <v>1</v>
      </c>
      <c r="Q170" t="n">
        <v>3</v>
      </c>
      <c r="R170" s="2" t="inlineStr">
        <is>
          <t>Gräddporing
Skarp dropptaggsvamp
Skinnlav</t>
        </is>
      </c>
      <c r="S170">
        <f>HYPERLINK("https://klasma.github.io/Logging_2305/artfynd/A 49624-2025 artfynd.xlsx", "A 49624-2025")</f>
        <v/>
      </c>
      <c r="T170">
        <f>HYPERLINK("https://klasma.github.io/Logging_2305/kartor/A 49624-2025 karta.png", "A 49624-2025")</f>
        <v/>
      </c>
      <c r="V170">
        <f>HYPERLINK("https://klasma.github.io/Logging_2305/klagomål/A 49624-2025 FSC-klagomål.docx", "A 49624-2025")</f>
        <v/>
      </c>
      <c r="W170">
        <f>HYPERLINK("https://klasma.github.io/Logging_2305/klagomålsmail/A 49624-2025 FSC-klagomål mail.docx", "A 49624-2025")</f>
        <v/>
      </c>
      <c r="X170">
        <f>HYPERLINK("https://klasma.github.io/Logging_2305/tillsyn/A 49624-2025 tillsynsbegäran.docx", "A 49624-2025")</f>
        <v/>
      </c>
      <c r="Y170">
        <f>HYPERLINK("https://klasma.github.io/Logging_2305/tillsynsmail/A 49624-2025 tillsynsbegäran mail.docx", "A 49624-2025")</f>
        <v/>
      </c>
    </row>
    <row r="171" ht="15" customHeight="1">
      <c r="A171" t="inlineStr">
        <is>
          <t>A 23687-2025</t>
        </is>
      </c>
      <c r="B171" s="1" t="n">
        <v>45793</v>
      </c>
      <c r="C171" s="1" t="n">
        <v>46193</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53261-2025</t>
        </is>
      </c>
      <c r="B172" s="1" t="n">
        <v>45958</v>
      </c>
      <c r="C172" s="1" t="n">
        <v>46193</v>
      </c>
      <c r="D172" t="inlineStr">
        <is>
          <t>JÄMTLANDS LÄN</t>
        </is>
      </c>
      <c r="E172" t="inlineStr">
        <is>
          <t>BRÄCKE</t>
        </is>
      </c>
      <c r="F172" t="inlineStr">
        <is>
          <t>SCA</t>
        </is>
      </c>
      <c r="G172" t="n">
        <v>4.3</v>
      </c>
      <c r="H172" t="n">
        <v>0</v>
      </c>
      <c r="I172" t="n">
        <v>1</v>
      </c>
      <c r="J172" t="n">
        <v>2</v>
      </c>
      <c r="K172" t="n">
        <v>0</v>
      </c>
      <c r="L172" t="n">
        <v>0</v>
      </c>
      <c r="M172" t="n">
        <v>0</v>
      </c>
      <c r="N172" t="n">
        <v>0</v>
      </c>
      <c r="O172" t="n">
        <v>2</v>
      </c>
      <c r="P172" t="n">
        <v>0</v>
      </c>
      <c r="Q172" t="n">
        <v>3</v>
      </c>
      <c r="R172" s="2" t="inlineStr">
        <is>
          <t>Kolflarnlav
Lunglav
Skinnlav</t>
        </is>
      </c>
      <c r="S172">
        <f>HYPERLINK("https://klasma.github.io/Logging_2305/artfynd/A 53261-2025 artfynd.xlsx", "A 53261-2025")</f>
        <v/>
      </c>
      <c r="T172">
        <f>HYPERLINK("https://klasma.github.io/Logging_2305/kartor/A 53261-2025 karta.png", "A 53261-2025")</f>
        <v/>
      </c>
      <c r="V172">
        <f>HYPERLINK("https://klasma.github.io/Logging_2305/klagomål/A 53261-2025 FSC-klagomål.docx", "A 53261-2025")</f>
        <v/>
      </c>
      <c r="W172">
        <f>HYPERLINK("https://klasma.github.io/Logging_2305/klagomålsmail/A 53261-2025 FSC-klagomål mail.docx", "A 53261-2025")</f>
        <v/>
      </c>
      <c r="X172">
        <f>HYPERLINK("https://klasma.github.io/Logging_2305/tillsyn/A 53261-2025 tillsynsbegäran.docx", "A 53261-2025")</f>
        <v/>
      </c>
      <c r="Y172">
        <f>HYPERLINK("https://klasma.github.io/Logging_2305/tillsynsmail/A 53261-2025 tillsynsbegäran mail.docx", "A 53261-2025")</f>
        <v/>
      </c>
    </row>
    <row r="173" ht="15" customHeight="1">
      <c r="A173" t="inlineStr">
        <is>
          <t>A 55529-2022</t>
        </is>
      </c>
      <c r="B173" s="1" t="n">
        <v>44887</v>
      </c>
      <c r="C173" s="1" t="n">
        <v>46193</v>
      </c>
      <c r="D173" t="inlineStr">
        <is>
          <t>JÄMTLANDS LÄN</t>
        </is>
      </c>
      <c r="E173" t="inlineStr">
        <is>
          <t>BRÄCKE</t>
        </is>
      </c>
      <c r="F173" t="inlineStr">
        <is>
          <t>SCA</t>
        </is>
      </c>
      <c r="G173" t="n">
        <v>6.4</v>
      </c>
      <c r="H173" t="n">
        <v>3</v>
      </c>
      <c r="I173" t="n">
        <v>0</v>
      </c>
      <c r="J173" t="n">
        <v>1</v>
      </c>
      <c r="K173" t="n">
        <v>1</v>
      </c>
      <c r="L173" t="n">
        <v>0</v>
      </c>
      <c r="M173" t="n">
        <v>0</v>
      </c>
      <c r="N173" t="n">
        <v>0</v>
      </c>
      <c r="O173" t="n">
        <v>2</v>
      </c>
      <c r="P173" t="n">
        <v>1</v>
      </c>
      <c r="Q173" t="n">
        <v>3</v>
      </c>
      <c r="R173" s="2" t="inlineStr">
        <is>
          <t>Doftticka
Lavskrika
Tjäder</t>
        </is>
      </c>
      <c r="S173">
        <f>HYPERLINK("https://klasma.github.io/Logging_2305/artfynd/A 55529-2022 artfynd.xlsx", "A 55529-2022")</f>
        <v/>
      </c>
      <c r="T173">
        <f>HYPERLINK("https://klasma.github.io/Logging_2305/kartor/A 55529-2022 karta.png", "A 55529-2022")</f>
        <v/>
      </c>
      <c r="V173">
        <f>HYPERLINK("https://klasma.github.io/Logging_2305/klagomål/A 55529-2022 FSC-klagomål.docx", "A 55529-2022")</f>
        <v/>
      </c>
      <c r="W173">
        <f>HYPERLINK("https://klasma.github.io/Logging_2305/klagomålsmail/A 55529-2022 FSC-klagomål mail.docx", "A 55529-2022")</f>
        <v/>
      </c>
      <c r="X173">
        <f>HYPERLINK("https://klasma.github.io/Logging_2305/tillsyn/A 55529-2022 tillsynsbegäran.docx", "A 55529-2022")</f>
        <v/>
      </c>
      <c r="Y173">
        <f>HYPERLINK("https://klasma.github.io/Logging_2305/tillsynsmail/A 55529-2022 tillsynsbegäran mail.docx", "A 55529-2022")</f>
        <v/>
      </c>
      <c r="Z173">
        <f>HYPERLINK("https://klasma.github.io/Logging_2305/fåglar/A 55529-2022 prioriterade fågelarter.docx", "A 55529-2022")</f>
        <v/>
      </c>
    </row>
    <row r="174" ht="15" customHeight="1">
      <c r="A174" t="inlineStr">
        <is>
          <t>A 41648-2023</t>
        </is>
      </c>
      <c r="B174" s="1" t="n">
        <v>45175</v>
      </c>
      <c r="C174" s="1" t="n">
        <v>46193</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29119-2025</t>
        </is>
      </c>
      <c r="B175" s="1" t="n">
        <v>45821</v>
      </c>
      <c r="C175" s="1" t="n">
        <v>46193</v>
      </c>
      <c r="D175" t="inlineStr">
        <is>
          <t>JÄMTLANDS LÄN</t>
        </is>
      </c>
      <c r="E175" t="inlineStr">
        <is>
          <t>BRÄCKE</t>
        </is>
      </c>
      <c r="F175" t="inlineStr">
        <is>
          <t>SCA</t>
        </is>
      </c>
      <c r="G175" t="n">
        <v>2.4</v>
      </c>
      <c r="H175" t="n">
        <v>0</v>
      </c>
      <c r="I175" t="n">
        <v>0</v>
      </c>
      <c r="J175" t="n">
        <v>2</v>
      </c>
      <c r="K175" t="n">
        <v>1</v>
      </c>
      <c r="L175" t="n">
        <v>0</v>
      </c>
      <c r="M175" t="n">
        <v>0</v>
      </c>
      <c r="N175" t="n">
        <v>0</v>
      </c>
      <c r="O175" t="n">
        <v>3</v>
      </c>
      <c r="P175" t="n">
        <v>1</v>
      </c>
      <c r="Q175" t="n">
        <v>3</v>
      </c>
      <c r="R175" s="2" t="inlineStr">
        <is>
          <t>Garnlav
Dropptaggsvamp
Lunglav</t>
        </is>
      </c>
      <c r="S175">
        <f>HYPERLINK("https://klasma.github.io/Logging_2305/artfynd/A 29119-2025 artfynd.xlsx", "A 29119-2025")</f>
        <v/>
      </c>
      <c r="T175">
        <f>HYPERLINK("https://klasma.github.io/Logging_2305/kartor/A 29119-2025 karta.png", "A 29119-2025")</f>
        <v/>
      </c>
      <c r="V175">
        <f>HYPERLINK("https://klasma.github.io/Logging_2305/klagomål/A 29119-2025 FSC-klagomål.docx", "A 29119-2025")</f>
        <v/>
      </c>
      <c r="W175">
        <f>HYPERLINK("https://klasma.github.io/Logging_2305/klagomålsmail/A 29119-2025 FSC-klagomål mail.docx", "A 29119-2025")</f>
        <v/>
      </c>
      <c r="X175">
        <f>HYPERLINK("https://klasma.github.io/Logging_2305/tillsyn/A 29119-2025 tillsynsbegäran.docx", "A 29119-2025")</f>
        <v/>
      </c>
      <c r="Y175">
        <f>HYPERLINK("https://klasma.github.io/Logging_2305/tillsynsmail/A 29119-2025 tillsynsbegäran mail.docx", "A 29119-2025")</f>
        <v/>
      </c>
    </row>
    <row r="176" ht="15" customHeight="1">
      <c r="A176" t="inlineStr">
        <is>
          <t>A 48772-2024</t>
        </is>
      </c>
      <c r="B176" s="1" t="n">
        <v>45593</v>
      </c>
      <c r="C176" s="1" t="n">
        <v>46193</v>
      </c>
      <c r="D176" t="inlineStr">
        <is>
          <t>JÄMTLANDS LÄN</t>
        </is>
      </c>
      <c r="E176" t="inlineStr">
        <is>
          <t>BRÄCKE</t>
        </is>
      </c>
      <c r="F176" t="inlineStr">
        <is>
          <t>SCA</t>
        </is>
      </c>
      <c r="G176" t="n">
        <v>2.7</v>
      </c>
      <c r="H176" t="n">
        <v>0</v>
      </c>
      <c r="I176" t="n">
        <v>0</v>
      </c>
      <c r="J176" t="n">
        <v>3</v>
      </c>
      <c r="K176" t="n">
        <v>0</v>
      </c>
      <c r="L176" t="n">
        <v>0</v>
      </c>
      <c r="M176" t="n">
        <v>0</v>
      </c>
      <c r="N176" t="n">
        <v>0</v>
      </c>
      <c r="O176" t="n">
        <v>3</v>
      </c>
      <c r="P176" t="n">
        <v>0</v>
      </c>
      <c r="Q176" t="n">
        <v>3</v>
      </c>
      <c r="R176" s="2" t="inlineStr">
        <is>
          <t>Blå taggsvamp
Lunglav
Skrovellav</t>
        </is>
      </c>
      <c r="S176">
        <f>HYPERLINK("https://klasma.github.io/Logging_2305/artfynd/A 48772-2024 artfynd.xlsx", "A 48772-2024")</f>
        <v/>
      </c>
      <c r="T176">
        <f>HYPERLINK("https://klasma.github.io/Logging_2305/kartor/A 48772-2024 karta.png", "A 48772-2024")</f>
        <v/>
      </c>
      <c r="V176">
        <f>HYPERLINK("https://klasma.github.io/Logging_2305/klagomål/A 48772-2024 FSC-klagomål.docx", "A 48772-2024")</f>
        <v/>
      </c>
      <c r="W176">
        <f>HYPERLINK("https://klasma.github.io/Logging_2305/klagomålsmail/A 48772-2024 FSC-klagomål mail.docx", "A 48772-2024")</f>
        <v/>
      </c>
      <c r="X176">
        <f>HYPERLINK("https://klasma.github.io/Logging_2305/tillsyn/A 48772-2024 tillsynsbegäran.docx", "A 48772-2024")</f>
        <v/>
      </c>
      <c r="Y176">
        <f>HYPERLINK("https://klasma.github.io/Logging_2305/tillsynsmail/A 48772-2024 tillsynsbegäran mail.docx", "A 48772-2024")</f>
        <v/>
      </c>
    </row>
    <row r="177" ht="15" customHeight="1">
      <c r="A177" t="inlineStr">
        <is>
          <t>A 50516-2023</t>
        </is>
      </c>
      <c r="B177" s="1" t="n">
        <v>45216</v>
      </c>
      <c r="C177" s="1" t="n">
        <v>46193</v>
      </c>
      <c r="D177" t="inlineStr">
        <is>
          <t>JÄMTLANDS LÄN</t>
        </is>
      </c>
      <c r="E177" t="inlineStr">
        <is>
          <t>BRÄCKE</t>
        </is>
      </c>
      <c r="F177" t="inlineStr">
        <is>
          <t>SCA</t>
        </is>
      </c>
      <c r="G177" t="n">
        <v>3.1</v>
      </c>
      <c r="H177" t="n">
        <v>3</v>
      </c>
      <c r="I177" t="n">
        <v>0</v>
      </c>
      <c r="J177" t="n">
        <v>1</v>
      </c>
      <c r="K177" t="n">
        <v>0</v>
      </c>
      <c r="L177" t="n">
        <v>0</v>
      </c>
      <c r="M177" t="n">
        <v>0</v>
      </c>
      <c r="N177" t="n">
        <v>0</v>
      </c>
      <c r="O177" t="n">
        <v>1</v>
      </c>
      <c r="P177" t="n">
        <v>0</v>
      </c>
      <c r="Q177" t="n">
        <v>3</v>
      </c>
      <c r="R177" s="2" t="inlineStr">
        <is>
          <t>Talltita
Spillkråka
Grönsiska</t>
        </is>
      </c>
      <c r="S177">
        <f>HYPERLINK("https://klasma.github.io/Logging_2305/artfynd/A 50516-2023 artfynd.xlsx", "A 50516-2023")</f>
        <v/>
      </c>
      <c r="T177">
        <f>HYPERLINK("https://klasma.github.io/Logging_2305/kartor/A 50516-2023 karta.png", "A 50516-2023")</f>
        <v/>
      </c>
      <c r="V177">
        <f>HYPERLINK("https://klasma.github.io/Logging_2305/klagomål/A 50516-2023 FSC-klagomål.docx", "A 50516-2023")</f>
        <v/>
      </c>
      <c r="W177">
        <f>HYPERLINK("https://klasma.github.io/Logging_2305/klagomålsmail/A 50516-2023 FSC-klagomål mail.docx", "A 50516-2023")</f>
        <v/>
      </c>
      <c r="X177">
        <f>HYPERLINK("https://klasma.github.io/Logging_2305/tillsyn/A 50516-2023 tillsynsbegäran.docx", "A 50516-2023")</f>
        <v/>
      </c>
      <c r="Y177">
        <f>HYPERLINK("https://klasma.github.io/Logging_2305/tillsynsmail/A 50516-2023 tillsynsbegäran mail.docx", "A 50516-2023")</f>
        <v/>
      </c>
      <c r="Z177">
        <f>HYPERLINK("https://klasma.github.io/Logging_2305/fåglar/A 50516-2023 prioriterade fågelarter.docx", "A 50516-2023")</f>
        <v/>
      </c>
    </row>
    <row r="178" ht="15" customHeight="1">
      <c r="A178" t="inlineStr">
        <is>
          <t>A 57617-2025</t>
        </is>
      </c>
      <c r="B178" s="1" t="n">
        <v>45981</v>
      </c>
      <c r="C178" s="1" t="n">
        <v>46193</v>
      </c>
      <c r="D178" t="inlineStr">
        <is>
          <t>JÄMTLANDS LÄN</t>
        </is>
      </c>
      <c r="E178" t="inlineStr">
        <is>
          <t>BRÄCKE</t>
        </is>
      </c>
      <c r="F178" t="inlineStr">
        <is>
          <t>SCA</t>
        </is>
      </c>
      <c r="G178" t="n">
        <v>7.9</v>
      </c>
      <c r="H178" t="n">
        <v>1</v>
      </c>
      <c r="I178" t="n">
        <v>2</v>
      </c>
      <c r="J178" t="n">
        <v>0</v>
      </c>
      <c r="K178" t="n">
        <v>1</v>
      </c>
      <c r="L178" t="n">
        <v>0</v>
      </c>
      <c r="M178" t="n">
        <v>0</v>
      </c>
      <c r="N178" t="n">
        <v>0</v>
      </c>
      <c r="O178" t="n">
        <v>1</v>
      </c>
      <c r="P178" t="n">
        <v>1</v>
      </c>
      <c r="Q178" t="n">
        <v>3</v>
      </c>
      <c r="R178" s="2" t="inlineStr">
        <is>
          <t>Knärot
Svavelriska
Trådticka</t>
        </is>
      </c>
      <c r="S178">
        <f>HYPERLINK("https://klasma.github.io/Logging_2305/artfynd/A 57617-2025 artfynd.xlsx", "A 57617-2025")</f>
        <v/>
      </c>
      <c r="T178">
        <f>HYPERLINK("https://klasma.github.io/Logging_2305/kartor/A 57617-2025 karta.png", "A 57617-2025")</f>
        <v/>
      </c>
      <c r="U178">
        <f>HYPERLINK("https://klasma.github.io/Logging_2305/knärot/A 57617-2025 karta knärot.png", "A 57617-2025")</f>
        <v/>
      </c>
      <c r="V178">
        <f>HYPERLINK("https://klasma.github.io/Logging_2305/klagomål/A 57617-2025 FSC-klagomål.docx", "A 57617-2025")</f>
        <v/>
      </c>
      <c r="W178">
        <f>HYPERLINK("https://klasma.github.io/Logging_2305/klagomålsmail/A 57617-2025 FSC-klagomål mail.docx", "A 57617-2025")</f>
        <v/>
      </c>
      <c r="X178">
        <f>HYPERLINK("https://klasma.github.io/Logging_2305/tillsyn/A 57617-2025 tillsynsbegäran.docx", "A 57617-2025")</f>
        <v/>
      </c>
      <c r="Y178">
        <f>HYPERLINK("https://klasma.github.io/Logging_2305/tillsynsmail/A 57617-2025 tillsynsbegäran mail.docx", "A 57617-2025")</f>
        <v/>
      </c>
    </row>
    <row r="179" ht="15" customHeight="1">
      <c r="A179" t="inlineStr">
        <is>
          <t>A 58422-2025</t>
        </is>
      </c>
      <c r="B179" s="1" t="n">
        <v>45985</v>
      </c>
      <c r="C179" s="1" t="n">
        <v>46193</v>
      </c>
      <c r="D179" t="inlineStr">
        <is>
          <t>JÄMTLANDS LÄN</t>
        </is>
      </c>
      <c r="E179" t="inlineStr">
        <is>
          <t>BRÄCKE</t>
        </is>
      </c>
      <c r="F179" t="inlineStr">
        <is>
          <t>SCA</t>
        </is>
      </c>
      <c r="G179" t="n">
        <v>11</v>
      </c>
      <c r="H179" t="n">
        <v>1</v>
      </c>
      <c r="I179" t="n">
        <v>0</v>
      </c>
      <c r="J179" t="n">
        <v>2</v>
      </c>
      <c r="K179" t="n">
        <v>1</v>
      </c>
      <c r="L179" t="n">
        <v>0</v>
      </c>
      <c r="M179" t="n">
        <v>0</v>
      </c>
      <c r="N179" t="n">
        <v>0</v>
      </c>
      <c r="O179" t="n">
        <v>3</v>
      </c>
      <c r="P179" t="n">
        <v>1</v>
      </c>
      <c r="Q179" t="n">
        <v>3</v>
      </c>
      <c r="R179" s="2" t="inlineStr">
        <is>
          <t>Doftticka
Dropptaggsvamp
Lunglav</t>
        </is>
      </c>
      <c r="S179">
        <f>HYPERLINK("https://klasma.github.io/Logging_2305/artfynd/A 58422-2025 artfynd.xlsx", "A 58422-2025")</f>
        <v/>
      </c>
      <c r="T179">
        <f>HYPERLINK("https://klasma.github.io/Logging_2305/kartor/A 58422-2025 karta.png", "A 58422-2025")</f>
        <v/>
      </c>
      <c r="V179">
        <f>HYPERLINK("https://klasma.github.io/Logging_2305/klagomål/A 58422-2025 FSC-klagomål.docx", "A 58422-2025")</f>
        <v/>
      </c>
      <c r="W179">
        <f>HYPERLINK("https://klasma.github.io/Logging_2305/klagomålsmail/A 58422-2025 FSC-klagomål mail.docx", "A 58422-2025")</f>
        <v/>
      </c>
      <c r="X179">
        <f>HYPERLINK("https://klasma.github.io/Logging_2305/tillsyn/A 58422-2025 tillsynsbegäran.docx", "A 58422-2025")</f>
        <v/>
      </c>
      <c r="Y179">
        <f>HYPERLINK("https://klasma.github.io/Logging_2305/tillsynsmail/A 58422-2025 tillsynsbegäran mail.docx", "A 58422-2025")</f>
        <v/>
      </c>
    </row>
    <row r="180" ht="15" customHeight="1">
      <c r="A180" t="inlineStr">
        <is>
          <t>A 2882-2025</t>
        </is>
      </c>
      <c r="B180" s="1" t="n">
        <v>45677</v>
      </c>
      <c r="C180" s="1" t="n">
        <v>46193</v>
      </c>
      <c r="D180" t="inlineStr">
        <is>
          <t>JÄMTLANDS LÄN</t>
        </is>
      </c>
      <c r="E180" t="inlineStr">
        <is>
          <t>BRÄCKE</t>
        </is>
      </c>
      <c r="F180" t="inlineStr">
        <is>
          <t>SCA</t>
        </is>
      </c>
      <c r="G180" t="n">
        <v>2.7</v>
      </c>
      <c r="H180" t="n">
        <v>0</v>
      </c>
      <c r="I180" t="n">
        <v>1</v>
      </c>
      <c r="J180" t="n">
        <v>1</v>
      </c>
      <c r="K180" t="n">
        <v>1</v>
      </c>
      <c r="L180" t="n">
        <v>0</v>
      </c>
      <c r="M180" t="n">
        <v>0</v>
      </c>
      <c r="N180" t="n">
        <v>0</v>
      </c>
      <c r="O180" t="n">
        <v>2</v>
      </c>
      <c r="P180" t="n">
        <v>1</v>
      </c>
      <c r="Q180" t="n">
        <v>3</v>
      </c>
      <c r="R180" s="2" t="inlineStr">
        <is>
          <t>Gräddporing
Dvärgbägarlav
Skinnlav</t>
        </is>
      </c>
      <c r="S180">
        <f>HYPERLINK("https://klasma.github.io/Logging_2305/artfynd/A 2882-2025 artfynd.xlsx", "A 2882-2025")</f>
        <v/>
      </c>
      <c r="T180">
        <f>HYPERLINK("https://klasma.github.io/Logging_2305/kartor/A 2882-2025 karta.png", "A 2882-2025")</f>
        <v/>
      </c>
      <c r="V180">
        <f>HYPERLINK("https://klasma.github.io/Logging_2305/klagomål/A 2882-2025 FSC-klagomål.docx", "A 2882-2025")</f>
        <v/>
      </c>
      <c r="W180">
        <f>HYPERLINK("https://klasma.github.io/Logging_2305/klagomålsmail/A 2882-2025 FSC-klagomål mail.docx", "A 2882-2025")</f>
        <v/>
      </c>
      <c r="X180">
        <f>HYPERLINK("https://klasma.github.io/Logging_2305/tillsyn/A 2882-2025 tillsynsbegäran.docx", "A 2882-2025")</f>
        <v/>
      </c>
      <c r="Y180">
        <f>HYPERLINK("https://klasma.github.io/Logging_2305/tillsynsmail/A 2882-2025 tillsynsbegäran mail.docx", "A 2882-2025")</f>
        <v/>
      </c>
    </row>
    <row r="181" ht="15" customHeight="1">
      <c r="A181" t="inlineStr">
        <is>
          <t>A 17996-2025</t>
        </is>
      </c>
      <c r="B181" s="1" t="n">
        <v>45761</v>
      </c>
      <c r="C181" s="1" t="n">
        <v>46193</v>
      </c>
      <c r="D181" t="inlineStr">
        <is>
          <t>JÄMTLANDS LÄN</t>
        </is>
      </c>
      <c r="E181" t="inlineStr">
        <is>
          <t>BRÄCKE</t>
        </is>
      </c>
      <c r="F181" t="inlineStr">
        <is>
          <t>SCA</t>
        </is>
      </c>
      <c r="G181" t="n">
        <v>1.3</v>
      </c>
      <c r="H181" t="n">
        <v>0</v>
      </c>
      <c r="I181" t="n">
        <v>1</v>
      </c>
      <c r="J181" t="n">
        <v>2</v>
      </c>
      <c r="K181" t="n">
        <v>0</v>
      </c>
      <c r="L181" t="n">
        <v>0</v>
      </c>
      <c r="M181" t="n">
        <v>0</v>
      </c>
      <c r="N181" t="n">
        <v>0</v>
      </c>
      <c r="O181" t="n">
        <v>2</v>
      </c>
      <c r="P181" t="n">
        <v>0</v>
      </c>
      <c r="Q181" t="n">
        <v>3</v>
      </c>
      <c r="R181" s="2" t="inlineStr">
        <is>
          <t>Lunglav
Skrovellav
Rödgul trumpetsvamp</t>
        </is>
      </c>
      <c r="S181">
        <f>HYPERLINK("https://klasma.github.io/Logging_2305/artfynd/A 17996-2025 artfynd.xlsx", "A 17996-2025")</f>
        <v/>
      </c>
      <c r="T181">
        <f>HYPERLINK("https://klasma.github.io/Logging_2305/kartor/A 17996-2025 karta.png", "A 17996-2025")</f>
        <v/>
      </c>
      <c r="V181">
        <f>HYPERLINK("https://klasma.github.io/Logging_2305/klagomål/A 17996-2025 FSC-klagomål.docx", "A 17996-2025")</f>
        <v/>
      </c>
      <c r="W181">
        <f>HYPERLINK("https://klasma.github.io/Logging_2305/klagomålsmail/A 17996-2025 FSC-klagomål mail.docx", "A 17996-2025")</f>
        <v/>
      </c>
      <c r="X181">
        <f>HYPERLINK("https://klasma.github.io/Logging_2305/tillsyn/A 17996-2025 tillsynsbegäran.docx", "A 17996-2025")</f>
        <v/>
      </c>
      <c r="Y181">
        <f>HYPERLINK("https://klasma.github.io/Logging_2305/tillsynsmail/A 17996-2025 tillsynsbegäran mail.docx", "A 17996-2025")</f>
        <v/>
      </c>
    </row>
    <row r="182" ht="15" customHeight="1">
      <c r="A182" t="inlineStr">
        <is>
          <t>A 35117-2025</t>
        </is>
      </c>
      <c r="B182" s="1" t="n">
        <v>45852</v>
      </c>
      <c r="C182" s="1" t="n">
        <v>46193</v>
      </c>
      <c r="D182" t="inlineStr">
        <is>
          <t>JÄMTLANDS LÄN</t>
        </is>
      </c>
      <c r="E182" t="inlineStr">
        <is>
          <t>BRÄCKE</t>
        </is>
      </c>
      <c r="F182" t="inlineStr">
        <is>
          <t>SCA</t>
        </is>
      </c>
      <c r="G182" t="n">
        <v>11.1</v>
      </c>
      <c r="H182" t="n">
        <v>0</v>
      </c>
      <c r="I182" t="n">
        <v>0</v>
      </c>
      <c r="J182" t="n">
        <v>3</v>
      </c>
      <c r="K182" t="n">
        <v>0</v>
      </c>
      <c r="L182" t="n">
        <v>0</v>
      </c>
      <c r="M182" t="n">
        <v>0</v>
      </c>
      <c r="N182" t="n">
        <v>0</v>
      </c>
      <c r="O182" t="n">
        <v>3</v>
      </c>
      <c r="P182" t="n">
        <v>0</v>
      </c>
      <c r="Q182" t="n">
        <v>3</v>
      </c>
      <c r="R182" s="2" t="inlineStr">
        <is>
          <t>Dvärgbägarlav
Harticka
Nordtagging</t>
        </is>
      </c>
      <c r="S182">
        <f>HYPERLINK("https://klasma.github.io/Logging_2305/artfynd/A 35117-2025 artfynd.xlsx", "A 35117-2025")</f>
        <v/>
      </c>
      <c r="T182">
        <f>HYPERLINK("https://klasma.github.io/Logging_2305/kartor/A 35117-2025 karta.png", "A 35117-2025")</f>
        <v/>
      </c>
      <c r="V182">
        <f>HYPERLINK("https://klasma.github.io/Logging_2305/klagomål/A 35117-2025 FSC-klagomål.docx", "A 35117-2025")</f>
        <v/>
      </c>
      <c r="W182">
        <f>HYPERLINK("https://klasma.github.io/Logging_2305/klagomålsmail/A 35117-2025 FSC-klagomål mail.docx", "A 35117-2025")</f>
        <v/>
      </c>
      <c r="X182">
        <f>HYPERLINK("https://klasma.github.io/Logging_2305/tillsyn/A 35117-2025 tillsynsbegäran.docx", "A 35117-2025")</f>
        <v/>
      </c>
      <c r="Y182">
        <f>HYPERLINK("https://klasma.github.io/Logging_2305/tillsynsmail/A 35117-2025 tillsynsbegäran mail.docx", "A 35117-2025")</f>
        <v/>
      </c>
    </row>
    <row r="183" ht="15" customHeight="1">
      <c r="A183" t="inlineStr">
        <is>
          <t>A 21219-2026</t>
        </is>
      </c>
      <c r="B183" s="1" t="n">
        <v>46146</v>
      </c>
      <c r="C183" s="1" t="n">
        <v>46193</v>
      </c>
      <c r="D183" t="inlineStr">
        <is>
          <t>JÄMTLANDS LÄN</t>
        </is>
      </c>
      <c r="E183" t="inlineStr">
        <is>
          <t>BRÄCKE</t>
        </is>
      </c>
      <c r="F183" t="inlineStr">
        <is>
          <t>SCA</t>
        </is>
      </c>
      <c r="G183" t="n">
        <v>4.5</v>
      </c>
      <c r="H183" t="n">
        <v>0</v>
      </c>
      <c r="I183" t="n">
        <v>0</v>
      </c>
      <c r="J183" t="n">
        <v>2</v>
      </c>
      <c r="K183" t="n">
        <v>1</v>
      </c>
      <c r="L183" t="n">
        <v>0</v>
      </c>
      <c r="M183" t="n">
        <v>0</v>
      </c>
      <c r="N183" t="n">
        <v>0</v>
      </c>
      <c r="O183" t="n">
        <v>3</v>
      </c>
      <c r="P183" t="n">
        <v>1</v>
      </c>
      <c r="Q183" t="n">
        <v>3</v>
      </c>
      <c r="R183" s="2" t="inlineStr">
        <is>
          <t>Garnlav
Lunglav
Mörk kolflarnlav</t>
        </is>
      </c>
      <c r="S183">
        <f>HYPERLINK("https://klasma.github.io/Logging_2305/artfynd/A 21219-2026 artfynd.xlsx", "A 21219-2026")</f>
        <v/>
      </c>
      <c r="T183">
        <f>HYPERLINK("https://klasma.github.io/Logging_2305/kartor/A 21219-2026 karta.png", "A 21219-2026")</f>
        <v/>
      </c>
      <c r="V183">
        <f>HYPERLINK("https://klasma.github.io/Logging_2305/klagomål/A 21219-2026 FSC-klagomål.docx", "A 21219-2026")</f>
        <v/>
      </c>
      <c r="W183">
        <f>HYPERLINK("https://klasma.github.io/Logging_2305/klagomålsmail/A 21219-2026 FSC-klagomål mail.docx", "A 21219-2026")</f>
        <v/>
      </c>
      <c r="X183">
        <f>HYPERLINK("https://klasma.github.io/Logging_2305/tillsyn/A 21219-2026 tillsynsbegäran.docx", "A 21219-2026")</f>
        <v/>
      </c>
      <c r="Y183">
        <f>HYPERLINK("https://klasma.github.io/Logging_2305/tillsynsmail/A 21219-2026 tillsynsbegäran mail.docx", "A 21219-2026")</f>
        <v/>
      </c>
    </row>
    <row r="184" ht="15" customHeight="1">
      <c r="A184" t="inlineStr">
        <is>
          <t>A 4180-2022</t>
        </is>
      </c>
      <c r="B184" s="1" t="n">
        <v>44588</v>
      </c>
      <c r="C184" s="1" t="n">
        <v>46193</v>
      </c>
      <c r="D184" t="inlineStr">
        <is>
          <t>JÄMTLANDS LÄN</t>
        </is>
      </c>
      <c r="E184" t="inlineStr">
        <is>
          <t>BRÄCKE</t>
        </is>
      </c>
      <c r="G184" t="n">
        <v>6.1</v>
      </c>
      <c r="H184" t="n">
        <v>2</v>
      </c>
      <c r="I184" t="n">
        <v>1</v>
      </c>
      <c r="J184" t="n">
        <v>1</v>
      </c>
      <c r="K184" t="n">
        <v>1</v>
      </c>
      <c r="L184" t="n">
        <v>0</v>
      </c>
      <c r="M184" t="n">
        <v>0</v>
      </c>
      <c r="N184" t="n">
        <v>0</v>
      </c>
      <c r="O184" t="n">
        <v>2</v>
      </c>
      <c r="P184" t="n">
        <v>1</v>
      </c>
      <c r="Q184" t="n">
        <v>3</v>
      </c>
      <c r="R184" s="2" t="inlineStr">
        <is>
          <t>Knärot
Skogsfru
Ögonpyrola</t>
        </is>
      </c>
      <c r="S184">
        <f>HYPERLINK("https://klasma.github.io/Logging_2305/artfynd/A 4180-2022 artfynd.xlsx", "A 4180-2022")</f>
        <v/>
      </c>
      <c r="T184">
        <f>HYPERLINK("https://klasma.github.io/Logging_2305/kartor/A 4180-2022 karta.png", "A 4180-2022")</f>
        <v/>
      </c>
      <c r="U184">
        <f>HYPERLINK("https://klasma.github.io/Logging_2305/knärot/A 4180-2022 karta knärot.png", "A 4180-2022")</f>
        <v/>
      </c>
      <c r="V184">
        <f>HYPERLINK("https://klasma.github.io/Logging_2305/klagomål/A 4180-2022 FSC-klagomål.docx", "A 4180-2022")</f>
        <v/>
      </c>
      <c r="W184">
        <f>HYPERLINK("https://klasma.github.io/Logging_2305/klagomålsmail/A 4180-2022 FSC-klagomål mail.docx", "A 4180-2022")</f>
        <v/>
      </c>
      <c r="X184">
        <f>HYPERLINK("https://klasma.github.io/Logging_2305/tillsyn/A 4180-2022 tillsynsbegäran.docx", "A 4180-2022")</f>
        <v/>
      </c>
      <c r="Y184">
        <f>HYPERLINK("https://klasma.github.io/Logging_2305/tillsynsmail/A 4180-2022 tillsynsbegäran mail.docx", "A 4180-2022")</f>
        <v/>
      </c>
    </row>
    <row r="185" ht="15" customHeight="1">
      <c r="A185" t="inlineStr">
        <is>
          <t>A 35907-2025</t>
        </is>
      </c>
      <c r="B185" s="1" t="n">
        <v>45862</v>
      </c>
      <c r="C185" s="1" t="n">
        <v>46193</v>
      </c>
      <c r="D185" t="inlineStr">
        <is>
          <t>JÄMTLANDS LÄN</t>
        </is>
      </c>
      <c r="E185" t="inlineStr">
        <is>
          <t>BRÄCKE</t>
        </is>
      </c>
      <c r="F185" t="inlineStr">
        <is>
          <t>SCA</t>
        </is>
      </c>
      <c r="G185" t="n">
        <v>2.8</v>
      </c>
      <c r="H185" t="n">
        <v>0</v>
      </c>
      <c r="I185" t="n">
        <v>0</v>
      </c>
      <c r="J185" t="n">
        <v>2</v>
      </c>
      <c r="K185" t="n">
        <v>1</v>
      </c>
      <c r="L185" t="n">
        <v>0</v>
      </c>
      <c r="M185" t="n">
        <v>0</v>
      </c>
      <c r="N185" t="n">
        <v>0</v>
      </c>
      <c r="O185" t="n">
        <v>3</v>
      </c>
      <c r="P185" t="n">
        <v>1</v>
      </c>
      <c r="Q185" t="n">
        <v>3</v>
      </c>
      <c r="R185" s="2" t="inlineStr">
        <is>
          <t>Garnlav
Dropptaggsvamp
Ullticka</t>
        </is>
      </c>
      <c r="S185">
        <f>HYPERLINK("https://klasma.github.io/Logging_2305/artfynd/A 35907-2025 artfynd.xlsx", "A 35907-2025")</f>
        <v/>
      </c>
      <c r="T185">
        <f>HYPERLINK("https://klasma.github.io/Logging_2305/kartor/A 35907-2025 karta.png", "A 35907-2025")</f>
        <v/>
      </c>
      <c r="V185">
        <f>HYPERLINK("https://klasma.github.io/Logging_2305/klagomål/A 35907-2025 FSC-klagomål.docx", "A 35907-2025")</f>
        <v/>
      </c>
      <c r="W185">
        <f>HYPERLINK("https://klasma.github.io/Logging_2305/klagomålsmail/A 35907-2025 FSC-klagomål mail.docx", "A 35907-2025")</f>
        <v/>
      </c>
      <c r="X185">
        <f>HYPERLINK("https://klasma.github.io/Logging_2305/tillsyn/A 35907-2025 tillsynsbegäran.docx", "A 35907-2025")</f>
        <v/>
      </c>
      <c r="Y185">
        <f>HYPERLINK("https://klasma.github.io/Logging_2305/tillsynsmail/A 35907-2025 tillsynsbegäran mail.docx", "A 35907-2025")</f>
        <v/>
      </c>
    </row>
    <row r="186" ht="15" customHeight="1">
      <c r="A186" t="inlineStr">
        <is>
          <t>A 61903-2025</t>
        </is>
      </c>
      <c r="B186" s="1" t="n">
        <v>46003</v>
      </c>
      <c r="C186" s="1" t="n">
        <v>46193</v>
      </c>
      <c r="D186" t="inlineStr">
        <is>
          <t>JÄMTLANDS LÄN</t>
        </is>
      </c>
      <c r="E186" t="inlineStr">
        <is>
          <t>BRÄCKE</t>
        </is>
      </c>
      <c r="F186" t="inlineStr">
        <is>
          <t>SCA</t>
        </is>
      </c>
      <c r="G186" t="n">
        <v>1.9</v>
      </c>
      <c r="H186" t="n">
        <v>0</v>
      </c>
      <c r="I186" t="n">
        <v>0</v>
      </c>
      <c r="J186" t="n">
        <v>2</v>
      </c>
      <c r="K186" t="n">
        <v>1</v>
      </c>
      <c r="L186" t="n">
        <v>0</v>
      </c>
      <c r="M186" t="n">
        <v>0</v>
      </c>
      <c r="N186" t="n">
        <v>0</v>
      </c>
      <c r="O186" t="n">
        <v>3</v>
      </c>
      <c r="P186" t="n">
        <v>1</v>
      </c>
      <c r="Q186" t="n">
        <v>3</v>
      </c>
      <c r="R186" s="2" t="inlineStr">
        <is>
          <t>Skrovlig taggsvamp
Dropptaggsvamp
Skarp dropptaggsvamp</t>
        </is>
      </c>
      <c r="S186">
        <f>HYPERLINK("https://klasma.github.io/Logging_2305/artfynd/A 61903-2025 artfynd.xlsx", "A 61903-2025")</f>
        <v/>
      </c>
      <c r="T186">
        <f>HYPERLINK("https://klasma.github.io/Logging_2305/kartor/A 61903-2025 karta.png", "A 61903-2025")</f>
        <v/>
      </c>
      <c r="V186">
        <f>HYPERLINK("https://klasma.github.io/Logging_2305/klagomål/A 61903-2025 FSC-klagomål.docx", "A 61903-2025")</f>
        <v/>
      </c>
      <c r="W186">
        <f>HYPERLINK("https://klasma.github.io/Logging_2305/klagomålsmail/A 61903-2025 FSC-klagomål mail.docx", "A 61903-2025")</f>
        <v/>
      </c>
      <c r="X186">
        <f>HYPERLINK("https://klasma.github.io/Logging_2305/tillsyn/A 61903-2025 tillsynsbegäran.docx", "A 61903-2025")</f>
        <v/>
      </c>
      <c r="Y186">
        <f>HYPERLINK("https://klasma.github.io/Logging_2305/tillsynsmail/A 61903-2025 tillsynsbegäran mail.docx", "A 61903-2025")</f>
        <v/>
      </c>
    </row>
    <row r="187" ht="15" customHeight="1">
      <c r="A187" t="inlineStr">
        <is>
          <t>A 50497-2023</t>
        </is>
      </c>
      <c r="B187" s="1" t="n">
        <v>45216</v>
      </c>
      <c r="C187" s="1" t="n">
        <v>46193</v>
      </c>
      <c r="D187" t="inlineStr">
        <is>
          <t>JÄMTLANDS LÄN</t>
        </is>
      </c>
      <c r="E187" t="inlineStr">
        <is>
          <t>BRÄCKE</t>
        </is>
      </c>
      <c r="F187" t="inlineStr">
        <is>
          <t>SCA</t>
        </is>
      </c>
      <c r="G187" t="n">
        <v>2.5</v>
      </c>
      <c r="H187" t="n">
        <v>1</v>
      </c>
      <c r="I187" t="n">
        <v>0</v>
      </c>
      <c r="J187" t="n">
        <v>2</v>
      </c>
      <c r="K187" t="n">
        <v>1</v>
      </c>
      <c r="L187" t="n">
        <v>0</v>
      </c>
      <c r="M187" t="n">
        <v>0</v>
      </c>
      <c r="N187" t="n">
        <v>0</v>
      </c>
      <c r="O187" t="n">
        <v>3</v>
      </c>
      <c r="P187" t="n">
        <v>1</v>
      </c>
      <c r="Q187" t="n">
        <v>3</v>
      </c>
      <c r="R187" s="2" t="inlineStr">
        <is>
          <t>Knärot
Skuggblåslav
Ullticka</t>
        </is>
      </c>
      <c r="S187">
        <f>HYPERLINK("https://klasma.github.io/Logging_2305/artfynd/A 50497-2023 artfynd.xlsx", "A 50497-2023")</f>
        <v/>
      </c>
      <c r="T187">
        <f>HYPERLINK("https://klasma.github.io/Logging_2305/kartor/A 50497-2023 karta.png", "A 50497-2023")</f>
        <v/>
      </c>
      <c r="U187">
        <f>HYPERLINK("https://klasma.github.io/Logging_2305/knärot/A 50497-2023 karta knärot.png", "A 50497-2023")</f>
        <v/>
      </c>
      <c r="V187">
        <f>HYPERLINK("https://klasma.github.io/Logging_2305/klagomål/A 50497-2023 FSC-klagomål.docx", "A 50497-2023")</f>
        <v/>
      </c>
      <c r="W187">
        <f>HYPERLINK("https://klasma.github.io/Logging_2305/klagomålsmail/A 50497-2023 FSC-klagomål mail.docx", "A 50497-2023")</f>
        <v/>
      </c>
      <c r="X187">
        <f>HYPERLINK("https://klasma.github.io/Logging_2305/tillsyn/A 50497-2023 tillsynsbegäran.docx", "A 50497-2023")</f>
        <v/>
      </c>
      <c r="Y187">
        <f>HYPERLINK("https://klasma.github.io/Logging_2305/tillsynsmail/A 50497-2023 tillsynsbegäran mail.docx", "A 50497-2023")</f>
        <v/>
      </c>
    </row>
    <row r="188" ht="15" customHeight="1">
      <c r="A188" t="inlineStr">
        <is>
          <t>A 48067-2023</t>
        </is>
      </c>
      <c r="B188" s="1" t="n">
        <v>45204</v>
      </c>
      <c r="C188" s="1" t="n">
        <v>46193</v>
      </c>
      <c r="D188" t="inlineStr">
        <is>
          <t>JÄMTLANDS LÄN</t>
        </is>
      </c>
      <c r="E188" t="inlineStr">
        <is>
          <t>BRÄCKE</t>
        </is>
      </c>
      <c r="F188" t="inlineStr">
        <is>
          <t>SCA</t>
        </is>
      </c>
      <c r="G188" t="n">
        <v>1.2</v>
      </c>
      <c r="H188" t="n">
        <v>0</v>
      </c>
      <c r="I188" t="n">
        <v>2</v>
      </c>
      <c r="J188" t="n">
        <v>1</v>
      </c>
      <c r="K188" t="n">
        <v>0</v>
      </c>
      <c r="L188" t="n">
        <v>0</v>
      </c>
      <c r="M188" t="n">
        <v>0</v>
      </c>
      <c r="N188" t="n">
        <v>0</v>
      </c>
      <c r="O188" t="n">
        <v>1</v>
      </c>
      <c r="P188" t="n">
        <v>0</v>
      </c>
      <c r="Q188" t="n">
        <v>3</v>
      </c>
      <c r="R188" s="2" t="inlineStr">
        <is>
          <t>Lunglav
Gytterlav
Korallblylav</t>
        </is>
      </c>
      <c r="S188">
        <f>HYPERLINK("https://klasma.github.io/Logging_2305/artfynd/A 48067-2023 artfynd.xlsx", "A 48067-2023")</f>
        <v/>
      </c>
      <c r="T188">
        <f>HYPERLINK("https://klasma.github.io/Logging_2305/kartor/A 48067-2023 karta.png", "A 48067-2023")</f>
        <v/>
      </c>
      <c r="V188">
        <f>HYPERLINK("https://klasma.github.io/Logging_2305/klagomål/A 48067-2023 FSC-klagomål.docx", "A 48067-2023")</f>
        <v/>
      </c>
      <c r="W188">
        <f>HYPERLINK("https://klasma.github.io/Logging_2305/klagomålsmail/A 48067-2023 FSC-klagomål mail.docx", "A 48067-2023")</f>
        <v/>
      </c>
      <c r="X188">
        <f>HYPERLINK("https://klasma.github.io/Logging_2305/tillsyn/A 48067-2023 tillsynsbegäran.docx", "A 48067-2023")</f>
        <v/>
      </c>
      <c r="Y188">
        <f>HYPERLINK("https://klasma.github.io/Logging_2305/tillsynsmail/A 48067-2023 tillsynsbegäran mail.docx", "A 48067-2023")</f>
        <v/>
      </c>
    </row>
    <row r="189" ht="15" customHeight="1">
      <c r="A189" t="inlineStr">
        <is>
          <t>A 30486-2024</t>
        </is>
      </c>
      <c r="B189" s="1" t="n">
        <v>45491</v>
      </c>
      <c r="C189" s="1" t="n">
        <v>46193</v>
      </c>
      <c r="D189" t="inlineStr">
        <is>
          <t>JÄMTLANDS LÄN</t>
        </is>
      </c>
      <c r="E189" t="inlineStr">
        <is>
          <t>BRÄCKE</t>
        </is>
      </c>
      <c r="F189" t="inlineStr">
        <is>
          <t>SCA</t>
        </is>
      </c>
      <c r="G189" t="n">
        <v>3.8</v>
      </c>
      <c r="H189" t="n">
        <v>2</v>
      </c>
      <c r="I189" t="n">
        <v>2</v>
      </c>
      <c r="J189" t="n">
        <v>0</v>
      </c>
      <c r="K189" t="n">
        <v>0</v>
      </c>
      <c r="L189" t="n">
        <v>0</v>
      </c>
      <c r="M189" t="n">
        <v>0</v>
      </c>
      <c r="N189" t="n">
        <v>0</v>
      </c>
      <c r="O189" t="n">
        <v>0</v>
      </c>
      <c r="P189" t="n">
        <v>0</v>
      </c>
      <c r="Q189" t="n">
        <v>3</v>
      </c>
      <c r="R189" s="2" t="inlineStr">
        <is>
          <t>Rödgul trumpetsvamp
Tvåblad
Fjällvråk</t>
        </is>
      </c>
      <c r="S189">
        <f>HYPERLINK("https://klasma.github.io/Logging_2305/artfynd/A 30486-2024 artfynd.xlsx", "A 30486-2024")</f>
        <v/>
      </c>
      <c r="T189">
        <f>HYPERLINK("https://klasma.github.io/Logging_2305/kartor/A 30486-2024 karta.png", "A 30486-2024")</f>
        <v/>
      </c>
      <c r="V189">
        <f>HYPERLINK("https://klasma.github.io/Logging_2305/klagomål/A 30486-2024 FSC-klagomål.docx", "A 30486-2024")</f>
        <v/>
      </c>
      <c r="W189">
        <f>HYPERLINK("https://klasma.github.io/Logging_2305/klagomålsmail/A 30486-2024 FSC-klagomål mail.docx", "A 30486-2024")</f>
        <v/>
      </c>
      <c r="X189">
        <f>HYPERLINK("https://klasma.github.io/Logging_2305/tillsyn/A 30486-2024 tillsynsbegäran.docx", "A 30486-2024")</f>
        <v/>
      </c>
      <c r="Y189">
        <f>HYPERLINK("https://klasma.github.io/Logging_2305/tillsynsmail/A 30486-2024 tillsynsbegäran mail.docx", "A 30486-2024")</f>
        <v/>
      </c>
      <c r="Z189">
        <f>HYPERLINK("https://klasma.github.io/Logging_2305/fåglar/A 30486-2024 prioriterade fågelarter.docx", "A 30486-2024")</f>
        <v/>
      </c>
    </row>
    <row r="190" ht="15" customHeight="1">
      <c r="A190" t="inlineStr">
        <is>
          <t>A 21742-2026</t>
        </is>
      </c>
      <c r="B190" s="1" t="n">
        <v>46149</v>
      </c>
      <c r="C190" s="1" t="n">
        <v>46193</v>
      </c>
      <c r="D190" t="inlineStr">
        <is>
          <t>JÄMTLANDS LÄN</t>
        </is>
      </c>
      <c r="E190" t="inlineStr">
        <is>
          <t>BRÄCKE</t>
        </is>
      </c>
      <c r="F190" t="inlineStr">
        <is>
          <t>SCA</t>
        </is>
      </c>
      <c r="G190" t="n">
        <v>0.8</v>
      </c>
      <c r="H190" t="n">
        <v>0</v>
      </c>
      <c r="I190" t="n">
        <v>1</v>
      </c>
      <c r="J190" t="n">
        <v>2</v>
      </c>
      <c r="K190" t="n">
        <v>0</v>
      </c>
      <c r="L190" t="n">
        <v>0</v>
      </c>
      <c r="M190" t="n">
        <v>0</v>
      </c>
      <c r="N190" t="n">
        <v>0</v>
      </c>
      <c r="O190" t="n">
        <v>2</v>
      </c>
      <c r="P190" t="n">
        <v>0</v>
      </c>
      <c r="Q190" t="n">
        <v>3</v>
      </c>
      <c r="R190" s="2" t="inlineStr">
        <is>
          <t>Lunglav
Vedtrappmossa
Korallblylav</t>
        </is>
      </c>
      <c r="S190">
        <f>HYPERLINK("https://klasma.github.io/Logging_2305/artfynd/A 21742-2026 artfynd.xlsx", "A 21742-2026")</f>
        <v/>
      </c>
      <c r="T190">
        <f>HYPERLINK("https://klasma.github.io/Logging_2305/kartor/A 21742-2026 karta.png", "A 21742-2026")</f>
        <v/>
      </c>
      <c r="V190">
        <f>HYPERLINK("https://klasma.github.io/Logging_2305/klagomål/A 21742-2026 FSC-klagomål.docx", "A 21742-2026")</f>
        <v/>
      </c>
      <c r="W190">
        <f>HYPERLINK("https://klasma.github.io/Logging_2305/klagomålsmail/A 21742-2026 FSC-klagomål mail.docx", "A 21742-2026")</f>
        <v/>
      </c>
      <c r="X190">
        <f>HYPERLINK("https://klasma.github.io/Logging_2305/tillsyn/A 21742-2026 tillsynsbegäran.docx", "A 21742-2026")</f>
        <v/>
      </c>
      <c r="Y190">
        <f>HYPERLINK("https://klasma.github.io/Logging_2305/tillsynsmail/A 21742-2026 tillsynsbegäran mail.docx", "A 21742-2026")</f>
        <v/>
      </c>
    </row>
    <row r="191" ht="15" customHeight="1">
      <c r="A191" t="inlineStr">
        <is>
          <t>A 2838-2026</t>
        </is>
      </c>
      <c r="B191" s="1" t="n">
        <v>46038</v>
      </c>
      <c r="C191" s="1" t="n">
        <v>46193</v>
      </c>
      <c r="D191" t="inlineStr">
        <is>
          <t>JÄMTLANDS LÄN</t>
        </is>
      </c>
      <c r="E191" t="inlineStr">
        <is>
          <t>BRÄCKE</t>
        </is>
      </c>
      <c r="G191" t="n">
        <v>0.6</v>
      </c>
      <c r="H191" t="n">
        <v>1</v>
      </c>
      <c r="I191" t="n">
        <v>0</v>
      </c>
      <c r="J191" t="n">
        <v>1</v>
      </c>
      <c r="K191" t="n">
        <v>2</v>
      </c>
      <c r="L191" t="n">
        <v>0</v>
      </c>
      <c r="M191" t="n">
        <v>0</v>
      </c>
      <c r="N191" t="n">
        <v>0</v>
      </c>
      <c r="O191" t="n">
        <v>3</v>
      </c>
      <c r="P191" t="n">
        <v>2</v>
      </c>
      <c r="Q191" t="n">
        <v>3</v>
      </c>
      <c r="R191" s="2" t="inlineStr">
        <is>
          <t>Garnlav
Knärot
Lunglav</t>
        </is>
      </c>
      <c r="S191">
        <f>HYPERLINK("https://klasma.github.io/Logging_2305/artfynd/A 2838-2026 artfynd.xlsx", "A 2838-2026")</f>
        <v/>
      </c>
      <c r="T191">
        <f>HYPERLINK("https://klasma.github.io/Logging_2305/kartor/A 2838-2026 karta.png", "A 2838-2026")</f>
        <v/>
      </c>
      <c r="U191">
        <f>HYPERLINK("https://klasma.github.io/Logging_2305/knärot/A 2838-2026 karta knärot.png", "A 2838-2026")</f>
        <v/>
      </c>
      <c r="V191">
        <f>HYPERLINK("https://klasma.github.io/Logging_2305/klagomål/A 2838-2026 FSC-klagomål.docx", "A 2838-2026")</f>
        <v/>
      </c>
      <c r="W191">
        <f>HYPERLINK("https://klasma.github.io/Logging_2305/klagomålsmail/A 2838-2026 FSC-klagomål mail.docx", "A 2838-2026")</f>
        <v/>
      </c>
      <c r="X191">
        <f>HYPERLINK("https://klasma.github.io/Logging_2305/tillsyn/A 2838-2026 tillsynsbegäran.docx", "A 2838-2026")</f>
        <v/>
      </c>
      <c r="Y191">
        <f>HYPERLINK("https://klasma.github.io/Logging_2305/tillsynsmail/A 2838-2026 tillsynsbegäran mail.docx", "A 2838-2026")</f>
        <v/>
      </c>
    </row>
    <row r="192" ht="15" customHeight="1">
      <c r="A192" t="inlineStr">
        <is>
          <t>A 3913-2022</t>
        </is>
      </c>
      <c r="B192" s="1" t="n">
        <v>44587</v>
      </c>
      <c r="C192" s="1" t="n">
        <v>46193</v>
      </c>
      <c r="D192" t="inlineStr">
        <is>
          <t>JÄMTLANDS LÄN</t>
        </is>
      </c>
      <c r="E192" t="inlineStr">
        <is>
          <t>BRÄCKE</t>
        </is>
      </c>
      <c r="G192" t="n">
        <v>0.9</v>
      </c>
      <c r="H192" t="n">
        <v>2</v>
      </c>
      <c r="I192" t="n">
        <v>1</v>
      </c>
      <c r="J192" t="n">
        <v>1</v>
      </c>
      <c r="K192" t="n">
        <v>1</v>
      </c>
      <c r="L192" t="n">
        <v>0</v>
      </c>
      <c r="M192" t="n">
        <v>0</v>
      </c>
      <c r="N192" t="n">
        <v>0</v>
      </c>
      <c r="O192" t="n">
        <v>2</v>
      </c>
      <c r="P192" t="n">
        <v>1</v>
      </c>
      <c r="Q192" t="n">
        <v>3</v>
      </c>
      <c r="R192" s="2" t="inlineStr">
        <is>
          <t>Knärot
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16959-2025</t>
        </is>
      </c>
      <c r="B193" s="1" t="n">
        <v>45755</v>
      </c>
      <c r="C193" s="1" t="n">
        <v>46193</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HYPERLINK("https://klasma.github.io/Logging_2305/artfynd/A 16959-2025 artfynd.xlsx", "A 16959-2025")</f>
        <v/>
      </c>
      <c r="T193">
        <f>HYPERLINK("https://klasma.github.io/Logging_2305/kartor/A 16959-2025 karta.png", "A 16959-2025")</f>
        <v/>
      </c>
      <c r="U193">
        <f>HYPERLINK("https://klasma.github.io/Logging_2305/knärot/A 16959-2025 karta knärot.png", "A 16959-2025")</f>
        <v/>
      </c>
      <c r="V193">
        <f>HYPERLINK("https://klasma.github.io/Logging_2305/klagomål/A 16959-2025 FSC-klagomål.docx", "A 16959-2025")</f>
        <v/>
      </c>
      <c r="W193">
        <f>HYPERLINK("https://klasma.github.io/Logging_2305/klagomålsmail/A 16959-2025 FSC-klagomål mail.docx", "A 16959-2025")</f>
        <v/>
      </c>
      <c r="X193">
        <f>HYPERLINK("https://klasma.github.io/Logging_2305/tillsyn/A 16959-2025 tillsynsbegäran.docx", "A 16959-2025")</f>
        <v/>
      </c>
      <c r="Y193">
        <f>HYPERLINK("https://klasma.github.io/Logging_2305/tillsynsmail/A 16959-2025 tillsynsbegäran mail.docx", "A 16959-2025")</f>
        <v/>
      </c>
      <c r="Z193">
        <f>HYPERLINK("https://klasma.github.io/Logging_2305/fåglar/A 16959-2025 prioriterade fågelarter.docx", "A 16959-2025")</f>
        <v/>
      </c>
    </row>
    <row r="194" ht="15" customHeight="1">
      <c r="A194" t="inlineStr">
        <is>
          <t>A 58728-2022</t>
        </is>
      </c>
      <c r="B194" s="1" t="n">
        <v>44902</v>
      </c>
      <c r="C194" s="1" t="n">
        <v>46193</v>
      </c>
      <c r="D194" t="inlineStr">
        <is>
          <t>JÄMTLANDS LÄN</t>
        </is>
      </c>
      <c r="E194" t="inlineStr">
        <is>
          <t>BRÄCKE</t>
        </is>
      </c>
      <c r="G194" t="n">
        <v>21.5</v>
      </c>
      <c r="H194" t="n">
        <v>1</v>
      </c>
      <c r="I194" t="n">
        <v>0</v>
      </c>
      <c r="J194" t="n">
        <v>2</v>
      </c>
      <c r="K194" t="n">
        <v>1</v>
      </c>
      <c r="L194" t="n">
        <v>0</v>
      </c>
      <c r="M194" t="n">
        <v>0</v>
      </c>
      <c r="N194" t="n">
        <v>0</v>
      </c>
      <c r="O194" t="n">
        <v>3</v>
      </c>
      <c r="P194" t="n">
        <v>1</v>
      </c>
      <c r="Q194" t="n">
        <v>3</v>
      </c>
      <c r="R194" s="2" t="inlineStr">
        <is>
          <t>Knärot
Lunglav
Rosa skärelav</t>
        </is>
      </c>
      <c r="S194">
        <f>HYPERLINK("https://klasma.github.io/Logging_2305/artfynd/A 58728-2022 artfynd.xlsx", "A 58728-2022")</f>
        <v/>
      </c>
      <c r="T194">
        <f>HYPERLINK("https://klasma.github.io/Logging_2305/kartor/A 58728-2022 karta.png", "A 58728-2022")</f>
        <v/>
      </c>
      <c r="U194">
        <f>HYPERLINK("https://klasma.github.io/Logging_2305/knärot/A 58728-2022 karta knärot.png", "A 58728-2022")</f>
        <v/>
      </c>
      <c r="V194">
        <f>HYPERLINK("https://klasma.github.io/Logging_2305/klagomål/A 58728-2022 FSC-klagomål.docx", "A 58728-2022")</f>
        <v/>
      </c>
      <c r="W194">
        <f>HYPERLINK("https://klasma.github.io/Logging_2305/klagomålsmail/A 58728-2022 FSC-klagomål mail.docx", "A 58728-2022")</f>
        <v/>
      </c>
      <c r="X194">
        <f>HYPERLINK("https://klasma.github.io/Logging_2305/tillsyn/A 58728-2022 tillsynsbegäran.docx", "A 58728-2022")</f>
        <v/>
      </c>
      <c r="Y194">
        <f>HYPERLINK("https://klasma.github.io/Logging_2305/tillsynsmail/A 58728-2022 tillsynsbegäran mail.docx", "A 58728-2022")</f>
        <v/>
      </c>
    </row>
    <row r="195" ht="15" customHeight="1">
      <c r="A195" t="inlineStr">
        <is>
          <t>A 3029-2023</t>
        </is>
      </c>
      <c r="B195" s="1" t="n">
        <v>44945</v>
      </c>
      <c r="C195" s="1" t="n">
        <v>46193</v>
      </c>
      <c r="D195" t="inlineStr">
        <is>
          <t>JÄMTLANDS LÄN</t>
        </is>
      </c>
      <c r="E195" t="inlineStr">
        <is>
          <t>BRÄCKE</t>
        </is>
      </c>
      <c r="F195" t="inlineStr">
        <is>
          <t>SCA</t>
        </is>
      </c>
      <c r="G195" t="n">
        <v>2.3</v>
      </c>
      <c r="H195" t="n">
        <v>0</v>
      </c>
      <c r="I195" t="n">
        <v>0</v>
      </c>
      <c r="J195" t="n">
        <v>2</v>
      </c>
      <c r="K195" t="n">
        <v>1</v>
      </c>
      <c r="L195" t="n">
        <v>0</v>
      </c>
      <c r="M195" t="n">
        <v>0</v>
      </c>
      <c r="N195" t="n">
        <v>0</v>
      </c>
      <c r="O195" t="n">
        <v>3</v>
      </c>
      <c r="P195" t="n">
        <v>1</v>
      </c>
      <c r="Q195" t="n">
        <v>3</v>
      </c>
      <c r="R195" s="2" t="inlineStr">
        <is>
          <t>Garnlav
Dropptaggsvamp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22811-2026</t>
        </is>
      </c>
      <c r="B196" s="1" t="n">
        <v>46160</v>
      </c>
      <c r="C196" s="1" t="n">
        <v>46193</v>
      </c>
      <c r="D196" t="inlineStr">
        <is>
          <t>JÄMTLANDS LÄN</t>
        </is>
      </c>
      <c r="E196" t="inlineStr">
        <is>
          <t>BRÄCKE</t>
        </is>
      </c>
      <c r="G196" t="n">
        <v>2.6</v>
      </c>
      <c r="H196" t="n">
        <v>0</v>
      </c>
      <c r="I196" t="n">
        <v>0</v>
      </c>
      <c r="J196" t="n">
        <v>1</v>
      </c>
      <c r="K196" t="n">
        <v>2</v>
      </c>
      <c r="L196" t="n">
        <v>0</v>
      </c>
      <c r="M196" t="n">
        <v>0</v>
      </c>
      <c r="N196" t="n">
        <v>0</v>
      </c>
      <c r="O196" t="n">
        <v>3</v>
      </c>
      <c r="P196" t="n">
        <v>2</v>
      </c>
      <c r="Q196" t="n">
        <v>3</v>
      </c>
      <c r="R196" s="2" t="inlineStr">
        <is>
          <t>Gränsticka
Lappticka
Ullticka</t>
        </is>
      </c>
      <c r="S196">
        <f>HYPERLINK("https://klasma.github.io/Logging_2305/artfynd/A 22811-2026 artfynd.xlsx", "A 22811-2026")</f>
        <v/>
      </c>
      <c r="T196">
        <f>HYPERLINK("https://klasma.github.io/Logging_2305/kartor/A 22811-2026 karta.png", "A 22811-2026")</f>
        <v/>
      </c>
      <c r="V196">
        <f>HYPERLINK("https://klasma.github.io/Logging_2305/klagomål/A 22811-2026 FSC-klagomål.docx", "A 22811-2026")</f>
        <v/>
      </c>
      <c r="W196">
        <f>HYPERLINK("https://klasma.github.io/Logging_2305/klagomålsmail/A 22811-2026 FSC-klagomål mail.docx", "A 22811-2026")</f>
        <v/>
      </c>
      <c r="X196">
        <f>HYPERLINK("https://klasma.github.io/Logging_2305/tillsyn/A 22811-2026 tillsynsbegäran.docx", "A 22811-2026")</f>
        <v/>
      </c>
      <c r="Y196">
        <f>HYPERLINK("https://klasma.github.io/Logging_2305/tillsynsmail/A 22811-2026 tillsynsbegäran mail.docx", "A 22811-2026")</f>
        <v/>
      </c>
    </row>
    <row r="197" ht="15" customHeight="1">
      <c r="A197" t="inlineStr">
        <is>
          <t>A 24469-2026</t>
        </is>
      </c>
      <c r="B197" s="1" t="n">
        <v>46170</v>
      </c>
      <c r="C197" s="1" t="n">
        <v>46193</v>
      </c>
      <c r="D197" t="inlineStr">
        <is>
          <t>JÄMTLANDS LÄN</t>
        </is>
      </c>
      <c r="E197" t="inlineStr">
        <is>
          <t>BRÄCKE</t>
        </is>
      </c>
      <c r="G197" t="n">
        <v>1.7</v>
      </c>
      <c r="H197" t="n">
        <v>0</v>
      </c>
      <c r="I197" t="n">
        <v>0</v>
      </c>
      <c r="J197" t="n">
        <v>2</v>
      </c>
      <c r="K197" t="n">
        <v>1</v>
      </c>
      <c r="L197" t="n">
        <v>0</v>
      </c>
      <c r="M197" t="n">
        <v>0</v>
      </c>
      <c r="N197" t="n">
        <v>0</v>
      </c>
      <c r="O197" t="n">
        <v>3</v>
      </c>
      <c r="P197" t="n">
        <v>1</v>
      </c>
      <c r="Q197" t="n">
        <v>3</v>
      </c>
      <c r="R197" s="2" t="inlineStr">
        <is>
          <t>Garnlav
Dropptaggsvamp
Vedskivlav</t>
        </is>
      </c>
      <c r="S197">
        <f>HYPERLINK("https://klasma.github.io/Logging_2305/artfynd/A 24469-2026 artfynd.xlsx", "A 24469-2026")</f>
        <v/>
      </c>
      <c r="T197">
        <f>HYPERLINK("https://klasma.github.io/Logging_2305/kartor/A 24469-2026 karta.png", "A 24469-2026")</f>
        <v/>
      </c>
      <c r="V197">
        <f>HYPERLINK("https://klasma.github.io/Logging_2305/klagomål/A 24469-2026 FSC-klagomål.docx", "A 24469-2026")</f>
        <v/>
      </c>
      <c r="W197">
        <f>HYPERLINK("https://klasma.github.io/Logging_2305/klagomålsmail/A 24469-2026 FSC-klagomål mail.docx", "A 24469-2026")</f>
        <v/>
      </c>
      <c r="X197">
        <f>HYPERLINK("https://klasma.github.io/Logging_2305/tillsyn/A 24469-2026 tillsynsbegäran.docx", "A 24469-2026")</f>
        <v/>
      </c>
      <c r="Y197">
        <f>HYPERLINK("https://klasma.github.io/Logging_2305/tillsynsmail/A 24469-2026 tillsynsbegäran mail.docx", "A 24469-2026")</f>
        <v/>
      </c>
    </row>
    <row r="198" ht="15" customHeight="1">
      <c r="A198" t="inlineStr">
        <is>
          <t>A 41178-2025</t>
        </is>
      </c>
      <c r="B198" s="1" t="n">
        <v>45898</v>
      </c>
      <c r="C198" s="1" t="n">
        <v>46193</v>
      </c>
      <c r="D198" t="inlineStr">
        <is>
          <t>JÄMTLANDS LÄN</t>
        </is>
      </c>
      <c r="E198" t="inlineStr">
        <is>
          <t>BRÄCKE</t>
        </is>
      </c>
      <c r="F198" t="inlineStr">
        <is>
          <t>SCA</t>
        </is>
      </c>
      <c r="G198" t="n">
        <v>3.3</v>
      </c>
      <c r="H198" t="n">
        <v>0</v>
      </c>
      <c r="I198" t="n">
        <v>0</v>
      </c>
      <c r="J198" t="n">
        <v>3</v>
      </c>
      <c r="K198" t="n">
        <v>0</v>
      </c>
      <c r="L198" t="n">
        <v>0</v>
      </c>
      <c r="M198" t="n">
        <v>0</v>
      </c>
      <c r="N198" t="n">
        <v>0</v>
      </c>
      <c r="O198" t="n">
        <v>3</v>
      </c>
      <c r="P198" t="n">
        <v>0</v>
      </c>
      <c r="Q198" t="n">
        <v>3</v>
      </c>
      <c r="R198" s="2" t="inlineStr">
        <is>
          <t>Lunglav
Skrovellav
Tallticka</t>
        </is>
      </c>
      <c r="S198">
        <f>HYPERLINK("https://klasma.github.io/Logging_2305/artfynd/A 41178-2025 artfynd.xlsx", "A 41178-2025")</f>
        <v/>
      </c>
      <c r="T198">
        <f>HYPERLINK("https://klasma.github.io/Logging_2305/kartor/A 41178-2025 karta.png", "A 41178-2025")</f>
        <v/>
      </c>
      <c r="V198">
        <f>HYPERLINK("https://klasma.github.io/Logging_2305/klagomål/A 41178-2025 FSC-klagomål.docx", "A 41178-2025")</f>
        <v/>
      </c>
      <c r="W198">
        <f>HYPERLINK("https://klasma.github.io/Logging_2305/klagomålsmail/A 41178-2025 FSC-klagomål mail.docx", "A 41178-2025")</f>
        <v/>
      </c>
      <c r="X198">
        <f>HYPERLINK("https://klasma.github.io/Logging_2305/tillsyn/A 41178-2025 tillsynsbegäran.docx", "A 41178-2025")</f>
        <v/>
      </c>
      <c r="Y198">
        <f>HYPERLINK("https://klasma.github.io/Logging_2305/tillsynsmail/A 41178-2025 tillsynsbegäran mail.docx", "A 41178-2025")</f>
        <v/>
      </c>
    </row>
    <row r="199" ht="15" customHeight="1">
      <c r="A199" t="inlineStr">
        <is>
          <t>A 11787-2025</t>
        </is>
      </c>
      <c r="B199" s="1" t="n">
        <v>45727</v>
      </c>
      <c r="C199" s="1" t="n">
        <v>46193</v>
      </c>
      <c r="D199" t="inlineStr">
        <is>
          <t>JÄMTLANDS LÄN</t>
        </is>
      </c>
      <c r="E199" t="inlineStr">
        <is>
          <t>BRÄCKE</t>
        </is>
      </c>
      <c r="F199" t="inlineStr">
        <is>
          <t>SCA</t>
        </is>
      </c>
      <c r="G199" t="n">
        <v>1.9</v>
      </c>
      <c r="H199" t="n">
        <v>1</v>
      </c>
      <c r="I199" t="n">
        <v>0</v>
      </c>
      <c r="J199" t="n">
        <v>2</v>
      </c>
      <c r="K199" t="n">
        <v>0</v>
      </c>
      <c r="L199" t="n">
        <v>0</v>
      </c>
      <c r="M199" t="n">
        <v>0</v>
      </c>
      <c r="N199" t="n">
        <v>0</v>
      </c>
      <c r="O199" t="n">
        <v>2</v>
      </c>
      <c r="P199" t="n">
        <v>0</v>
      </c>
      <c r="Q199" t="n">
        <v>3</v>
      </c>
      <c r="R199" s="2" t="inlineStr">
        <is>
          <t>Stiftgelélav
Ullticka
Nattviol</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56222-2021</t>
        </is>
      </c>
      <c r="B200" s="1" t="n">
        <v>44477</v>
      </c>
      <c r="C200" s="1" t="n">
        <v>46193</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HYPERLINK("https://klasma.github.io/Logging_2305/artfynd/A 56222-2021 artfynd.xlsx", "A 56222-2021")</f>
        <v/>
      </c>
      <c r="T200">
        <f>HYPERLINK("https://klasma.github.io/Logging_2305/kartor/A 56222-2021 karta.png", "A 56222-2021")</f>
        <v/>
      </c>
      <c r="V200">
        <f>HYPERLINK("https://klasma.github.io/Logging_2305/klagomål/A 56222-2021 FSC-klagomål.docx", "A 56222-2021")</f>
        <v/>
      </c>
      <c r="W200">
        <f>HYPERLINK("https://klasma.github.io/Logging_2305/klagomålsmail/A 56222-2021 FSC-klagomål mail.docx", "A 56222-2021")</f>
        <v/>
      </c>
      <c r="X200">
        <f>HYPERLINK("https://klasma.github.io/Logging_2305/tillsyn/A 56222-2021 tillsynsbegäran.docx", "A 56222-2021")</f>
        <v/>
      </c>
      <c r="Y200">
        <f>HYPERLINK("https://klasma.github.io/Logging_2305/tillsynsmail/A 56222-2021 tillsynsbegäran mail.docx", "A 56222-2021")</f>
        <v/>
      </c>
    </row>
    <row r="201" ht="15" customHeight="1">
      <c r="A201" t="inlineStr">
        <is>
          <t>A 48930-2022</t>
        </is>
      </c>
      <c r="B201" s="1" t="n">
        <v>44859</v>
      </c>
      <c r="C201" s="1" t="n">
        <v>46193</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42291-2022</t>
        </is>
      </c>
      <c r="B202" s="1" t="n">
        <v>44830</v>
      </c>
      <c r="C202" s="1" t="n">
        <v>46193</v>
      </c>
      <c r="D202" t="inlineStr">
        <is>
          <t>JÄMTLANDS LÄN</t>
        </is>
      </c>
      <c r="E202" t="inlineStr">
        <is>
          <t>BRÄCKE</t>
        </is>
      </c>
      <c r="F202" t="inlineStr">
        <is>
          <t>SCA</t>
        </is>
      </c>
      <c r="G202" t="n">
        <v>4</v>
      </c>
      <c r="H202" t="n">
        <v>0</v>
      </c>
      <c r="I202" t="n">
        <v>0</v>
      </c>
      <c r="J202" t="n">
        <v>1</v>
      </c>
      <c r="K202" t="n">
        <v>1</v>
      </c>
      <c r="L202" t="n">
        <v>0</v>
      </c>
      <c r="M202" t="n">
        <v>0</v>
      </c>
      <c r="N202" t="n">
        <v>0</v>
      </c>
      <c r="O202" t="n">
        <v>2</v>
      </c>
      <c r="P202" t="n">
        <v>1</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42656-2022</t>
        </is>
      </c>
      <c r="B203" s="1" t="n">
        <v>44831</v>
      </c>
      <c r="C203" s="1" t="n">
        <v>46193</v>
      </c>
      <c r="D203" t="inlineStr">
        <is>
          <t>JÄMTLANDS LÄN</t>
        </is>
      </c>
      <c r="E203" t="inlineStr">
        <is>
          <t>BRÄCKE</t>
        </is>
      </c>
      <c r="F203" t="inlineStr">
        <is>
          <t>SCA</t>
        </is>
      </c>
      <c r="G203" t="n">
        <v>3.6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42656-2022 artfynd.xlsx", "A 42656-2022")</f>
        <v/>
      </c>
      <c r="T203">
        <f>HYPERLINK("https://klasma.github.io/Logging_2305/kartor/A 42656-2022 karta.png", "A 42656-2022")</f>
        <v/>
      </c>
      <c r="V203">
        <f>HYPERLINK("https://klasma.github.io/Logging_2305/klagomål/A 42656-2022 FSC-klagomål.docx", "A 42656-2022")</f>
        <v/>
      </c>
      <c r="W203">
        <f>HYPERLINK("https://klasma.github.io/Logging_2305/klagomålsmail/A 42656-2022 FSC-klagomål mail.docx", "A 42656-2022")</f>
        <v/>
      </c>
      <c r="X203">
        <f>HYPERLINK("https://klasma.github.io/Logging_2305/tillsyn/A 42656-2022 tillsynsbegäran.docx", "A 42656-2022")</f>
        <v/>
      </c>
      <c r="Y203">
        <f>HYPERLINK("https://klasma.github.io/Logging_2305/tillsynsmail/A 42656-2022 tillsynsbegäran mail.docx", "A 42656-2022")</f>
        <v/>
      </c>
    </row>
    <row r="204" ht="15" customHeight="1">
      <c r="A204" t="inlineStr">
        <is>
          <t>A 2464-2025</t>
        </is>
      </c>
      <c r="B204" s="1" t="n">
        <v>45674</v>
      </c>
      <c r="C204" s="1" t="n">
        <v>46193</v>
      </c>
      <c r="D204" t="inlineStr">
        <is>
          <t>JÄMTLANDS LÄN</t>
        </is>
      </c>
      <c r="E204" t="inlineStr">
        <is>
          <t>BRÄCKE</t>
        </is>
      </c>
      <c r="F204" t="inlineStr">
        <is>
          <t>SCA</t>
        </is>
      </c>
      <c r="G204" t="n">
        <v>4.4</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2464-2025 artfynd.xlsx", "A 2464-2025")</f>
        <v/>
      </c>
      <c r="T204">
        <f>HYPERLINK("https://klasma.github.io/Logging_2305/kartor/A 2464-2025 karta.png", "A 2464-2025")</f>
        <v/>
      </c>
      <c r="V204">
        <f>HYPERLINK("https://klasma.github.io/Logging_2305/klagomål/A 2464-2025 FSC-klagomål.docx", "A 2464-2025")</f>
        <v/>
      </c>
      <c r="W204">
        <f>HYPERLINK("https://klasma.github.io/Logging_2305/klagomålsmail/A 2464-2025 FSC-klagomål mail.docx", "A 2464-2025")</f>
        <v/>
      </c>
      <c r="X204">
        <f>HYPERLINK("https://klasma.github.io/Logging_2305/tillsyn/A 2464-2025 tillsynsbegäran.docx", "A 2464-2025")</f>
        <v/>
      </c>
      <c r="Y204">
        <f>HYPERLINK("https://klasma.github.io/Logging_2305/tillsynsmail/A 2464-2025 tillsynsbegäran mail.docx", "A 2464-2025")</f>
        <v/>
      </c>
      <c r="Z204">
        <f>HYPERLINK("https://klasma.github.io/Logging_2305/fåglar/A 2464-2025 prioriterade fågelarter.docx", "A 2464-2025")</f>
        <v/>
      </c>
    </row>
    <row r="205" ht="15" customHeight="1">
      <c r="A205" t="inlineStr">
        <is>
          <t>A 58449-2024</t>
        </is>
      </c>
      <c r="B205" s="1" t="n">
        <v>45635</v>
      </c>
      <c r="C205" s="1" t="n">
        <v>46193</v>
      </c>
      <c r="D205" t="inlineStr">
        <is>
          <t>JÄMTLANDS LÄN</t>
        </is>
      </c>
      <c r="E205" t="inlineStr">
        <is>
          <t>BRÄCKE</t>
        </is>
      </c>
      <c r="F205" t="inlineStr">
        <is>
          <t>SCA</t>
        </is>
      </c>
      <c r="G205" t="n">
        <v>4.4</v>
      </c>
      <c r="H205" t="n">
        <v>0</v>
      </c>
      <c r="I205" t="n">
        <v>2</v>
      </c>
      <c r="J205" t="n">
        <v>0</v>
      </c>
      <c r="K205" t="n">
        <v>0</v>
      </c>
      <c r="L205" t="n">
        <v>0</v>
      </c>
      <c r="M205" t="n">
        <v>0</v>
      </c>
      <c r="N205" t="n">
        <v>0</v>
      </c>
      <c r="O205" t="n">
        <v>0</v>
      </c>
      <c r="P205" t="n">
        <v>0</v>
      </c>
      <c r="Q205" t="n">
        <v>2</v>
      </c>
      <c r="R205" s="2" t="inlineStr">
        <is>
          <t>Korallblylav
Stor aspticka</t>
        </is>
      </c>
      <c r="S205">
        <f>HYPERLINK("https://klasma.github.io/Logging_2305/artfynd/A 58449-2024 artfynd.xlsx", "A 58449-2024")</f>
        <v/>
      </c>
      <c r="T205">
        <f>HYPERLINK("https://klasma.github.io/Logging_2305/kartor/A 58449-2024 karta.png", "A 58449-2024")</f>
        <v/>
      </c>
      <c r="V205">
        <f>HYPERLINK("https://klasma.github.io/Logging_2305/klagomål/A 58449-2024 FSC-klagomål.docx", "A 58449-2024")</f>
        <v/>
      </c>
      <c r="W205">
        <f>HYPERLINK("https://klasma.github.io/Logging_2305/klagomålsmail/A 58449-2024 FSC-klagomål mail.docx", "A 58449-2024")</f>
        <v/>
      </c>
      <c r="X205">
        <f>HYPERLINK("https://klasma.github.io/Logging_2305/tillsyn/A 58449-2024 tillsynsbegäran.docx", "A 58449-2024")</f>
        <v/>
      </c>
      <c r="Y205">
        <f>HYPERLINK("https://klasma.github.io/Logging_2305/tillsynsmail/A 58449-2024 tillsynsbegäran mail.docx", "A 58449-2024")</f>
        <v/>
      </c>
    </row>
    <row r="206" ht="15" customHeight="1">
      <c r="A206" t="inlineStr">
        <is>
          <t>A 49330-2023</t>
        </is>
      </c>
      <c r="B206" s="1" t="n">
        <v>45210</v>
      </c>
      <c r="C206" s="1" t="n">
        <v>46193</v>
      </c>
      <c r="D206" t="inlineStr">
        <is>
          <t>JÄMTLANDS LÄN</t>
        </is>
      </c>
      <c r="E206" t="inlineStr">
        <is>
          <t>BRÄCKE</t>
        </is>
      </c>
      <c r="F206" t="inlineStr">
        <is>
          <t>SCA</t>
        </is>
      </c>
      <c r="G206" t="n">
        <v>3.8</v>
      </c>
      <c r="H206" t="n">
        <v>0</v>
      </c>
      <c r="I206" t="n">
        <v>0</v>
      </c>
      <c r="J206" t="n">
        <v>1</v>
      </c>
      <c r="K206" t="n">
        <v>1</v>
      </c>
      <c r="L206" t="n">
        <v>0</v>
      </c>
      <c r="M206" t="n">
        <v>0</v>
      </c>
      <c r="N206" t="n">
        <v>0</v>
      </c>
      <c r="O206" t="n">
        <v>2</v>
      </c>
      <c r="P206" t="n">
        <v>1</v>
      </c>
      <c r="Q206" t="n">
        <v>2</v>
      </c>
      <c r="R206" s="2" t="inlineStr">
        <is>
          <t>Garnlav
Dvärgbägarlav</t>
        </is>
      </c>
      <c r="S206">
        <f>HYPERLINK("https://klasma.github.io/Logging_2305/artfynd/A 49330-2023 artfynd.xlsx", "A 49330-2023")</f>
        <v/>
      </c>
      <c r="T206">
        <f>HYPERLINK("https://klasma.github.io/Logging_2305/kartor/A 49330-2023 karta.png", "A 49330-2023")</f>
        <v/>
      </c>
      <c r="V206">
        <f>HYPERLINK("https://klasma.github.io/Logging_2305/klagomål/A 49330-2023 FSC-klagomål.docx", "A 49330-2023")</f>
        <v/>
      </c>
      <c r="W206">
        <f>HYPERLINK("https://klasma.github.io/Logging_2305/klagomålsmail/A 49330-2023 FSC-klagomål mail.docx", "A 49330-2023")</f>
        <v/>
      </c>
      <c r="X206">
        <f>HYPERLINK("https://klasma.github.io/Logging_2305/tillsyn/A 49330-2023 tillsynsbegäran.docx", "A 49330-2023")</f>
        <v/>
      </c>
      <c r="Y206">
        <f>HYPERLINK("https://klasma.github.io/Logging_2305/tillsynsmail/A 49330-2023 tillsynsbegäran mail.docx", "A 49330-2023")</f>
        <v/>
      </c>
    </row>
    <row r="207" ht="15" customHeight="1">
      <c r="A207" t="inlineStr">
        <is>
          <t>A 6903-2024</t>
        </is>
      </c>
      <c r="B207" s="1" t="n">
        <v>45342</v>
      </c>
      <c r="C207" s="1" t="n">
        <v>46193</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46193</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2467-2025</t>
        </is>
      </c>
      <c r="B209" s="1" t="n">
        <v>45674</v>
      </c>
      <c r="C209" s="1" t="n">
        <v>46193</v>
      </c>
      <c r="D209" t="inlineStr">
        <is>
          <t>JÄMTLANDS LÄN</t>
        </is>
      </c>
      <c r="E209" t="inlineStr">
        <is>
          <t>BRÄCKE</t>
        </is>
      </c>
      <c r="F209" t="inlineStr">
        <is>
          <t>SCA</t>
        </is>
      </c>
      <c r="G209" t="n">
        <v>5.6</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HYPERLINK("https://klasma.github.io/Logging_2305/artfynd/A 2467-2025 artfynd.xlsx", "A 2467-2025")</f>
        <v/>
      </c>
      <c r="T209">
        <f>HYPERLINK("https://klasma.github.io/Logging_2305/kartor/A 2467-2025 karta.png", "A 2467-2025")</f>
        <v/>
      </c>
      <c r="V209">
        <f>HYPERLINK("https://klasma.github.io/Logging_2305/klagomål/A 2467-2025 FSC-klagomål.docx", "A 2467-2025")</f>
        <v/>
      </c>
      <c r="W209">
        <f>HYPERLINK("https://klasma.github.io/Logging_2305/klagomålsmail/A 2467-2025 FSC-klagomål mail.docx", "A 2467-2025")</f>
        <v/>
      </c>
      <c r="X209">
        <f>HYPERLINK("https://klasma.github.io/Logging_2305/tillsyn/A 2467-2025 tillsynsbegäran.docx", "A 2467-2025")</f>
        <v/>
      </c>
      <c r="Y209">
        <f>HYPERLINK("https://klasma.github.io/Logging_2305/tillsynsmail/A 2467-2025 tillsynsbegäran mail.docx", "A 2467-2025")</f>
        <v/>
      </c>
      <c r="Z209">
        <f>HYPERLINK("https://klasma.github.io/Logging_2305/fåglar/A 2467-2025 prioriterade fågelarter.docx", "A 2467-2025")</f>
        <v/>
      </c>
    </row>
    <row r="210" ht="15" customHeight="1">
      <c r="A210" t="inlineStr">
        <is>
          <t>A 12864-2024</t>
        </is>
      </c>
      <c r="B210" s="1" t="n">
        <v>45384</v>
      </c>
      <c r="C210" s="1" t="n">
        <v>46193</v>
      </c>
      <c r="D210" t="inlineStr">
        <is>
          <t>JÄMTLANDS LÄN</t>
        </is>
      </c>
      <c r="E210" t="inlineStr">
        <is>
          <t>BRÄCKE</t>
        </is>
      </c>
      <c r="F210" t="inlineStr">
        <is>
          <t>SCA</t>
        </is>
      </c>
      <c r="G210" t="n">
        <v>7.6</v>
      </c>
      <c r="H210" t="n">
        <v>0</v>
      </c>
      <c r="I210" t="n">
        <v>0</v>
      </c>
      <c r="J210" t="n">
        <v>1</v>
      </c>
      <c r="K210" t="n">
        <v>1</v>
      </c>
      <c r="L210" t="n">
        <v>0</v>
      </c>
      <c r="M210" t="n">
        <v>0</v>
      </c>
      <c r="N210" t="n">
        <v>0</v>
      </c>
      <c r="O210" t="n">
        <v>2</v>
      </c>
      <c r="P210" t="n">
        <v>1</v>
      </c>
      <c r="Q210" t="n">
        <v>2</v>
      </c>
      <c r="R210" s="2" t="inlineStr">
        <is>
          <t>Fläckporing
Dvärgbägarlav</t>
        </is>
      </c>
      <c r="S210">
        <f>HYPERLINK("https://klasma.github.io/Logging_2305/artfynd/A 12864-2024 artfynd.xlsx", "A 12864-2024")</f>
        <v/>
      </c>
      <c r="T210">
        <f>HYPERLINK("https://klasma.github.io/Logging_2305/kartor/A 12864-2024 karta.png", "A 12864-2024")</f>
        <v/>
      </c>
      <c r="V210">
        <f>HYPERLINK("https://klasma.github.io/Logging_2305/klagomål/A 12864-2024 FSC-klagomål.docx", "A 12864-2024")</f>
        <v/>
      </c>
      <c r="W210">
        <f>HYPERLINK("https://klasma.github.io/Logging_2305/klagomålsmail/A 12864-2024 FSC-klagomål mail.docx", "A 12864-2024")</f>
        <v/>
      </c>
      <c r="X210">
        <f>HYPERLINK("https://klasma.github.io/Logging_2305/tillsyn/A 12864-2024 tillsynsbegäran.docx", "A 12864-2024")</f>
        <v/>
      </c>
      <c r="Y210">
        <f>HYPERLINK("https://klasma.github.io/Logging_2305/tillsynsmail/A 12864-2024 tillsynsbegäran mail.docx", "A 12864-2024")</f>
        <v/>
      </c>
    </row>
    <row r="211" ht="15" customHeight="1">
      <c r="A211" t="inlineStr">
        <is>
          <t>A 49328-2023</t>
        </is>
      </c>
      <c r="B211" s="1" t="n">
        <v>45210</v>
      </c>
      <c r="C211" s="1" t="n">
        <v>46193</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8248-2024</t>
        </is>
      </c>
      <c r="B212" s="1" t="n">
        <v>45351</v>
      </c>
      <c r="C212" s="1" t="n">
        <v>46193</v>
      </c>
      <c r="D212" t="inlineStr">
        <is>
          <t>JÄMTLANDS LÄN</t>
        </is>
      </c>
      <c r="E212" t="inlineStr">
        <is>
          <t>BRÄCKE</t>
        </is>
      </c>
      <c r="F212" t="inlineStr">
        <is>
          <t>SCA</t>
        </is>
      </c>
      <c r="G212" t="n">
        <v>1.8</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8248-2024 artfynd.xlsx", "A 8248-2024")</f>
        <v/>
      </c>
      <c r="T212">
        <f>HYPERLINK("https://klasma.github.io/Logging_2305/kartor/A 8248-2024 karta.png", "A 8248-2024")</f>
        <v/>
      </c>
      <c r="V212">
        <f>HYPERLINK("https://klasma.github.io/Logging_2305/klagomål/A 8248-2024 FSC-klagomål.docx", "A 8248-2024")</f>
        <v/>
      </c>
      <c r="W212">
        <f>HYPERLINK("https://klasma.github.io/Logging_2305/klagomålsmail/A 8248-2024 FSC-klagomål mail.docx", "A 8248-2024")</f>
        <v/>
      </c>
      <c r="X212">
        <f>HYPERLINK("https://klasma.github.io/Logging_2305/tillsyn/A 8248-2024 tillsynsbegäran.docx", "A 8248-2024")</f>
        <v/>
      </c>
      <c r="Y212">
        <f>HYPERLINK("https://klasma.github.io/Logging_2305/tillsynsmail/A 8248-2024 tillsynsbegäran mail.docx", "A 8248-2024")</f>
        <v/>
      </c>
    </row>
    <row r="213" ht="15" customHeight="1">
      <c r="A213" t="inlineStr">
        <is>
          <t>A 38304-2025</t>
        </is>
      </c>
      <c r="B213" s="1" t="n">
        <v>45883</v>
      </c>
      <c r="C213" s="1" t="n">
        <v>46193</v>
      </c>
      <c r="D213" t="inlineStr">
        <is>
          <t>JÄMTLANDS LÄN</t>
        </is>
      </c>
      <c r="E213" t="inlineStr">
        <is>
          <t>BRÄCKE</t>
        </is>
      </c>
      <c r="G213" t="n">
        <v>10</v>
      </c>
      <c r="H213" t="n">
        <v>1</v>
      </c>
      <c r="I213" t="n">
        <v>0</v>
      </c>
      <c r="J213" t="n">
        <v>1</v>
      </c>
      <c r="K213" t="n">
        <v>0</v>
      </c>
      <c r="L213" t="n">
        <v>0</v>
      </c>
      <c r="M213" t="n">
        <v>0</v>
      </c>
      <c r="N213" t="n">
        <v>0</v>
      </c>
      <c r="O213" t="n">
        <v>1</v>
      </c>
      <c r="P213" t="n">
        <v>0</v>
      </c>
      <c r="Q213" t="n">
        <v>2</v>
      </c>
      <c r="R213" s="2" t="inlineStr">
        <is>
          <t>Skogshare
Orre</t>
        </is>
      </c>
      <c r="S213">
        <f>HYPERLINK("https://klasma.github.io/Logging_2305/artfynd/A 38304-2025 artfynd.xlsx", "A 38304-2025")</f>
        <v/>
      </c>
      <c r="T213">
        <f>HYPERLINK("https://klasma.github.io/Logging_2305/kartor/A 38304-2025 karta.png", "A 38304-2025")</f>
        <v/>
      </c>
      <c r="V213">
        <f>HYPERLINK("https://klasma.github.io/Logging_2305/klagomål/A 38304-2025 FSC-klagomål.docx", "A 38304-2025")</f>
        <v/>
      </c>
      <c r="W213">
        <f>HYPERLINK("https://klasma.github.io/Logging_2305/klagomålsmail/A 38304-2025 FSC-klagomål mail.docx", "A 38304-2025")</f>
        <v/>
      </c>
      <c r="X213">
        <f>HYPERLINK("https://klasma.github.io/Logging_2305/tillsyn/A 38304-2025 tillsynsbegäran.docx", "A 38304-2025")</f>
        <v/>
      </c>
      <c r="Y213">
        <f>HYPERLINK("https://klasma.github.io/Logging_2305/tillsynsmail/A 38304-2025 tillsynsbegäran mail.docx", "A 38304-2025")</f>
        <v/>
      </c>
      <c r="Z213">
        <f>HYPERLINK("https://klasma.github.io/Logging_2305/fåglar/A 38304-2025 prioriterade fågelarter.docx", "A 38304-2025")</f>
        <v/>
      </c>
    </row>
    <row r="214" ht="15" customHeight="1">
      <c r="A214" t="inlineStr">
        <is>
          <t>A 55343-2023</t>
        </is>
      </c>
      <c r="B214" s="1" t="n">
        <v>45237</v>
      </c>
      <c r="C214" s="1" t="n">
        <v>46193</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29215-2024</t>
        </is>
      </c>
      <c r="B215" s="1" t="n">
        <v>45482</v>
      </c>
      <c r="C215" s="1" t="n">
        <v>46193</v>
      </c>
      <c r="D215" t="inlineStr">
        <is>
          <t>JÄMTLANDS LÄN</t>
        </is>
      </c>
      <c r="E215" t="inlineStr">
        <is>
          <t>BRÄCKE</t>
        </is>
      </c>
      <c r="F215" t="inlineStr">
        <is>
          <t>Övriga Aktiebolag</t>
        </is>
      </c>
      <c r="G215" t="n">
        <v>7.3</v>
      </c>
      <c r="H215" t="n">
        <v>1</v>
      </c>
      <c r="I215" t="n">
        <v>1</v>
      </c>
      <c r="J215" t="n">
        <v>1</v>
      </c>
      <c r="K215" t="n">
        <v>0</v>
      </c>
      <c r="L215" t="n">
        <v>0</v>
      </c>
      <c r="M215" t="n">
        <v>0</v>
      </c>
      <c r="N215" t="n">
        <v>0</v>
      </c>
      <c r="O215" t="n">
        <v>1</v>
      </c>
      <c r="P215" t="n">
        <v>0</v>
      </c>
      <c r="Q215" t="n">
        <v>2</v>
      </c>
      <c r="R215" s="2" t="inlineStr">
        <is>
          <t>Sparvuggla
Svart trolldruva</t>
        </is>
      </c>
      <c r="S215">
        <f>HYPERLINK("https://klasma.github.io/Logging_2305/artfynd/A 29215-2024 artfynd.xlsx", "A 29215-2024")</f>
        <v/>
      </c>
      <c r="T215">
        <f>HYPERLINK("https://klasma.github.io/Logging_2305/kartor/A 29215-2024 karta.png", "A 29215-2024")</f>
        <v/>
      </c>
      <c r="V215">
        <f>HYPERLINK("https://klasma.github.io/Logging_2305/klagomål/A 29215-2024 FSC-klagomål.docx", "A 29215-2024")</f>
        <v/>
      </c>
      <c r="W215">
        <f>HYPERLINK("https://klasma.github.io/Logging_2305/klagomålsmail/A 29215-2024 FSC-klagomål mail.docx", "A 29215-2024")</f>
        <v/>
      </c>
      <c r="X215">
        <f>HYPERLINK("https://klasma.github.io/Logging_2305/tillsyn/A 29215-2024 tillsynsbegäran.docx", "A 29215-2024")</f>
        <v/>
      </c>
      <c r="Y215">
        <f>HYPERLINK("https://klasma.github.io/Logging_2305/tillsynsmail/A 29215-2024 tillsynsbegäran mail.docx", "A 29215-2024")</f>
        <v/>
      </c>
      <c r="Z215">
        <f>HYPERLINK("https://klasma.github.io/Logging_2305/fåglar/A 29215-2024 prioriterade fågelarter.docx", "A 29215-2024")</f>
        <v/>
      </c>
    </row>
    <row r="216" ht="15" customHeight="1">
      <c r="A216" t="inlineStr">
        <is>
          <t>A 3247-2025</t>
        </is>
      </c>
      <c r="B216" s="1" t="n">
        <v>45679</v>
      </c>
      <c r="C216" s="1" t="n">
        <v>46193</v>
      </c>
      <c r="D216" t="inlineStr">
        <is>
          <t>JÄMTLANDS LÄN</t>
        </is>
      </c>
      <c r="E216" t="inlineStr">
        <is>
          <t>BRÄCKE</t>
        </is>
      </c>
      <c r="F216" t="inlineStr">
        <is>
          <t>SCA</t>
        </is>
      </c>
      <c r="G216" t="n">
        <v>3.1</v>
      </c>
      <c r="H216" t="n">
        <v>2</v>
      </c>
      <c r="I216" t="n">
        <v>0</v>
      </c>
      <c r="J216" t="n">
        <v>0</v>
      </c>
      <c r="K216" t="n">
        <v>0</v>
      </c>
      <c r="L216" t="n">
        <v>1</v>
      </c>
      <c r="M216" t="n">
        <v>0</v>
      </c>
      <c r="N216" t="n">
        <v>0</v>
      </c>
      <c r="O216" t="n">
        <v>1</v>
      </c>
      <c r="P216" t="n">
        <v>1</v>
      </c>
      <c r="Q216" t="n">
        <v>2</v>
      </c>
      <c r="R216" s="2" t="inlineStr">
        <is>
          <t>Pärluggla
Utter</t>
        </is>
      </c>
      <c r="S216">
        <f>HYPERLINK("https://klasma.github.io/Logging_2305/artfynd/A 3247-2025 artfynd.xlsx", "A 3247-2025")</f>
        <v/>
      </c>
      <c r="T216">
        <f>HYPERLINK("https://klasma.github.io/Logging_2305/kartor/A 3247-2025 karta.png", "A 3247-2025")</f>
        <v/>
      </c>
      <c r="V216">
        <f>HYPERLINK("https://klasma.github.io/Logging_2305/klagomål/A 3247-2025 FSC-klagomål.docx", "A 3247-2025")</f>
        <v/>
      </c>
      <c r="W216">
        <f>HYPERLINK("https://klasma.github.io/Logging_2305/klagomålsmail/A 3247-2025 FSC-klagomål mail.docx", "A 3247-2025")</f>
        <v/>
      </c>
      <c r="X216">
        <f>HYPERLINK("https://klasma.github.io/Logging_2305/tillsyn/A 3247-2025 tillsynsbegäran.docx", "A 3247-2025")</f>
        <v/>
      </c>
      <c r="Y216">
        <f>HYPERLINK("https://klasma.github.io/Logging_2305/tillsynsmail/A 3247-2025 tillsynsbegäran mail.docx", "A 3247-2025")</f>
        <v/>
      </c>
      <c r="Z216">
        <f>HYPERLINK("https://klasma.github.io/Logging_2305/fåglar/A 3247-2025 prioriterade fågelarter.docx", "A 3247-2025")</f>
        <v/>
      </c>
    </row>
    <row r="217" ht="15" customHeight="1">
      <c r="A217" t="inlineStr">
        <is>
          <t>A 43141-2022</t>
        </is>
      </c>
      <c r="B217" s="1" t="n">
        <v>44833</v>
      </c>
      <c r="C217" s="1" t="n">
        <v>46193</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725-2023</t>
        </is>
      </c>
      <c r="B218" s="1" t="n">
        <v>44930</v>
      </c>
      <c r="C218" s="1" t="n">
        <v>46193</v>
      </c>
      <c r="D218" t="inlineStr">
        <is>
          <t>JÄMTLANDS LÄN</t>
        </is>
      </c>
      <c r="E218" t="inlineStr">
        <is>
          <t>BRÄCKE</t>
        </is>
      </c>
      <c r="F218" t="inlineStr">
        <is>
          <t>SCA</t>
        </is>
      </c>
      <c r="G218" t="n">
        <v>0.9</v>
      </c>
      <c r="H218" t="n">
        <v>0</v>
      </c>
      <c r="I218" t="n">
        <v>0</v>
      </c>
      <c r="J218" t="n">
        <v>1</v>
      </c>
      <c r="K218" t="n">
        <v>1</v>
      </c>
      <c r="L218" t="n">
        <v>0</v>
      </c>
      <c r="M218" t="n">
        <v>0</v>
      </c>
      <c r="N218" t="n">
        <v>0</v>
      </c>
      <c r="O218" t="n">
        <v>2</v>
      </c>
      <c r="P218" t="n">
        <v>1</v>
      </c>
      <c r="Q218" t="n">
        <v>2</v>
      </c>
      <c r="R218" s="2" t="inlineStr">
        <is>
          <t>Gräddporing
Kolflarnlav</t>
        </is>
      </c>
      <c r="S218">
        <f>HYPERLINK("https://klasma.github.io/Logging_2305/artfynd/A 725-2023 artfynd.xlsx", "A 725-2023")</f>
        <v/>
      </c>
      <c r="T218">
        <f>HYPERLINK("https://klasma.github.io/Logging_2305/kartor/A 725-2023 karta.png", "A 725-2023")</f>
        <v/>
      </c>
      <c r="V218">
        <f>HYPERLINK("https://klasma.github.io/Logging_2305/klagomål/A 725-2023 FSC-klagomål.docx", "A 725-2023")</f>
        <v/>
      </c>
      <c r="W218">
        <f>HYPERLINK("https://klasma.github.io/Logging_2305/klagomålsmail/A 725-2023 FSC-klagomål mail.docx", "A 725-2023")</f>
        <v/>
      </c>
      <c r="X218">
        <f>HYPERLINK("https://klasma.github.io/Logging_2305/tillsyn/A 725-2023 tillsynsbegäran.docx", "A 725-2023")</f>
        <v/>
      </c>
      <c r="Y218">
        <f>HYPERLINK("https://klasma.github.io/Logging_2305/tillsynsmail/A 725-2023 tillsynsbegäran mail.docx", "A 725-2023")</f>
        <v/>
      </c>
    </row>
    <row r="219" ht="15" customHeight="1">
      <c r="A219" t="inlineStr">
        <is>
          <t>A 10105-2025</t>
        </is>
      </c>
      <c r="B219" s="1" t="n">
        <v>45719</v>
      </c>
      <c r="C219" s="1" t="n">
        <v>46193</v>
      </c>
      <c r="D219" t="inlineStr">
        <is>
          <t>JÄMTLANDS LÄN</t>
        </is>
      </c>
      <c r="E219" t="inlineStr">
        <is>
          <t>BRÄCKE</t>
        </is>
      </c>
      <c r="G219" t="n">
        <v>0.6</v>
      </c>
      <c r="H219" t="n">
        <v>0</v>
      </c>
      <c r="I219" t="n">
        <v>0</v>
      </c>
      <c r="J219" t="n">
        <v>1</v>
      </c>
      <c r="K219" t="n">
        <v>1</v>
      </c>
      <c r="L219" t="n">
        <v>0</v>
      </c>
      <c r="M219" t="n">
        <v>0</v>
      </c>
      <c r="N219" t="n">
        <v>0</v>
      </c>
      <c r="O219" t="n">
        <v>2</v>
      </c>
      <c r="P219" t="n">
        <v>1</v>
      </c>
      <c r="Q219" t="n">
        <v>2</v>
      </c>
      <c r="R219" s="2" t="inlineStr">
        <is>
          <t>Garnlav
Lunglav</t>
        </is>
      </c>
      <c r="S219">
        <f>HYPERLINK("https://klasma.github.io/Logging_2305/artfynd/A 10105-2025 artfynd.xlsx", "A 10105-2025")</f>
        <v/>
      </c>
      <c r="T219">
        <f>HYPERLINK("https://klasma.github.io/Logging_2305/kartor/A 10105-2025 karta.png", "A 10105-2025")</f>
        <v/>
      </c>
      <c r="V219">
        <f>HYPERLINK("https://klasma.github.io/Logging_2305/klagomål/A 10105-2025 FSC-klagomål.docx", "A 10105-2025")</f>
        <v/>
      </c>
      <c r="W219">
        <f>HYPERLINK("https://klasma.github.io/Logging_2305/klagomålsmail/A 10105-2025 FSC-klagomål mail.docx", "A 10105-2025")</f>
        <v/>
      </c>
      <c r="X219">
        <f>HYPERLINK("https://klasma.github.io/Logging_2305/tillsyn/A 10105-2025 tillsynsbegäran.docx", "A 10105-2025")</f>
        <v/>
      </c>
      <c r="Y219">
        <f>HYPERLINK("https://klasma.github.io/Logging_2305/tillsynsmail/A 10105-2025 tillsynsbegäran mail.docx", "A 10105-2025")</f>
        <v/>
      </c>
    </row>
    <row r="220" ht="15" customHeight="1">
      <c r="A220" t="inlineStr">
        <is>
          <t>A 54035-2021</t>
        </is>
      </c>
      <c r="B220" s="1" t="n">
        <v>44470</v>
      </c>
      <c r="C220" s="1" t="n">
        <v>46193</v>
      </c>
      <c r="D220" t="inlineStr">
        <is>
          <t>JÄMTLANDS LÄN</t>
        </is>
      </c>
      <c r="E220" t="inlineStr">
        <is>
          <t>BRÄCKE</t>
        </is>
      </c>
      <c r="G220" t="n">
        <v>1.3</v>
      </c>
      <c r="H220" t="n">
        <v>1</v>
      </c>
      <c r="I220" t="n">
        <v>0</v>
      </c>
      <c r="J220" t="n">
        <v>1</v>
      </c>
      <c r="K220" t="n">
        <v>0</v>
      </c>
      <c r="L220" t="n">
        <v>0</v>
      </c>
      <c r="M220" t="n">
        <v>0</v>
      </c>
      <c r="N220" t="n">
        <v>0</v>
      </c>
      <c r="O220" t="n">
        <v>1</v>
      </c>
      <c r="P220" t="n">
        <v>0</v>
      </c>
      <c r="Q220" t="n">
        <v>2</v>
      </c>
      <c r="R220" s="2" t="inlineStr">
        <is>
          <t>Skrovellav
Revlummer</t>
        </is>
      </c>
      <c r="S220">
        <f>HYPERLINK("https://klasma.github.io/Logging_2305/artfynd/A 54035-2021 artfynd.xlsx", "A 54035-2021")</f>
        <v/>
      </c>
      <c r="T220">
        <f>HYPERLINK("https://klasma.github.io/Logging_2305/kartor/A 54035-2021 karta.png", "A 54035-2021")</f>
        <v/>
      </c>
      <c r="V220">
        <f>HYPERLINK("https://klasma.github.io/Logging_2305/klagomål/A 54035-2021 FSC-klagomål.docx", "A 54035-2021")</f>
        <v/>
      </c>
      <c r="W220">
        <f>HYPERLINK("https://klasma.github.io/Logging_2305/klagomålsmail/A 54035-2021 FSC-klagomål mail.docx", "A 54035-2021")</f>
        <v/>
      </c>
      <c r="X220">
        <f>HYPERLINK("https://klasma.github.io/Logging_2305/tillsyn/A 54035-2021 tillsynsbegäran.docx", "A 54035-2021")</f>
        <v/>
      </c>
      <c r="Y220">
        <f>HYPERLINK("https://klasma.github.io/Logging_2305/tillsynsmail/A 54035-2021 tillsynsbegäran mail.docx", "A 54035-2021")</f>
        <v/>
      </c>
    </row>
    <row r="221" ht="15" customHeight="1">
      <c r="A221" t="inlineStr">
        <is>
          <t>A 29689-2024</t>
        </is>
      </c>
      <c r="B221" s="1" t="n">
        <v>45484</v>
      </c>
      <c r="C221" s="1" t="n">
        <v>46193</v>
      </c>
      <c r="D221" t="inlineStr">
        <is>
          <t>JÄMTLANDS LÄN</t>
        </is>
      </c>
      <c r="E221" t="inlineStr">
        <is>
          <t>BRÄCKE</t>
        </is>
      </c>
      <c r="F221" t="inlineStr">
        <is>
          <t>SCA</t>
        </is>
      </c>
      <c r="G221" t="n">
        <v>6.3</v>
      </c>
      <c r="H221" t="n">
        <v>0</v>
      </c>
      <c r="I221" t="n">
        <v>1</v>
      </c>
      <c r="J221" t="n">
        <v>0</v>
      </c>
      <c r="K221" t="n">
        <v>1</v>
      </c>
      <c r="L221" t="n">
        <v>0</v>
      </c>
      <c r="M221" t="n">
        <v>0</v>
      </c>
      <c r="N221" t="n">
        <v>0</v>
      </c>
      <c r="O221" t="n">
        <v>1</v>
      </c>
      <c r="P221" t="n">
        <v>1</v>
      </c>
      <c r="Q221" t="n">
        <v>2</v>
      </c>
      <c r="R221" s="2" t="inlineStr">
        <is>
          <t>Garnlav
Vedticka</t>
        </is>
      </c>
      <c r="S221">
        <f>HYPERLINK("https://klasma.github.io/Logging_2305/artfynd/A 29689-2024 artfynd.xlsx", "A 29689-2024")</f>
        <v/>
      </c>
      <c r="T221">
        <f>HYPERLINK("https://klasma.github.io/Logging_2305/kartor/A 29689-2024 karta.png", "A 29689-2024")</f>
        <v/>
      </c>
      <c r="V221">
        <f>HYPERLINK("https://klasma.github.io/Logging_2305/klagomål/A 29689-2024 FSC-klagomål.docx", "A 29689-2024")</f>
        <v/>
      </c>
      <c r="W221">
        <f>HYPERLINK("https://klasma.github.io/Logging_2305/klagomålsmail/A 29689-2024 FSC-klagomål mail.docx", "A 29689-2024")</f>
        <v/>
      </c>
      <c r="X221">
        <f>HYPERLINK("https://klasma.github.io/Logging_2305/tillsyn/A 29689-2024 tillsynsbegäran.docx", "A 29689-2024")</f>
        <v/>
      </c>
      <c r="Y221">
        <f>HYPERLINK("https://klasma.github.io/Logging_2305/tillsynsmail/A 29689-2024 tillsynsbegäran mail.docx", "A 29689-2024")</f>
        <v/>
      </c>
    </row>
    <row r="222" ht="15" customHeight="1">
      <c r="A222" t="inlineStr">
        <is>
          <t>A 30988-2024</t>
        </is>
      </c>
      <c r="B222" s="1" t="n">
        <v>45499</v>
      </c>
      <c r="C222" s="1" t="n">
        <v>46193</v>
      </c>
      <c r="D222" t="inlineStr">
        <is>
          <t>JÄMTLANDS LÄN</t>
        </is>
      </c>
      <c r="E222" t="inlineStr">
        <is>
          <t>BRÄCKE</t>
        </is>
      </c>
      <c r="F222" t="inlineStr">
        <is>
          <t>Sveaskog</t>
        </is>
      </c>
      <c r="G222" t="n">
        <v>4.8</v>
      </c>
      <c r="H222" t="n">
        <v>1</v>
      </c>
      <c r="I222" t="n">
        <v>1</v>
      </c>
      <c r="J222" t="n">
        <v>1</v>
      </c>
      <c r="K222" t="n">
        <v>0</v>
      </c>
      <c r="L222" t="n">
        <v>0</v>
      </c>
      <c r="M222" t="n">
        <v>0</v>
      </c>
      <c r="N222" t="n">
        <v>0</v>
      </c>
      <c r="O222" t="n">
        <v>1</v>
      </c>
      <c r="P222" t="n">
        <v>0</v>
      </c>
      <c r="Q222" t="n">
        <v>2</v>
      </c>
      <c r="R222" s="2" t="inlineStr">
        <is>
          <t>Lunglav
Tvåblad</t>
        </is>
      </c>
      <c r="S222">
        <f>HYPERLINK("https://klasma.github.io/Logging_2305/artfynd/A 30988-2024 artfynd.xlsx", "A 30988-2024")</f>
        <v/>
      </c>
      <c r="T222">
        <f>HYPERLINK("https://klasma.github.io/Logging_2305/kartor/A 30988-2024 karta.png", "A 30988-2024")</f>
        <v/>
      </c>
      <c r="V222">
        <f>HYPERLINK("https://klasma.github.io/Logging_2305/klagomål/A 30988-2024 FSC-klagomål.docx", "A 30988-2024")</f>
        <v/>
      </c>
      <c r="W222">
        <f>HYPERLINK("https://klasma.github.io/Logging_2305/klagomålsmail/A 30988-2024 FSC-klagomål mail.docx", "A 30988-2024")</f>
        <v/>
      </c>
      <c r="X222">
        <f>HYPERLINK("https://klasma.github.io/Logging_2305/tillsyn/A 30988-2024 tillsynsbegäran.docx", "A 30988-2024")</f>
        <v/>
      </c>
      <c r="Y222">
        <f>HYPERLINK("https://klasma.github.io/Logging_2305/tillsynsmail/A 30988-2024 tillsynsbegäran mail.docx", "A 30988-2024")</f>
        <v/>
      </c>
    </row>
    <row r="223" ht="15" customHeight="1">
      <c r="A223" t="inlineStr">
        <is>
          <t>A 30990-2024</t>
        </is>
      </c>
      <c r="B223" s="1" t="n">
        <v>45499</v>
      </c>
      <c r="C223" s="1" t="n">
        <v>46193</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12296-2025</t>
        </is>
      </c>
      <c r="B224" s="1" t="n">
        <v>45729</v>
      </c>
      <c r="C224" s="1" t="n">
        <v>46193</v>
      </c>
      <c r="D224" t="inlineStr">
        <is>
          <t>JÄMTLANDS LÄN</t>
        </is>
      </c>
      <c r="E224" t="inlineStr">
        <is>
          <t>BRÄCKE</t>
        </is>
      </c>
      <c r="F224" t="inlineStr">
        <is>
          <t>SCA</t>
        </is>
      </c>
      <c r="G224" t="n">
        <v>2.2</v>
      </c>
      <c r="H224" t="n">
        <v>0</v>
      </c>
      <c r="I224" t="n">
        <v>0</v>
      </c>
      <c r="J224" t="n">
        <v>2</v>
      </c>
      <c r="K224" t="n">
        <v>0</v>
      </c>
      <c r="L224" t="n">
        <v>0</v>
      </c>
      <c r="M224" t="n">
        <v>0</v>
      </c>
      <c r="N224" t="n">
        <v>0</v>
      </c>
      <c r="O224" t="n">
        <v>2</v>
      </c>
      <c r="P224" t="n">
        <v>0</v>
      </c>
      <c r="Q224" t="n">
        <v>2</v>
      </c>
      <c r="R224" s="2" t="inlineStr">
        <is>
          <t>Dropptaggsvamp
Lunglav</t>
        </is>
      </c>
      <c r="S224">
        <f>HYPERLINK("https://klasma.github.io/Logging_2305/artfynd/A 12296-2025 artfynd.xlsx", "A 12296-2025")</f>
        <v/>
      </c>
      <c r="T224">
        <f>HYPERLINK("https://klasma.github.io/Logging_2305/kartor/A 12296-2025 karta.png", "A 12296-2025")</f>
        <v/>
      </c>
      <c r="V224">
        <f>HYPERLINK("https://klasma.github.io/Logging_2305/klagomål/A 12296-2025 FSC-klagomål.docx", "A 12296-2025")</f>
        <v/>
      </c>
      <c r="W224">
        <f>HYPERLINK("https://klasma.github.io/Logging_2305/klagomålsmail/A 12296-2025 FSC-klagomål mail.docx", "A 12296-2025")</f>
        <v/>
      </c>
      <c r="X224">
        <f>HYPERLINK("https://klasma.github.io/Logging_2305/tillsyn/A 12296-2025 tillsynsbegäran.docx", "A 12296-2025")</f>
        <v/>
      </c>
      <c r="Y224">
        <f>HYPERLINK("https://klasma.github.io/Logging_2305/tillsynsmail/A 12296-2025 tillsynsbegäran mail.docx", "A 12296-2025")</f>
        <v/>
      </c>
    </row>
    <row r="225" ht="15" customHeight="1">
      <c r="A225" t="inlineStr">
        <is>
          <t>A 43178-2025</t>
        </is>
      </c>
      <c r="B225" s="1" t="n">
        <v>45910</v>
      </c>
      <c r="C225" s="1" t="n">
        <v>46193</v>
      </c>
      <c r="D225" t="inlineStr">
        <is>
          <t>JÄMTLANDS LÄN</t>
        </is>
      </c>
      <c r="E225" t="inlineStr">
        <is>
          <t>BRÄCKE</t>
        </is>
      </c>
      <c r="F225" t="inlineStr">
        <is>
          <t>SCA</t>
        </is>
      </c>
      <c r="G225" t="n">
        <v>4.6</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43178-2025 artfynd.xlsx", "A 43178-2025")</f>
        <v/>
      </c>
      <c r="T225">
        <f>HYPERLINK("https://klasma.github.io/Logging_2305/kartor/A 43178-2025 karta.png", "A 43178-2025")</f>
        <v/>
      </c>
      <c r="V225">
        <f>HYPERLINK("https://klasma.github.io/Logging_2305/klagomål/A 43178-2025 FSC-klagomål.docx", "A 43178-2025")</f>
        <v/>
      </c>
      <c r="W225">
        <f>HYPERLINK("https://klasma.github.io/Logging_2305/klagomålsmail/A 43178-2025 FSC-klagomål mail.docx", "A 43178-2025")</f>
        <v/>
      </c>
      <c r="X225">
        <f>HYPERLINK("https://klasma.github.io/Logging_2305/tillsyn/A 43178-2025 tillsynsbegäran.docx", "A 43178-2025")</f>
        <v/>
      </c>
      <c r="Y225">
        <f>HYPERLINK("https://klasma.github.io/Logging_2305/tillsynsmail/A 43178-2025 tillsynsbegäran mail.docx", "A 43178-2025")</f>
        <v/>
      </c>
    </row>
    <row r="226" ht="15" customHeight="1">
      <c r="A226" t="inlineStr">
        <is>
          <t>A 45012-2023</t>
        </is>
      </c>
      <c r="B226" s="1" t="n">
        <v>45190</v>
      </c>
      <c r="C226" s="1" t="n">
        <v>46193</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789-2025</t>
        </is>
      </c>
      <c r="B227" s="1" t="n">
        <v>45665</v>
      </c>
      <c r="C227" s="1" t="n">
        <v>46193</v>
      </c>
      <c r="D227" t="inlineStr">
        <is>
          <t>JÄMTLANDS LÄN</t>
        </is>
      </c>
      <c r="E227" t="inlineStr">
        <is>
          <t>BRÄCKE</t>
        </is>
      </c>
      <c r="F227" t="inlineStr">
        <is>
          <t>SCA</t>
        </is>
      </c>
      <c r="G227" t="n">
        <v>2.6</v>
      </c>
      <c r="H227" t="n">
        <v>0</v>
      </c>
      <c r="I227" t="n">
        <v>1</v>
      </c>
      <c r="J227" t="n">
        <v>1</v>
      </c>
      <c r="K227" t="n">
        <v>0</v>
      </c>
      <c r="L227" t="n">
        <v>0</v>
      </c>
      <c r="M227" t="n">
        <v>0</v>
      </c>
      <c r="N227" t="n">
        <v>0</v>
      </c>
      <c r="O227" t="n">
        <v>1</v>
      </c>
      <c r="P227" t="n">
        <v>0</v>
      </c>
      <c r="Q227" t="n">
        <v>2</v>
      </c>
      <c r="R227" s="2" t="inlineStr">
        <is>
          <t>Lunglav
Vedticka</t>
        </is>
      </c>
      <c r="S227">
        <f>HYPERLINK("https://klasma.github.io/Logging_2305/artfynd/A 789-2025 artfynd.xlsx", "A 789-2025")</f>
        <v/>
      </c>
      <c r="T227">
        <f>HYPERLINK("https://klasma.github.io/Logging_2305/kartor/A 789-2025 karta.png", "A 789-2025")</f>
        <v/>
      </c>
      <c r="V227">
        <f>HYPERLINK("https://klasma.github.io/Logging_2305/klagomål/A 789-2025 FSC-klagomål.docx", "A 789-2025")</f>
        <v/>
      </c>
      <c r="W227">
        <f>HYPERLINK("https://klasma.github.io/Logging_2305/klagomålsmail/A 789-2025 FSC-klagomål mail.docx", "A 789-2025")</f>
        <v/>
      </c>
      <c r="X227">
        <f>HYPERLINK("https://klasma.github.io/Logging_2305/tillsyn/A 789-2025 tillsynsbegäran.docx", "A 789-2025")</f>
        <v/>
      </c>
      <c r="Y227">
        <f>HYPERLINK("https://klasma.github.io/Logging_2305/tillsynsmail/A 789-2025 tillsynsbegäran mail.docx", "A 789-2025")</f>
        <v/>
      </c>
    </row>
    <row r="228" ht="15" customHeight="1">
      <c r="A228" t="inlineStr">
        <is>
          <t>A 44214-2025</t>
        </is>
      </c>
      <c r="B228" s="1" t="n">
        <v>45915</v>
      </c>
      <c r="C228" s="1" t="n">
        <v>46193</v>
      </c>
      <c r="D228" t="inlineStr">
        <is>
          <t>JÄMTLANDS LÄN</t>
        </is>
      </c>
      <c r="E228" t="inlineStr">
        <is>
          <t>BRÄCKE</t>
        </is>
      </c>
      <c r="F228" t="inlineStr">
        <is>
          <t>SCA</t>
        </is>
      </c>
      <c r="G228" t="n">
        <v>4.9</v>
      </c>
      <c r="H228" t="n">
        <v>1</v>
      </c>
      <c r="I228" t="n">
        <v>0</v>
      </c>
      <c r="J228" t="n">
        <v>1</v>
      </c>
      <c r="K228" t="n">
        <v>0</v>
      </c>
      <c r="L228" t="n">
        <v>0</v>
      </c>
      <c r="M228" t="n">
        <v>0</v>
      </c>
      <c r="N228" t="n">
        <v>0</v>
      </c>
      <c r="O228" t="n">
        <v>1</v>
      </c>
      <c r="P228" t="n">
        <v>0</v>
      </c>
      <c r="Q228" t="n">
        <v>2</v>
      </c>
      <c r="R228" s="2" t="inlineStr">
        <is>
          <t>Gelatinfingersvamp
Fjällvråk</t>
        </is>
      </c>
      <c r="S228">
        <f>HYPERLINK("https://klasma.github.io/Logging_2305/artfynd/A 44214-2025 artfynd.xlsx", "A 44214-2025")</f>
        <v/>
      </c>
      <c r="T228">
        <f>HYPERLINK("https://klasma.github.io/Logging_2305/kartor/A 44214-2025 karta.png", "A 44214-2025")</f>
        <v/>
      </c>
      <c r="V228">
        <f>HYPERLINK("https://klasma.github.io/Logging_2305/klagomål/A 44214-2025 FSC-klagomål.docx", "A 44214-2025")</f>
        <v/>
      </c>
      <c r="W228">
        <f>HYPERLINK("https://klasma.github.io/Logging_2305/klagomålsmail/A 44214-2025 FSC-klagomål mail.docx", "A 44214-2025")</f>
        <v/>
      </c>
      <c r="X228">
        <f>HYPERLINK("https://klasma.github.io/Logging_2305/tillsyn/A 44214-2025 tillsynsbegäran.docx", "A 44214-2025")</f>
        <v/>
      </c>
      <c r="Y228">
        <f>HYPERLINK("https://klasma.github.io/Logging_2305/tillsynsmail/A 44214-2025 tillsynsbegäran mail.docx", "A 44214-2025")</f>
        <v/>
      </c>
      <c r="Z228">
        <f>HYPERLINK("https://klasma.github.io/Logging_2305/fåglar/A 44214-2025 prioriterade fågelarter.docx", "A 44214-2025")</f>
        <v/>
      </c>
    </row>
    <row r="229" ht="15" customHeight="1">
      <c r="A229" t="inlineStr">
        <is>
          <t>A 39172-2021</t>
        </is>
      </c>
      <c r="B229" s="1" t="n">
        <v>44412</v>
      </c>
      <c r="C229" s="1" t="n">
        <v>46193</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35216-2025</t>
        </is>
      </c>
      <c r="B230" s="1" t="n">
        <v>45853</v>
      </c>
      <c r="C230" s="1" t="n">
        <v>46193</v>
      </c>
      <c r="D230" t="inlineStr">
        <is>
          <t>JÄMTLANDS LÄN</t>
        </is>
      </c>
      <c r="E230" t="inlineStr">
        <is>
          <t>BRÄCKE</t>
        </is>
      </c>
      <c r="F230" t="inlineStr">
        <is>
          <t>SCA</t>
        </is>
      </c>
      <c r="G230" t="n">
        <v>1.5</v>
      </c>
      <c r="H230" t="n">
        <v>2</v>
      </c>
      <c r="I230" t="n">
        <v>0</v>
      </c>
      <c r="J230" t="n">
        <v>1</v>
      </c>
      <c r="K230" t="n">
        <v>1</v>
      </c>
      <c r="L230" t="n">
        <v>0</v>
      </c>
      <c r="M230" t="n">
        <v>0</v>
      </c>
      <c r="N230" t="n">
        <v>0</v>
      </c>
      <c r="O230" t="n">
        <v>2</v>
      </c>
      <c r="P230" t="n">
        <v>1</v>
      </c>
      <c r="Q230" t="n">
        <v>2</v>
      </c>
      <c r="R230" s="2" t="inlineStr">
        <is>
          <t>Knärot
Talltita</t>
        </is>
      </c>
      <c r="S230">
        <f>HYPERLINK("https://klasma.github.io/Logging_2305/artfynd/A 35216-2025 artfynd.xlsx", "A 35216-2025")</f>
        <v/>
      </c>
      <c r="T230">
        <f>HYPERLINK("https://klasma.github.io/Logging_2305/kartor/A 35216-2025 karta.png", "A 35216-2025")</f>
        <v/>
      </c>
      <c r="U230">
        <f>HYPERLINK("https://klasma.github.io/Logging_2305/knärot/A 35216-2025 karta knärot.png", "A 35216-2025")</f>
        <v/>
      </c>
      <c r="V230">
        <f>HYPERLINK("https://klasma.github.io/Logging_2305/klagomål/A 35216-2025 FSC-klagomål.docx", "A 35216-2025")</f>
        <v/>
      </c>
      <c r="W230">
        <f>HYPERLINK("https://klasma.github.io/Logging_2305/klagomålsmail/A 35216-2025 FSC-klagomål mail.docx", "A 35216-2025")</f>
        <v/>
      </c>
      <c r="X230">
        <f>HYPERLINK("https://klasma.github.io/Logging_2305/tillsyn/A 35216-2025 tillsynsbegäran.docx", "A 35216-2025")</f>
        <v/>
      </c>
      <c r="Y230">
        <f>HYPERLINK("https://klasma.github.io/Logging_2305/tillsynsmail/A 35216-2025 tillsynsbegäran mail.docx", "A 35216-2025")</f>
        <v/>
      </c>
      <c r="Z230">
        <f>HYPERLINK("https://klasma.github.io/Logging_2305/fåglar/A 35216-2025 prioriterade fågelarter.docx", "A 35216-2025")</f>
        <v/>
      </c>
    </row>
    <row r="231" ht="15" customHeight="1">
      <c r="A231" t="inlineStr">
        <is>
          <t>A 20909-2025</t>
        </is>
      </c>
      <c r="B231" s="1" t="n">
        <v>45777</v>
      </c>
      <c r="C231" s="1" t="n">
        <v>46193</v>
      </c>
      <c r="D231" t="inlineStr">
        <is>
          <t>JÄMTLANDS LÄN</t>
        </is>
      </c>
      <c r="E231" t="inlineStr">
        <is>
          <t>BRÄCKE</t>
        </is>
      </c>
      <c r="F231" t="inlineStr">
        <is>
          <t>SCA</t>
        </is>
      </c>
      <c r="G231" t="n">
        <v>1.5</v>
      </c>
      <c r="H231" t="n">
        <v>0</v>
      </c>
      <c r="I231" t="n">
        <v>0</v>
      </c>
      <c r="J231" t="n">
        <v>1</v>
      </c>
      <c r="K231" t="n">
        <v>1</v>
      </c>
      <c r="L231" t="n">
        <v>0</v>
      </c>
      <c r="M231" t="n">
        <v>0</v>
      </c>
      <c r="N231" t="n">
        <v>0</v>
      </c>
      <c r="O231" t="n">
        <v>2</v>
      </c>
      <c r="P231" t="n">
        <v>1</v>
      </c>
      <c r="Q231" t="n">
        <v>2</v>
      </c>
      <c r="R231" s="2" t="inlineStr">
        <is>
          <t>Gräddporing
Vedflamlav</t>
        </is>
      </c>
      <c r="S231">
        <f>HYPERLINK("https://klasma.github.io/Logging_2305/artfynd/A 20909-2025 artfynd.xlsx", "A 20909-2025")</f>
        <v/>
      </c>
      <c r="T231">
        <f>HYPERLINK("https://klasma.github.io/Logging_2305/kartor/A 20909-2025 karta.png", "A 20909-2025")</f>
        <v/>
      </c>
      <c r="V231">
        <f>HYPERLINK("https://klasma.github.io/Logging_2305/klagomål/A 20909-2025 FSC-klagomål.docx", "A 20909-2025")</f>
        <v/>
      </c>
      <c r="W231">
        <f>HYPERLINK("https://klasma.github.io/Logging_2305/klagomålsmail/A 20909-2025 FSC-klagomål mail.docx", "A 20909-2025")</f>
        <v/>
      </c>
      <c r="X231">
        <f>HYPERLINK("https://klasma.github.io/Logging_2305/tillsyn/A 20909-2025 tillsynsbegäran.docx", "A 20909-2025")</f>
        <v/>
      </c>
      <c r="Y231">
        <f>HYPERLINK("https://klasma.github.io/Logging_2305/tillsynsmail/A 20909-2025 tillsynsbegäran mail.docx", "A 20909-2025")</f>
        <v/>
      </c>
    </row>
    <row r="232" ht="15" customHeight="1">
      <c r="A232" t="inlineStr">
        <is>
          <t>A 45795-2025</t>
        </is>
      </c>
      <c r="B232" s="1" t="n">
        <v>45923</v>
      </c>
      <c r="C232" s="1" t="n">
        <v>46193</v>
      </c>
      <c r="D232" t="inlineStr">
        <is>
          <t>JÄMTLANDS LÄN</t>
        </is>
      </c>
      <c r="E232" t="inlineStr">
        <is>
          <t>BRÄCKE</t>
        </is>
      </c>
      <c r="F232" t="inlineStr">
        <is>
          <t>SCA</t>
        </is>
      </c>
      <c r="G232" t="n">
        <v>10.9</v>
      </c>
      <c r="H232" t="n">
        <v>0</v>
      </c>
      <c r="I232" t="n">
        <v>1</v>
      </c>
      <c r="J232" t="n">
        <v>1</v>
      </c>
      <c r="K232" t="n">
        <v>0</v>
      </c>
      <c r="L232" t="n">
        <v>0</v>
      </c>
      <c r="M232" t="n">
        <v>0</v>
      </c>
      <c r="N232" t="n">
        <v>0</v>
      </c>
      <c r="O232" t="n">
        <v>1</v>
      </c>
      <c r="P232" t="n">
        <v>0</v>
      </c>
      <c r="Q232" t="n">
        <v>2</v>
      </c>
      <c r="R232" s="2" t="inlineStr">
        <is>
          <t>Lunglav
Skinnlav</t>
        </is>
      </c>
      <c r="S232">
        <f>HYPERLINK("https://klasma.github.io/Logging_2305/artfynd/A 45795-2025 artfynd.xlsx", "A 45795-2025")</f>
        <v/>
      </c>
      <c r="T232">
        <f>HYPERLINK("https://klasma.github.io/Logging_2305/kartor/A 45795-2025 karta.png", "A 45795-2025")</f>
        <v/>
      </c>
      <c r="V232">
        <f>HYPERLINK("https://klasma.github.io/Logging_2305/klagomål/A 45795-2025 FSC-klagomål.docx", "A 45795-2025")</f>
        <v/>
      </c>
      <c r="W232">
        <f>HYPERLINK("https://klasma.github.io/Logging_2305/klagomålsmail/A 45795-2025 FSC-klagomål mail.docx", "A 45795-2025")</f>
        <v/>
      </c>
      <c r="X232">
        <f>HYPERLINK("https://klasma.github.io/Logging_2305/tillsyn/A 45795-2025 tillsynsbegäran.docx", "A 45795-2025")</f>
        <v/>
      </c>
      <c r="Y232">
        <f>HYPERLINK("https://klasma.github.io/Logging_2305/tillsynsmail/A 45795-2025 tillsynsbegäran mail.docx", "A 45795-2025")</f>
        <v/>
      </c>
    </row>
    <row r="233" ht="15" customHeight="1">
      <c r="A233" t="inlineStr">
        <is>
          <t>A 20802-2026</t>
        </is>
      </c>
      <c r="B233" s="1" t="n">
        <v>46141</v>
      </c>
      <c r="C233" s="1" t="n">
        <v>46193</v>
      </c>
      <c r="D233" t="inlineStr">
        <is>
          <t>JÄMTLANDS LÄN</t>
        </is>
      </c>
      <c r="E233" t="inlineStr">
        <is>
          <t>BRÄCKE</t>
        </is>
      </c>
      <c r="F233" t="inlineStr">
        <is>
          <t>SCA</t>
        </is>
      </c>
      <c r="G233" t="n">
        <v>0.9</v>
      </c>
      <c r="H233" t="n">
        <v>1</v>
      </c>
      <c r="I233" t="n">
        <v>0</v>
      </c>
      <c r="J233" t="n">
        <v>0</v>
      </c>
      <c r="K233" t="n">
        <v>2</v>
      </c>
      <c r="L233" t="n">
        <v>0</v>
      </c>
      <c r="M233" t="n">
        <v>0</v>
      </c>
      <c r="N233" t="n">
        <v>0</v>
      </c>
      <c r="O233" t="n">
        <v>2</v>
      </c>
      <c r="P233" t="n">
        <v>2</v>
      </c>
      <c r="Q233" t="n">
        <v>2</v>
      </c>
      <c r="R233" s="2" t="inlineStr">
        <is>
          <t>Garnlav
Knärot</t>
        </is>
      </c>
      <c r="S233">
        <f>HYPERLINK("https://klasma.github.io/Logging_2305/artfynd/A 20802-2026 artfynd.xlsx", "A 20802-2026")</f>
        <v/>
      </c>
      <c r="T233">
        <f>HYPERLINK("https://klasma.github.io/Logging_2305/kartor/A 20802-2026 karta.png", "A 20802-2026")</f>
        <v/>
      </c>
      <c r="U233">
        <f>HYPERLINK("https://klasma.github.io/Logging_2305/knärot/A 20802-2026 karta knärot.png", "A 20802-2026")</f>
        <v/>
      </c>
      <c r="V233">
        <f>HYPERLINK("https://klasma.github.io/Logging_2305/klagomål/A 20802-2026 FSC-klagomål.docx", "A 20802-2026")</f>
        <v/>
      </c>
      <c r="W233">
        <f>HYPERLINK("https://klasma.github.io/Logging_2305/klagomålsmail/A 20802-2026 FSC-klagomål mail.docx", "A 20802-2026")</f>
        <v/>
      </c>
      <c r="X233">
        <f>HYPERLINK("https://klasma.github.io/Logging_2305/tillsyn/A 20802-2026 tillsynsbegäran.docx", "A 20802-2026")</f>
        <v/>
      </c>
      <c r="Y233">
        <f>HYPERLINK("https://klasma.github.io/Logging_2305/tillsynsmail/A 20802-2026 tillsynsbegäran mail.docx", "A 20802-2026")</f>
        <v/>
      </c>
    </row>
    <row r="234" ht="15" customHeight="1">
      <c r="A234" t="inlineStr">
        <is>
          <t>A 5858-2025</t>
        </is>
      </c>
      <c r="B234" s="1" t="n">
        <v>45695</v>
      </c>
      <c r="C234" s="1" t="n">
        <v>46193</v>
      </c>
      <c r="D234" t="inlineStr">
        <is>
          <t>JÄMTLANDS LÄN</t>
        </is>
      </c>
      <c r="E234" t="inlineStr">
        <is>
          <t>BRÄCKE</t>
        </is>
      </c>
      <c r="G234" t="n">
        <v>2.7</v>
      </c>
      <c r="H234" t="n">
        <v>1</v>
      </c>
      <c r="I234" t="n">
        <v>0</v>
      </c>
      <c r="J234" t="n">
        <v>0</v>
      </c>
      <c r="K234" t="n">
        <v>2</v>
      </c>
      <c r="L234" t="n">
        <v>0</v>
      </c>
      <c r="M234" t="n">
        <v>0</v>
      </c>
      <c r="N234" t="n">
        <v>0</v>
      </c>
      <c r="O234" t="n">
        <v>2</v>
      </c>
      <c r="P234" t="n">
        <v>2</v>
      </c>
      <c r="Q234" t="n">
        <v>2</v>
      </c>
      <c r="R234" s="2" t="inlineStr">
        <is>
          <t>Bredgentiana
Fältgentiana</t>
        </is>
      </c>
      <c r="S234">
        <f>HYPERLINK("https://klasma.github.io/Logging_2305/artfynd/A 5858-2025 artfynd.xlsx", "A 5858-2025")</f>
        <v/>
      </c>
      <c r="T234">
        <f>HYPERLINK("https://klasma.github.io/Logging_2305/kartor/A 5858-2025 karta.png", "A 5858-2025")</f>
        <v/>
      </c>
      <c r="V234">
        <f>HYPERLINK("https://klasma.github.io/Logging_2305/klagomål/A 5858-2025 FSC-klagomål.docx", "A 5858-2025")</f>
        <v/>
      </c>
      <c r="W234">
        <f>HYPERLINK("https://klasma.github.io/Logging_2305/klagomålsmail/A 5858-2025 FSC-klagomål mail.docx", "A 5858-2025")</f>
        <v/>
      </c>
      <c r="X234">
        <f>HYPERLINK("https://klasma.github.io/Logging_2305/tillsyn/A 5858-2025 tillsynsbegäran.docx", "A 5858-2025")</f>
        <v/>
      </c>
      <c r="Y234">
        <f>HYPERLINK("https://klasma.github.io/Logging_2305/tillsynsmail/A 5858-2025 tillsynsbegäran mail.docx", "A 5858-2025")</f>
        <v/>
      </c>
    </row>
    <row r="235" ht="15" customHeight="1">
      <c r="A235" t="inlineStr">
        <is>
          <t>A 48289-2025</t>
        </is>
      </c>
      <c r="B235" s="1" t="n">
        <v>45933</v>
      </c>
      <c r="C235" s="1" t="n">
        <v>46193</v>
      </c>
      <c r="D235" t="inlineStr">
        <is>
          <t>JÄMTLANDS LÄN</t>
        </is>
      </c>
      <c r="E235" t="inlineStr">
        <is>
          <t>BRÄCKE</t>
        </is>
      </c>
      <c r="F235" t="inlineStr">
        <is>
          <t>SCA</t>
        </is>
      </c>
      <c r="G235" t="n">
        <v>10.9</v>
      </c>
      <c r="H235" t="n">
        <v>1</v>
      </c>
      <c r="I235" t="n">
        <v>0</v>
      </c>
      <c r="J235" t="n">
        <v>1</v>
      </c>
      <c r="K235" t="n">
        <v>1</v>
      </c>
      <c r="L235" t="n">
        <v>0</v>
      </c>
      <c r="M235" t="n">
        <v>0</v>
      </c>
      <c r="N235" t="n">
        <v>0</v>
      </c>
      <c r="O235" t="n">
        <v>2</v>
      </c>
      <c r="P235" t="n">
        <v>1</v>
      </c>
      <c r="Q235" t="n">
        <v>2</v>
      </c>
      <c r="R235" s="2" t="inlineStr">
        <is>
          <t>Doftticka
Gelatinfingersvamp</t>
        </is>
      </c>
      <c r="S235">
        <f>HYPERLINK("https://klasma.github.io/Logging_2305/artfynd/A 48289-2025 artfynd.xlsx", "A 48289-2025")</f>
        <v/>
      </c>
      <c r="T235">
        <f>HYPERLINK("https://klasma.github.io/Logging_2305/kartor/A 48289-2025 karta.png", "A 48289-2025")</f>
        <v/>
      </c>
      <c r="V235">
        <f>HYPERLINK("https://klasma.github.io/Logging_2305/klagomål/A 48289-2025 FSC-klagomål.docx", "A 48289-2025")</f>
        <v/>
      </c>
      <c r="W235">
        <f>HYPERLINK("https://klasma.github.io/Logging_2305/klagomålsmail/A 48289-2025 FSC-klagomål mail.docx", "A 48289-2025")</f>
        <v/>
      </c>
      <c r="X235">
        <f>HYPERLINK("https://klasma.github.io/Logging_2305/tillsyn/A 48289-2025 tillsynsbegäran.docx", "A 48289-2025")</f>
        <v/>
      </c>
      <c r="Y235">
        <f>HYPERLINK("https://klasma.github.io/Logging_2305/tillsynsmail/A 48289-2025 tillsynsbegäran mail.docx", "A 48289-2025")</f>
        <v/>
      </c>
    </row>
    <row r="236" ht="15" customHeight="1">
      <c r="A236" t="inlineStr">
        <is>
          <t>A 22957-2025</t>
        </is>
      </c>
      <c r="B236" s="1" t="n">
        <v>45790</v>
      </c>
      <c r="C236" s="1" t="n">
        <v>46193</v>
      </c>
      <c r="D236" t="inlineStr">
        <is>
          <t>JÄMTLANDS LÄN</t>
        </is>
      </c>
      <c r="E236" t="inlineStr">
        <is>
          <t>BRÄCKE</t>
        </is>
      </c>
      <c r="F236" t="inlineStr">
        <is>
          <t>SCA</t>
        </is>
      </c>
      <c r="G236" t="n">
        <v>2</v>
      </c>
      <c r="H236" t="n">
        <v>0</v>
      </c>
      <c r="I236" t="n">
        <v>0</v>
      </c>
      <c r="J236" t="n">
        <v>1</v>
      </c>
      <c r="K236" t="n">
        <v>1</v>
      </c>
      <c r="L236" t="n">
        <v>0</v>
      </c>
      <c r="M236" t="n">
        <v>0</v>
      </c>
      <c r="N236" t="n">
        <v>0</v>
      </c>
      <c r="O236" t="n">
        <v>2</v>
      </c>
      <c r="P236" t="n">
        <v>1</v>
      </c>
      <c r="Q236" t="n">
        <v>2</v>
      </c>
      <c r="R236" s="2" t="inlineStr">
        <is>
          <t>Skrovlig taggsvamp
Dropptaggsvamp</t>
        </is>
      </c>
      <c r="S236">
        <f>HYPERLINK("https://klasma.github.io/Logging_2305/artfynd/A 22957-2025 artfynd.xlsx", "A 22957-2025")</f>
        <v/>
      </c>
      <c r="T236">
        <f>HYPERLINK("https://klasma.github.io/Logging_2305/kartor/A 22957-2025 karta.png", "A 22957-2025")</f>
        <v/>
      </c>
      <c r="V236">
        <f>HYPERLINK("https://klasma.github.io/Logging_2305/klagomål/A 22957-2025 FSC-klagomål.docx", "A 22957-2025")</f>
        <v/>
      </c>
      <c r="W236">
        <f>HYPERLINK("https://klasma.github.io/Logging_2305/klagomålsmail/A 22957-2025 FSC-klagomål mail.docx", "A 22957-2025")</f>
        <v/>
      </c>
      <c r="X236">
        <f>HYPERLINK("https://klasma.github.io/Logging_2305/tillsyn/A 22957-2025 tillsynsbegäran.docx", "A 22957-2025")</f>
        <v/>
      </c>
      <c r="Y236">
        <f>HYPERLINK("https://klasma.github.io/Logging_2305/tillsynsmail/A 22957-2025 tillsynsbegäran mail.docx", "A 22957-2025")</f>
        <v/>
      </c>
    </row>
    <row r="237" ht="15" customHeight="1">
      <c r="A237" t="inlineStr">
        <is>
          <t>A 50837-2023</t>
        </is>
      </c>
      <c r="B237" s="1" t="n">
        <v>45217</v>
      </c>
      <c r="C237" s="1" t="n">
        <v>46193</v>
      </c>
      <c r="D237" t="inlineStr">
        <is>
          <t>JÄMTLANDS LÄN</t>
        </is>
      </c>
      <c r="E237" t="inlineStr">
        <is>
          <t>BRÄCKE</t>
        </is>
      </c>
      <c r="F237" t="inlineStr">
        <is>
          <t>SCA</t>
        </is>
      </c>
      <c r="G237" t="n">
        <v>1.4</v>
      </c>
      <c r="H237" t="n">
        <v>2</v>
      </c>
      <c r="I237" t="n">
        <v>0</v>
      </c>
      <c r="J237" t="n">
        <v>1</v>
      </c>
      <c r="K237" t="n">
        <v>0</v>
      </c>
      <c r="L237" t="n">
        <v>0</v>
      </c>
      <c r="M237" t="n">
        <v>0</v>
      </c>
      <c r="N237" t="n">
        <v>0</v>
      </c>
      <c r="O237" t="n">
        <v>1</v>
      </c>
      <c r="P237" t="n">
        <v>0</v>
      </c>
      <c r="Q237" t="n">
        <v>2</v>
      </c>
      <c r="R237" s="2" t="inlineStr">
        <is>
          <t>Talltita
Grönsiska</t>
        </is>
      </c>
      <c r="S237">
        <f>HYPERLINK("https://klasma.github.io/Logging_2305/artfynd/A 50837-2023 artfynd.xlsx", "A 50837-2023")</f>
        <v/>
      </c>
      <c r="T237">
        <f>HYPERLINK("https://klasma.github.io/Logging_2305/kartor/A 50837-2023 karta.png", "A 50837-2023")</f>
        <v/>
      </c>
      <c r="V237">
        <f>HYPERLINK("https://klasma.github.io/Logging_2305/klagomål/A 50837-2023 FSC-klagomål.docx", "A 50837-2023")</f>
        <v/>
      </c>
      <c r="W237">
        <f>HYPERLINK("https://klasma.github.io/Logging_2305/klagomålsmail/A 50837-2023 FSC-klagomål mail.docx", "A 50837-2023")</f>
        <v/>
      </c>
      <c r="X237">
        <f>HYPERLINK("https://klasma.github.io/Logging_2305/tillsyn/A 50837-2023 tillsynsbegäran.docx", "A 50837-2023")</f>
        <v/>
      </c>
      <c r="Y237">
        <f>HYPERLINK("https://klasma.github.io/Logging_2305/tillsynsmail/A 50837-2023 tillsynsbegäran mail.docx", "A 50837-2023")</f>
        <v/>
      </c>
      <c r="Z237">
        <f>HYPERLINK("https://klasma.github.io/Logging_2305/fåglar/A 50837-2023 prioriterade fågelarter.docx", "A 50837-2023")</f>
        <v/>
      </c>
    </row>
    <row r="238" ht="15" customHeight="1">
      <c r="A238" t="inlineStr">
        <is>
          <t>A 50722-2025</t>
        </is>
      </c>
      <c r="B238" s="1" t="n">
        <v>45946</v>
      </c>
      <c r="C238" s="1" t="n">
        <v>46193</v>
      </c>
      <c r="D238" t="inlineStr">
        <is>
          <t>JÄMTLANDS LÄN</t>
        </is>
      </c>
      <c r="E238" t="inlineStr">
        <is>
          <t>BRÄCKE</t>
        </is>
      </c>
      <c r="F238" t="inlineStr">
        <is>
          <t>SCA</t>
        </is>
      </c>
      <c r="G238" t="n">
        <v>22.7</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50722-2025 artfynd.xlsx", "A 50722-2025")</f>
        <v/>
      </c>
      <c r="T238">
        <f>HYPERLINK("https://klasma.github.io/Logging_2305/kartor/A 50722-2025 karta.png", "A 50722-2025")</f>
        <v/>
      </c>
      <c r="V238">
        <f>HYPERLINK("https://klasma.github.io/Logging_2305/klagomål/A 50722-2025 FSC-klagomål.docx", "A 50722-2025")</f>
        <v/>
      </c>
      <c r="W238">
        <f>HYPERLINK("https://klasma.github.io/Logging_2305/klagomålsmail/A 50722-2025 FSC-klagomål mail.docx", "A 50722-2025")</f>
        <v/>
      </c>
      <c r="X238">
        <f>HYPERLINK("https://klasma.github.io/Logging_2305/tillsyn/A 50722-2025 tillsynsbegäran.docx", "A 50722-2025")</f>
        <v/>
      </c>
      <c r="Y238">
        <f>HYPERLINK("https://klasma.github.io/Logging_2305/tillsynsmail/A 50722-2025 tillsynsbegäran mail.docx", "A 50722-2025")</f>
        <v/>
      </c>
      <c r="Z238">
        <f>HYPERLINK("https://klasma.github.io/Logging_2305/fåglar/A 50722-2025 prioriterade fågelarter.docx", "A 50722-2025")</f>
        <v/>
      </c>
    </row>
    <row r="239" ht="15" customHeight="1">
      <c r="A239" t="inlineStr">
        <is>
          <t>A 50485-2025</t>
        </is>
      </c>
      <c r="B239" s="1" t="n">
        <v>45945</v>
      </c>
      <c r="C239" s="1" t="n">
        <v>46193</v>
      </c>
      <c r="D239" t="inlineStr">
        <is>
          <t>JÄMTLANDS LÄN</t>
        </is>
      </c>
      <c r="E239" t="inlineStr">
        <is>
          <t>BRÄCKE</t>
        </is>
      </c>
      <c r="F239" t="inlineStr">
        <is>
          <t>SCA</t>
        </is>
      </c>
      <c r="G239" t="n">
        <v>2.1</v>
      </c>
      <c r="H239" t="n">
        <v>0</v>
      </c>
      <c r="I239" t="n">
        <v>0</v>
      </c>
      <c r="J239" t="n">
        <v>1</v>
      </c>
      <c r="K239" t="n">
        <v>1</v>
      </c>
      <c r="L239" t="n">
        <v>0</v>
      </c>
      <c r="M239" t="n">
        <v>0</v>
      </c>
      <c r="N239" t="n">
        <v>0</v>
      </c>
      <c r="O239" t="n">
        <v>2</v>
      </c>
      <c r="P239" t="n">
        <v>1</v>
      </c>
      <c r="Q239" t="n">
        <v>2</v>
      </c>
      <c r="R239" s="2" t="inlineStr">
        <is>
          <t>Gränsticka
Ullticka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17992-2025</t>
        </is>
      </c>
      <c r="B240" s="1" t="n">
        <v>45761</v>
      </c>
      <c r="C240" s="1" t="n">
        <v>46193</v>
      </c>
      <c r="D240" t="inlineStr">
        <is>
          <t>JÄMTLANDS LÄN</t>
        </is>
      </c>
      <c r="E240" t="inlineStr">
        <is>
          <t>BRÄCKE</t>
        </is>
      </c>
      <c r="F240" t="inlineStr">
        <is>
          <t>SCA</t>
        </is>
      </c>
      <c r="G240" t="n">
        <v>1.4</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17992-2025 artfynd.xlsx", "A 17992-2025")</f>
        <v/>
      </c>
      <c r="T240">
        <f>HYPERLINK("https://klasma.github.io/Logging_2305/kartor/A 17992-2025 karta.png", "A 17992-2025")</f>
        <v/>
      </c>
      <c r="V240">
        <f>HYPERLINK("https://klasma.github.io/Logging_2305/klagomål/A 17992-2025 FSC-klagomål.docx", "A 17992-2025")</f>
        <v/>
      </c>
      <c r="W240">
        <f>HYPERLINK("https://klasma.github.io/Logging_2305/klagomålsmail/A 17992-2025 FSC-klagomål mail.docx", "A 17992-2025")</f>
        <v/>
      </c>
      <c r="X240">
        <f>HYPERLINK("https://klasma.github.io/Logging_2305/tillsyn/A 17992-2025 tillsynsbegäran.docx", "A 17992-2025")</f>
        <v/>
      </c>
      <c r="Y240">
        <f>HYPERLINK("https://klasma.github.io/Logging_2305/tillsynsmail/A 17992-2025 tillsynsbegäran mail.docx", "A 17992-2025")</f>
        <v/>
      </c>
    </row>
    <row r="241" ht="15" customHeight="1">
      <c r="A241" t="inlineStr">
        <is>
          <t>A 59324-2021</t>
        </is>
      </c>
      <c r="B241" s="1" t="n">
        <v>44490</v>
      </c>
      <c r="C241" s="1" t="n">
        <v>46193</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24747-2025</t>
        </is>
      </c>
      <c r="B242" s="1" t="n">
        <v>45799</v>
      </c>
      <c r="C242" s="1" t="n">
        <v>46193</v>
      </c>
      <c r="D242" t="inlineStr">
        <is>
          <t>JÄMTLANDS LÄN</t>
        </is>
      </c>
      <c r="E242" t="inlineStr">
        <is>
          <t>BRÄCKE</t>
        </is>
      </c>
      <c r="F242" t="inlineStr">
        <is>
          <t>SCA</t>
        </is>
      </c>
      <c r="G242" t="n">
        <v>6.9</v>
      </c>
      <c r="H242" t="n">
        <v>0</v>
      </c>
      <c r="I242" t="n">
        <v>0</v>
      </c>
      <c r="J242" t="n">
        <v>1</v>
      </c>
      <c r="K242" t="n">
        <v>1</v>
      </c>
      <c r="L242" t="n">
        <v>0</v>
      </c>
      <c r="M242" t="n">
        <v>0</v>
      </c>
      <c r="N242" t="n">
        <v>0</v>
      </c>
      <c r="O242" t="n">
        <v>2</v>
      </c>
      <c r="P242" t="n">
        <v>1</v>
      </c>
      <c r="Q242" t="n">
        <v>2</v>
      </c>
      <c r="R242" s="2" t="inlineStr">
        <is>
          <t>Garnlav
Lunglav</t>
        </is>
      </c>
      <c r="S242">
        <f>HYPERLINK("https://klasma.github.io/Logging_2305/artfynd/A 24747-2025 artfynd.xlsx", "A 24747-2025")</f>
        <v/>
      </c>
      <c r="T242">
        <f>HYPERLINK("https://klasma.github.io/Logging_2305/kartor/A 24747-2025 karta.png", "A 24747-2025")</f>
        <v/>
      </c>
      <c r="V242">
        <f>HYPERLINK("https://klasma.github.io/Logging_2305/klagomål/A 24747-2025 FSC-klagomål.docx", "A 24747-2025")</f>
        <v/>
      </c>
      <c r="W242">
        <f>HYPERLINK("https://klasma.github.io/Logging_2305/klagomålsmail/A 24747-2025 FSC-klagomål mail.docx", "A 24747-2025")</f>
        <v/>
      </c>
      <c r="X242">
        <f>HYPERLINK("https://klasma.github.io/Logging_2305/tillsyn/A 24747-2025 tillsynsbegäran.docx", "A 24747-2025")</f>
        <v/>
      </c>
      <c r="Y242">
        <f>HYPERLINK("https://klasma.github.io/Logging_2305/tillsynsmail/A 24747-2025 tillsynsbegäran mail.docx", "A 24747-2025")</f>
        <v/>
      </c>
    </row>
    <row r="243" ht="15" customHeight="1">
      <c r="A243" t="inlineStr">
        <is>
          <t>A 52226-2025</t>
        </is>
      </c>
      <c r="B243" s="1" t="n">
        <v>45953</v>
      </c>
      <c r="C243" s="1" t="n">
        <v>46193</v>
      </c>
      <c r="D243" t="inlineStr">
        <is>
          <t>JÄMTLANDS LÄN</t>
        </is>
      </c>
      <c r="E243" t="inlineStr">
        <is>
          <t>BRÄCKE</t>
        </is>
      </c>
      <c r="F243" t="inlineStr">
        <is>
          <t>SCA</t>
        </is>
      </c>
      <c r="G243" t="n">
        <v>15.7</v>
      </c>
      <c r="H243" t="n">
        <v>0</v>
      </c>
      <c r="I243" t="n">
        <v>0</v>
      </c>
      <c r="J243" t="n">
        <v>2</v>
      </c>
      <c r="K243" t="n">
        <v>0</v>
      </c>
      <c r="L243" t="n">
        <v>0</v>
      </c>
      <c r="M243" t="n">
        <v>0</v>
      </c>
      <c r="N243" t="n">
        <v>0</v>
      </c>
      <c r="O243" t="n">
        <v>2</v>
      </c>
      <c r="P243" t="n">
        <v>0</v>
      </c>
      <c r="Q243" t="n">
        <v>2</v>
      </c>
      <c r="R243" s="2" t="inlineStr">
        <is>
          <t>Brunpudrad nållav
Violettgrå tagellav</t>
        </is>
      </c>
      <c r="S243">
        <f>HYPERLINK("https://klasma.github.io/Logging_2305/artfynd/A 52226-2025 artfynd.xlsx", "A 52226-2025")</f>
        <v/>
      </c>
      <c r="T243">
        <f>HYPERLINK("https://klasma.github.io/Logging_2305/kartor/A 52226-2025 karta.png", "A 52226-2025")</f>
        <v/>
      </c>
      <c r="V243">
        <f>HYPERLINK("https://klasma.github.io/Logging_2305/klagomål/A 52226-2025 FSC-klagomål.docx", "A 52226-2025")</f>
        <v/>
      </c>
      <c r="W243">
        <f>HYPERLINK("https://klasma.github.io/Logging_2305/klagomålsmail/A 52226-2025 FSC-klagomål mail.docx", "A 52226-2025")</f>
        <v/>
      </c>
      <c r="X243">
        <f>HYPERLINK("https://klasma.github.io/Logging_2305/tillsyn/A 52226-2025 tillsynsbegäran.docx", "A 52226-2025")</f>
        <v/>
      </c>
      <c r="Y243">
        <f>HYPERLINK("https://klasma.github.io/Logging_2305/tillsynsmail/A 52226-2025 tillsynsbegäran mail.docx", "A 52226-2025")</f>
        <v/>
      </c>
    </row>
    <row r="244" ht="15" customHeight="1">
      <c r="A244" t="inlineStr">
        <is>
          <t>A 27279-2025</t>
        </is>
      </c>
      <c r="B244" s="1" t="n">
        <v>45812</v>
      </c>
      <c r="C244" s="1" t="n">
        <v>46193</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27279-2025 artfynd.xlsx", "A 27279-2025")</f>
        <v/>
      </c>
      <c r="T244">
        <f>HYPERLINK("https://klasma.github.io/Logging_2305/kartor/A 27279-2025 karta.png", "A 27279-2025")</f>
        <v/>
      </c>
      <c r="V244">
        <f>HYPERLINK("https://klasma.github.io/Logging_2305/klagomål/A 27279-2025 FSC-klagomål.docx", "A 27279-2025")</f>
        <v/>
      </c>
      <c r="W244">
        <f>HYPERLINK("https://klasma.github.io/Logging_2305/klagomålsmail/A 27279-2025 FSC-klagomål mail.docx", "A 27279-2025")</f>
        <v/>
      </c>
      <c r="X244">
        <f>HYPERLINK("https://klasma.github.io/Logging_2305/tillsyn/A 27279-2025 tillsynsbegäran.docx", "A 27279-2025")</f>
        <v/>
      </c>
      <c r="Y244">
        <f>HYPERLINK("https://klasma.github.io/Logging_2305/tillsynsmail/A 27279-2025 tillsynsbegäran mail.docx", "A 27279-2025")</f>
        <v/>
      </c>
    </row>
    <row r="245" ht="15" customHeight="1">
      <c r="A245" t="inlineStr">
        <is>
          <t>A 44841-2024</t>
        </is>
      </c>
      <c r="B245" s="1" t="n">
        <v>45574</v>
      </c>
      <c r="C245" s="1" t="n">
        <v>46193</v>
      </c>
      <c r="D245" t="inlineStr">
        <is>
          <t>JÄMTLANDS LÄN</t>
        </is>
      </c>
      <c r="E245" t="inlineStr">
        <is>
          <t>BRÄCKE</t>
        </is>
      </c>
      <c r="F245" t="inlineStr">
        <is>
          <t>SCA</t>
        </is>
      </c>
      <c r="G245" t="n">
        <v>4.6</v>
      </c>
      <c r="H245" t="n">
        <v>1</v>
      </c>
      <c r="I245" t="n">
        <v>2</v>
      </c>
      <c r="J245" t="n">
        <v>0</v>
      </c>
      <c r="K245" t="n">
        <v>0</v>
      </c>
      <c r="L245" t="n">
        <v>0</v>
      </c>
      <c r="M245" t="n">
        <v>0</v>
      </c>
      <c r="N245" t="n">
        <v>0</v>
      </c>
      <c r="O245" t="n">
        <v>0</v>
      </c>
      <c r="P245" t="n">
        <v>0</v>
      </c>
      <c r="Q245" t="n">
        <v>2</v>
      </c>
      <c r="R245" s="2" t="inlineStr">
        <is>
          <t>Finbräken
Guckusko</t>
        </is>
      </c>
      <c r="S245">
        <f>HYPERLINK("https://klasma.github.io/Logging_2305/artfynd/A 44841-2024 artfynd.xlsx", "A 44841-2024")</f>
        <v/>
      </c>
      <c r="T245">
        <f>HYPERLINK("https://klasma.github.io/Logging_2305/kartor/A 44841-2024 karta.png", "A 44841-2024")</f>
        <v/>
      </c>
      <c r="V245">
        <f>HYPERLINK("https://klasma.github.io/Logging_2305/klagomål/A 44841-2024 FSC-klagomål.docx", "A 44841-2024")</f>
        <v/>
      </c>
      <c r="W245">
        <f>HYPERLINK("https://klasma.github.io/Logging_2305/klagomålsmail/A 44841-2024 FSC-klagomål mail.docx", "A 44841-2024")</f>
        <v/>
      </c>
      <c r="X245">
        <f>HYPERLINK("https://klasma.github.io/Logging_2305/tillsyn/A 44841-2024 tillsynsbegäran.docx", "A 44841-2024")</f>
        <v/>
      </c>
      <c r="Y245">
        <f>HYPERLINK("https://klasma.github.io/Logging_2305/tillsynsmail/A 44841-2024 tillsynsbegäran mail.docx", "A 44841-2024")</f>
        <v/>
      </c>
    </row>
    <row r="246" ht="15" customHeight="1">
      <c r="A246" t="inlineStr">
        <is>
          <t>A 32566-2025</t>
        </is>
      </c>
      <c r="B246" s="1" t="n">
        <v>45838</v>
      </c>
      <c r="C246" s="1" t="n">
        <v>46193</v>
      </c>
      <c r="D246" t="inlineStr">
        <is>
          <t>JÄMTLANDS LÄN</t>
        </is>
      </c>
      <c r="E246" t="inlineStr">
        <is>
          <t>BRÄCKE</t>
        </is>
      </c>
      <c r="F246" t="inlineStr">
        <is>
          <t>SCA</t>
        </is>
      </c>
      <c r="G246" t="n">
        <v>1.6</v>
      </c>
      <c r="H246" t="n">
        <v>0</v>
      </c>
      <c r="I246" t="n">
        <v>2</v>
      </c>
      <c r="J246" t="n">
        <v>0</v>
      </c>
      <c r="K246" t="n">
        <v>0</v>
      </c>
      <c r="L246" t="n">
        <v>0</v>
      </c>
      <c r="M246" t="n">
        <v>0</v>
      </c>
      <c r="N246" t="n">
        <v>0</v>
      </c>
      <c r="O246" t="n">
        <v>0</v>
      </c>
      <c r="P246" t="n">
        <v>0</v>
      </c>
      <c r="Q246" t="n">
        <v>2</v>
      </c>
      <c r="R246" s="2" t="inlineStr">
        <is>
          <t>Skinnlav
Vedticka</t>
        </is>
      </c>
      <c r="S246">
        <f>HYPERLINK("https://klasma.github.io/Logging_2305/artfynd/A 32566-2025 artfynd.xlsx", "A 32566-2025")</f>
        <v/>
      </c>
      <c r="T246">
        <f>HYPERLINK("https://klasma.github.io/Logging_2305/kartor/A 32566-2025 karta.png", "A 32566-2025")</f>
        <v/>
      </c>
      <c r="V246">
        <f>HYPERLINK("https://klasma.github.io/Logging_2305/klagomål/A 32566-2025 FSC-klagomål.docx", "A 32566-2025")</f>
        <v/>
      </c>
      <c r="W246">
        <f>HYPERLINK("https://klasma.github.io/Logging_2305/klagomålsmail/A 32566-2025 FSC-klagomål mail.docx", "A 32566-2025")</f>
        <v/>
      </c>
      <c r="X246">
        <f>HYPERLINK("https://klasma.github.io/Logging_2305/tillsyn/A 32566-2025 tillsynsbegäran.docx", "A 32566-2025")</f>
        <v/>
      </c>
      <c r="Y246">
        <f>HYPERLINK("https://klasma.github.io/Logging_2305/tillsynsmail/A 32566-2025 tillsynsbegäran mail.docx", "A 32566-2025")</f>
        <v/>
      </c>
    </row>
    <row r="247" ht="15" customHeight="1">
      <c r="A247" t="inlineStr">
        <is>
          <t>A 33854-2025</t>
        </is>
      </c>
      <c r="B247" s="1" t="n">
        <v>45842</v>
      </c>
      <c r="C247" s="1" t="n">
        <v>46193</v>
      </c>
      <c r="D247" t="inlineStr">
        <is>
          <t>JÄMTLANDS LÄN</t>
        </is>
      </c>
      <c r="E247" t="inlineStr">
        <is>
          <t>BRÄCKE</t>
        </is>
      </c>
      <c r="F247" t="inlineStr">
        <is>
          <t>SCA</t>
        </is>
      </c>
      <c r="G247" t="n">
        <v>1.7</v>
      </c>
      <c r="H247" t="n">
        <v>0</v>
      </c>
      <c r="I247" t="n">
        <v>0</v>
      </c>
      <c r="J247" t="n">
        <v>1</v>
      </c>
      <c r="K247" t="n">
        <v>1</v>
      </c>
      <c r="L247" t="n">
        <v>0</v>
      </c>
      <c r="M247" t="n">
        <v>0</v>
      </c>
      <c r="N247" t="n">
        <v>0</v>
      </c>
      <c r="O247" t="n">
        <v>2</v>
      </c>
      <c r="P247" t="n">
        <v>1</v>
      </c>
      <c r="Q247" t="n">
        <v>2</v>
      </c>
      <c r="R247" s="2" t="inlineStr">
        <is>
          <t>Kopparspindling
Blekspindling agg.</t>
        </is>
      </c>
      <c r="S247">
        <f>HYPERLINK("https://klasma.github.io/Logging_2305/artfynd/A 33854-2025 artfynd.xlsx", "A 33854-2025")</f>
        <v/>
      </c>
      <c r="T247">
        <f>HYPERLINK("https://klasma.github.io/Logging_2305/kartor/A 33854-2025 karta.png", "A 33854-2025")</f>
        <v/>
      </c>
      <c r="V247">
        <f>HYPERLINK("https://klasma.github.io/Logging_2305/klagomål/A 33854-2025 FSC-klagomål.docx", "A 33854-2025")</f>
        <v/>
      </c>
      <c r="W247">
        <f>HYPERLINK("https://klasma.github.io/Logging_2305/klagomålsmail/A 33854-2025 FSC-klagomål mail.docx", "A 33854-2025")</f>
        <v/>
      </c>
      <c r="X247">
        <f>HYPERLINK("https://klasma.github.io/Logging_2305/tillsyn/A 33854-2025 tillsynsbegäran.docx", "A 33854-2025")</f>
        <v/>
      </c>
      <c r="Y247">
        <f>HYPERLINK("https://klasma.github.io/Logging_2305/tillsynsmail/A 33854-2025 tillsynsbegäran mail.docx", "A 33854-2025")</f>
        <v/>
      </c>
    </row>
    <row r="248" ht="15" customHeight="1">
      <c r="A248" t="inlineStr">
        <is>
          <t>A 34460-2025</t>
        </is>
      </c>
      <c r="B248" s="1" t="n">
        <v>45847</v>
      </c>
      <c r="C248" s="1" t="n">
        <v>46193</v>
      </c>
      <c r="D248" t="inlineStr">
        <is>
          <t>JÄMTLANDS LÄN</t>
        </is>
      </c>
      <c r="E248" t="inlineStr">
        <is>
          <t>BRÄCKE</t>
        </is>
      </c>
      <c r="F248" t="inlineStr">
        <is>
          <t>SCA</t>
        </is>
      </c>
      <c r="G248" t="n">
        <v>0.8</v>
      </c>
      <c r="H248" t="n">
        <v>0</v>
      </c>
      <c r="I248" t="n">
        <v>1</v>
      </c>
      <c r="J248" t="n">
        <v>1</v>
      </c>
      <c r="K248" t="n">
        <v>0</v>
      </c>
      <c r="L248" t="n">
        <v>0</v>
      </c>
      <c r="M248" t="n">
        <v>0</v>
      </c>
      <c r="N248" t="n">
        <v>0</v>
      </c>
      <c r="O248" t="n">
        <v>1</v>
      </c>
      <c r="P248" t="n">
        <v>0</v>
      </c>
      <c r="Q248" t="n">
        <v>2</v>
      </c>
      <c r="R248" s="2" t="inlineStr">
        <is>
          <t>Reliktbock
Norrlandslav</t>
        </is>
      </c>
      <c r="S248">
        <f>HYPERLINK("https://klasma.github.io/Logging_2305/artfynd/A 34460-2025 artfynd.xlsx", "A 34460-2025")</f>
        <v/>
      </c>
      <c r="T248">
        <f>HYPERLINK("https://klasma.github.io/Logging_2305/kartor/A 34460-2025 karta.png", "A 34460-2025")</f>
        <v/>
      </c>
      <c r="V248">
        <f>HYPERLINK("https://klasma.github.io/Logging_2305/klagomål/A 34460-2025 FSC-klagomål.docx", "A 34460-2025")</f>
        <v/>
      </c>
      <c r="W248">
        <f>HYPERLINK("https://klasma.github.io/Logging_2305/klagomålsmail/A 34460-2025 FSC-klagomål mail.docx", "A 34460-2025")</f>
        <v/>
      </c>
      <c r="X248">
        <f>HYPERLINK("https://klasma.github.io/Logging_2305/tillsyn/A 34460-2025 tillsynsbegäran.docx", "A 34460-2025")</f>
        <v/>
      </c>
      <c r="Y248">
        <f>HYPERLINK("https://klasma.github.io/Logging_2305/tillsynsmail/A 34460-2025 tillsynsbegäran mail.docx", "A 34460-2025")</f>
        <v/>
      </c>
    </row>
    <row r="249" ht="15" customHeight="1">
      <c r="A249" t="inlineStr">
        <is>
          <t>A 35209-2025</t>
        </is>
      </c>
      <c r="B249" s="1" t="n">
        <v>45853</v>
      </c>
      <c r="C249" s="1" t="n">
        <v>46193</v>
      </c>
      <c r="D249" t="inlineStr">
        <is>
          <t>JÄMTLANDS LÄN</t>
        </is>
      </c>
      <c r="E249" t="inlineStr">
        <is>
          <t>BRÄCKE</t>
        </is>
      </c>
      <c r="F249" t="inlineStr">
        <is>
          <t>SCA</t>
        </is>
      </c>
      <c r="G249" t="n">
        <v>4</v>
      </c>
      <c r="H249" t="n">
        <v>0</v>
      </c>
      <c r="I249" t="n">
        <v>0</v>
      </c>
      <c r="J249" t="n">
        <v>1</v>
      </c>
      <c r="K249" t="n">
        <v>1</v>
      </c>
      <c r="L249" t="n">
        <v>0</v>
      </c>
      <c r="M249" t="n">
        <v>0</v>
      </c>
      <c r="N249" t="n">
        <v>0</v>
      </c>
      <c r="O249" t="n">
        <v>2</v>
      </c>
      <c r="P249" t="n">
        <v>1</v>
      </c>
      <c r="Q249" t="n">
        <v>2</v>
      </c>
      <c r="R249" s="2" t="inlineStr">
        <is>
          <t>Garnlav
Lunglav</t>
        </is>
      </c>
      <c r="S249">
        <f>HYPERLINK("https://klasma.github.io/Logging_2305/artfynd/A 35209-2025 artfynd.xlsx", "A 35209-2025")</f>
        <v/>
      </c>
      <c r="T249">
        <f>HYPERLINK("https://klasma.github.io/Logging_2305/kartor/A 35209-2025 karta.png", "A 35209-2025")</f>
        <v/>
      </c>
      <c r="V249">
        <f>HYPERLINK("https://klasma.github.io/Logging_2305/klagomål/A 35209-2025 FSC-klagomål.docx", "A 35209-2025")</f>
        <v/>
      </c>
      <c r="W249">
        <f>HYPERLINK("https://klasma.github.io/Logging_2305/klagomålsmail/A 35209-2025 FSC-klagomål mail.docx", "A 35209-2025")</f>
        <v/>
      </c>
      <c r="X249">
        <f>HYPERLINK("https://klasma.github.io/Logging_2305/tillsyn/A 35209-2025 tillsynsbegäran.docx", "A 35209-2025")</f>
        <v/>
      </c>
      <c r="Y249">
        <f>HYPERLINK("https://klasma.github.io/Logging_2305/tillsynsmail/A 35209-2025 tillsynsbegäran mail.docx", "A 35209-2025")</f>
        <v/>
      </c>
    </row>
    <row r="250" ht="15" customHeight="1">
      <c r="A250" t="inlineStr">
        <is>
          <t>A 35579-2025</t>
        </is>
      </c>
      <c r="B250" s="1" t="n">
        <v>45856</v>
      </c>
      <c r="C250" s="1" t="n">
        <v>46193</v>
      </c>
      <c r="D250" t="inlineStr">
        <is>
          <t>JÄMTLANDS LÄN</t>
        </is>
      </c>
      <c r="E250" t="inlineStr">
        <is>
          <t>BRÄCKE</t>
        </is>
      </c>
      <c r="F250" t="inlineStr">
        <is>
          <t>SCA</t>
        </is>
      </c>
      <c r="G250" t="n">
        <v>5.2</v>
      </c>
      <c r="H250" t="n">
        <v>0</v>
      </c>
      <c r="I250" t="n">
        <v>0</v>
      </c>
      <c r="J250" t="n">
        <v>2</v>
      </c>
      <c r="K250" t="n">
        <v>0</v>
      </c>
      <c r="L250" t="n">
        <v>0</v>
      </c>
      <c r="M250" t="n">
        <v>0</v>
      </c>
      <c r="N250" t="n">
        <v>0</v>
      </c>
      <c r="O250" t="n">
        <v>2</v>
      </c>
      <c r="P250" t="n">
        <v>0</v>
      </c>
      <c r="Q250" t="n">
        <v>2</v>
      </c>
      <c r="R250" s="2" t="inlineStr">
        <is>
          <t>Lunglav
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21371-2026</t>
        </is>
      </c>
      <c r="B251" s="1" t="n">
        <v>46147</v>
      </c>
      <c r="C251" s="1" t="n">
        <v>46193</v>
      </c>
      <c r="D251" t="inlineStr">
        <is>
          <t>JÄMTLANDS LÄN</t>
        </is>
      </c>
      <c r="E251" t="inlineStr">
        <is>
          <t>BRÄCKE</t>
        </is>
      </c>
      <c r="F251" t="inlineStr">
        <is>
          <t>SCA</t>
        </is>
      </c>
      <c r="G251" t="n">
        <v>1</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21371-2026 artfynd.xlsx", "A 21371-2026")</f>
        <v/>
      </c>
      <c r="T251">
        <f>HYPERLINK("https://klasma.github.io/Logging_2305/kartor/A 21371-2026 karta.png", "A 21371-2026")</f>
        <v/>
      </c>
      <c r="U251">
        <f>HYPERLINK("https://klasma.github.io/Logging_2305/knärot/A 21371-2026 karta knärot.png", "A 21371-2026")</f>
        <v/>
      </c>
      <c r="V251">
        <f>HYPERLINK("https://klasma.github.io/Logging_2305/klagomål/A 21371-2026 FSC-klagomål.docx", "A 21371-2026")</f>
        <v/>
      </c>
      <c r="W251">
        <f>HYPERLINK("https://klasma.github.io/Logging_2305/klagomålsmail/A 21371-2026 FSC-klagomål mail.docx", "A 21371-2026")</f>
        <v/>
      </c>
      <c r="X251">
        <f>HYPERLINK("https://klasma.github.io/Logging_2305/tillsyn/A 21371-2026 tillsynsbegäran.docx", "A 21371-2026")</f>
        <v/>
      </c>
      <c r="Y251">
        <f>HYPERLINK("https://klasma.github.io/Logging_2305/tillsynsmail/A 21371-2026 tillsynsbegäran mail.docx", "A 21371-2026")</f>
        <v/>
      </c>
    </row>
    <row r="252" ht="15" customHeight="1">
      <c r="A252" t="inlineStr">
        <is>
          <t>A 60320-2025</t>
        </is>
      </c>
      <c r="B252" s="1" t="n">
        <v>45994</v>
      </c>
      <c r="C252" s="1" t="n">
        <v>46193</v>
      </c>
      <c r="D252" t="inlineStr">
        <is>
          <t>JÄMTLANDS LÄN</t>
        </is>
      </c>
      <c r="E252" t="inlineStr">
        <is>
          <t>BRÄCKE</t>
        </is>
      </c>
      <c r="F252" t="inlineStr">
        <is>
          <t>SCA</t>
        </is>
      </c>
      <c r="G252" t="n">
        <v>3.2</v>
      </c>
      <c r="H252" t="n">
        <v>1</v>
      </c>
      <c r="I252" t="n">
        <v>0</v>
      </c>
      <c r="J252" t="n">
        <v>1</v>
      </c>
      <c r="K252" t="n">
        <v>1</v>
      </c>
      <c r="L252" t="n">
        <v>0</v>
      </c>
      <c r="M252" t="n">
        <v>0</v>
      </c>
      <c r="N252" t="n">
        <v>0</v>
      </c>
      <c r="O252" t="n">
        <v>2</v>
      </c>
      <c r="P252" t="n">
        <v>1</v>
      </c>
      <c r="Q252" t="n">
        <v>2</v>
      </c>
      <c r="R252" s="2" t="inlineStr">
        <is>
          <t>Doftticka
Lunglav</t>
        </is>
      </c>
      <c r="S252">
        <f>HYPERLINK("https://klasma.github.io/Logging_2305/artfynd/A 60320-2025 artfynd.xlsx", "A 60320-2025")</f>
        <v/>
      </c>
      <c r="T252">
        <f>HYPERLINK("https://klasma.github.io/Logging_2305/kartor/A 60320-2025 karta.png", "A 60320-2025")</f>
        <v/>
      </c>
      <c r="V252">
        <f>HYPERLINK("https://klasma.github.io/Logging_2305/klagomål/A 60320-2025 FSC-klagomål.docx", "A 60320-2025")</f>
        <v/>
      </c>
      <c r="W252">
        <f>HYPERLINK("https://klasma.github.io/Logging_2305/klagomålsmail/A 60320-2025 FSC-klagomål mail.docx", "A 60320-2025")</f>
        <v/>
      </c>
      <c r="X252">
        <f>HYPERLINK("https://klasma.github.io/Logging_2305/tillsyn/A 60320-2025 tillsynsbegäran.docx", "A 60320-2025")</f>
        <v/>
      </c>
      <c r="Y252">
        <f>HYPERLINK("https://klasma.github.io/Logging_2305/tillsynsmail/A 60320-2025 tillsynsbegäran mail.docx", "A 60320-2025")</f>
        <v/>
      </c>
    </row>
    <row r="253" ht="15" customHeight="1">
      <c r="A253" t="inlineStr">
        <is>
          <t>A 41647-2023</t>
        </is>
      </c>
      <c r="B253" s="1" t="n">
        <v>45175</v>
      </c>
      <c r="C253" s="1" t="n">
        <v>46193</v>
      </c>
      <c r="D253" t="inlineStr">
        <is>
          <t>JÄMTLANDS LÄN</t>
        </is>
      </c>
      <c r="E253" t="inlineStr">
        <is>
          <t>BRÄCKE</t>
        </is>
      </c>
      <c r="F253" t="inlineStr">
        <is>
          <t>SCA</t>
        </is>
      </c>
      <c r="G253" t="n">
        <v>0.7</v>
      </c>
      <c r="H253" t="n">
        <v>2</v>
      </c>
      <c r="I253" t="n">
        <v>1</v>
      </c>
      <c r="J253" t="n">
        <v>0</v>
      </c>
      <c r="K253" t="n">
        <v>1</v>
      </c>
      <c r="L253" t="n">
        <v>0</v>
      </c>
      <c r="M253" t="n">
        <v>0</v>
      </c>
      <c r="N253" t="n">
        <v>0</v>
      </c>
      <c r="O253" t="n">
        <v>1</v>
      </c>
      <c r="P253" t="n">
        <v>1</v>
      </c>
      <c r="Q253" t="n">
        <v>2</v>
      </c>
      <c r="R253" s="2" t="inlineStr">
        <is>
          <t>Knärot
Spindelblomster</t>
        </is>
      </c>
      <c r="S253">
        <f>HYPERLINK("https://klasma.github.io/Logging_2305/artfynd/A 41647-2023 artfynd.xlsx", "A 41647-2023")</f>
        <v/>
      </c>
      <c r="T253">
        <f>HYPERLINK("https://klasma.github.io/Logging_2305/kartor/A 41647-2023 karta.png", "A 41647-2023")</f>
        <v/>
      </c>
      <c r="U253">
        <f>HYPERLINK("https://klasma.github.io/Logging_2305/knärot/A 41647-2023 karta knärot.png", "A 41647-2023")</f>
        <v/>
      </c>
      <c r="V253">
        <f>HYPERLINK("https://klasma.github.io/Logging_2305/klagomål/A 41647-2023 FSC-klagomål.docx", "A 41647-2023")</f>
        <v/>
      </c>
      <c r="W253">
        <f>HYPERLINK("https://klasma.github.io/Logging_2305/klagomålsmail/A 41647-2023 FSC-klagomål mail.docx", "A 41647-2023")</f>
        <v/>
      </c>
      <c r="X253">
        <f>HYPERLINK("https://klasma.github.io/Logging_2305/tillsyn/A 41647-2023 tillsynsbegäran.docx", "A 41647-2023")</f>
        <v/>
      </c>
      <c r="Y253">
        <f>HYPERLINK("https://klasma.github.io/Logging_2305/tillsynsmail/A 41647-2023 tillsynsbegäran mail.docx", "A 41647-2023")</f>
        <v/>
      </c>
    </row>
    <row r="254" ht="15" customHeight="1">
      <c r="A254" t="inlineStr">
        <is>
          <t>A 30336-2024</t>
        </is>
      </c>
      <c r="B254" s="1" t="n">
        <v>45490</v>
      </c>
      <c r="C254" s="1" t="n">
        <v>46193</v>
      </c>
      <c r="D254" t="inlineStr">
        <is>
          <t>JÄMTLANDS LÄN</t>
        </is>
      </c>
      <c r="E254" t="inlineStr">
        <is>
          <t>BRÄCKE</t>
        </is>
      </c>
      <c r="F254" t="inlineStr">
        <is>
          <t>SCA</t>
        </is>
      </c>
      <c r="G254" t="n">
        <v>2.8</v>
      </c>
      <c r="H254" t="n">
        <v>0</v>
      </c>
      <c r="I254" t="n">
        <v>1</v>
      </c>
      <c r="J254" t="n">
        <v>1</v>
      </c>
      <c r="K254" t="n">
        <v>0</v>
      </c>
      <c r="L254" t="n">
        <v>0</v>
      </c>
      <c r="M254" t="n">
        <v>0</v>
      </c>
      <c r="N254" t="n">
        <v>0</v>
      </c>
      <c r="O254" t="n">
        <v>1</v>
      </c>
      <c r="P254" t="n">
        <v>0</v>
      </c>
      <c r="Q254" t="n">
        <v>2</v>
      </c>
      <c r="R254" s="2" t="inlineStr">
        <is>
          <t>Dropptaggsvamp
Skinnlav</t>
        </is>
      </c>
      <c r="S254">
        <f>HYPERLINK("https://klasma.github.io/Logging_2305/artfynd/A 30336-2024 artfynd.xlsx", "A 30336-2024")</f>
        <v/>
      </c>
      <c r="T254">
        <f>HYPERLINK("https://klasma.github.io/Logging_2305/kartor/A 30336-2024 karta.png", "A 30336-2024")</f>
        <v/>
      </c>
      <c r="V254">
        <f>HYPERLINK("https://klasma.github.io/Logging_2305/klagomål/A 30336-2024 FSC-klagomål.docx", "A 30336-2024")</f>
        <v/>
      </c>
      <c r="W254">
        <f>HYPERLINK("https://klasma.github.io/Logging_2305/klagomålsmail/A 30336-2024 FSC-klagomål mail.docx", "A 30336-2024")</f>
        <v/>
      </c>
      <c r="X254">
        <f>HYPERLINK("https://klasma.github.io/Logging_2305/tillsyn/A 30336-2024 tillsynsbegäran.docx", "A 30336-2024")</f>
        <v/>
      </c>
      <c r="Y254">
        <f>HYPERLINK("https://klasma.github.io/Logging_2305/tillsynsmail/A 30336-2024 tillsynsbegäran mail.docx", "A 30336-2024")</f>
        <v/>
      </c>
    </row>
    <row r="255" ht="15" customHeight="1">
      <c r="A255" t="inlineStr">
        <is>
          <t>A 29690-2024</t>
        </is>
      </c>
      <c r="B255" s="1" t="n">
        <v>45484</v>
      </c>
      <c r="C255" s="1" t="n">
        <v>46193</v>
      </c>
      <c r="D255" t="inlineStr">
        <is>
          <t>JÄMTLANDS LÄN</t>
        </is>
      </c>
      <c r="E255" t="inlineStr">
        <is>
          <t>BRÄCKE</t>
        </is>
      </c>
      <c r="F255" t="inlineStr">
        <is>
          <t>SCA</t>
        </is>
      </c>
      <c r="G255" t="n">
        <v>12.7</v>
      </c>
      <c r="H255" t="n">
        <v>0</v>
      </c>
      <c r="I255" t="n">
        <v>1</v>
      </c>
      <c r="J255" t="n">
        <v>0</v>
      </c>
      <c r="K255" t="n">
        <v>1</v>
      </c>
      <c r="L255" t="n">
        <v>0</v>
      </c>
      <c r="M255" t="n">
        <v>0</v>
      </c>
      <c r="N255" t="n">
        <v>0</v>
      </c>
      <c r="O255" t="n">
        <v>1</v>
      </c>
      <c r="P255" t="n">
        <v>1</v>
      </c>
      <c r="Q255" t="n">
        <v>2</v>
      </c>
      <c r="R255" s="2" t="inlineStr">
        <is>
          <t>Garnlav
Vedticka</t>
        </is>
      </c>
      <c r="S255">
        <f>HYPERLINK("https://klasma.github.io/Logging_2305/artfynd/A 29690-2024 artfynd.xlsx", "A 29690-2024")</f>
        <v/>
      </c>
      <c r="T255">
        <f>HYPERLINK("https://klasma.github.io/Logging_2305/kartor/A 29690-2024 karta.png", "A 29690-2024")</f>
        <v/>
      </c>
      <c r="V255">
        <f>HYPERLINK("https://klasma.github.io/Logging_2305/klagomål/A 29690-2024 FSC-klagomål.docx", "A 29690-2024")</f>
        <v/>
      </c>
      <c r="W255">
        <f>HYPERLINK("https://klasma.github.io/Logging_2305/klagomålsmail/A 29690-2024 FSC-klagomål mail.docx", "A 29690-2024")</f>
        <v/>
      </c>
      <c r="X255">
        <f>HYPERLINK("https://klasma.github.io/Logging_2305/tillsyn/A 29690-2024 tillsynsbegäran.docx", "A 29690-2024")</f>
        <v/>
      </c>
      <c r="Y255">
        <f>HYPERLINK("https://klasma.github.io/Logging_2305/tillsynsmail/A 29690-2024 tillsynsbegäran mail.docx", "A 29690-2024")</f>
        <v/>
      </c>
    </row>
    <row r="256" ht="15" customHeight="1">
      <c r="A256" t="inlineStr">
        <is>
          <t>A 40401-2023</t>
        </is>
      </c>
      <c r="B256" s="1" t="n">
        <v>45169</v>
      </c>
      <c r="C256" s="1" t="n">
        <v>46193</v>
      </c>
      <c r="D256" t="inlineStr">
        <is>
          <t>JÄMTLANDS LÄN</t>
        </is>
      </c>
      <c r="E256" t="inlineStr">
        <is>
          <t>BRÄCKE</t>
        </is>
      </c>
      <c r="F256" t="inlineStr">
        <is>
          <t>SCA</t>
        </is>
      </c>
      <c r="G256" t="n">
        <v>2</v>
      </c>
      <c r="H256" t="n">
        <v>0</v>
      </c>
      <c r="I256" t="n">
        <v>0</v>
      </c>
      <c r="J256" t="n">
        <v>2</v>
      </c>
      <c r="K256" t="n">
        <v>0</v>
      </c>
      <c r="L256" t="n">
        <v>0</v>
      </c>
      <c r="M256" t="n">
        <v>0</v>
      </c>
      <c r="N256" t="n">
        <v>0</v>
      </c>
      <c r="O256" t="n">
        <v>2</v>
      </c>
      <c r="P256" t="n">
        <v>0</v>
      </c>
      <c r="Q256" t="n">
        <v>2</v>
      </c>
      <c r="R256" s="2" t="inlineStr">
        <is>
          <t>Dropptaggsvamp
Ullticka</t>
        </is>
      </c>
      <c r="S256">
        <f>HYPERLINK("https://klasma.github.io/Logging_2305/artfynd/A 40401-2023 artfynd.xlsx", "A 40401-2023")</f>
        <v/>
      </c>
      <c r="T256">
        <f>HYPERLINK("https://klasma.github.io/Logging_2305/kartor/A 40401-2023 karta.png", "A 40401-2023")</f>
        <v/>
      </c>
      <c r="V256">
        <f>HYPERLINK("https://klasma.github.io/Logging_2305/klagomål/A 40401-2023 FSC-klagomål.docx", "A 40401-2023")</f>
        <v/>
      </c>
      <c r="W256">
        <f>HYPERLINK("https://klasma.github.io/Logging_2305/klagomålsmail/A 40401-2023 FSC-klagomål mail.docx", "A 40401-2023")</f>
        <v/>
      </c>
      <c r="X256">
        <f>HYPERLINK("https://klasma.github.io/Logging_2305/tillsyn/A 40401-2023 tillsynsbegäran.docx", "A 40401-2023")</f>
        <v/>
      </c>
      <c r="Y256">
        <f>HYPERLINK("https://klasma.github.io/Logging_2305/tillsynsmail/A 40401-2023 tillsynsbegäran mail.docx", "A 40401-2023")</f>
        <v/>
      </c>
    </row>
    <row r="257" ht="15" customHeight="1">
      <c r="A257" t="inlineStr">
        <is>
          <t>A 37248-2025</t>
        </is>
      </c>
      <c r="B257" s="1" t="n">
        <v>45876</v>
      </c>
      <c r="C257" s="1" t="n">
        <v>46193</v>
      </c>
      <c r="D257" t="inlineStr">
        <is>
          <t>JÄMTLANDS LÄN</t>
        </is>
      </c>
      <c r="E257" t="inlineStr">
        <is>
          <t>BRÄCKE</t>
        </is>
      </c>
      <c r="F257" t="inlineStr">
        <is>
          <t>SCA</t>
        </is>
      </c>
      <c r="G257" t="n">
        <v>5</v>
      </c>
      <c r="H257" t="n">
        <v>0</v>
      </c>
      <c r="I257" t="n">
        <v>1</v>
      </c>
      <c r="J257" t="n">
        <v>1</v>
      </c>
      <c r="K257" t="n">
        <v>0</v>
      </c>
      <c r="L257" t="n">
        <v>0</v>
      </c>
      <c r="M257" t="n">
        <v>0</v>
      </c>
      <c r="N257" t="n">
        <v>0</v>
      </c>
      <c r="O257" t="n">
        <v>1</v>
      </c>
      <c r="P257" t="n">
        <v>0</v>
      </c>
      <c r="Q257" t="n">
        <v>2</v>
      </c>
      <c r="R257" s="2" t="inlineStr">
        <is>
          <t>Dropptaggsvamp
Vedticka</t>
        </is>
      </c>
      <c r="S257">
        <f>HYPERLINK("https://klasma.github.io/Logging_2305/artfynd/A 37248-2025 artfynd.xlsx", "A 37248-2025")</f>
        <v/>
      </c>
      <c r="T257">
        <f>HYPERLINK("https://klasma.github.io/Logging_2305/kartor/A 37248-2025 karta.png", "A 37248-2025")</f>
        <v/>
      </c>
      <c r="V257">
        <f>HYPERLINK("https://klasma.github.io/Logging_2305/klagomål/A 37248-2025 FSC-klagomål.docx", "A 37248-2025")</f>
        <v/>
      </c>
      <c r="W257">
        <f>HYPERLINK("https://klasma.github.io/Logging_2305/klagomålsmail/A 37248-2025 FSC-klagomål mail.docx", "A 37248-2025")</f>
        <v/>
      </c>
      <c r="X257">
        <f>HYPERLINK("https://klasma.github.io/Logging_2305/tillsyn/A 37248-2025 tillsynsbegäran.docx", "A 37248-2025")</f>
        <v/>
      </c>
      <c r="Y257">
        <f>HYPERLINK("https://klasma.github.io/Logging_2305/tillsynsmail/A 37248-2025 tillsynsbegäran mail.docx", "A 37248-2025")</f>
        <v/>
      </c>
    </row>
    <row r="258" ht="15" customHeight="1">
      <c r="A258" t="inlineStr">
        <is>
          <t>A 2463-2025</t>
        </is>
      </c>
      <c r="B258" s="1" t="n">
        <v>45674</v>
      </c>
      <c r="C258" s="1" t="n">
        <v>46193</v>
      </c>
      <c r="D258" t="inlineStr">
        <is>
          <t>JÄMTLANDS LÄN</t>
        </is>
      </c>
      <c r="E258" t="inlineStr">
        <is>
          <t>BRÄCKE</t>
        </is>
      </c>
      <c r="F258" t="inlineStr">
        <is>
          <t>SCA</t>
        </is>
      </c>
      <c r="G258" t="n">
        <v>3.9</v>
      </c>
      <c r="H258" t="n">
        <v>0</v>
      </c>
      <c r="I258" t="n">
        <v>1</v>
      </c>
      <c r="J258" t="n">
        <v>1</v>
      </c>
      <c r="K258" t="n">
        <v>0</v>
      </c>
      <c r="L258" t="n">
        <v>0</v>
      </c>
      <c r="M258" t="n">
        <v>0</v>
      </c>
      <c r="N258" t="n">
        <v>0</v>
      </c>
      <c r="O258" t="n">
        <v>1</v>
      </c>
      <c r="P258" t="n">
        <v>0</v>
      </c>
      <c r="Q258" t="n">
        <v>2</v>
      </c>
      <c r="R258" s="2" t="inlineStr">
        <is>
          <t>Lunglav
Vedticka</t>
        </is>
      </c>
      <c r="S258">
        <f>HYPERLINK("https://klasma.github.io/Logging_2305/artfynd/A 2463-2025 artfynd.xlsx", "A 2463-2025")</f>
        <v/>
      </c>
      <c r="T258">
        <f>HYPERLINK("https://klasma.github.io/Logging_2305/kartor/A 2463-2025 karta.png", "A 2463-2025")</f>
        <v/>
      </c>
      <c r="V258">
        <f>HYPERLINK("https://klasma.github.io/Logging_2305/klagomål/A 2463-2025 FSC-klagomål.docx", "A 2463-2025")</f>
        <v/>
      </c>
      <c r="W258">
        <f>HYPERLINK("https://klasma.github.io/Logging_2305/klagomålsmail/A 2463-2025 FSC-klagomål mail.docx", "A 2463-2025")</f>
        <v/>
      </c>
      <c r="X258">
        <f>HYPERLINK("https://klasma.github.io/Logging_2305/tillsyn/A 2463-2025 tillsynsbegäran.docx", "A 2463-2025")</f>
        <v/>
      </c>
      <c r="Y258">
        <f>HYPERLINK("https://klasma.github.io/Logging_2305/tillsynsmail/A 2463-2025 tillsynsbegäran mail.docx", "A 2463-2025")</f>
        <v/>
      </c>
    </row>
    <row r="259" ht="15" customHeight="1">
      <c r="A259" t="inlineStr">
        <is>
          <t>A 38158-2025</t>
        </is>
      </c>
      <c r="B259" s="1" t="n">
        <v>45882</v>
      </c>
      <c r="C259" s="1" t="n">
        <v>46193</v>
      </c>
      <c r="D259" t="inlineStr">
        <is>
          <t>JÄMTLANDS LÄN</t>
        </is>
      </c>
      <c r="E259" t="inlineStr">
        <is>
          <t>BRÄCKE</t>
        </is>
      </c>
      <c r="F259" t="inlineStr">
        <is>
          <t>SCA</t>
        </is>
      </c>
      <c r="G259" t="n">
        <v>19.9</v>
      </c>
      <c r="H259" t="n">
        <v>0</v>
      </c>
      <c r="I259" t="n">
        <v>0</v>
      </c>
      <c r="J259" t="n">
        <v>1</v>
      </c>
      <c r="K259" t="n">
        <v>1</v>
      </c>
      <c r="L259" t="n">
        <v>0</v>
      </c>
      <c r="M259" t="n">
        <v>0</v>
      </c>
      <c r="N259" t="n">
        <v>0</v>
      </c>
      <c r="O259" t="n">
        <v>2</v>
      </c>
      <c r="P259" t="n">
        <v>1</v>
      </c>
      <c r="Q259" t="n">
        <v>2</v>
      </c>
      <c r="R259" s="2" t="inlineStr">
        <is>
          <t>Timmerskapania
Rödbrun klubbdyna</t>
        </is>
      </c>
      <c r="S259">
        <f>HYPERLINK("https://klasma.github.io/Logging_2305/artfynd/A 38158-2025 artfynd.xlsx", "A 38158-2025")</f>
        <v/>
      </c>
      <c r="T259">
        <f>HYPERLINK("https://klasma.github.io/Logging_2305/kartor/A 38158-2025 karta.png", "A 38158-2025")</f>
        <v/>
      </c>
      <c r="V259">
        <f>HYPERLINK("https://klasma.github.io/Logging_2305/klagomål/A 38158-2025 FSC-klagomål.docx", "A 38158-2025")</f>
        <v/>
      </c>
      <c r="W259">
        <f>HYPERLINK("https://klasma.github.io/Logging_2305/klagomålsmail/A 38158-2025 FSC-klagomål mail.docx", "A 38158-2025")</f>
        <v/>
      </c>
      <c r="X259">
        <f>HYPERLINK("https://klasma.github.io/Logging_2305/tillsyn/A 38158-2025 tillsynsbegäran.docx", "A 38158-2025")</f>
        <v/>
      </c>
      <c r="Y259">
        <f>HYPERLINK("https://klasma.github.io/Logging_2305/tillsynsmail/A 38158-2025 tillsynsbegäran mail.docx", "A 38158-2025")</f>
        <v/>
      </c>
    </row>
    <row r="260" ht="15" customHeight="1">
      <c r="A260" t="inlineStr">
        <is>
          <t>A 38030-2025</t>
        </is>
      </c>
      <c r="B260" s="1" t="n">
        <v>45882</v>
      </c>
      <c r="C260" s="1" t="n">
        <v>46193</v>
      </c>
      <c r="D260" t="inlineStr">
        <is>
          <t>JÄMTLANDS LÄN</t>
        </is>
      </c>
      <c r="E260" t="inlineStr">
        <is>
          <t>BRÄCKE</t>
        </is>
      </c>
      <c r="F260" t="inlineStr">
        <is>
          <t>SCA</t>
        </is>
      </c>
      <c r="G260" t="n">
        <v>11.6</v>
      </c>
      <c r="H260" t="n">
        <v>0</v>
      </c>
      <c r="I260" t="n">
        <v>0</v>
      </c>
      <c r="J260" t="n">
        <v>2</v>
      </c>
      <c r="K260" t="n">
        <v>0</v>
      </c>
      <c r="L260" t="n">
        <v>0</v>
      </c>
      <c r="M260" t="n">
        <v>0</v>
      </c>
      <c r="N260" t="n">
        <v>0</v>
      </c>
      <c r="O260" t="n">
        <v>2</v>
      </c>
      <c r="P260" t="n">
        <v>0</v>
      </c>
      <c r="Q260" t="n">
        <v>2</v>
      </c>
      <c r="R260" s="2" t="inlineStr">
        <is>
          <t>Lunglav
Violettgrå tagellav</t>
        </is>
      </c>
      <c r="S260">
        <f>HYPERLINK("https://klasma.github.io/Logging_2305/artfynd/A 38030-2025 artfynd.xlsx", "A 38030-2025")</f>
        <v/>
      </c>
      <c r="T260">
        <f>HYPERLINK("https://klasma.github.io/Logging_2305/kartor/A 38030-2025 karta.png", "A 38030-2025")</f>
        <v/>
      </c>
      <c r="V260">
        <f>HYPERLINK("https://klasma.github.io/Logging_2305/klagomål/A 38030-2025 FSC-klagomål.docx", "A 38030-2025")</f>
        <v/>
      </c>
      <c r="W260">
        <f>HYPERLINK("https://klasma.github.io/Logging_2305/klagomålsmail/A 38030-2025 FSC-klagomål mail.docx", "A 38030-2025")</f>
        <v/>
      </c>
      <c r="X260">
        <f>HYPERLINK("https://klasma.github.io/Logging_2305/tillsyn/A 38030-2025 tillsynsbegäran.docx", "A 38030-2025")</f>
        <v/>
      </c>
      <c r="Y260">
        <f>HYPERLINK("https://klasma.github.io/Logging_2305/tillsynsmail/A 38030-2025 tillsynsbegäran mail.docx", "A 38030-2025")</f>
        <v/>
      </c>
    </row>
    <row r="261" ht="15" customHeight="1">
      <c r="A261" t="inlineStr">
        <is>
          <t>A 57329-2025</t>
        </is>
      </c>
      <c r="B261" s="1" t="n">
        <v>45980</v>
      </c>
      <c r="C261" s="1" t="n">
        <v>46193</v>
      </c>
      <c r="D261" t="inlineStr">
        <is>
          <t>JÄMTLANDS LÄN</t>
        </is>
      </c>
      <c r="E261" t="inlineStr">
        <is>
          <t>BRÄCKE</t>
        </is>
      </c>
      <c r="F261" t="inlineStr">
        <is>
          <t>SCA</t>
        </is>
      </c>
      <c r="G261" t="n">
        <v>1.2</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HYPERLINK("https://klasma.github.io/Logging_2305/artfynd/A 57329-2025 artfynd.xlsx", "A 57329-2025")</f>
        <v/>
      </c>
      <c r="T261">
        <f>HYPERLINK("https://klasma.github.io/Logging_2305/kartor/A 57329-2025 karta.png", "A 57329-2025")</f>
        <v/>
      </c>
      <c r="V261">
        <f>HYPERLINK("https://klasma.github.io/Logging_2305/klagomål/A 57329-2025 FSC-klagomål.docx", "A 57329-2025")</f>
        <v/>
      </c>
      <c r="W261">
        <f>HYPERLINK("https://klasma.github.io/Logging_2305/klagomålsmail/A 57329-2025 FSC-klagomål mail.docx", "A 57329-2025")</f>
        <v/>
      </c>
      <c r="X261">
        <f>HYPERLINK("https://klasma.github.io/Logging_2305/tillsyn/A 57329-2025 tillsynsbegäran.docx", "A 57329-2025")</f>
        <v/>
      </c>
      <c r="Y261">
        <f>HYPERLINK("https://klasma.github.io/Logging_2305/tillsynsmail/A 57329-2025 tillsynsbegäran mail.docx", "A 57329-2025")</f>
        <v/>
      </c>
      <c r="Z261">
        <f>HYPERLINK("https://klasma.github.io/Logging_2305/fåglar/A 57329-2025 prioriterade fågelarter.docx", "A 57329-2025")</f>
        <v/>
      </c>
    </row>
    <row r="262" ht="15" customHeight="1">
      <c r="A262" t="inlineStr">
        <is>
          <t>A 15366-2022</t>
        </is>
      </c>
      <c r="B262" s="1" t="n">
        <v>44659</v>
      </c>
      <c r="C262" s="1" t="n">
        <v>46193</v>
      </c>
      <c r="D262" t="inlineStr">
        <is>
          <t>JÄMTLANDS LÄN</t>
        </is>
      </c>
      <c r="E262" t="inlineStr">
        <is>
          <t>BRÄCKE</t>
        </is>
      </c>
      <c r="G262" t="n">
        <v>3.3</v>
      </c>
      <c r="H262" t="n">
        <v>2</v>
      </c>
      <c r="I262" t="n">
        <v>1</v>
      </c>
      <c r="J262" t="n">
        <v>0</v>
      </c>
      <c r="K262" t="n">
        <v>0</v>
      </c>
      <c r="L262" t="n">
        <v>0</v>
      </c>
      <c r="M262" t="n">
        <v>0</v>
      </c>
      <c r="N262" t="n">
        <v>0</v>
      </c>
      <c r="O262" t="n">
        <v>0</v>
      </c>
      <c r="P262" t="n">
        <v>0</v>
      </c>
      <c r="Q262" t="n">
        <v>2</v>
      </c>
      <c r="R262" s="2" t="inlineStr">
        <is>
          <t>Tvåblad
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51822-2023</t>
        </is>
      </c>
      <c r="B263" s="1" t="n">
        <v>45222</v>
      </c>
      <c r="C263" s="1" t="n">
        <v>46193</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45231</v>
      </c>
      <c r="C264" s="1" t="n">
        <v>46193</v>
      </c>
      <c r="D264" t="inlineStr">
        <is>
          <t>JÄMTLANDS LÄN</t>
        </is>
      </c>
      <c r="E264" t="inlineStr">
        <is>
          <t>BRÄCKE</t>
        </is>
      </c>
      <c r="F264" t="inlineStr">
        <is>
          <t>SCA</t>
        </is>
      </c>
      <c r="G264" t="n">
        <v>2.4</v>
      </c>
      <c r="H264" t="n">
        <v>0</v>
      </c>
      <c r="I264" t="n">
        <v>0</v>
      </c>
      <c r="J264" t="n">
        <v>1</v>
      </c>
      <c r="K264" t="n">
        <v>1</v>
      </c>
      <c r="L264" t="n">
        <v>0</v>
      </c>
      <c r="M264" t="n">
        <v>0</v>
      </c>
      <c r="N264" t="n">
        <v>0</v>
      </c>
      <c r="O264" t="n">
        <v>2</v>
      </c>
      <c r="P264" t="n">
        <v>1</v>
      </c>
      <c r="Q264" t="n">
        <v>2</v>
      </c>
      <c r="R264" s="2" t="inlineStr">
        <is>
          <t>Skrovlig taggsvamp
Blå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53047-2023</t>
        </is>
      </c>
      <c r="B265" s="1" t="n">
        <v>45226</v>
      </c>
      <c r="C265" s="1" t="n">
        <v>46193</v>
      </c>
      <c r="D265" t="inlineStr">
        <is>
          <t>JÄMTLANDS LÄN</t>
        </is>
      </c>
      <c r="E265" t="inlineStr">
        <is>
          <t>BRÄCKE</t>
        </is>
      </c>
      <c r="F265" t="inlineStr">
        <is>
          <t>SCA</t>
        </is>
      </c>
      <c r="G265" t="n">
        <v>1.5</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53047-2023 artfynd.xlsx", "A 53047-2023")</f>
        <v/>
      </c>
      <c r="T265">
        <f>HYPERLINK("https://klasma.github.io/Logging_2305/kartor/A 53047-2023 karta.png", "A 53047-2023")</f>
        <v/>
      </c>
      <c r="V265">
        <f>HYPERLINK("https://klasma.github.io/Logging_2305/klagomål/A 53047-2023 FSC-klagomål.docx", "A 53047-2023")</f>
        <v/>
      </c>
      <c r="W265">
        <f>HYPERLINK("https://klasma.github.io/Logging_2305/klagomålsmail/A 53047-2023 FSC-klagomål mail.docx", "A 53047-2023")</f>
        <v/>
      </c>
      <c r="X265">
        <f>HYPERLINK("https://klasma.github.io/Logging_2305/tillsyn/A 53047-2023 tillsynsbegäran.docx", "A 53047-2023")</f>
        <v/>
      </c>
      <c r="Y265">
        <f>HYPERLINK("https://klasma.github.io/Logging_2305/tillsynsmail/A 53047-2023 tillsynsbegäran mail.docx", "A 53047-2023")</f>
        <v/>
      </c>
    </row>
    <row r="266" ht="15" customHeight="1">
      <c r="A266" t="inlineStr">
        <is>
          <t>A 47498-2023</t>
        </is>
      </c>
      <c r="B266" s="1" t="n">
        <v>45202</v>
      </c>
      <c r="C266" s="1" t="n">
        <v>46193</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12525-2025</t>
        </is>
      </c>
      <c r="B267" s="1" t="n">
        <v>45730</v>
      </c>
      <c r="C267" s="1" t="n">
        <v>46193</v>
      </c>
      <c r="D267" t="inlineStr">
        <is>
          <t>JÄMTLANDS LÄN</t>
        </is>
      </c>
      <c r="E267" t="inlineStr">
        <is>
          <t>BRÄCKE</t>
        </is>
      </c>
      <c r="F267" t="inlineStr">
        <is>
          <t>SCA</t>
        </is>
      </c>
      <c r="G267" t="n">
        <v>3.5</v>
      </c>
      <c r="H267" t="n">
        <v>1</v>
      </c>
      <c r="I267" t="n">
        <v>0</v>
      </c>
      <c r="J267" t="n">
        <v>1</v>
      </c>
      <c r="K267" t="n">
        <v>0</v>
      </c>
      <c r="L267" t="n">
        <v>0</v>
      </c>
      <c r="M267" t="n">
        <v>0</v>
      </c>
      <c r="N267" t="n">
        <v>0</v>
      </c>
      <c r="O267" t="n">
        <v>1</v>
      </c>
      <c r="P267" t="n">
        <v>0</v>
      </c>
      <c r="Q267" t="n">
        <v>2</v>
      </c>
      <c r="R267" s="2" t="inlineStr">
        <is>
          <t>Månlåsbräken
Fläcknycklar</t>
        </is>
      </c>
      <c r="S267">
        <f>HYPERLINK("https://klasma.github.io/Logging_2305/artfynd/A 12525-2025 artfynd.xlsx", "A 12525-2025")</f>
        <v/>
      </c>
      <c r="T267">
        <f>HYPERLINK("https://klasma.github.io/Logging_2305/kartor/A 12525-2025 karta.png", "A 12525-2025")</f>
        <v/>
      </c>
      <c r="V267">
        <f>HYPERLINK("https://klasma.github.io/Logging_2305/klagomål/A 12525-2025 FSC-klagomål.docx", "A 12525-2025")</f>
        <v/>
      </c>
      <c r="W267">
        <f>HYPERLINK("https://klasma.github.io/Logging_2305/klagomålsmail/A 12525-2025 FSC-klagomål mail.docx", "A 12525-2025")</f>
        <v/>
      </c>
      <c r="X267">
        <f>HYPERLINK("https://klasma.github.io/Logging_2305/tillsyn/A 12525-2025 tillsynsbegäran.docx", "A 12525-2025")</f>
        <v/>
      </c>
      <c r="Y267">
        <f>HYPERLINK("https://klasma.github.io/Logging_2305/tillsynsmail/A 12525-2025 tillsynsbegäran mail.docx", "A 12525-2025")</f>
        <v/>
      </c>
    </row>
    <row r="268" ht="15" customHeight="1">
      <c r="A268" t="inlineStr">
        <is>
          <t>A 14838-2025</t>
        </is>
      </c>
      <c r="B268" s="1" t="n">
        <v>45743</v>
      </c>
      <c r="C268" s="1" t="n">
        <v>46193</v>
      </c>
      <c r="D268" t="inlineStr">
        <is>
          <t>JÄMTLANDS LÄN</t>
        </is>
      </c>
      <c r="E268" t="inlineStr">
        <is>
          <t>BRÄCKE</t>
        </is>
      </c>
      <c r="G268" t="n">
        <v>1.3</v>
      </c>
      <c r="H268" t="n">
        <v>1</v>
      </c>
      <c r="I268" t="n">
        <v>0</v>
      </c>
      <c r="J268" t="n">
        <v>1</v>
      </c>
      <c r="K268" t="n">
        <v>1</v>
      </c>
      <c r="L268" t="n">
        <v>0</v>
      </c>
      <c r="M268" t="n">
        <v>0</v>
      </c>
      <c r="N268" t="n">
        <v>0</v>
      </c>
      <c r="O268" t="n">
        <v>2</v>
      </c>
      <c r="P268" t="n">
        <v>1</v>
      </c>
      <c r="Q268" t="n">
        <v>2</v>
      </c>
      <c r="R268" s="2" t="inlineStr">
        <is>
          <t>Doftticka
Lunglav</t>
        </is>
      </c>
      <c r="S268">
        <f>HYPERLINK("https://klasma.github.io/Logging_2305/artfynd/A 14838-2025 artfynd.xlsx", "A 14838-2025")</f>
        <v/>
      </c>
      <c r="T268">
        <f>HYPERLINK("https://klasma.github.io/Logging_2305/kartor/A 14838-2025 karta.png", "A 14838-2025")</f>
        <v/>
      </c>
      <c r="V268">
        <f>HYPERLINK("https://klasma.github.io/Logging_2305/klagomål/A 14838-2025 FSC-klagomål.docx", "A 14838-2025")</f>
        <v/>
      </c>
      <c r="W268">
        <f>HYPERLINK("https://klasma.github.io/Logging_2305/klagomålsmail/A 14838-2025 FSC-klagomål mail.docx", "A 14838-2025")</f>
        <v/>
      </c>
      <c r="X268">
        <f>HYPERLINK("https://klasma.github.io/Logging_2305/tillsyn/A 14838-2025 tillsynsbegäran.docx", "A 14838-2025")</f>
        <v/>
      </c>
      <c r="Y268">
        <f>HYPERLINK("https://klasma.github.io/Logging_2305/tillsynsmail/A 14838-2025 tillsynsbegäran mail.docx", "A 14838-2025")</f>
        <v/>
      </c>
    </row>
    <row r="269" ht="15" customHeight="1">
      <c r="A269" t="inlineStr">
        <is>
          <t>A 1347-2025</t>
        </is>
      </c>
      <c r="B269" s="1" t="n">
        <v>45667</v>
      </c>
      <c r="C269" s="1" t="n">
        <v>46193</v>
      </c>
      <c r="D269" t="inlineStr">
        <is>
          <t>JÄMTLANDS LÄN</t>
        </is>
      </c>
      <c r="E269" t="inlineStr">
        <is>
          <t>BRÄCKE</t>
        </is>
      </c>
      <c r="F269" t="inlineStr">
        <is>
          <t>SCA</t>
        </is>
      </c>
      <c r="G269" t="n">
        <v>4</v>
      </c>
      <c r="H269" t="n">
        <v>1</v>
      </c>
      <c r="I269" t="n">
        <v>0</v>
      </c>
      <c r="J269" t="n">
        <v>1</v>
      </c>
      <c r="K269" t="n">
        <v>1</v>
      </c>
      <c r="L269" t="n">
        <v>0</v>
      </c>
      <c r="M269" t="n">
        <v>0</v>
      </c>
      <c r="N269" t="n">
        <v>0</v>
      </c>
      <c r="O269" t="n">
        <v>2</v>
      </c>
      <c r="P269" t="n">
        <v>1</v>
      </c>
      <c r="Q269" t="n">
        <v>2</v>
      </c>
      <c r="R269" s="2" t="inlineStr">
        <is>
          <t>Garnlav
Tretåig hackspett</t>
        </is>
      </c>
      <c r="S269">
        <f>HYPERLINK("https://klasma.github.io/Logging_2305/artfynd/A 1347-2025 artfynd.xlsx", "A 1347-2025")</f>
        <v/>
      </c>
      <c r="T269">
        <f>HYPERLINK("https://klasma.github.io/Logging_2305/kartor/A 1347-2025 karta.png", "A 1347-2025")</f>
        <v/>
      </c>
      <c r="V269">
        <f>HYPERLINK("https://klasma.github.io/Logging_2305/klagomål/A 1347-2025 FSC-klagomål.docx", "A 1347-2025")</f>
        <v/>
      </c>
      <c r="W269">
        <f>HYPERLINK("https://klasma.github.io/Logging_2305/klagomålsmail/A 1347-2025 FSC-klagomål mail.docx", "A 1347-2025")</f>
        <v/>
      </c>
      <c r="X269">
        <f>HYPERLINK("https://klasma.github.io/Logging_2305/tillsyn/A 1347-2025 tillsynsbegäran.docx", "A 1347-2025")</f>
        <v/>
      </c>
      <c r="Y269">
        <f>HYPERLINK("https://klasma.github.io/Logging_2305/tillsynsmail/A 1347-2025 tillsynsbegäran mail.docx", "A 1347-2025")</f>
        <v/>
      </c>
      <c r="Z269">
        <f>HYPERLINK("https://klasma.github.io/Logging_2305/fåglar/A 1347-2025 prioriterade fågelarter.docx", "A 1347-2025")</f>
        <v/>
      </c>
    </row>
    <row r="270" ht="15" customHeight="1">
      <c r="A270" t="inlineStr">
        <is>
          <t>A 50328-2022</t>
        </is>
      </c>
      <c r="B270" s="1" t="n">
        <v>44865</v>
      </c>
      <c r="C270" s="1" t="n">
        <v>46193</v>
      </c>
      <c r="D270" t="inlineStr">
        <is>
          <t>JÄMTLANDS LÄN</t>
        </is>
      </c>
      <c r="E270" t="inlineStr">
        <is>
          <t>BRÄCKE</t>
        </is>
      </c>
      <c r="F270" t="inlineStr">
        <is>
          <t>SCA</t>
        </is>
      </c>
      <c r="G270" t="n">
        <v>1.6</v>
      </c>
      <c r="H270" t="n">
        <v>0</v>
      </c>
      <c r="I270" t="n">
        <v>0</v>
      </c>
      <c r="J270" t="n">
        <v>2</v>
      </c>
      <c r="K270" t="n">
        <v>0</v>
      </c>
      <c r="L270" t="n">
        <v>0</v>
      </c>
      <c r="M270" t="n">
        <v>0</v>
      </c>
      <c r="N270" t="n">
        <v>0</v>
      </c>
      <c r="O270" t="n">
        <v>2</v>
      </c>
      <c r="P270" t="n">
        <v>0</v>
      </c>
      <c r="Q270" t="n">
        <v>2</v>
      </c>
      <c r="R270" s="2" t="inlineStr">
        <is>
          <t>Ullticka
Vitgrynig nållav</t>
        </is>
      </c>
      <c r="S270">
        <f>HYPERLINK("https://klasma.github.io/Logging_2305/artfynd/A 50328-2022 artfynd.xlsx", "A 50328-2022")</f>
        <v/>
      </c>
      <c r="T270">
        <f>HYPERLINK("https://klasma.github.io/Logging_2305/kartor/A 50328-2022 karta.png", "A 50328-2022")</f>
        <v/>
      </c>
      <c r="V270">
        <f>HYPERLINK("https://klasma.github.io/Logging_2305/klagomål/A 50328-2022 FSC-klagomål.docx", "A 50328-2022")</f>
        <v/>
      </c>
      <c r="W270">
        <f>HYPERLINK("https://klasma.github.io/Logging_2305/klagomålsmail/A 50328-2022 FSC-klagomål mail.docx", "A 50328-2022")</f>
        <v/>
      </c>
      <c r="X270">
        <f>HYPERLINK("https://klasma.github.io/Logging_2305/tillsyn/A 50328-2022 tillsynsbegäran.docx", "A 50328-2022")</f>
        <v/>
      </c>
      <c r="Y270">
        <f>HYPERLINK("https://klasma.github.io/Logging_2305/tillsynsmail/A 50328-2022 tillsynsbegäran mail.docx", "A 50328-2022")</f>
        <v/>
      </c>
    </row>
    <row r="271" ht="15" customHeight="1">
      <c r="A271" t="inlineStr">
        <is>
          <t>A 11174-2026</t>
        </is>
      </c>
      <c r="B271" s="1" t="n">
        <v>46080</v>
      </c>
      <c r="C271" s="1" t="n">
        <v>46193</v>
      </c>
      <c r="D271" t="inlineStr">
        <is>
          <t>JÄMTLANDS LÄN</t>
        </is>
      </c>
      <c r="E271" t="inlineStr">
        <is>
          <t>BRÄCKE</t>
        </is>
      </c>
      <c r="F271" t="inlineStr">
        <is>
          <t>SCA</t>
        </is>
      </c>
      <c r="G271" t="n">
        <v>3.1</v>
      </c>
      <c r="H271" t="n">
        <v>0</v>
      </c>
      <c r="I271" t="n">
        <v>0</v>
      </c>
      <c r="J271" t="n">
        <v>1</v>
      </c>
      <c r="K271" t="n">
        <v>1</v>
      </c>
      <c r="L271" t="n">
        <v>0</v>
      </c>
      <c r="M271" t="n">
        <v>0</v>
      </c>
      <c r="N271" t="n">
        <v>0</v>
      </c>
      <c r="O271" t="n">
        <v>2</v>
      </c>
      <c r="P271" t="n">
        <v>1</v>
      </c>
      <c r="Q271" t="n">
        <v>2</v>
      </c>
      <c r="R271" s="2" t="inlineStr">
        <is>
          <t>Gräddporing
Vedflamlav</t>
        </is>
      </c>
      <c r="S271">
        <f>HYPERLINK("https://klasma.github.io/Logging_2305/artfynd/A 11174-2026 artfynd.xlsx", "A 11174-2026")</f>
        <v/>
      </c>
      <c r="T271">
        <f>HYPERLINK("https://klasma.github.io/Logging_2305/kartor/A 11174-2026 karta.png", "A 11174-2026")</f>
        <v/>
      </c>
      <c r="V271">
        <f>HYPERLINK("https://klasma.github.io/Logging_2305/klagomål/A 11174-2026 FSC-klagomål.docx", "A 11174-2026")</f>
        <v/>
      </c>
      <c r="W271">
        <f>HYPERLINK("https://klasma.github.io/Logging_2305/klagomålsmail/A 11174-2026 FSC-klagomål mail.docx", "A 11174-2026")</f>
        <v/>
      </c>
      <c r="X271">
        <f>HYPERLINK("https://klasma.github.io/Logging_2305/tillsyn/A 11174-2026 tillsynsbegäran.docx", "A 11174-2026")</f>
        <v/>
      </c>
      <c r="Y271">
        <f>HYPERLINK("https://klasma.github.io/Logging_2305/tillsynsmail/A 11174-2026 tillsynsbegäran mail.docx", "A 11174-2026")</f>
        <v/>
      </c>
    </row>
    <row r="272" ht="15" customHeight="1">
      <c r="A272" t="inlineStr">
        <is>
          <t>A 23817-2026</t>
        </is>
      </c>
      <c r="B272" s="1" t="n">
        <v>46165</v>
      </c>
      <c r="C272" s="1" t="n">
        <v>46193</v>
      </c>
      <c r="D272" t="inlineStr">
        <is>
          <t>JÄMTLANDS LÄN</t>
        </is>
      </c>
      <c r="E272" t="inlineStr">
        <is>
          <t>BRÄCKE</t>
        </is>
      </c>
      <c r="F272" t="inlineStr">
        <is>
          <t>SCA</t>
        </is>
      </c>
      <c r="G272" t="n">
        <v>1.9</v>
      </c>
      <c r="H272" t="n">
        <v>0</v>
      </c>
      <c r="I272" t="n">
        <v>1</v>
      </c>
      <c r="J272" t="n">
        <v>1</v>
      </c>
      <c r="K272" t="n">
        <v>0</v>
      </c>
      <c r="L272" t="n">
        <v>0</v>
      </c>
      <c r="M272" t="n">
        <v>0</v>
      </c>
      <c r="N272" t="n">
        <v>0</v>
      </c>
      <c r="O272" t="n">
        <v>1</v>
      </c>
      <c r="P272" t="n">
        <v>0</v>
      </c>
      <c r="Q272" t="n">
        <v>2</v>
      </c>
      <c r="R272" s="2" t="inlineStr">
        <is>
          <t>Skuggblåslav
Norrlandslav</t>
        </is>
      </c>
      <c r="S272">
        <f>HYPERLINK("https://klasma.github.io/Logging_2305/artfynd/A 23817-2026 artfynd.xlsx", "A 23817-2026")</f>
        <v/>
      </c>
      <c r="T272">
        <f>HYPERLINK("https://klasma.github.io/Logging_2305/kartor/A 23817-2026 karta.png", "A 23817-2026")</f>
        <v/>
      </c>
      <c r="V272">
        <f>HYPERLINK("https://klasma.github.io/Logging_2305/klagomål/A 23817-2026 FSC-klagomål.docx", "A 23817-2026")</f>
        <v/>
      </c>
      <c r="W272">
        <f>HYPERLINK("https://klasma.github.io/Logging_2305/klagomålsmail/A 23817-2026 FSC-klagomål mail.docx", "A 23817-2026")</f>
        <v/>
      </c>
      <c r="X272">
        <f>HYPERLINK("https://klasma.github.io/Logging_2305/tillsyn/A 23817-2026 tillsynsbegäran.docx", "A 23817-2026")</f>
        <v/>
      </c>
      <c r="Y272">
        <f>HYPERLINK("https://klasma.github.io/Logging_2305/tillsynsmail/A 23817-2026 tillsynsbegäran mail.docx", "A 23817-2026")</f>
        <v/>
      </c>
    </row>
    <row r="273" ht="15" customHeight="1">
      <c r="A273" t="inlineStr">
        <is>
          <t>A 25515-2026</t>
        </is>
      </c>
      <c r="B273" s="1" t="n">
        <v>46177</v>
      </c>
      <c r="C273" s="1" t="n">
        <v>46193</v>
      </c>
      <c r="D273" t="inlineStr">
        <is>
          <t>JÄMTLANDS LÄN</t>
        </is>
      </c>
      <c r="E273" t="inlineStr">
        <is>
          <t>BRÄCKE</t>
        </is>
      </c>
      <c r="G273" t="n">
        <v>7.9</v>
      </c>
      <c r="H273" t="n">
        <v>0</v>
      </c>
      <c r="I273" t="n">
        <v>0</v>
      </c>
      <c r="J273" t="n">
        <v>2</v>
      </c>
      <c r="K273" t="n">
        <v>0</v>
      </c>
      <c r="L273" t="n">
        <v>0</v>
      </c>
      <c r="M273" t="n">
        <v>0</v>
      </c>
      <c r="N273" t="n">
        <v>0</v>
      </c>
      <c r="O273" t="n">
        <v>2</v>
      </c>
      <c r="P273" t="n">
        <v>0</v>
      </c>
      <c r="Q273" t="n">
        <v>2</v>
      </c>
      <c r="R273" s="2" t="inlineStr">
        <is>
          <t>Lunglav
Skrovellav</t>
        </is>
      </c>
      <c r="S273">
        <f>HYPERLINK("https://klasma.github.io/Logging_2305/artfynd/A 25515-2026 artfynd.xlsx", "A 25515-2026")</f>
        <v/>
      </c>
      <c r="T273">
        <f>HYPERLINK("https://klasma.github.io/Logging_2305/kartor/A 25515-2026 karta.png", "A 25515-2026")</f>
        <v/>
      </c>
      <c r="V273">
        <f>HYPERLINK("https://klasma.github.io/Logging_2305/klagomål/A 25515-2026 FSC-klagomål.docx", "A 25515-2026")</f>
        <v/>
      </c>
      <c r="W273">
        <f>HYPERLINK("https://klasma.github.io/Logging_2305/klagomålsmail/A 25515-2026 FSC-klagomål mail.docx", "A 25515-2026")</f>
        <v/>
      </c>
      <c r="X273">
        <f>HYPERLINK("https://klasma.github.io/Logging_2305/tillsyn/A 25515-2026 tillsynsbegäran.docx", "A 25515-2026")</f>
        <v/>
      </c>
      <c r="Y273">
        <f>HYPERLINK("https://klasma.github.io/Logging_2305/tillsynsmail/A 25515-2026 tillsynsbegäran mail.docx", "A 25515-2026")</f>
        <v/>
      </c>
    </row>
    <row r="274" ht="15" customHeight="1">
      <c r="A274" t="inlineStr">
        <is>
          <t>A 954-2026</t>
        </is>
      </c>
      <c r="B274" s="1" t="n">
        <v>46030</v>
      </c>
      <c r="C274" s="1" t="n">
        <v>46193</v>
      </c>
      <c r="D274" t="inlineStr">
        <is>
          <t>JÄMTLANDS LÄN</t>
        </is>
      </c>
      <c r="E274" t="inlineStr">
        <is>
          <t>BRÄCKE</t>
        </is>
      </c>
      <c r="G274" t="n">
        <v>11.1</v>
      </c>
      <c r="H274" t="n">
        <v>0</v>
      </c>
      <c r="I274" t="n">
        <v>1</v>
      </c>
      <c r="J274" t="n">
        <v>1</v>
      </c>
      <c r="K274" t="n">
        <v>0</v>
      </c>
      <c r="L274" t="n">
        <v>0</v>
      </c>
      <c r="M274" t="n">
        <v>0</v>
      </c>
      <c r="N274" t="n">
        <v>0</v>
      </c>
      <c r="O274" t="n">
        <v>1</v>
      </c>
      <c r="P274" t="n">
        <v>0</v>
      </c>
      <c r="Q274" t="n">
        <v>2</v>
      </c>
      <c r="R274" s="2" t="inlineStr">
        <is>
          <t>Kolflarnlav
Rödgul trumpetsvamp</t>
        </is>
      </c>
      <c r="S274">
        <f>HYPERLINK("https://klasma.github.io/Logging_2305/artfynd/A 954-2026 artfynd.xlsx", "A 954-2026")</f>
        <v/>
      </c>
      <c r="T274">
        <f>HYPERLINK("https://klasma.github.io/Logging_2305/kartor/A 954-2026 karta.png", "A 954-2026")</f>
        <v/>
      </c>
      <c r="V274">
        <f>HYPERLINK("https://klasma.github.io/Logging_2305/klagomål/A 954-2026 FSC-klagomål.docx", "A 954-2026")</f>
        <v/>
      </c>
      <c r="W274">
        <f>HYPERLINK("https://klasma.github.io/Logging_2305/klagomålsmail/A 954-2026 FSC-klagomål mail.docx", "A 954-2026")</f>
        <v/>
      </c>
      <c r="X274">
        <f>HYPERLINK("https://klasma.github.io/Logging_2305/tillsyn/A 954-2026 tillsynsbegäran.docx", "A 954-2026")</f>
        <v/>
      </c>
      <c r="Y274">
        <f>HYPERLINK("https://klasma.github.io/Logging_2305/tillsynsmail/A 954-2026 tillsynsbegäran mail.docx", "A 954-2026")</f>
        <v/>
      </c>
    </row>
    <row r="275" ht="15" customHeight="1">
      <c r="A275" t="inlineStr">
        <is>
          <t>A 44872-2025</t>
        </is>
      </c>
      <c r="B275" s="1" t="n">
        <v>45918</v>
      </c>
      <c r="C275" s="1" t="n">
        <v>46193</v>
      </c>
      <c r="D275" t="inlineStr">
        <is>
          <t>JÄMTLANDS LÄN</t>
        </is>
      </c>
      <c r="E275" t="inlineStr">
        <is>
          <t>BRÄCKE</t>
        </is>
      </c>
      <c r="G275" t="n">
        <v>0.9</v>
      </c>
      <c r="H275" t="n">
        <v>0</v>
      </c>
      <c r="I275" t="n">
        <v>1</v>
      </c>
      <c r="J275" t="n">
        <v>1</v>
      </c>
      <c r="K275" t="n">
        <v>0</v>
      </c>
      <c r="L275" t="n">
        <v>0</v>
      </c>
      <c r="M275" t="n">
        <v>0</v>
      </c>
      <c r="N275" t="n">
        <v>0</v>
      </c>
      <c r="O275" t="n">
        <v>1</v>
      </c>
      <c r="P275" t="n">
        <v>0</v>
      </c>
      <c r="Q275" t="n">
        <v>2</v>
      </c>
      <c r="R275" s="2" t="inlineStr">
        <is>
          <t>Rosenticka
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31450-2025</t>
        </is>
      </c>
      <c r="B276" s="1" t="n">
        <v>45833</v>
      </c>
      <c r="C276" s="1" t="n">
        <v>46193</v>
      </c>
      <c r="D276" t="inlineStr">
        <is>
          <t>JÄMTLANDS LÄN</t>
        </is>
      </c>
      <c r="E276" t="inlineStr">
        <is>
          <t>BRÄCKE</t>
        </is>
      </c>
      <c r="F276" t="inlineStr">
        <is>
          <t>SCA</t>
        </is>
      </c>
      <c r="G276" t="n">
        <v>1.6</v>
      </c>
      <c r="H276" t="n">
        <v>2</v>
      </c>
      <c r="I276" t="n">
        <v>1</v>
      </c>
      <c r="J276" t="n">
        <v>0</v>
      </c>
      <c r="K276" t="n">
        <v>0</v>
      </c>
      <c r="L276" t="n">
        <v>0</v>
      </c>
      <c r="M276" t="n">
        <v>0</v>
      </c>
      <c r="N276" t="n">
        <v>0</v>
      </c>
      <c r="O276" t="n">
        <v>0</v>
      </c>
      <c r="P276" t="n">
        <v>0</v>
      </c>
      <c r="Q276" t="n">
        <v>2</v>
      </c>
      <c r="R276" s="2" t="inlineStr">
        <is>
          <t>Plattlummer
Tjäder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c r="Z276">
        <f>HYPERLINK("https://klasma.github.io/Logging_2305/fåglar/A 31450-2025 prioriterade fågelarter.docx", "A 31450-2025")</f>
        <v/>
      </c>
    </row>
    <row r="277" ht="15" customHeight="1">
      <c r="A277" t="inlineStr">
        <is>
          <t>A 5380-2022</t>
        </is>
      </c>
      <c r="B277" s="1" t="n">
        <v>44594</v>
      </c>
      <c r="C277" s="1" t="n">
        <v>46193</v>
      </c>
      <c r="D277" t="inlineStr">
        <is>
          <t>JÄMTLANDS LÄN</t>
        </is>
      </c>
      <c r="E277" t="inlineStr">
        <is>
          <t>BRÄCKE</t>
        </is>
      </c>
      <c r="F277" t="inlineStr">
        <is>
          <t>SCA</t>
        </is>
      </c>
      <c r="G277" t="n">
        <v>18.3</v>
      </c>
      <c r="H277" t="n">
        <v>1</v>
      </c>
      <c r="I277" t="n">
        <v>0</v>
      </c>
      <c r="J277" t="n">
        <v>0</v>
      </c>
      <c r="K277" t="n">
        <v>1</v>
      </c>
      <c r="L277" t="n">
        <v>0</v>
      </c>
      <c r="M277" t="n">
        <v>0</v>
      </c>
      <c r="N277" t="n">
        <v>0</v>
      </c>
      <c r="O277" t="n">
        <v>1</v>
      </c>
      <c r="P277" t="n">
        <v>1</v>
      </c>
      <c r="Q277" t="n">
        <v>1</v>
      </c>
      <c r="R277" s="2" t="inlineStr">
        <is>
          <t>Knärot</t>
        </is>
      </c>
      <c r="S277">
        <f>HYPERLINK("https://klasma.github.io/Logging_2305/artfynd/A 5380-2022 artfynd.xlsx", "A 5380-2022")</f>
        <v/>
      </c>
      <c r="T277">
        <f>HYPERLINK("https://klasma.github.io/Logging_2305/kartor/A 5380-2022 karta.png", "A 5380-2022")</f>
        <v/>
      </c>
      <c r="U277">
        <f>HYPERLINK("https://klasma.github.io/Logging_2305/knärot/A 5380-2022 karta knärot.png", "A 5380-2022")</f>
        <v/>
      </c>
      <c r="V277">
        <f>HYPERLINK("https://klasma.github.io/Logging_2305/klagomål/A 5380-2022 FSC-klagomål.docx", "A 5380-2022")</f>
        <v/>
      </c>
      <c r="W277">
        <f>HYPERLINK("https://klasma.github.io/Logging_2305/klagomålsmail/A 5380-2022 FSC-klagomål mail.docx", "A 5380-2022")</f>
        <v/>
      </c>
      <c r="X277">
        <f>HYPERLINK("https://klasma.github.io/Logging_2305/tillsyn/A 5380-2022 tillsynsbegäran.docx", "A 5380-2022")</f>
        <v/>
      </c>
      <c r="Y277">
        <f>HYPERLINK("https://klasma.github.io/Logging_2305/tillsynsmail/A 5380-2022 tillsynsbegäran mail.docx", "A 5380-2022")</f>
        <v/>
      </c>
    </row>
    <row r="278" ht="15" customHeight="1">
      <c r="A278" t="inlineStr">
        <is>
          <t>A 69154-2021</t>
        </is>
      </c>
      <c r="B278" s="1" t="n">
        <v>44530</v>
      </c>
      <c r="C278" s="1" t="n">
        <v>46193</v>
      </c>
      <c r="D278" t="inlineStr">
        <is>
          <t>JÄMTLANDS LÄN</t>
        </is>
      </c>
      <c r="E278" t="inlineStr">
        <is>
          <t>BRÄCKE</t>
        </is>
      </c>
      <c r="F278" t="inlineStr">
        <is>
          <t>SCA</t>
        </is>
      </c>
      <c r="G278" t="n">
        <v>3.4</v>
      </c>
      <c r="H278" t="n">
        <v>0</v>
      </c>
      <c r="I278" t="n">
        <v>0</v>
      </c>
      <c r="J278" t="n">
        <v>1</v>
      </c>
      <c r="K278" t="n">
        <v>0</v>
      </c>
      <c r="L278" t="n">
        <v>0</v>
      </c>
      <c r="M278" t="n">
        <v>0</v>
      </c>
      <c r="N278" t="n">
        <v>0</v>
      </c>
      <c r="O278" t="n">
        <v>1</v>
      </c>
      <c r="P278" t="n">
        <v>0</v>
      </c>
      <c r="Q278" t="n">
        <v>1</v>
      </c>
      <c r="R278" s="2" t="inlineStr">
        <is>
          <t>Lunglav</t>
        </is>
      </c>
      <c r="S278">
        <f>HYPERLINK("https://klasma.github.io/Logging_2305/artfynd/A 69154-2021 artfynd.xlsx", "A 69154-2021")</f>
        <v/>
      </c>
      <c r="T278">
        <f>HYPERLINK("https://klasma.github.io/Logging_2305/kartor/A 69154-2021 karta.png", "A 69154-2021")</f>
        <v/>
      </c>
      <c r="V278">
        <f>HYPERLINK("https://klasma.github.io/Logging_2305/klagomål/A 69154-2021 FSC-klagomål.docx", "A 69154-2021")</f>
        <v/>
      </c>
      <c r="W278">
        <f>HYPERLINK("https://klasma.github.io/Logging_2305/klagomålsmail/A 69154-2021 FSC-klagomål mail.docx", "A 69154-2021")</f>
        <v/>
      </c>
      <c r="X278">
        <f>HYPERLINK("https://klasma.github.io/Logging_2305/tillsyn/A 69154-2021 tillsynsbegäran.docx", "A 69154-2021")</f>
        <v/>
      </c>
      <c r="Y278">
        <f>HYPERLINK("https://klasma.github.io/Logging_2305/tillsynsmail/A 69154-2021 tillsynsbegäran mail.docx", "A 69154-2021")</f>
        <v/>
      </c>
    </row>
    <row r="279" ht="15" customHeight="1">
      <c r="A279" t="inlineStr">
        <is>
          <t>A 54624-2022</t>
        </is>
      </c>
      <c r="B279" s="1" t="n">
        <v>44883</v>
      </c>
      <c r="C279" s="1" t="n">
        <v>46193</v>
      </c>
      <c r="D279" t="inlineStr">
        <is>
          <t>JÄMTLANDS LÄN</t>
        </is>
      </c>
      <c r="E279" t="inlineStr">
        <is>
          <t>BRÄCKE</t>
        </is>
      </c>
      <c r="G279" t="n">
        <v>3.9</v>
      </c>
      <c r="H279" t="n">
        <v>0</v>
      </c>
      <c r="I279" t="n">
        <v>0</v>
      </c>
      <c r="J279" t="n">
        <v>1</v>
      </c>
      <c r="K279" t="n">
        <v>0</v>
      </c>
      <c r="L279" t="n">
        <v>0</v>
      </c>
      <c r="M279" t="n">
        <v>0</v>
      </c>
      <c r="N279" t="n">
        <v>0</v>
      </c>
      <c r="O279" t="n">
        <v>1</v>
      </c>
      <c r="P279" t="n">
        <v>0</v>
      </c>
      <c r="Q279" t="n">
        <v>1</v>
      </c>
      <c r="R279" s="2" t="inlineStr">
        <is>
          <t>Lunglav</t>
        </is>
      </c>
      <c r="S279">
        <f>HYPERLINK("https://klasma.github.io/Logging_2305/artfynd/A 54624-2022 artfynd.xlsx", "A 54624-2022")</f>
        <v/>
      </c>
      <c r="T279">
        <f>HYPERLINK("https://klasma.github.io/Logging_2305/kartor/A 54624-2022 karta.png", "A 54624-2022")</f>
        <v/>
      </c>
      <c r="V279">
        <f>HYPERLINK("https://klasma.github.io/Logging_2305/klagomål/A 54624-2022 FSC-klagomål.docx", "A 54624-2022")</f>
        <v/>
      </c>
      <c r="W279">
        <f>HYPERLINK("https://klasma.github.io/Logging_2305/klagomålsmail/A 54624-2022 FSC-klagomål mail.docx", "A 54624-2022")</f>
        <v/>
      </c>
      <c r="X279">
        <f>HYPERLINK("https://klasma.github.io/Logging_2305/tillsyn/A 54624-2022 tillsynsbegäran.docx", "A 54624-2022")</f>
        <v/>
      </c>
      <c r="Y279">
        <f>HYPERLINK("https://klasma.github.io/Logging_2305/tillsynsmail/A 54624-2022 tillsynsbegäran mail.docx", "A 54624-2022")</f>
        <v/>
      </c>
    </row>
    <row r="280" ht="15" customHeight="1">
      <c r="A280" t="inlineStr">
        <is>
          <t>A 54668-2022</t>
        </is>
      </c>
      <c r="B280" s="1" t="n">
        <v>44883</v>
      </c>
      <c r="C280" s="1" t="n">
        <v>46193</v>
      </c>
      <c r="D280" t="inlineStr">
        <is>
          <t>JÄMTLANDS LÄN</t>
        </is>
      </c>
      <c r="E280" t="inlineStr">
        <is>
          <t>BRÄCKE</t>
        </is>
      </c>
      <c r="G280" t="n">
        <v>2.8</v>
      </c>
      <c r="H280" t="n">
        <v>0</v>
      </c>
      <c r="I280" t="n">
        <v>1</v>
      </c>
      <c r="J280" t="n">
        <v>0</v>
      </c>
      <c r="K280" t="n">
        <v>0</v>
      </c>
      <c r="L280" t="n">
        <v>0</v>
      </c>
      <c r="M280" t="n">
        <v>0</v>
      </c>
      <c r="N280" t="n">
        <v>0</v>
      </c>
      <c r="O280" t="n">
        <v>0</v>
      </c>
      <c r="P280" t="n">
        <v>0</v>
      </c>
      <c r="Q280" t="n">
        <v>1</v>
      </c>
      <c r="R280" s="2" t="inlineStr">
        <is>
          <t>Bollvitmossa</t>
        </is>
      </c>
      <c r="S280">
        <f>HYPERLINK("https://klasma.github.io/Logging_2305/artfynd/A 54668-2022 artfynd.xlsx", "A 54668-2022")</f>
        <v/>
      </c>
      <c r="T280">
        <f>HYPERLINK("https://klasma.github.io/Logging_2305/kartor/A 54668-2022 karta.png", "A 54668-2022")</f>
        <v/>
      </c>
      <c r="V280">
        <f>HYPERLINK("https://klasma.github.io/Logging_2305/klagomål/A 54668-2022 FSC-klagomål.docx", "A 54668-2022")</f>
        <v/>
      </c>
      <c r="W280">
        <f>HYPERLINK("https://klasma.github.io/Logging_2305/klagomålsmail/A 54668-2022 FSC-klagomål mail.docx", "A 54668-2022")</f>
        <v/>
      </c>
      <c r="X280">
        <f>HYPERLINK("https://klasma.github.io/Logging_2305/tillsyn/A 54668-2022 tillsynsbegäran.docx", "A 54668-2022")</f>
        <v/>
      </c>
      <c r="Y280">
        <f>HYPERLINK("https://klasma.github.io/Logging_2305/tillsynsmail/A 54668-2022 tillsynsbegäran mail.docx", "A 54668-2022")</f>
        <v/>
      </c>
    </row>
    <row r="281" ht="15" customHeight="1">
      <c r="A281" t="inlineStr">
        <is>
          <t>A 31336-2021</t>
        </is>
      </c>
      <c r="B281" s="1" t="n">
        <v>44368</v>
      </c>
      <c r="C281" s="1" t="n">
        <v>46193</v>
      </c>
      <c r="D281" t="inlineStr">
        <is>
          <t>JÄMTLANDS LÄN</t>
        </is>
      </c>
      <c r="E281" t="inlineStr">
        <is>
          <t>BRÄCKE</t>
        </is>
      </c>
      <c r="F281" t="inlineStr">
        <is>
          <t>SCA</t>
        </is>
      </c>
      <c r="G281" t="n">
        <v>2.2</v>
      </c>
      <c r="H281" t="n">
        <v>0</v>
      </c>
      <c r="I281" t="n">
        <v>0</v>
      </c>
      <c r="J281" t="n">
        <v>1</v>
      </c>
      <c r="K281" t="n">
        <v>0</v>
      </c>
      <c r="L281" t="n">
        <v>0</v>
      </c>
      <c r="M281" t="n">
        <v>0</v>
      </c>
      <c r="N281" t="n">
        <v>0</v>
      </c>
      <c r="O281" t="n">
        <v>1</v>
      </c>
      <c r="P281" t="n">
        <v>0</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40278-2022</t>
        </is>
      </c>
      <c r="B282" s="1" t="n">
        <v>44820</v>
      </c>
      <c r="C282" s="1" t="n">
        <v>46193</v>
      </c>
      <c r="D282" t="inlineStr">
        <is>
          <t>JÄMTLANDS LÄN</t>
        </is>
      </c>
      <c r="E282" t="inlineStr">
        <is>
          <t>BRÄCKE</t>
        </is>
      </c>
      <c r="F282" t="inlineStr">
        <is>
          <t>SCA</t>
        </is>
      </c>
      <c r="G282" t="n">
        <v>1.1</v>
      </c>
      <c r="H282" t="n">
        <v>1</v>
      </c>
      <c r="I282" t="n">
        <v>0</v>
      </c>
      <c r="J282" t="n">
        <v>0</v>
      </c>
      <c r="K282" t="n">
        <v>1</v>
      </c>
      <c r="L282" t="n">
        <v>0</v>
      </c>
      <c r="M282" t="n">
        <v>0</v>
      </c>
      <c r="N282" t="n">
        <v>0</v>
      </c>
      <c r="O282" t="n">
        <v>1</v>
      </c>
      <c r="P282" t="n">
        <v>1</v>
      </c>
      <c r="Q282" t="n">
        <v>1</v>
      </c>
      <c r="R282" s="2" t="inlineStr">
        <is>
          <t>Lappuggla</t>
        </is>
      </c>
      <c r="S282">
        <f>HYPERLINK("https://klasma.github.io/Logging_2305/artfynd/A 40278-2022 artfynd.xlsx", "A 40278-2022")</f>
        <v/>
      </c>
      <c r="T282">
        <f>HYPERLINK("https://klasma.github.io/Logging_2305/kartor/A 40278-2022 karta.png", "A 40278-2022")</f>
        <v/>
      </c>
      <c r="V282">
        <f>HYPERLINK("https://klasma.github.io/Logging_2305/klagomål/A 40278-2022 FSC-klagomål.docx", "A 40278-2022")</f>
        <v/>
      </c>
      <c r="W282">
        <f>HYPERLINK("https://klasma.github.io/Logging_2305/klagomålsmail/A 40278-2022 FSC-klagomål mail.docx", "A 40278-2022")</f>
        <v/>
      </c>
      <c r="X282">
        <f>HYPERLINK("https://klasma.github.io/Logging_2305/tillsyn/A 40278-2022 tillsynsbegäran.docx", "A 40278-2022")</f>
        <v/>
      </c>
      <c r="Y282">
        <f>HYPERLINK("https://klasma.github.io/Logging_2305/tillsynsmail/A 40278-2022 tillsynsbegäran mail.docx", "A 40278-2022")</f>
        <v/>
      </c>
      <c r="Z282">
        <f>HYPERLINK("https://klasma.github.io/Logging_2305/fåglar/A 40278-2022 prioriterade fågelarter.docx", "A 40278-2022")</f>
        <v/>
      </c>
    </row>
    <row r="283" ht="15" customHeight="1">
      <c r="A283" t="inlineStr">
        <is>
          <t>A 47257-2022</t>
        </is>
      </c>
      <c r="B283" s="1" t="n">
        <v>44852</v>
      </c>
      <c r="C283" s="1" t="n">
        <v>46193</v>
      </c>
      <c r="D283" t="inlineStr">
        <is>
          <t>JÄMTLANDS LÄN</t>
        </is>
      </c>
      <c r="E283" t="inlineStr">
        <is>
          <t>BRÄCKE</t>
        </is>
      </c>
      <c r="F283" t="inlineStr">
        <is>
          <t>SCA</t>
        </is>
      </c>
      <c r="G283" t="n">
        <v>2.7</v>
      </c>
      <c r="H283" t="n">
        <v>0</v>
      </c>
      <c r="I283" t="n">
        <v>0</v>
      </c>
      <c r="J283" t="n">
        <v>1</v>
      </c>
      <c r="K283" t="n">
        <v>0</v>
      </c>
      <c r="L283" t="n">
        <v>0</v>
      </c>
      <c r="M283" t="n">
        <v>0</v>
      </c>
      <c r="N283" t="n">
        <v>0</v>
      </c>
      <c r="O283" t="n">
        <v>1</v>
      </c>
      <c r="P283" t="n">
        <v>0</v>
      </c>
      <c r="Q283" t="n">
        <v>1</v>
      </c>
      <c r="R283" s="2" t="inlineStr">
        <is>
          <t>Brunklöver</t>
        </is>
      </c>
      <c r="S283">
        <f>HYPERLINK("https://klasma.github.io/Logging_2305/artfynd/A 47257-2022 artfynd.xlsx", "A 47257-2022")</f>
        <v/>
      </c>
      <c r="T283">
        <f>HYPERLINK("https://klasma.github.io/Logging_2305/kartor/A 47257-2022 karta.png", "A 47257-2022")</f>
        <v/>
      </c>
      <c r="V283">
        <f>HYPERLINK("https://klasma.github.io/Logging_2305/klagomål/A 47257-2022 FSC-klagomål.docx", "A 47257-2022")</f>
        <v/>
      </c>
      <c r="W283">
        <f>HYPERLINK("https://klasma.github.io/Logging_2305/klagomålsmail/A 47257-2022 FSC-klagomål mail.docx", "A 47257-2022")</f>
        <v/>
      </c>
      <c r="X283">
        <f>HYPERLINK("https://klasma.github.io/Logging_2305/tillsyn/A 47257-2022 tillsynsbegäran.docx", "A 47257-2022")</f>
        <v/>
      </c>
      <c r="Y283">
        <f>HYPERLINK("https://klasma.github.io/Logging_2305/tillsynsmail/A 47257-2022 tillsynsbegäran mail.docx", "A 47257-2022")</f>
        <v/>
      </c>
    </row>
    <row r="284" ht="15" customHeight="1">
      <c r="A284" t="inlineStr">
        <is>
          <t>A 20760-2024</t>
        </is>
      </c>
      <c r="B284" s="1" t="n">
        <v>45436</v>
      </c>
      <c r="C284" s="1" t="n">
        <v>46193</v>
      </c>
      <c r="D284" t="inlineStr">
        <is>
          <t>JÄMTLANDS LÄN</t>
        </is>
      </c>
      <c r="E284" t="inlineStr">
        <is>
          <t>BRÄCKE</t>
        </is>
      </c>
      <c r="G284" t="n">
        <v>10.9</v>
      </c>
      <c r="H284" t="n">
        <v>0</v>
      </c>
      <c r="I284" t="n">
        <v>0</v>
      </c>
      <c r="J284" t="n">
        <v>1</v>
      </c>
      <c r="K284" t="n">
        <v>0</v>
      </c>
      <c r="L284" t="n">
        <v>0</v>
      </c>
      <c r="M284" t="n">
        <v>0</v>
      </c>
      <c r="N284" t="n">
        <v>0</v>
      </c>
      <c r="O284" t="n">
        <v>1</v>
      </c>
      <c r="P284" t="n">
        <v>0</v>
      </c>
      <c r="Q284" t="n">
        <v>1</v>
      </c>
      <c r="R284" s="2" t="inlineStr">
        <is>
          <t>Tallticka</t>
        </is>
      </c>
      <c r="S284">
        <f>HYPERLINK("https://klasma.github.io/Logging_2305/artfynd/A 20760-2024 artfynd.xlsx", "A 20760-2024")</f>
        <v/>
      </c>
      <c r="T284">
        <f>HYPERLINK("https://klasma.github.io/Logging_2305/kartor/A 20760-2024 karta.png", "A 20760-2024")</f>
        <v/>
      </c>
      <c r="V284">
        <f>HYPERLINK("https://klasma.github.io/Logging_2305/klagomål/A 20760-2024 FSC-klagomål.docx", "A 20760-2024")</f>
        <v/>
      </c>
      <c r="W284">
        <f>HYPERLINK("https://klasma.github.io/Logging_2305/klagomålsmail/A 20760-2024 FSC-klagomål mail.docx", "A 20760-2024")</f>
        <v/>
      </c>
      <c r="X284">
        <f>HYPERLINK("https://klasma.github.io/Logging_2305/tillsyn/A 20760-2024 tillsynsbegäran.docx", "A 20760-2024")</f>
        <v/>
      </c>
      <c r="Y284">
        <f>HYPERLINK("https://klasma.github.io/Logging_2305/tillsynsmail/A 20760-2024 tillsynsbegäran mail.docx", "A 20760-2024")</f>
        <v/>
      </c>
    </row>
    <row r="285" ht="15" customHeight="1">
      <c r="A285" t="inlineStr">
        <is>
          <t>A 11553-2024</t>
        </is>
      </c>
      <c r="B285" s="1" t="n">
        <v>45372</v>
      </c>
      <c r="C285" s="1" t="n">
        <v>46193</v>
      </c>
      <c r="D285" t="inlineStr">
        <is>
          <t>JÄMTLANDS LÄN</t>
        </is>
      </c>
      <c r="E285" t="inlineStr">
        <is>
          <t>BRÄCKE</t>
        </is>
      </c>
      <c r="F285" t="inlineStr">
        <is>
          <t>Naturvårdsverket</t>
        </is>
      </c>
      <c r="G285" t="n">
        <v>1.9</v>
      </c>
      <c r="H285" t="n">
        <v>0</v>
      </c>
      <c r="I285" t="n">
        <v>0</v>
      </c>
      <c r="J285" t="n">
        <v>1</v>
      </c>
      <c r="K285" t="n">
        <v>0</v>
      </c>
      <c r="L285" t="n">
        <v>0</v>
      </c>
      <c r="M285" t="n">
        <v>0</v>
      </c>
      <c r="N285" t="n">
        <v>0</v>
      </c>
      <c r="O285" t="n">
        <v>1</v>
      </c>
      <c r="P285" t="n">
        <v>0</v>
      </c>
      <c r="Q285" t="n">
        <v>1</v>
      </c>
      <c r="R285" s="2" t="inlineStr">
        <is>
          <t>Dropptaggsvamp</t>
        </is>
      </c>
      <c r="S285">
        <f>HYPERLINK("https://klasma.github.io/Logging_2305/artfynd/A 11553-2024 artfynd.xlsx", "A 11553-2024")</f>
        <v/>
      </c>
      <c r="T285">
        <f>HYPERLINK("https://klasma.github.io/Logging_2305/kartor/A 11553-2024 karta.png", "A 11553-2024")</f>
        <v/>
      </c>
      <c r="V285">
        <f>HYPERLINK("https://klasma.github.io/Logging_2305/klagomål/A 11553-2024 FSC-klagomål.docx", "A 11553-2024")</f>
        <v/>
      </c>
      <c r="W285">
        <f>HYPERLINK("https://klasma.github.io/Logging_2305/klagomålsmail/A 11553-2024 FSC-klagomål mail.docx", "A 11553-2024")</f>
        <v/>
      </c>
      <c r="X285">
        <f>HYPERLINK("https://klasma.github.io/Logging_2305/tillsyn/A 11553-2024 tillsynsbegäran.docx", "A 11553-2024")</f>
        <v/>
      </c>
      <c r="Y285">
        <f>HYPERLINK("https://klasma.github.io/Logging_2305/tillsynsmail/A 11553-2024 tillsynsbegäran mail.docx", "A 11553-2024")</f>
        <v/>
      </c>
    </row>
    <row r="286" ht="15" customHeight="1">
      <c r="A286" t="inlineStr">
        <is>
          <t>A 45701-2022</t>
        </is>
      </c>
      <c r="B286" s="1" t="n">
        <v>44845</v>
      </c>
      <c r="C286" s="1" t="n">
        <v>46193</v>
      </c>
      <c r="D286" t="inlineStr">
        <is>
          <t>JÄMTLANDS LÄN</t>
        </is>
      </c>
      <c r="E286" t="inlineStr">
        <is>
          <t>BRÄCKE</t>
        </is>
      </c>
      <c r="F286" t="inlineStr">
        <is>
          <t>SCA</t>
        </is>
      </c>
      <c r="G286" t="n">
        <v>2.9</v>
      </c>
      <c r="H286" t="n">
        <v>1</v>
      </c>
      <c r="I286" t="n">
        <v>0</v>
      </c>
      <c r="J286" t="n">
        <v>1</v>
      </c>
      <c r="K286" t="n">
        <v>0</v>
      </c>
      <c r="L286" t="n">
        <v>0</v>
      </c>
      <c r="M286" t="n">
        <v>0</v>
      </c>
      <c r="N286" t="n">
        <v>0</v>
      </c>
      <c r="O286" t="n">
        <v>1</v>
      </c>
      <c r="P286" t="n">
        <v>0</v>
      </c>
      <c r="Q286" t="n">
        <v>1</v>
      </c>
      <c r="R286" s="2" t="inlineStr">
        <is>
          <t>Lavskrika</t>
        </is>
      </c>
      <c r="S286">
        <f>HYPERLINK("https://klasma.github.io/Logging_2305/artfynd/A 45701-2022 artfynd.xlsx", "A 45701-2022")</f>
        <v/>
      </c>
      <c r="T286">
        <f>HYPERLINK("https://klasma.github.io/Logging_2305/kartor/A 45701-2022 karta.png", "A 45701-2022")</f>
        <v/>
      </c>
      <c r="V286">
        <f>HYPERLINK("https://klasma.github.io/Logging_2305/klagomål/A 45701-2022 FSC-klagomål.docx", "A 45701-2022")</f>
        <v/>
      </c>
      <c r="W286">
        <f>HYPERLINK("https://klasma.github.io/Logging_2305/klagomålsmail/A 45701-2022 FSC-klagomål mail.docx", "A 45701-2022")</f>
        <v/>
      </c>
      <c r="X286">
        <f>HYPERLINK("https://klasma.github.io/Logging_2305/tillsyn/A 45701-2022 tillsynsbegäran.docx", "A 45701-2022")</f>
        <v/>
      </c>
      <c r="Y286">
        <f>HYPERLINK("https://klasma.github.io/Logging_2305/tillsynsmail/A 45701-2022 tillsynsbegäran mail.docx", "A 45701-2022")</f>
        <v/>
      </c>
      <c r="Z286">
        <f>HYPERLINK("https://klasma.github.io/Logging_2305/fåglar/A 45701-2022 prioriterade fågelarter.docx", "A 45701-2022")</f>
        <v/>
      </c>
    </row>
    <row r="287" ht="15" customHeight="1">
      <c r="A287" t="inlineStr">
        <is>
          <t>A 27587-2022</t>
        </is>
      </c>
      <c r="B287" s="1" t="n">
        <v>44742</v>
      </c>
      <c r="C287" s="1" t="n">
        <v>46193</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28135-2024</t>
        </is>
      </c>
      <c r="B288" s="1" t="n">
        <v>45476</v>
      </c>
      <c r="C288" s="1" t="n">
        <v>46193</v>
      </c>
      <c r="D288" t="inlineStr">
        <is>
          <t>JÄMTLANDS LÄN</t>
        </is>
      </c>
      <c r="E288" t="inlineStr">
        <is>
          <t>BRÄCKE</t>
        </is>
      </c>
      <c r="G288" t="n">
        <v>2</v>
      </c>
      <c r="H288" t="n">
        <v>0</v>
      </c>
      <c r="I288" t="n">
        <v>0</v>
      </c>
      <c r="J288" t="n">
        <v>1</v>
      </c>
      <c r="K288" t="n">
        <v>0</v>
      </c>
      <c r="L288" t="n">
        <v>0</v>
      </c>
      <c r="M288" t="n">
        <v>0</v>
      </c>
      <c r="N288" t="n">
        <v>0</v>
      </c>
      <c r="O288" t="n">
        <v>1</v>
      </c>
      <c r="P288" t="n">
        <v>0</v>
      </c>
      <c r="Q288" t="n">
        <v>1</v>
      </c>
      <c r="R288" s="2" t="inlineStr">
        <is>
          <t>Äggvaxskivling</t>
        </is>
      </c>
      <c r="S288">
        <f>HYPERLINK("https://klasma.github.io/Logging_2305/artfynd/A 28135-2024 artfynd.xlsx", "A 28135-2024")</f>
        <v/>
      </c>
      <c r="T288">
        <f>HYPERLINK("https://klasma.github.io/Logging_2305/kartor/A 28135-2024 karta.png", "A 28135-2024")</f>
        <v/>
      </c>
      <c r="V288">
        <f>HYPERLINK("https://klasma.github.io/Logging_2305/klagomål/A 28135-2024 FSC-klagomål.docx", "A 28135-2024")</f>
        <v/>
      </c>
      <c r="W288">
        <f>HYPERLINK("https://klasma.github.io/Logging_2305/klagomålsmail/A 28135-2024 FSC-klagomål mail.docx", "A 28135-2024")</f>
        <v/>
      </c>
      <c r="X288">
        <f>HYPERLINK("https://klasma.github.io/Logging_2305/tillsyn/A 28135-2024 tillsynsbegäran.docx", "A 28135-2024")</f>
        <v/>
      </c>
      <c r="Y288">
        <f>HYPERLINK("https://klasma.github.io/Logging_2305/tillsynsmail/A 28135-2024 tillsynsbegäran mail.docx", "A 28135-2024")</f>
        <v/>
      </c>
    </row>
    <row r="289" ht="15" customHeight="1">
      <c r="A289" t="inlineStr">
        <is>
          <t>A 43832-2021</t>
        </is>
      </c>
      <c r="B289" s="1" t="n">
        <v>44433</v>
      </c>
      <c r="C289" s="1" t="n">
        <v>46193</v>
      </c>
      <c r="D289" t="inlineStr">
        <is>
          <t>JÄMTLANDS LÄN</t>
        </is>
      </c>
      <c r="E289" t="inlineStr">
        <is>
          <t>BRÄCKE</t>
        </is>
      </c>
      <c r="F289" t="inlineStr">
        <is>
          <t>SCA</t>
        </is>
      </c>
      <c r="G289" t="n">
        <v>3</v>
      </c>
      <c r="H289" t="n">
        <v>0</v>
      </c>
      <c r="I289" t="n">
        <v>0</v>
      </c>
      <c r="J289" t="n">
        <v>0</v>
      </c>
      <c r="K289" t="n">
        <v>1</v>
      </c>
      <c r="L289" t="n">
        <v>0</v>
      </c>
      <c r="M289" t="n">
        <v>0</v>
      </c>
      <c r="N289" t="n">
        <v>0</v>
      </c>
      <c r="O289" t="n">
        <v>1</v>
      </c>
      <c r="P289" t="n">
        <v>1</v>
      </c>
      <c r="Q289" t="n">
        <v>1</v>
      </c>
      <c r="R289" s="2" t="inlineStr">
        <is>
          <t>Garnlav</t>
        </is>
      </c>
      <c r="S289">
        <f>HYPERLINK("https://klasma.github.io/Logging_2305/artfynd/A 43832-2021 artfynd.xlsx", "A 43832-2021")</f>
        <v/>
      </c>
      <c r="T289">
        <f>HYPERLINK("https://klasma.github.io/Logging_2305/kartor/A 43832-2021 karta.png", "A 43832-2021")</f>
        <v/>
      </c>
      <c r="V289">
        <f>HYPERLINK("https://klasma.github.io/Logging_2305/klagomål/A 43832-2021 FSC-klagomål.docx", "A 43832-2021")</f>
        <v/>
      </c>
      <c r="W289">
        <f>HYPERLINK("https://klasma.github.io/Logging_2305/klagomålsmail/A 43832-2021 FSC-klagomål mail.docx", "A 43832-2021")</f>
        <v/>
      </c>
      <c r="X289">
        <f>HYPERLINK("https://klasma.github.io/Logging_2305/tillsyn/A 43832-2021 tillsynsbegäran.docx", "A 43832-2021")</f>
        <v/>
      </c>
      <c r="Y289">
        <f>HYPERLINK("https://klasma.github.io/Logging_2305/tillsynsmail/A 43832-2021 tillsynsbegäran mail.docx", "A 43832-2021")</f>
        <v/>
      </c>
    </row>
    <row r="290" ht="15" customHeight="1">
      <c r="A290" t="inlineStr">
        <is>
          <t>A 724-2023</t>
        </is>
      </c>
      <c r="B290" s="1" t="n">
        <v>44930</v>
      </c>
      <c r="C290" s="1" t="n">
        <v>46193</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24552-2022</t>
        </is>
      </c>
      <c r="B291" s="1" t="n">
        <v>44726</v>
      </c>
      <c r="C291" s="1" t="n">
        <v>46193</v>
      </c>
      <c r="D291" t="inlineStr">
        <is>
          <t>JÄMTLANDS LÄN</t>
        </is>
      </c>
      <c r="E291" t="inlineStr">
        <is>
          <t>BRÄCKE</t>
        </is>
      </c>
      <c r="G291" t="n">
        <v>2.6</v>
      </c>
      <c r="H291" t="n">
        <v>0</v>
      </c>
      <c r="I291" t="n">
        <v>0</v>
      </c>
      <c r="J291" t="n">
        <v>0</v>
      </c>
      <c r="K291" t="n">
        <v>1</v>
      </c>
      <c r="L291" t="n">
        <v>0</v>
      </c>
      <c r="M291" t="n">
        <v>0</v>
      </c>
      <c r="N291" t="n">
        <v>0</v>
      </c>
      <c r="O291" t="n">
        <v>1</v>
      </c>
      <c r="P291" t="n">
        <v>1</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16366-2023</t>
        </is>
      </c>
      <c r="B292" s="1" t="n">
        <v>45028</v>
      </c>
      <c r="C292" s="1" t="n">
        <v>46193</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49863-2022</t>
        </is>
      </c>
      <c r="B293" s="1" t="n">
        <v>44862</v>
      </c>
      <c r="C293" s="1" t="n">
        <v>46193</v>
      </c>
      <c r="D293" t="inlineStr">
        <is>
          <t>JÄMTLANDS LÄN</t>
        </is>
      </c>
      <c r="E293" t="inlineStr">
        <is>
          <t>BRÄCKE</t>
        </is>
      </c>
      <c r="F293" t="inlineStr">
        <is>
          <t>SCA</t>
        </is>
      </c>
      <c r="G293" t="n">
        <v>3.9</v>
      </c>
      <c r="H293" t="n">
        <v>1</v>
      </c>
      <c r="I293" t="n">
        <v>1</v>
      </c>
      <c r="J293" t="n">
        <v>0</v>
      </c>
      <c r="K293" t="n">
        <v>0</v>
      </c>
      <c r="L293" t="n">
        <v>0</v>
      </c>
      <c r="M293" t="n">
        <v>0</v>
      </c>
      <c r="N293" t="n">
        <v>0</v>
      </c>
      <c r="O293" t="n">
        <v>0</v>
      </c>
      <c r="P293" t="n">
        <v>0</v>
      </c>
      <c r="Q293" t="n">
        <v>1</v>
      </c>
      <c r="R293" s="2" t="inlineStr">
        <is>
          <t>Spindelblomster</t>
        </is>
      </c>
      <c r="S293">
        <f>HYPERLINK("https://klasma.github.io/Logging_2305/artfynd/A 49863-2022 artfynd.xlsx", "A 49863-2022")</f>
        <v/>
      </c>
      <c r="T293">
        <f>HYPERLINK("https://klasma.github.io/Logging_2305/kartor/A 49863-2022 karta.png", "A 49863-2022")</f>
        <v/>
      </c>
      <c r="V293">
        <f>HYPERLINK("https://klasma.github.io/Logging_2305/klagomål/A 49863-2022 FSC-klagomål.docx", "A 49863-2022")</f>
        <v/>
      </c>
      <c r="W293">
        <f>HYPERLINK("https://klasma.github.io/Logging_2305/klagomålsmail/A 49863-2022 FSC-klagomål mail.docx", "A 49863-2022")</f>
        <v/>
      </c>
      <c r="X293">
        <f>HYPERLINK("https://klasma.github.io/Logging_2305/tillsyn/A 49863-2022 tillsynsbegäran.docx", "A 49863-2022")</f>
        <v/>
      </c>
      <c r="Y293">
        <f>HYPERLINK("https://klasma.github.io/Logging_2305/tillsynsmail/A 49863-2022 tillsynsbegäran mail.docx", "A 49863-2022")</f>
        <v/>
      </c>
    </row>
    <row r="294" ht="15" customHeight="1">
      <c r="A294" t="inlineStr">
        <is>
          <t>A 11614-2024</t>
        </is>
      </c>
      <c r="B294" s="1" t="n">
        <v>45373</v>
      </c>
      <c r="C294" s="1" t="n">
        <v>46193</v>
      </c>
      <c r="D294" t="inlineStr">
        <is>
          <t>JÄMTLANDS LÄN</t>
        </is>
      </c>
      <c r="E294" t="inlineStr">
        <is>
          <t>BRÄCKE</t>
        </is>
      </c>
      <c r="G294" t="n">
        <v>4.3</v>
      </c>
      <c r="H294" t="n">
        <v>0</v>
      </c>
      <c r="I294" t="n">
        <v>0</v>
      </c>
      <c r="J294" t="n">
        <v>1</v>
      </c>
      <c r="K294" t="n">
        <v>0</v>
      </c>
      <c r="L294" t="n">
        <v>0</v>
      </c>
      <c r="M294" t="n">
        <v>0</v>
      </c>
      <c r="N294" t="n">
        <v>0</v>
      </c>
      <c r="O294" t="n">
        <v>1</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13554-2024</t>
        </is>
      </c>
      <c r="B295" s="1" t="n">
        <v>45387</v>
      </c>
      <c r="C295" s="1" t="n">
        <v>46193</v>
      </c>
      <c r="D295" t="inlineStr">
        <is>
          <t>JÄMTLANDS LÄN</t>
        </is>
      </c>
      <c r="E295" t="inlineStr">
        <is>
          <t>BRÄCKE</t>
        </is>
      </c>
      <c r="F295" t="inlineStr">
        <is>
          <t>SCA</t>
        </is>
      </c>
      <c r="G295" t="n">
        <v>0.6</v>
      </c>
      <c r="H295" t="n">
        <v>0</v>
      </c>
      <c r="I295" t="n">
        <v>0</v>
      </c>
      <c r="J295" t="n">
        <v>1</v>
      </c>
      <c r="K295" t="n">
        <v>0</v>
      </c>
      <c r="L295" t="n">
        <v>0</v>
      </c>
      <c r="M295" t="n">
        <v>0</v>
      </c>
      <c r="N295" t="n">
        <v>0</v>
      </c>
      <c r="O295" t="n">
        <v>1</v>
      </c>
      <c r="P295" t="n">
        <v>0</v>
      </c>
      <c r="Q295" t="n">
        <v>1</v>
      </c>
      <c r="R295" s="2" t="inlineStr">
        <is>
          <t>Skrovellav</t>
        </is>
      </c>
      <c r="S295">
        <f>HYPERLINK("https://klasma.github.io/Logging_2305/artfynd/A 13554-2024 artfynd.xlsx", "A 13554-2024")</f>
        <v/>
      </c>
      <c r="T295">
        <f>HYPERLINK("https://klasma.github.io/Logging_2305/kartor/A 13554-2024 karta.png", "A 13554-2024")</f>
        <v/>
      </c>
      <c r="V295">
        <f>HYPERLINK("https://klasma.github.io/Logging_2305/klagomål/A 13554-2024 FSC-klagomål.docx", "A 13554-2024")</f>
        <v/>
      </c>
      <c r="W295">
        <f>HYPERLINK("https://klasma.github.io/Logging_2305/klagomålsmail/A 13554-2024 FSC-klagomål mail.docx", "A 13554-2024")</f>
        <v/>
      </c>
      <c r="X295">
        <f>HYPERLINK("https://klasma.github.io/Logging_2305/tillsyn/A 13554-2024 tillsynsbegäran.docx", "A 13554-2024")</f>
        <v/>
      </c>
      <c r="Y295">
        <f>HYPERLINK("https://klasma.github.io/Logging_2305/tillsynsmail/A 13554-2024 tillsynsbegäran mail.docx", "A 13554-2024")</f>
        <v/>
      </c>
    </row>
    <row r="296" ht="15" customHeight="1">
      <c r="A296" t="inlineStr">
        <is>
          <t>A 62079-2022</t>
        </is>
      </c>
      <c r="B296" s="1" t="n">
        <v>44918</v>
      </c>
      <c r="C296" s="1" t="n">
        <v>46193</v>
      </c>
      <c r="D296" t="inlineStr">
        <is>
          <t>JÄMTLANDS LÄN</t>
        </is>
      </c>
      <c r="E296" t="inlineStr">
        <is>
          <t>BRÄCKE</t>
        </is>
      </c>
      <c r="F296" t="inlineStr">
        <is>
          <t>SCA</t>
        </is>
      </c>
      <c r="G296" t="n">
        <v>3</v>
      </c>
      <c r="H296" t="n">
        <v>0</v>
      </c>
      <c r="I296" t="n">
        <v>0</v>
      </c>
      <c r="J296" t="n">
        <v>0</v>
      </c>
      <c r="K296" t="n">
        <v>1</v>
      </c>
      <c r="L296" t="n">
        <v>0</v>
      </c>
      <c r="M296" t="n">
        <v>0</v>
      </c>
      <c r="N296" t="n">
        <v>0</v>
      </c>
      <c r="O296" t="n">
        <v>1</v>
      </c>
      <c r="P296" t="n">
        <v>1</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49040-2023</t>
        </is>
      </c>
      <c r="B297" s="1" t="n">
        <v>45209</v>
      </c>
      <c r="C297" s="1" t="n">
        <v>46193</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3249-2025</t>
        </is>
      </c>
      <c r="B298" s="1" t="n">
        <v>45679</v>
      </c>
      <c r="C298" s="1" t="n">
        <v>46193</v>
      </c>
      <c r="D298" t="inlineStr">
        <is>
          <t>JÄMTLANDS LÄN</t>
        </is>
      </c>
      <c r="E298" t="inlineStr">
        <is>
          <t>BRÄCKE</t>
        </is>
      </c>
      <c r="F298" t="inlineStr">
        <is>
          <t>SCA</t>
        </is>
      </c>
      <c r="G298" t="n">
        <v>4.6</v>
      </c>
      <c r="H298" t="n">
        <v>1</v>
      </c>
      <c r="I298" t="n">
        <v>0</v>
      </c>
      <c r="J298" t="n">
        <v>0</v>
      </c>
      <c r="K298" t="n">
        <v>0</v>
      </c>
      <c r="L298" t="n">
        <v>1</v>
      </c>
      <c r="M298" t="n">
        <v>0</v>
      </c>
      <c r="N298" t="n">
        <v>0</v>
      </c>
      <c r="O298" t="n">
        <v>1</v>
      </c>
      <c r="P298" t="n">
        <v>1</v>
      </c>
      <c r="Q298" t="n">
        <v>1</v>
      </c>
      <c r="R298" s="2" t="inlineStr">
        <is>
          <t>Pärluggla</t>
        </is>
      </c>
      <c r="S298">
        <f>HYPERLINK("https://klasma.github.io/Logging_2305/artfynd/A 3249-2025 artfynd.xlsx", "A 3249-2025")</f>
        <v/>
      </c>
      <c r="T298">
        <f>HYPERLINK("https://klasma.github.io/Logging_2305/kartor/A 3249-2025 karta.png", "A 3249-2025")</f>
        <v/>
      </c>
      <c r="V298">
        <f>HYPERLINK("https://klasma.github.io/Logging_2305/klagomål/A 3249-2025 FSC-klagomål.docx", "A 3249-2025")</f>
        <v/>
      </c>
      <c r="W298">
        <f>HYPERLINK("https://klasma.github.io/Logging_2305/klagomålsmail/A 3249-2025 FSC-klagomål mail.docx", "A 3249-2025")</f>
        <v/>
      </c>
      <c r="X298">
        <f>HYPERLINK("https://klasma.github.io/Logging_2305/tillsyn/A 3249-2025 tillsynsbegäran.docx", "A 3249-2025")</f>
        <v/>
      </c>
      <c r="Y298">
        <f>HYPERLINK("https://klasma.github.io/Logging_2305/tillsynsmail/A 3249-2025 tillsynsbegäran mail.docx", "A 3249-2025")</f>
        <v/>
      </c>
      <c r="Z298">
        <f>HYPERLINK("https://klasma.github.io/Logging_2305/fåglar/A 3249-2025 prioriterade fågelarter.docx", "A 3249-2025")</f>
        <v/>
      </c>
    </row>
    <row r="299" ht="15" customHeight="1">
      <c r="A299" t="inlineStr">
        <is>
          <t>A 38456-2025</t>
        </is>
      </c>
      <c r="B299" s="1" t="n">
        <v>45883</v>
      </c>
      <c r="C299" s="1" t="n">
        <v>46193</v>
      </c>
      <c r="D299" t="inlineStr">
        <is>
          <t>JÄMTLANDS LÄN</t>
        </is>
      </c>
      <c r="E299" t="inlineStr">
        <is>
          <t>BRÄCKE</t>
        </is>
      </c>
      <c r="F299" t="inlineStr">
        <is>
          <t>SCA</t>
        </is>
      </c>
      <c r="G299" t="n">
        <v>5.3</v>
      </c>
      <c r="H299" t="n">
        <v>1</v>
      </c>
      <c r="I299" t="n">
        <v>0</v>
      </c>
      <c r="J299" t="n">
        <v>0</v>
      </c>
      <c r="K299" t="n">
        <v>0</v>
      </c>
      <c r="L299" t="n">
        <v>0</v>
      </c>
      <c r="M299" t="n">
        <v>0</v>
      </c>
      <c r="N299" t="n">
        <v>0</v>
      </c>
      <c r="O299" t="n">
        <v>0</v>
      </c>
      <c r="P299" t="n">
        <v>0</v>
      </c>
      <c r="Q299" t="n">
        <v>1</v>
      </c>
      <c r="R299" s="2" t="inlineStr">
        <is>
          <t>Revlummer</t>
        </is>
      </c>
      <c r="S299">
        <f>HYPERLINK("https://klasma.github.io/Logging_2305/artfynd/A 38456-2025 artfynd.xlsx", "A 38456-2025")</f>
        <v/>
      </c>
      <c r="T299">
        <f>HYPERLINK("https://klasma.github.io/Logging_2305/kartor/A 38456-2025 karta.png", "A 38456-2025")</f>
        <v/>
      </c>
      <c r="V299">
        <f>HYPERLINK("https://klasma.github.io/Logging_2305/klagomål/A 38456-2025 FSC-klagomål.docx", "A 38456-2025")</f>
        <v/>
      </c>
      <c r="W299">
        <f>HYPERLINK("https://klasma.github.io/Logging_2305/klagomålsmail/A 38456-2025 FSC-klagomål mail.docx", "A 38456-2025")</f>
        <v/>
      </c>
      <c r="X299">
        <f>HYPERLINK("https://klasma.github.io/Logging_2305/tillsyn/A 38456-2025 tillsynsbegäran.docx", "A 38456-2025")</f>
        <v/>
      </c>
      <c r="Y299">
        <f>HYPERLINK("https://klasma.github.io/Logging_2305/tillsynsmail/A 38456-2025 tillsynsbegäran mail.docx", "A 38456-2025")</f>
        <v/>
      </c>
    </row>
    <row r="300" ht="15" customHeight="1">
      <c r="A300" t="inlineStr">
        <is>
          <t>A 38461-2025</t>
        </is>
      </c>
      <c r="B300" s="1" t="n">
        <v>45883</v>
      </c>
      <c r="C300" s="1" t="n">
        <v>46193</v>
      </c>
      <c r="D300" t="inlineStr">
        <is>
          <t>JÄMTLANDS LÄN</t>
        </is>
      </c>
      <c r="E300" t="inlineStr">
        <is>
          <t>BRÄCKE</t>
        </is>
      </c>
      <c r="F300" t="inlineStr">
        <is>
          <t>SCA</t>
        </is>
      </c>
      <c r="G300" t="n">
        <v>5.3</v>
      </c>
      <c r="H300" t="n">
        <v>1</v>
      </c>
      <c r="I300" t="n">
        <v>0</v>
      </c>
      <c r="J300" t="n">
        <v>0</v>
      </c>
      <c r="K300" t="n">
        <v>0</v>
      </c>
      <c r="L300" t="n">
        <v>0</v>
      </c>
      <c r="M300" t="n">
        <v>0</v>
      </c>
      <c r="N300" t="n">
        <v>0</v>
      </c>
      <c r="O300" t="n">
        <v>0</v>
      </c>
      <c r="P300" t="n">
        <v>0</v>
      </c>
      <c r="Q300" t="n">
        <v>1</v>
      </c>
      <c r="R300" s="2" t="inlineStr">
        <is>
          <t>Revlummer</t>
        </is>
      </c>
      <c r="S300">
        <f>HYPERLINK("https://klasma.github.io/Logging_2305/artfynd/A 38461-2025 artfynd.xlsx", "A 38461-2025")</f>
        <v/>
      </c>
      <c r="T300">
        <f>HYPERLINK("https://klasma.github.io/Logging_2305/kartor/A 38461-2025 karta.png", "A 38461-2025")</f>
        <v/>
      </c>
      <c r="V300">
        <f>HYPERLINK("https://klasma.github.io/Logging_2305/klagomål/A 38461-2025 FSC-klagomål.docx", "A 38461-2025")</f>
        <v/>
      </c>
      <c r="W300">
        <f>HYPERLINK("https://klasma.github.io/Logging_2305/klagomålsmail/A 38461-2025 FSC-klagomål mail.docx", "A 38461-2025")</f>
        <v/>
      </c>
      <c r="X300">
        <f>HYPERLINK("https://klasma.github.io/Logging_2305/tillsyn/A 38461-2025 tillsynsbegäran.docx", "A 38461-2025")</f>
        <v/>
      </c>
      <c r="Y300">
        <f>HYPERLINK("https://klasma.github.io/Logging_2305/tillsynsmail/A 38461-2025 tillsynsbegäran mail.docx", "A 38461-2025")</f>
        <v/>
      </c>
    </row>
    <row r="301" ht="15" customHeight="1">
      <c r="A301" t="inlineStr">
        <is>
          <t>A 40711-2022</t>
        </is>
      </c>
      <c r="B301" s="1" t="n">
        <v>44820</v>
      </c>
      <c r="C301" s="1" t="n">
        <v>46193</v>
      </c>
      <c r="D301" t="inlineStr">
        <is>
          <t>JÄMTLANDS LÄN</t>
        </is>
      </c>
      <c r="E301" t="inlineStr">
        <is>
          <t>BRÄCKE</t>
        </is>
      </c>
      <c r="G301" t="n">
        <v>5.4</v>
      </c>
      <c r="H301" t="n">
        <v>1</v>
      </c>
      <c r="I301" t="n">
        <v>0</v>
      </c>
      <c r="J301" t="n">
        <v>0</v>
      </c>
      <c r="K301" t="n">
        <v>0</v>
      </c>
      <c r="L301" t="n">
        <v>0</v>
      </c>
      <c r="M301" t="n">
        <v>0</v>
      </c>
      <c r="N301" t="n">
        <v>0</v>
      </c>
      <c r="O301" t="n">
        <v>0</v>
      </c>
      <c r="P301" t="n">
        <v>0</v>
      </c>
      <c r="Q301" t="n">
        <v>1</v>
      </c>
      <c r="R301" s="2" t="inlineStr">
        <is>
          <t>Blåsippa</t>
        </is>
      </c>
      <c r="S301">
        <f>HYPERLINK("https://klasma.github.io/Logging_2305/artfynd/A 40711-2022 artfynd.xlsx", "A 40711-2022")</f>
        <v/>
      </c>
      <c r="T301">
        <f>HYPERLINK("https://klasma.github.io/Logging_2305/kartor/A 40711-2022 karta.png", "A 40711-2022")</f>
        <v/>
      </c>
      <c r="V301">
        <f>HYPERLINK("https://klasma.github.io/Logging_2305/klagomål/A 40711-2022 FSC-klagomål.docx", "A 40711-2022")</f>
        <v/>
      </c>
      <c r="W301">
        <f>HYPERLINK("https://klasma.github.io/Logging_2305/klagomålsmail/A 40711-2022 FSC-klagomål mail.docx", "A 40711-2022")</f>
        <v/>
      </c>
      <c r="X301">
        <f>HYPERLINK("https://klasma.github.io/Logging_2305/tillsyn/A 40711-2022 tillsynsbegäran.docx", "A 40711-2022")</f>
        <v/>
      </c>
      <c r="Y301">
        <f>HYPERLINK("https://klasma.github.io/Logging_2305/tillsynsmail/A 40711-2022 tillsynsbegäran mail.docx", "A 40711-2022")</f>
        <v/>
      </c>
    </row>
    <row r="302" ht="15" customHeight="1">
      <c r="A302" t="inlineStr">
        <is>
          <t>A 18645-2024</t>
        </is>
      </c>
      <c r="B302" s="1" t="n">
        <v>45425</v>
      </c>
      <c r="C302" s="1" t="n">
        <v>46193</v>
      </c>
      <c r="D302" t="inlineStr">
        <is>
          <t>JÄMTLANDS LÄN</t>
        </is>
      </c>
      <c r="E302" t="inlineStr">
        <is>
          <t>BRÄCKE</t>
        </is>
      </c>
      <c r="F302" t="inlineStr">
        <is>
          <t>SCA</t>
        </is>
      </c>
      <c r="G302" t="n">
        <v>1.9</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18645-2024 artfynd.xlsx", "A 18645-2024")</f>
        <v/>
      </c>
      <c r="T302">
        <f>HYPERLINK("https://klasma.github.io/Logging_2305/kartor/A 18645-2024 karta.png", "A 18645-2024")</f>
        <v/>
      </c>
      <c r="U302">
        <f>HYPERLINK("https://klasma.github.io/Logging_2305/knärot/A 18645-2024 karta knärot.png", "A 18645-2024")</f>
        <v/>
      </c>
      <c r="V302">
        <f>HYPERLINK("https://klasma.github.io/Logging_2305/klagomål/A 18645-2024 FSC-klagomål.docx", "A 18645-2024")</f>
        <v/>
      </c>
      <c r="W302">
        <f>HYPERLINK("https://klasma.github.io/Logging_2305/klagomålsmail/A 18645-2024 FSC-klagomål mail.docx", "A 18645-2024")</f>
        <v/>
      </c>
      <c r="X302">
        <f>HYPERLINK("https://klasma.github.io/Logging_2305/tillsyn/A 18645-2024 tillsynsbegäran.docx", "A 18645-2024")</f>
        <v/>
      </c>
      <c r="Y302">
        <f>HYPERLINK("https://klasma.github.io/Logging_2305/tillsynsmail/A 18645-2024 tillsynsbegäran mail.docx", "A 18645-2024")</f>
        <v/>
      </c>
      <c r="Z302">
        <f>HYPERLINK("https://klasma.github.io/Logging_2305/fåglar/A 18645-2024 prioriterade fågelarter.docx", "A 18645-2024")</f>
        <v/>
      </c>
    </row>
    <row r="303" ht="15" customHeight="1">
      <c r="A303" t="inlineStr">
        <is>
          <t>A 35023-2022</t>
        </is>
      </c>
      <c r="B303" s="1" t="n">
        <v>44796</v>
      </c>
      <c r="C303" s="1" t="n">
        <v>46193</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55931-2023</t>
        </is>
      </c>
      <c r="B304" s="1" t="n">
        <v>45239</v>
      </c>
      <c r="C304" s="1" t="n">
        <v>46193</v>
      </c>
      <c r="D304" t="inlineStr">
        <is>
          <t>JÄMTLANDS LÄN</t>
        </is>
      </c>
      <c r="E304" t="inlineStr">
        <is>
          <t>BRÄCKE</t>
        </is>
      </c>
      <c r="F304" t="inlineStr">
        <is>
          <t>Kyrkan</t>
        </is>
      </c>
      <c r="G304" t="n">
        <v>1.2</v>
      </c>
      <c r="H304" t="n">
        <v>0</v>
      </c>
      <c r="I304" t="n">
        <v>0</v>
      </c>
      <c r="J304" t="n">
        <v>1</v>
      </c>
      <c r="K304" t="n">
        <v>0</v>
      </c>
      <c r="L304" t="n">
        <v>0</v>
      </c>
      <c r="M304" t="n">
        <v>0</v>
      </c>
      <c r="N304" t="n">
        <v>0</v>
      </c>
      <c r="O304" t="n">
        <v>1</v>
      </c>
      <c r="P304" t="n">
        <v>0</v>
      </c>
      <c r="Q304" t="n">
        <v>1</v>
      </c>
      <c r="R304" s="2" t="inlineStr">
        <is>
          <t>Harticka</t>
        </is>
      </c>
      <c r="S304">
        <f>HYPERLINK("https://klasma.github.io/Logging_2305/artfynd/A 55931-2023 artfynd.xlsx", "A 55931-2023")</f>
        <v/>
      </c>
      <c r="T304">
        <f>HYPERLINK("https://klasma.github.io/Logging_2305/kartor/A 55931-2023 karta.png", "A 55931-2023")</f>
        <v/>
      </c>
      <c r="V304">
        <f>HYPERLINK("https://klasma.github.io/Logging_2305/klagomål/A 55931-2023 FSC-klagomål.docx", "A 55931-2023")</f>
        <v/>
      </c>
      <c r="W304">
        <f>HYPERLINK("https://klasma.github.io/Logging_2305/klagomålsmail/A 55931-2023 FSC-klagomål mail.docx", "A 55931-2023")</f>
        <v/>
      </c>
      <c r="X304">
        <f>HYPERLINK("https://klasma.github.io/Logging_2305/tillsyn/A 55931-2023 tillsynsbegäran.docx", "A 55931-2023")</f>
        <v/>
      </c>
      <c r="Y304">
        <f>HYPERLINK("https://klasma.github.io/Logging_2305/tillsynsmail/A 55931-2023 tillsynsbegäran mail.docx", "A 55931-2023")</f>
        <v/>
      </c>
    </row>
    <row r="305" ht="15" customHeight="1">
      <c r="A305" t="inlineStr">
        <is>
          <t>A 22101-2024</t>
        </is>
      </c>
      <c r="B305" s="1" t="n">
        <v>45443</v>
      </c>
      <c r="C305" s="1" t="n">
        <v>46193</v>
      </c>
      <c r="D305" t="inlineStr">
        <is>
          <t>JÄMTLANDS LÄN</t>
        </is>
      </c>
      <c r="E305" t="inlineStr">
        <is>
          <t>BRÄCKE</t>
        </is>
      </c>
      <c r="F305" t="inlineStr">
        <is>
          <t>SCA</t>
        </is>
      </c>
      <c r="G305" t="n">
        <v>3.5</v>
      </c>
      <c r="H305" t="n">
        <v>0</v>
      </c>
      <c r="I305" t="n">
        <v>0</v>
      </c>
      <c r="J305" t="n">
        <v>0</v>
      </c>
      <c r="K305" t="n">
        <v>1</v>
      </c>
      <c r="L305" t="n">
        <v>0</v>
      </c>
      <c r="M305" t="n">
        <v>0</v>
      </c>
      <c r="N305" t="n">
        <v>0</v>
      </c>
      <c r="O305" t="n">
        <v>1</v>
      </c>
      <c r="P305" t="n">
        <v>1</v>
      </c>
      <c r="Q305" t="n">
        <v>1</v>
      </c>
      <c r="R305" s="2" t="inlineStr">
        <is>
          <t>Garnlav</t>
        </is>
      </c>
      <c r="S305">
        <f>HYPERLINK("https://klasma.github.io/Logging_2305/artfynd/A 22101-2024 artfynd.xlsx", "A 22101-2024")</f>
        <v/>
      </c>
      <c r="T305">
        <f>HYPERLINK("https://klasma.github.io/Logging_2305/kartor/A 22101-2024 karta.png", "A 22101-2024")</f>
        <v/>
      </c>
      <c r="V305">
        <f>HYPERLINK("https://klasma.github.io/Logging_2305/klagomål/A 22101-2024 FSC-klagomål.docx", "A 22101-2024")</f>
        <v/>
      </c>
      <c r="W305">
        <f>HYPERLINK("https://klasma.github.io/Logging_2305/klagomålsmail/A 22101-2024 FSC-klagomål mail.docx", "A 22101-2024")</f>
        <v/>
      </c>
      <c r="X305">
        <f>HYPERLINK("https://klasma.github.io/Logging_2305/tillsyn/A 22101-2024 tillsynsbegäran.docx", "A 22101-2024")</f>
        <v/>
      </c>
      <c r="Y305">
        <f>HYPERLINK("https://klasma.github.io/Logging_2305/tillsynsmail/A 22101-2024 tillsynsbegäran mail.docx", "A 22101-2024")</f>
        <v/>
      </c>
    </row>
    <row r="306" ht="15" customHeight="1">
      <c r="A306" t="inlineStr">
        <is>
          <t>A 20768-2024</t>
        </is>
      </c>
      <c r="B306" s="1" t="n">
        <v>45436</v>
      </c>
      <c r="C306" s="1" t="n">
        <v>46193</v>
      </c>
      <c r="D306" t="inlineStr">
        <is>
          <t>JÄMTLANDS LÄN</t>
        </is>
      </c>
      <c r="E306" t="inlineStr">
        <is>
          <t>BRÄCKE</t>
        </is>
      </c>
      <c r="F306" t="inlineStr">
        <is>
          <t>SCA</t>
        </is>
      </c>
      <c r="G306" t="n">
        <v>12.6</v>
      </c>
      <c r="H306" t="n">
        <v>1</v>
      </c>
      <c r="I306" t="n">
        <v>0</v>
      </c>
      <c r="J306" t="n">
        <v>0</v>
      </c>
      <c r="K306" t="n">
        <v>1</v>
      </c>
      <c r="L306" t="n">
        <v>0</v>
      </c>
      <c r="M306" t="n">
        <v>0</v>
      </c>
      <c r="N306" t="n">
        <v>0</v>
      </c>
      <c r="O306" t="n">
        <v>1</v>
      </c>
      <c r="P306" t="n">
        <v>1</v>
      </c>
      <c r="Q306" t="n">
        <v>1</v>
      </c>
      <c r="R306" s="2" t="inlineStr">
        <is>
          <t>Doftticka</t>
        </is>
      </c>
      <c r="S306">
        <f>HYPERLINK("https://klasma.github.io/Logging_2305/artfynd/A 20768-2024 artfynd.xlsx", "A 20768-2024")</f>
        <v/>
      </c>
      <c r="T306">
        <f>HYPERLINK("https://klasma.github.io/Logging_2305/kartor/A 20768-2024 karta.png", "A 20768-2024")</f>
        <v/>
      </c>
      <c r="V306">
        <f>HYPERLINK("https://klasma.github.io/Logging_2305/klagomål/A 20768-2024 FSC-klagomål.docx", "A 20768-2024")</f>
        <v/>
      </c>
      <c r="W306">
        <f>HYPERLINK("https://klasma.github.io/Logging_2305/klagomålsmail/A 20768-2024 FSC-klagomål mail.docx", "A 20768-2024")</f>
        <v/>
      </c>
      <c r="X306">
        <f>HYPERLINK("https://klasma.github.io/Logging_2305/tillsyn/A 20768-2024 tillsynsbegäran.docx", "A 20768-2024")</f>
        <v/>
      </c>
      <c r="Y306">
        <f>HYPERLINK("https://klasma.github.io/Logging_2305/tillsynsmail/A 20768-2024 tillsynsbegäran mail.docx", "A 20768-2024")</f>
        <v/>
      </c>
    </row>
    <row r="307" ht="15" customHeight="1">
      <c r="A307" t="inlineStr">
        <is>
          <t>A 39662-2024</t>
        </is>
      </c>
      <c r="B307" s="1" t="n">
        <v>45552</v>
      </c>
      <c r="C307" s="1" t="n">
        <v>46193</v>
      </c>
      <c r="D307" t="inlineStr">
        <is>
          <t>JÄMTLANDS LÄN</t>
        </is>
      </c>
      <c r="E307" t="inlineStr">
        <is>
          <t>BRÄCKE</t>
        </is>
      </c>
      <c r="F307" t="inlineStr">
        <is>
          <t>SCA</t>
        </is>
      </c>
      <c r="G307" t="n">
        <v>11.3</v>
      </c>
      <c r="H307" t="n">
        <v>1</v>
      </c>
      <c r="I307" t="n">
        <v>0</v>
      </c>
      <c r="J307" t="n">
        <v>0</v>
      </c>
      <c r="K307" t="n">
        <v>0</v>
      </c>
      <c r="L307" t="n">
        <v>0</v>
      </c>
      <c r="M307" t="n">
        <v>0</v>
      </c>
      <c r="N307" t="n">
        <v>0</v>
      </c>
      <c r="O307" t="n">
        <v>0</v>
      </c>
      <c r="P307" t="n">
        <v>0</v>
      </c>
      <c r="Q307" t="n">
        <v>1</v>
      </c>
      <c r="R307" s="2" t="inlineStr">
        <is>
          <t>Tjäder</t>
        </is>
      </c>
      <c r="S307">
        <f>HYPERLINK("https://klasma.github.io/Logging_2305/artfynd/A 39662-2024 artfynd.xlsx", "A 39662-2024")</f>
        <v/>
      </c>
      <c r="T307">
        <f>HYPERLINK("https://klasma.github.io/Logging_2305/kartor/A 39662-2024 karta.png", "A 39662-2024")</f>
        <v/>
      </c>
      <c r="V307">
        <f>HYPERLINK("https://klasma.github.io/Logging_2305/klagomål/A 39662-2024 FSC-klagomål.docx", "A 39662-2024")</f>
        <v/>
      </c>
      <c r="W307">
        <f>HYPERLINK("https://klasma.github.io/Logging_2305/klagomålsmail/A 39662-2024 FSC-klagomål mail.docx", "A 39662-2024")</f>
        <v/>
      </c>
      <c r="X307">
        <f>HYPERLINK("https://klasma.github.io/Logging_2305/tillsyn/A 39662-2024 tillsynsbegäran.docx", "A 39662-2024")</f>
        <v/>
      </c>
      <c r="Y307">
        <f>HYPERLINK("https://klasma.github.io/Logging_2305/tillsynsmail/A 39662-2024 tillsynsbegäran mail.docx", "A 39662-2024")</f>
        <v/>
      </c>
      <c r="Z307">
        <f>HYPERLINK("https://klasma.github.io/Logging_2305/fåglar/A 39662-2024 prioriterade fågelarter.docx", "A 39662-2024")</f>
        <v/>
      </c>
    </row>
    <row r="308" ht="15" customHeight="1">
      <c r="A308" t="inlineStr">
        <is>
          <t>A 52227-2024</t>
        </is>
      </c>
      <c r="B308" s="1" t="n">
        <v>45608</v>
      </c>
      <c r="C308" s="1" t="n">
        <v>46193</v>
      </c>
      <c r="D308" t="inlineStr">
        <is>
          <t>JÄMTLANDS LÄN</t>
        </is>
      </c>
      <c r="E308" t="inlineStr">
        <is>
          <t>BRÄCKE</t>
        </is>
      </c>
      <c r="F308" t="inlineStr">
        <is>
          <t>SCA</t>
        </is>
      </c>
      <c r="G308" t="n">
        <v>1.4</v>
      </c>
      <c r="H308" t="n">
        <v>1</v>
      </c>
      <c r="I308" t="n">
        <v>0</v>
      </c>
      <c r="J308" t="n">
        <v>0</v>
      </c>
      <c r="K308" t="n">
        <v>0</v>
      </c>
      <c r="L308" t="n">
        <v>0</v>
      </c>
      <c r="M308" t="n">
        <v>0</v>
      </c>
      <c r="N308" t="n">
        <v>0</v>
      </c>
      <c r="O308" t="n">
        <v>0</v>
      </c>
      <c r="P308" t="n">
        <v>0</v>
      </c>
      <c r="Q308" t="n">
        <v>1</v>
      </c>
      <c r="R308" s="2" t="inlineStr">
        <is>
          <t>Tjäder</t>
        </is>
      </c>
      <c r="S308">
        <f>HYPERLINK("https://klasma.github.io/Logging_2305/artfynd/A 52227-2024 artfynd.xlsx", "A 52227-2024")</f>
        <v/>
      </c>
      <c r="T308">
        <f>HYPERLINK("https://klasma.github.io/Logging_2305/kartor/A 52227-2024 karta.png", "A 52227-2024")</f>
        <v/>
      </c>
      <c r="V308">
        <f>HYPERLINK("https://klasma.github.io/Logging_2305/klagomål/A 52227-2024 FSC-klagomål.docx", "A 52227-2024")</f>
        <v/>
      </c>
      <c r="W308">
        <f>HYPERLINK("https://klasma.github.io/Logging_2305/klagomålsmail/A 52227-2024 FSC-klagomål mail.docx", "A 52227-2024")</f>
        <v/>
      </c>
      <c r="X308">
        <f>HYPERLINK("https://klasma.github.io/Logging_2305/tillsyn/A 52227-2024 tillsynsbegäran.docx", "A 52227-2024")</f>
        <v/>
      </c>
      <c r="Y308">
        <f>HYPERLINK("https://klasma.github.io/Logging_2305/tillsynsmail/A 52227-2024 tillsynsbegäran mail.docx", "A 52227-2024")</f>
        <v/>
      </c>
      <c r="Z308">
        <f>HYPERLINK("https://klasma.github.io/Logging_2305/fåglar/A 52227-2024 prioriterade fågelarter.docx", "A 52227-2024")</f>
        <v/>
      </c>
    </row>
    <row r="309" ht="15" customHeight="1">
      <c r="A309" t="inlineStr">
        <is>
          <t>A 25718-2024</t>
        </is>
      </c>
      <c r="B309" s="1" t="n">
        <v>45463</v>
      </c>
      <c r="C309" s="1" t="n">
        <v>46193</v>
      </c>
      <c r="D309" t="inlineStr">
        <is>
          <t>JÄMTLANDS LÄN</t>
        </is>
      </c>
      <c r="E309" t="inlineStr">
        <is>
          <t>BRÄCKE</t>
        </is>
      </c>
      <c r="F309" t="inlineStr">
        <is>
          <t>SCA</t>
        </is>
      </c>
      <c r="G309" t="n">
        <v>2.2</v>
      </c>
      <c r="H309" t="n">
        <v>0</v>
      </c>
      <c r="I309" t="n">
        <v>0</v>
      </c>
      <c r="J309" t="n">
        <v>0</v>
      </c>
      <c r="K309" t="n">
        <v>1</v>
      </c>
      <c r="L309" t="n">
        <v>0</v>
      </c>
      <c r="M309" t="n">
        <v>0</v>
      </c>
      <c r="N309" t="n">
        <v>0</v>
      </c>
      <c r="O309" t="n">
        <v>1</v>
      </c>
      <c r="P309" t="n">
        <v>1</v>
      </c>
      <c r="Q309" t="n">
        <v>1</v>
      </c>
      <c r="R309" s="2" t="inlineStr">
        <is>
          <t>Gräddporing</t>
        </is>
      </c>
      <c r="S309">
        <f>HYPERLINK("https://klasma.github.io/Logging_2305/artfynd/A 25718-2024 artfynd.xlsx", "A 25718-2024")</f>
        <v/>
      </c>
      <c r="T309">
        <f>HYPERLINK("https://klasma.github.io/Logging_2305/kartor/A 25718-2024 karta.png", "A 25718-2024")</f>
        <v/>
      </c>
      <c r="V309">
        <f>HYPERLINK("https://klasma.github.io/Logging_2305/klagomål/A 25718-2024 FSC-klagomål.docx", "A 25718-2024")</f>
        <v/>
      </c>
      <c r="W309">
        <f>HYPERLINK("https://klasma.github.io/Logging_2305/klagomålsmail/A 25718-2024 FSC-klagomål mail.docx", "A 25718-2024")</f>
        <v/>
      </c>
      <c r="X309">
        <f>HYPERLINK("https://klasma.github.io/Logging_2305/tillsyn/A 25718-2024 tillsynsbegäran.docx", "A 25718-2024")</f>
        <v/>
      </c>
      <c r="Y309">
        <f>HYPERLINK("https://klasma.github.io/Logging_2305/tillsynsmail/A 25718-2024 tillsynsbegäran mail.docx", "A 25718-2024")</f>
        <v/>
      </c>
    </row>
    <row r="310" ht="15" customHeight="1">
      <c r="A310" t="inlineStr">
        <is>
          <t>A 38834-2025</t>
        </is>
      </c>
      <c r="B310" s="1" t="n">
        <v>45887</v>
      </c>
      <c r="C310" s="1" t="n">
        <v>46193</v>
      </c>
      <c r="D310" t="inlineStr">
        <is>
          <t>JÄMTLANDS LÄN</t>
        </is>
      </c>
      <c r="E310" t="inlineStr">
        <is>
          <t>BRÄCKE</t>
        </is>
      </c>
      <c r="F310" t="inlineStr">
        <is>
          <t>SCA</t>
        </is>
      </c>
      <c r="G310" t="n">
        <v>6.3</v>
      </c>
      <c r="H310" t="n">
        <v>1</v>
      </c>
      <c r="I310" t="n">
        <v>0</v>
      </c>
      <c r="J310" t="n">
        <v>0</v>
      </c>
      <c r="K310" t="n">
        <v>0</v>
      </c>
      <c r="L310" t="n">
        <v>0</v>
      </c>
      <c r="M310" t="n">
        <v>0</v>
      </c>
      <c r="N310" t="n">
        <v>0</v>
      </c>
      <c r="O310" t="n">
        <v>0</v>
      </c>
      <c r="P310" t="n">
        <v>0</v>
      </c>
      <c r="Q310" t="n">
        <v>1</v>
      </c>
      <c r="R310" s="2" t="inlineStr">
        <is>
          <t>Vanliga ängsnycklar</t>
        </is>
      </c>
      <c r="S310">
        <f>HYPERLINK("https://klasma.github.io/Logging_2305/artfynd/A 38834-2025 artfynd.xlsx", "A 38834-2025")</f>
        <v/>
      </c>
      <c r="T310">
        <f>HYPERLINK("https://klasma.github.io/Logging_2305/kartor/A 38834-2025 karta.png", "A 38834-2025")</f>
        <v/>
      </c>
      <c r="V310">
        <f>HYPERLINK("https://klasma.github.io/Logging_2305/klagomål/A 38834-2025 FSC-klagomål.docx", "A 38834-2025")</f>
        <v/>
      </c>
      <c r="W310">
        <f>HYPERLINK("https://klasma.github.io/Logging_2305/klagomålsmail/A 38834-2025 FSC-klagomål mail.docx", "A 38834-2025")</f>
        <v/>
      </c>
      <c r="X310">
        <f>HYPERLINK("https://klasma.github.io/Logging_2305/tillsyn/A 38834-2025 tillsynsbegäran.docx", "A 38834-2025")</f>
        <v/>
      </c>
      <c r="Y310">
        <f>HYPERLINK("https://klasma.github.io/Logging_2305/tillsynsmail/A 38834-2025 tillsynsbegäran mail.docx", "A 38834-2025")</f>
        <v/>
      </c>
    </row>
    <row r="311" ht="15" customHeight="1">
      <c r="A311" t="inlineStr">
        <is>
          <t>A 39272-2025</t>
        </is>
      </c>
      <c r="B311" s="1" t="n">
        <v>45889</v>
      </c>
      <c r="C311" s="1" t="n">
        <v>46193</v>
      </c>
      <c r="D311" t="inlineStr">
        <is>
          <t>JÄMTLANDS LÄN</t>
        </is>
      </c>
      <c r="E311" t="inlineStr">
        <is>
          <t>BRÄCKE</t>
        </is>
      </c>
      <c r="F311" t="inlineStr">
        <is>
          <t>SCA</t>
        </is>
      </c>
      <c r="G311" t="n">
        <v>13.1</v>
      </c>
      <c r="H311" t="n">
        <v>0</v>
      </c>
      <c r="I311" t="n">
        <v>1</v>
      </c>
      <c r="J311" t="n">
        <v>0</v>
      </c>
      <c r="K311" t="n">
        <v>0</v>
      </c>
      <c r="L311" t="n">
        <v>0</v>
      </c>
      <c r="M311" t="n">
        <v>0</v>
      </c>
      <c r="N311" t="n">
        <v>0</v>
      </c>
      <c r="O311" t="n">
        <v>0</v>
      </c>
      <c r="P311" t="n">
        <v>0</v>
      </c>
      <c r="Q311" t="n">
        <v>1</v>
      </c>
      <c r="R311" s="2" t="inlineStr">
        <is>
          <t>Skinnlav</t>
        </is>
      </c>
      <c r="S311">
        <f>HYPERLINK("https://klasma.github.io/Logging_2305/artfynd/A 39272-2025 artfynd.xlsx", "A 39272-2025")</f>
        <v/>
      </c>
      <c r="T311">
        <f>HYPERLINK("https://klasma.github.io/Logging_2305/kartor/A 39272-2025 karta.png", "A 39272-2025")</f>
        <v/>
      </c>
      <c r="V311">
        <f>HYPERLINK("https://klasma.github.io/Logging_2305/klagomål/A 39272-2025 FSC-klagomål.docx", "A 39272-2025")</f>
        <v/>
      </c>
      <c r="W311">
        <f>HYPERLINK("https://klasma.github.io/Logging_2305/klagomålsmail/A 39272-2025 FSC-klagomål mail.docx", "A 39272-2025")</f>
        <v/>
      </c>
      <c r="X311">
        <f>HYPERLINK("https://klasma.github.io/Logging_2305/tillsyn/A 39272-2025 tillsynsbegäran.docx", "A 39272-2025")</f>
        <v/>
      </c>
      <c r="Y311">
        <f>HYPERLINK("https://klasma.github.io/Logging_2305/tillsynsmail/A 39272-2025 tillsynsbegäran mail.docx", "A 39272-2025")</f>
        <v/>
      </c>
    </row>
    <row r="312" ht="15" customHeight="1">
      <c r="A312" t="inlineStr">
        <is>
          <t>A 28766-2024</t>
        </is>
      </c>
      <c r="B312" s="1" t="n">
        <v>45478</v>
      </c>
      <c r="C312" s="1" t="n">
        <v>46193</v>
      </c>
      <c r="D312" t="inlineStr">
        <is>
          <t>JÄMTLANDS LÄN</t>
        </is>
      </c>
      <c r="E312" t="inlineStr">
        <is>
          <t>BRÄCKE</t>
        </is>
      </c>
      <c r="F312" t="inlineStr">
        <is>
          <t>Sveaskog</t>
        </is>
      </c>
      <c r="G312" t="n">
        <v>2.1</v>
      </c>
      <c r="H312" t="n">
        <v>0</v>
      </c>
      <c r="I312" t="n">
        <v>0</v>
      </c>
      <c r="J312" t="n">
        <v>1</v>
      </c>
      <c r="K312" t="n">
        <v>0</v>
      </c>
      <c r="L312" t="n">
        <v>0</v>
      </c>
      <c r="M312" t="n">
        <v>0</v>
      </c>
      <c r="N312" t="n">
        <v>0</v>
      </c>
      <c r="O312" t="n">
        <v>1</v>
      </c>
      <c r="P312" t="n">
        <v>0</v>
      </c>
      <c r="Q312" t="n">
        <v>1</v>
      </c>
      <c r="R312" s="2" t="inlineStr">
        <is>
          <t>Kolflarnlav</t>
        </is>
      </c>
      <c r="S312">
        <f>HYPERLINK("https://klasma.github.io/Logging_2305/artfynd/A 28766-2024 artfynd.xlsx", "A 28766-2024")</f>
        <v/>
      </c>
      <c r="T312">
        <f>HYPERLINK("https://klasma.github.io/Logging_2305/kartor/A 28766-2024 karta.png", "A 28766-2024")</f>
        <v/>
      </c>
      <c r="V312">
        <f>HYPERLINK("https://klasma.github.io/Logging_2305/klagomål/A 28766-2024 FSC-klagomål.docx", "A 28766-2024")</f>
        <v/>
      </c>
      <c r="W312">
        <f>HYPERLINK("https://klasma.github.io/Logging_2305/klagomålsmail/A 28766-2024 FSC-klagomål mail.docx", "A 28766-2024")</f>
        <v/>
      </c>
      <c r="X312">
        <f>HYPERLINK("https://klasma.github.io/Logging_2305/tillsyn/A 28766-2024 tillsynsbegäran.docx", "A 28766-2024")</f>
        <v/>
      </c>
      <c r="Y312">
        <f>HYPERLINK("https://klasma.github.io/Logging_2305/tillsynsmail/A 28766-2024 tillsynsbegäran mail.docx", "A 28766-2024")</f>
        <v/>
      </c>
    </row>
    <row r="313" ht="15" customHeight="1">
      <c r="A313" t="inlineStr">
        <is>
          <t>A 2466-2025</t>
        </is>
      </c>
      <c r="B313" s="1" t="n">
        <v>45674</v>
      </c>
      <c r="C313" s="1" t="n">
        <v>46193</v>
      </c>
      <c r="D313" t="inlineStr">
        <is>
          <t>JÄMTLANDS LÄN</t>
        </is>
      </c>
      <c r="E313" t="inlineStr">
        <is>
          <t>BRÄCKE</t>
        </is>
      </c>
      <c r="F313" t="inlineStr">
        <is>
          <t>SCA</t>
        </is>
      </c>
      <c r="G313" t="n">
        <v>2.4</v>
      </c>
      <c r="H313" t="n">
        <v>0</v>
      </c>
      <c r="I313" t="n">
        <v>0</v>
      </c>
      <c r="J313" t="n">
        <v>1</v>
      </c>
      <c r="K313" t="n">
        <v>0</v>
      </c>
      <c r="L313" t="n">
        <v>0</v>
      </c>
      <c r="M313" t="n">
        <v>0</v>
      </c>
      <c r="N313" t="n">
        <v>0</v>
      </c>
      <c r="O313" t="n">
        <v>1</v>
      </c>
      <c r="P313" t="n">
        <v>0</v>
      </c>
      <c r="Q313" t="n">
        <v>1</v>
      </c>
      <c r="R313" s="2" t="inlineStr">
        <is>
          <t>Lunglav</t>
        </is>
      </c>
      <c r="S313">
        <f>HYPERLINK("https://klasma.github.io/Logging_2305/artfynd/A 2466-2025 artfynd.xlsx", "A 2466-2025")</f>
        <v/>
      </c>
      <c r="T313">
        <f>HYPERLINK("https://klasma.github.io/Logging_2305/kartor/A 2466-2025 karta.png", "A 2466-2025")</f>
        <v/>
      </c>
      <c r="V313">
        <f>HYPERLINK("https://klasma.github.io/Logging_2305/klagomål/A 2466-2025 FSC-klagomål.docx", "A 2466-2025")</f>
        <v/>
      </c>
      <c r="W313">
        <f>HYPERLINK("https://klasma.github.io/Logging_2305/klagomålsmail/A 2466-2025 FSC-klagomål mail.docx", "A 2466-2025")</f>
        <v/>
      </c>
      <c r="X313">
        <f>HYPERLINK("https://klasma.github.io/Logging_2305/tillsyn/A 2466-2025 tillsynsbegäran.docx", "A 2466-2025")</f>
        <v/>
      </c>
      <c r="Y313">
        <f>HYPERLINK("https://klasma.github.io/Logging_2305/tillsynsmail/A 2466-2025 tillsynsbegäran mail.docx", "A 2466-2025")</f>
        <v/>
      </c>
    </row>
    <row r="314" ht="15" customHeight="1">
      <c r="A314" t="inlineStr">
        <is>
          <t>A 29546-2024</t>
        </is>
      </c>
      <c r="B314" s="1" t="n">
        <v>45484</v>
      </c>
      <c r="C314" s="1" t="n">
        <v>46193</v>
      </c>
      <c r="D314" t="inlineStr">
        <is>
          <t>JÄMTLANDS LÄN</t>
        </is>
      </c>
      <c r="E314" t="inlineStr">
        <is>
          <t>BRÄCKE</t>
        </is>
      </c>
      <c r="F314" t="inlineStr">
        <is>
          <t>Övriga Aktiebolag</t>
        </is>
      </c>
      <c r="G314" t="n">
        <v>3.1</v>
      </c>
      <c r="H314" t="n">
        <v>1</v>
      </c>
      <c r="I314" t="n">
        <v>0</v>
      </c>
      <c r="J314" t="n">
        <v>0</v>
      </c>
      <c r="K314" t="n">
        <v>0</v>
      </c>
      <c r="L314" t="n">
        <v>0</v>
      </c>
      <c r="M314" t="n">
        <v>0</v>
      </c>
      <c r="N314" t="n">
        <v>0</v>
      </c>
      <c r="O314" t="n">
        <v>0</v>
      </c>
      <c r="P314" t="n">
        <v>0</v>
      </c>
      <c r="Q314" t="n">
        <v>1</v>
      </c>
      <c r="R314" s="2" t="inlineStr">
        <is>
          <t>Spillkråka</t>
        </is>
      </c>
      <c r="S314">
        <f>HYPERLINK("https://klasma.github.io/Logging_2305/artfynd/A 29546-2024 artfynd.xlsx", "A 29546-2024")</f>
        <v/>
      </c>
      <c r="T314">
        <f>HYPERLINK("https://klasma.github.io/Logging_2305/kartor/A 29546-2024 karta.png", "A 29546-2024")</f>
        <v/>
      </c>
      <c r="V314">
        <f>HYPERLINK("https://klasma.github.io/Logging_2305/klagomål/A 29546-2024 FSC-klagomål.docx", "A 29546-2024")</f>
        <v/>
      </c>
      <c r="W314">
        <f>HYPERLINK("https://klasma.github.io/Logging_2305/klagomålsmail/A 29546-2024 FSC-klagomål mail.docx", "A 29546-2024")</f>
        <v/>
      </c>
      <c r="X314">
        <f>HYPERLINK("https://klasma.github.io/Logging_2305/tillsyn/A 29546-2024 tillsynsbegäran.docx", "A 29546-2024")</f>
        <v/>
      </c>
      <c r="Y314">
        <f>HYPERLINK("https://klasma.github.io/Logging_2305/tillsynsmail/A 29546-2024 tillsynsbegäran mail.docx", "A 29546-2024")</f>
        <v/>
      </c>
      <c r="Z314">
        <f>HYPERLINK("https://klasma.github.io/Logging_2305/fåglar/A 29546-2024 prioriterade fågelarter.docx", "A 29546-2024")</f>
        <v/>
      </c>
    </row>
    <row r="315" ht="15" customHeight="1">
      <c r="A315" t="inlineStr">
        <is>
          <t>A 14374-2024</t>
        </is>
      </c>
      <c r="B315" s="1" t="n">
        <v>45393</v>
      </c>
      <c r="C315" s="1" t="n">
        <v>46193</v>
      </c>
      <c r="D315" t="inlineStr">
        <is>
          <t>JÄMTLANDS LÄN</t>
        </is>
      </c>
      <c r="E315" t="inlineStr">
        <is>
          <t>BRÄCKE</t>
        </is>
      </c>
      <c r="F315" t="inlineStr">
        <is>
          <t>SCA</t>
        </is>
      </c>
      <c r="G315" t="n">
        <v>0.8</v>
      </c>
      <c r="H315" t="n">
        <v>1</v>
      </c>
      <c r="I315" t="n">
        <v>0</v>
      </c>
      <c r="J315" t="n">
        <v>1</v>
      </c>
      <c r="K315" t="n">
        <v>0</v>
      </c>
      <c r="L315" t="n">
        <v>0</v>
      </c>
      <c r="M315" t="n">
        <v>0</v>
      </c>
      <c r="N315" t="n">
        <v>0</v>
      </c>
      <c r="O315" t="n">
        <v>1</v>
      </c>
      <c r="P315" t="n">
        <v>0</v>
      </c>
      <c r="Q315" t="n">
        <v>1</v>
      </c>
      <c r="R315" s="2" t="inlineStr">
        <is>
          <t>Kungsörn</t>
        </is>
      </c>
      <c r="S315">
        <f>HYPERLINK("https://klasma.github.io/Logging_2305/artfynd/A 14374-2024 artfynd.xlsx", "A 14374-2024")</f>
        <v/>
      </c>
      <c r="T315">
        <f>HYPERLINK("https://klasma.github.io/Logging_2305/kartor/A 14374-2024 karta.png", "A 14374-2024")</f>
        <v/>
      </c>
      <c r="V315">
        <f>HYPERLINK("https://klasma.github.io/Logging_2305/klagomål/A 14374-2024 FSC-klagomål.docx", "A 14374-2024")</f>
        <v/>
      </c>
      <c r="W315">
        <f>HYPERLINK("https://klasma.github.io/Logging_2305/klagomålsmail/A 14374-2024 FSC-klagomål mail.docx", "A 14374-2024")</f>
        <v/>
      </c>
      <c r="X315">
        <f>HYPERLINK("https://klasma.github.io/Logging_2305/tillsyn/A 14374-2024 tillsynsbegäran.docx", "A 14374-2024")</f>
        <v/>
      </c>
      <c r="Y315">
        <f>HYPERLINK("https://klasma.github.io/Logging_2305/tillsynsmail/A 14374-2024 tillsynsbegäran mail.docx", "A 14374-2024")</f>
        <v/>
      </c>
      <c r="Z315">
        <f>HYPERLINK("https://klasma.github.io/Logging_2305/fåglar/A 14374-2024 prioriterade fågelarter.docx", "A 14374-2024")</f>
        <v/>
      </c>
    </row>
    <row r="316" ht="15" customHeight="1">
      <c r="A316" t="inlineStr">
        <is>
          <t>A 3234-2025</t>
        </is>
      </c>
      <c r="B316" s="1" t="n">
        <v>45679</v>
      </c>
      <c r="C316" s="1" t="n">
        <v>46193</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Utter</t>
        </is>
      </c>
      <c r="S316">
        <f>HYPERLINK("https://klasma.github.io/Logging_2305/artfynd/A 3234-2025 artfynd.xlsx", "A 3234-2025")</f>
        <v/>
      </c>
      <c r="T316">
        <f>HYPERLINK("https://klasma.github.io/Logging_2305/kartor/A 3234-2025 karta.png", "A 3234-2025")</f>
        <v/>
      </c>
      <c r="V316">
        <f>HYPERLINK("https://klasma.github.io/Logging_2305/klagomål/A 3234-2025 FSC-klagomål.docx", "A 3234-2025")</f>
        <v/>
      </c>
      <c r="W316">
        <f>HYPERLINK("https://klasma.github.io/Logging_2305/klagomålsmail/A 3234-2025 FSC-klagomål mail.docx", "A 3234-2025")</f>
        <v/>
      </c>
      <c r="X316">
        <f>HYPERLINK("https://klasma.github.io/Logging_2305/tillsyn/A 3234-2025 tillsynsbegäran.docx", "A 3234-2025")</f>
        <v/>
      </c>
      <c r="Y316">
        <f>HYPERLINK("https://klasma.github.io/Logging_2305/tillsynsmail/A 3234-2025 tillsynsbegäran mail.docx", "A 3234-2025")</f>
        <v/>
      </c>
    </row>
    <row r="317" ht="15" customHeight="1">
      <c r="A317" t="inlineStr">
        <is>
          <t>A 427-2025</t>
        </is>
      </c>
      <c r="B317" s="1" t="n">
        <v>45664</v>
      </c>
      <c r="C317" s="1" t="n">
        <v>46193</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427-2025 artfynd.xlsx", "A 427-2025")</f>
        <v/>
      </c>
      <c r="T317">
        <f>HYPERLINK("https://klasma.github.io/Logging_2305/kartor/A 427-2025 karta.png", "A 427-2025")</f>
        <v/>
      </c>
      <c r="V317">
        <f>HYPERLINK("https://klasma.github.io/Logging_2305/klagomål/A 427-2025 FSC-klagomål.docx", "A 427-2025")</f>
        <v/>
      </c>
      <c r="W317">
        <f>HYPERLINK("https://klasma.github.io/Logging_2305/klagomålsmail/A 427-2025 FSC-klagomål mail.docx", "A 427-2025")</f>
        <v/>
      </c>
      <c r="X317">
        <f>HYPERLINK("https://klasma.github.io/Logging_2305/tillsyn/A 427-2025 tillsynsbegäran.docx", "A 427-2025")</f>
        <v/>
      </c>
      <c r="Y317">
        <f>HYPERLINK("https://klasma.github.io/Logging_2305/tillsynsmail/A 427-2025 tillsynsbegäran mail.docx", "A 427-2025")</f>
        <v/>
      </c>
    </row>
    <row r="318" ht="15" customHeight="1">
      <c r="A318" t="inlineStr">
        <is>
          <t>A 41059-2025</t>
        </is>
      </c>
      <c r="B318" s="1" t="n">
        <v>45898</v>
      </c>
      <c r="C318" s="1" t="n">
        <v>46193</v>
      </c>
      <c r="D318" t="inlineStr">
        <is>
          <t>JÄMTLANDS LÄN</t>
        </is>
      </c>
      <c r="E318" t="inlineStr">
        <is>
          <t>BRÄCKE</t>
        </is>
      </c>
      <c r="F318" t="inlineStr">
        <is>
          <t>SCA</t>
        </is>
      </c>
      <c r="G318" t="n">
        <v>8.9</v>
      </c>
      <c r="H318" t="n">
        <v>0</v>
      </c>
      <c r="I318" t="n">
        <v>0</v>
      </c>
      <c r="J318" t="n">
        <v>1</v>
      </c>
      <c r="K318" t="n">
        <v>0</v>
      </c>
      <c r="L318" t="n">
        <v>0</v>
      </c>
      <c r="M318" t="n">
        <v>0</v>
      </c>
      <c r="N318" t="n">
        <v>0</v>
      </c>
      <c r="O318" t="n">
        <v>1</v>
      </c>
      <c r="P318" t="n">
        <v>0</v>
      </c>
      <c r="Q318" t="n">
        <v>1</v>
      </c>
      <c r="R318" s="2" t="inlineStr">
        <is>
          <t>Lunglav</t>
        </is>
      </c>
      <c r="S318">
        <f>HYPERLINK("https://klasma.github.io/Logging_2305/artfynd/A 41059-2025 artfynd.xlsx", "A 41059-2025")</f>
        <v/>
      </c>
      <c r="T318">
        <f>HYPERLINK("https://klasma.github.io/Logging_2305/kartor/A 41059-2025 karta.png", "A 41059-2025")</f>
        <v/>
      </c>
      <c r="V318">
        <f>HYPERLINK("https://klasma.github.io/Logging_2305/klagomål/A 41059-2025 FSC-klagomål.docx", "A 41059-2025")</f>
        <v/>
      </c>
      <c r="W318">
        <f>HYPERLINK("https://klasma.github.io/Logging_2305/klagomålsmail/A 41059-2025 FSC-klagomål mail.docx", "A 41059-2025")</f>
        <v/>
      </c>
      <c r="X318">
        <f>HYPERLINK("https://klasma.github.io/Logging_2305/tillsyn/A 41059-2025 tillsynsbegäran.docx", "A 41059-2025")</f>
        <v/>
      </c>
      <c r="Y318">
        <f>HYPERLINK("https://klasma.github.io/Logging_2305/tillsynsmail/A 41059-2025 tillsynsbegäran mail.docx", "A 41059-2025")</f>
        <v/>
      </c>
    </row>
    <row r="319" ht="15" customHeight="1">
      <c r="A319" t="inlineStr">
        <is>
          <t>A 40842-2025</t>
        </is>
      </c>
      <c r="B319" s="1" t="n">
        <v>45897</v>
      </c>
      <c r="C319" s="1" t="n">
        <v>46193</v>
      </c>
      <c r="D319" t="inlineStr">
        <is>
          <t>JÄMTLANDS LÄN</t>
        </is>
      </c>
      <c r="E319" t="inlineStr">
        <is>
          <t>BRÄCKE</t>
        </is>
      </c>
      <c r="F319" t="inlineStr">
        <is>
          <t>SCA</t>
        </is>
      </c>
      <c r="G319" t="n">
        <v>0.5</v>
      </c>
      <c r="H319" t="n">
        <v>0</v>
      </c>
      <c r="I319" t="n">
        <v>0</v>
      </c>
      <c r="J319" t="n">
        <v>1</v>
      </c>
      <c r="K319" t="n">
        <v>0</v>
      </c>
      <c r="L319" t="n">
        <v>0</v>
      </c>
      <c r="M319" t="n">
        <v>0</v>
      </c>
      <c r="N319" t="n">
        <v>0</v>
      </c>
      <c r="O319" t="n">
        <v>1</v>
      </c>
      <c r="P319" t="n">
        <v>0</v>
      </c>
      <c r="Q319" t="n">
        <v>1</v>
      </c>
      <c r="R319" s="2" t="inlineStr">
        <is>
          <t>Lunglav</t>
        </is>
      </c>
      <c r="S319">
        <f>HYPERLINK("https://klasma.github.io/Logging_2305/artfynd/A 40842-2025 artfynd.xlsx", "A 40842-2025")</f>
        <v/>
      </c>
      <c r="T319">
        <f>HYPERLINK("https://klasma.github.io/Logging_2305/kartor/A 40842-2025 karta.png", "A 40842-2025")</f>
        <v/>
      </c>
      <c r="V319">
        <f>HYPERLINK("https://klasma.github.io/Logging_2305/klagomål/A 40842-2025 FSC-klagomål.docx", "A 40842-2025")</f>
        <v/>
      </c>
      <c r="W319">
        <f>HYPERLINK("https://klasma.github.io/Logging_2305/klagomålsmail/A 40842-2025 FSC-klagomål mail.docx", "A 40842-2025")</f>
        <v/>
      </c>
      <c r="X319">
        <f>HYPERLINK("https://klasma.github.io/Logging_2305/tillsyn/A 40842-2025 tillsynsbegäran.docx", "A 40842-2025")</f>
        <v/>
      </c>
      <c r="Y319">
        <f>HYPERLINK("https://klasma.github.io/Logging_2305/tillsynsmail/A 40842-2025 tillsynsbegäran mail.docx", "A 40842-2025")</f>
        <v/>
      </c>
    </row>
    <row r="320" ht="15" customHeight="1">
      <c r="A320" t="inlineStr">
        <is>
          <t>A 48507-2023</t>
        </is>
      </c>
      <c r="B320" s="1" t="n">
        <v>45207</v>
      </c>
      <c r="C320" s="1" t="n">
        <v>46193</v>
      </c>
      <c r="D320" t="inlineStr">
        <is>
          <t>JÄMTLANDS LÄN</t>
        </is>
      </c>
      <c r="E320" t="inlineStr">
        <is>
          <t>BRÄCKE</t>
        </is>
      </c>
      <c r="F320" t="inlineStr">
        <is>
          <t>SCA</t>
        </is>
      </c>
      <c r="G320" t="n">
        <v>1.4</v>
      </c>
      <c r="H320" t="n">
        <v>0</v>
      </c>
      <c r="I320" t="n">
        <v>0</v>
      </c>
      <c r="J320" t="n">
        <v>0</v>
      </c>
      <c r="K320" t="n">
        <v>1</v>
      </c>
      <c r="L320" t="n">
        <v>0</v>
      </c>
      <c r="M320" t="n">
        <v>0</v>
      </c>
      <c r="N320" t="n">
        <v>0</v>
      </c>
      <c r="O320" t="n">
        <v>1</v>
      </c>
      <c r="P320" t="n">
        <v>1</v>
      </c>
      <c r="Q320" t="n">
        <v>1</v>
      </c>
      <c r="R320" s="2" t="inlineStr">
        <is>
          <t>Garnlav</t>
        </is>
      </c>
      <c r="S320">
        <f>HYPERLINK("https://klasma.github.io/Logging_2305/artfynd/A 48507-2023 artfynd.xlsx", "A 48507-2023")</f>
        <v/>
      </c>
      <c r="T320">
        <f>HYPERLINK("https://klasma.github.io/Logging_2305/kartor/A 48507-2023 karta.png", "A 48507-2023")</f>
        <v/>
      </c>
      <c r="V320">
        <f>HYPERLINK("https://klasma.github.io/Logging_2305/klagomål/A 48507-2023 FSC-klagomål.docx", "A 48507-2023")</f>
        <v/>
      </c>
      <c r="W320">
        <f>HYPERLINK("https://klasma.github.io/Logging_2305/klagomålsmail/A 48507-2023 FSC-klagomål mail.docx", "A 48507-2023")</f>
        <v/>
      </c>
      <c r="X320">
        <f>HYPERLINK("https://klasma.github.io/Logging_2305/tillsyn/A 48507-2023 tillsynsbegäran.docx", "A 48507-2023")</f>
        <v/>
      </c>
      <c r="Y320">
        <f>HYPERLINK("https://klasma.github.io/Logging_2305/tillsynsmail/A 48507-2023 tillsynsbegäran mail.docx", "A 48507-2023")</f>
        <v/>
      </c>
    </row>
    <row r="321" ht="15" customHeight="1">
      <c r="A321" t="inlineStr">
        <is>
          <t>A 40792-2025</t>
        </is>
      </c>
      <c r="B321" s="1" t="n">
        <v>45897</v>
      </c>
      <c r="C321" s="1" t="n">
        <v>46193</v>
      </c>
      <c r="D321" t="inlineStr">
        <is>
          <t>JÄMTLANDS LÄN</t>
        </is>
      </c>
      <c r="E321" t="inlineStr">
        <is>
          <t>BRÄCKE</t>
        </is>
      </c>
      <c r="F321" t="inlineStr">
        <is>
          <t>SCA</t>
        </is>
      </c>
      <c r="G321" t="n">
        <v>1.7</v>
      </c>
      <c r="H321" t="n">
        <v>0</v>
      </c>
      <c r="I321" t="n">
        <v>0</v>
      </c>
      <c r="J321" t="n">
        <v>1</v>
      </c>
      <c r="K321" t="n">
        <v>0</v>
      </c>
      <c r="L321" t="n">
        <v>0</v>
      </c>
      <c r="M321" t="n">
        <v>0</v>
      </c>
      <c r="N321" t="n">
        <v>0</v>
      </c>
      <c r="O321" t="n">
        <v>1</v>
      </c>
      <c r="P321" t="n">
        <v>0</v>
      </c>
      <c r="Q321" t="n">
        <v>1</v>
      </c>
      <c r="R321" s="2" t="inlineStr">
        <is>
          <t>Lunglav</t>
        </is>
      </c>
      <c r="S321">
        <f>HYPERLINK("https://klasma.github.io/Logging_2305/artfynd/A 40792-2025 artfynd.xlsx", "A 40792-2025")</f>
        <v/>
      </c>
      <c r="T321">
        <f>HYPERLINK("https://klasma.github.io/Logging_2305/kartor/A 40792-2025 karta.png", "A 40792-2025")</f>
        <v/>
      </c>
      <c r="V321">
        <f>HYPERLINK("https://klasma.github.io/Logging_2305/klagomål/A 40792-2025 FSC-klagomål.docx", "A 40792-2025")</f>
        <v/>
      </c>
      <c r="W321">
        <f>HYPERLINK("https://klasma.github.io/Logging_2305/klagomålsmail/A 40792-2025 FSC-klagomål mail.docx", "A 40792-2025")</f>
        <v/>
      </c>
      <c r="X321">
        <f>HYPERLINK("https://klasma.github.io/Logging_2305/tillsyn/A 40792-2025 tillsynsbegäran.docx", "A 40792-2025")</f>
        <v/>
      </c>
      <c r="Y321">
        <f>HYPERLINK("https://klasma.github.io/Logging_2305/tillsynsmail/A 40792-2025 tillsynsbegäran mail.docx", "A 40792-2025")</f>
        <v/>
      </c>
    </row>
    <row r="322" ht="15" customHeight="1">
      <c r="A322" t="inlineStr">
        <is>
          <t>A 40430-2023</t>
        </is>
      </c>
      <c r="B322" s="1" t="n">
        <v>45169</v>
      </c>
      <c r="C322" s="1" t="n">
        <v>46193</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1</v>
      </c>
      <c r="R322" s="2" t="inlineStr">
        <is>
          <t>Plattlummer</t>
        </is>
      </c>
      <c r="S322">
        <f>HYPERLINK("https://klasma.github.io/Logging_2305/artfynd/A 40430-2023 artfynd.xlsx", "A 40430-2023")</f>
        <v/>
      </c>
      <c r="T322">
        <f>HYPERLINK("https://klasma.github.io/Logging_2305/kartor/A 40430-2023 karta.png", "A 40430-2023")</f>
        <v/>
      </c>
      <c r="V322">
        <f>HYPERLINK("https://klasma.github.io/Logging_2305/klagomål/A 40430-2023 FSC-klagomål.docx", "A 40430-2023")</f>
        <v/>
      </c>
      <c r="W322">
        <f>HYPERLINK("https://klasma.github.io/Logging_2305/klagomålsmail/A 40430-2023 FSC-klagomål mail.docx", "A 40430-2023")</f>
        <v/>
      </c>
      <c r="X322">
        <f>HYPERLINK("https://klasma.github.io/Logging_2305/tillsyn/A 40430-2023 tillsynsbegäran.docx", "A 40430-2023")</f>
        <v/>
      </c>
      <c r="Y322">
        <f>HYPERLINK("https://klasma.github.io/Logging_2305/tillsynsmail/A 40430-2023 tillsynsbegäran mail.docx", "A 40430-2023")</f>
        <v/>
      </c>
    </row>
    <row r="323" ht="15" customHeight="1">
      <c r="A323" t="inlineStr">
        <is>
          <t>A 40835-2025</t>
        </is>
      </c>
      <c r="B323" s="1" t="n">
        <v>45897</v>
      </c>
      <c r="C323" s="1" t="n">
        <v>46193</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41187-2025</t>
        </is>
      </c>
      <c r="B324" s="1" t="n">
        <v>45898</v>
      </c>
      <c r="C324" s="1" t="n">
        <v>46193</v>
      </c>
      <c r="D324" t="inlineStr">
        <is>
          <t>JÄMTLANDS LÄN</t>
        </is>
      </c>
      <c r="E324" t="inlineStr">
        <is>
          <t>BRÄCKE</t>
        </is>
      </c>
      <c r="F324" t="inlineStr">
        <is>
          <t>Övriga Aktiebolag</t>
        </is>
      </c>
      <c r="G324" t="n">
        <v>1.9</v>
      </c>
      <c r="H324" t="n">
        <v>0</v>
      </c>
      <c r="I324" t="n">
        <v>0</v>
      </c>
      <c r="J324" t="n">
        <v>1</v>
      </c>
      <c r="K324" t="n">
        <v>0</v>
      </c>
      <c r="L324" t="n">
        <v>0</v>
      </c>
      <c r="M324" t="n">
        <v>0</v>
      </c>
      <c r="N324" t="n">
        <v>0</v>
      </c>
      <c r="O324" t="n">
        <v>1</v>
      </c>
      <c r="P324" t="n">
        <v>0</v>
      </c>
      <c r="Q324" t="n">
        <v>1</v>
      </c>
      <c r="R324" s="2" t="inlineStr">
        <is>
          <t>Lunglav</t>
        </is>
      </c>
      <c r="S324">
        <f>HYPERLINK("https://klasma.github.io/Logging_2305/artfynd/A 41187-2025 artfynd.xlsx", "A 41187-2025")</f>
        <v/>
      </c>
      <c r="T324">
        <f>HYPERLINK("https://klasma.github.io/Logging_2305/kartor/A 41187-2025 karta.png", "A 41187-2025")</f>
        <v/>
      </c>
      <c r="V324">
        <f>HYPERLINK("https://klasma.github.io/Logging_2305/klagomål/A 41187-2025 FSC-klagomål.docx", "A 41187-2025")</f>
        <v/>
      </c>
      <c r="W324">
        <f>HYPERLINK("https://klasma.github.io/Logging_2305/klagomålsmail/A 41187-2025 FSC-klagomål mail.docx", "A 41187-2025")</f>
        <v/>
      </c>
      <c r="X324">
        <f>HYPERLINK("https://klasma.github.io/Logging_2305/tillsyn/A 41187-2025 tillsynsbegäran.docx", "A 41187-2025")</f>
        <v/>
      </c>
      <c r="Y324">
        <f>HYPERLINK("https://klasma.github.io/Logging_2305/tillsynsmail/A 41187-2025 tillsynsbegäran mail.docx", "A 41187-2025")</f>
        <v/>
      </c>
    </row>
    <row r="325" ht="15" customHeight="1">
      <c r="A325" t="inlineStr">
        <is>
          <t>A 40100-2023</t>
        </is>
      </c>
      <c r="B325" s="1" t="n">
        <v>45168</v>
      </c>
      <c r="C325" s="1" t="n">
        <v>46193</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40914-2025</t>
        </is>
      </c>
      <c r="B326" s="1" t="n">
        <v>45897</v>
      </c>
      <c r="C326" s="1" t="n">
        <v>46193</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31138-2025</t>
        </is>
      </c>
      <c r="B327" s="1" t="n">
        <v>45832</v>
      </c>
      <c r="C327" s="1" t="n">
        <v>46193</v>
      </c>
      <c r="D327" t="inlineStr">
        <is>
          <t>JÄMTLANDS LÄN</t>
        </is>
      </c>
      <c r="E327" t="inlineStr">
        <is>
          <t>BRÄCKE</t>
        </is>
      </c>
      <c r="F327" t="inlineStr">
        <is>
          <t>SCA</t>
        </is>
      </c>
      <c r="G327" t="n">
        <v>5.4</v>
      </c>
      <c r="H327" t="n">
        <v>1</v>
      </c>
      <c r="I327" t="n">
        <v>0</v>
      </c>
      <c r="J327" t="n">
        <v>0</v>
      </c>
      <c r="K327" t="n">
        <v>1</v>
      </c>
      <c r="L327" t="n">
        <v>0</v>
      </c>
      <c r="M327" t="n">
        <v>0</v>
      </c>
      <c r="N327" t="n">
        <v>0</v>
      </c>
      <c r="O327" t="n">
        <v>1</v>
      </c>
      <c r="P327" t="n">
        <v>1</v>
      </c>
      <c r="Q327" t="n">
        <v>1</v>
      </c>
      <c r="R327" s="2" t="inlineStr">
        <is>
          <t>Knärot</t>
        </is>
      </c>
      <c r="S327">
        <f>HYPERLINK("https://klasma.github.io/Logging_2305/artfynd/A 31138-2025 artfynd.xlsx", "A 31138-2025")</f>
        <v/>
      </c>
      <c r="T327">
        <f>HYPERLINK("https://klasma.github.io/Logging_2305/kartor/A 31138-2025 karta.png", "A 31138-2025")</f>
        <v/>
      </c>
      <c r="U327">
        <f>HYPERLINK("https://klasma.github.io/Logging_2305/knärot/A 31138-2025 karta knärot.png", "A 31138-2025")</f>
        <v/>
      </c>
      <c r="V327">
        <f>HYPERLINK("https://klasma.github.io/Logging_2305/klagomål/A 31138-2025 FSC-klagomål.docx", "A 31138-2025")</f>
        <v/>
      </c>
      <c r="W327">
        <f>HYPERLINK("https://klasma.github.io/Logging_2305/klagomålsmail/A 31138-2025 FSC-klagomål mail.docx", "A 31138-2025")</f>
        <v/>
      </c>
      <c r="X327">
        <f>HYPERLINK("https://klasma.github.io/Logging_2305/tillsyn/A 31138-2025 tillsynsbegäran.docx", "A 31138-2025")</f>
        <v/>
      </c>
      <c r="Y327">
        <f>HYPERLINK("https://klasma.github.io/Logging_2305/tillsynsmail/A 31138-2025 tillsynsbegäran mail.docx", "A 31138-2025")</f>
        <v/>
      </c>
    </row>
    <row r="328" ht="15" customHeight="1">
      <c r="A328" t="inlineStr">
        <is>
          <t>A 49727-2023</t>
        </is>
      </c>
      <c r="B328" s="1" t="n">
        <v>45208</v>
      </c>
      <c r="C328" s="1" t="n">
        <v>46193</v>
      </c>
      <c r="D328" t="inlineStr">
        <is>
          <t>JÄMTLANDS LÄN</t>
        </is>
      </c>
      <c r="E328" t="inlineStr">
        <is>
          <t>BRÄCKE</t>
        </is>
      </c>
      <c r="F328" t="inlineStr">
        <is>
          <t>SCA</t>
        </is>
      </c>
      <c r="G328" t="n">
        <v>2.1</v>
      </c>
      <c r="H328" t="n">
        <v>0</v>
      </c>
      <c r="I328" t="n">
        <v>0</v>
      </c>
      <c r="J328" t="n">
        <v>1</v>
      </c>
      <c r="K328" t="n">
        <v>0</v>
      </c>
      <c r="L328" t="n">
        <v>0</v>
      </c>
      <c r="M328" t="n">
        <v>0</v>
      </c>
      <c r="N328" t="n">
        <v>0</v>
      </c>
      <c r="O328" t="n">
        <v>1</v>
      </c>
      <c r="P328" t="n">
        <v>0</v>
      </c>
      <c r="Q328" t="n">
        <v>1</v>
      </c>
      <c r="R328" s="2" t="inlineStr">
        <is>
          <t>Ullticka</t>
        </is>
      </c>
      <c r="S328">
        <f>HYPERLINK("https://klasma.github.io/Logging_2305/artfynd/A 49727-2023 artfynd.xlsx", "A 49727-2023")</f>
        <v/>
      </c>
      <c r="T328">
        <f>HYPERLINK("https://klasma.github.io/Logging_2305/kartor/A 49727-2023 karta.png", "A 49727-2023")</f>
        <v/>
      </c>
      <c r="V328">
        <f>HYPERLINK("https://klasma.github.io/Logging_2305/klagomål/A 49727-2023 FSC-klagomål.docx", "A 49727-2023")</f>
        <v/>
      </c>
      <c r="W328">
        <f>HYPERLINK("https://klasma.github.io/Logging_2305/klagomålsmail/A 49727-2023 FSC-klagomål mail.docx", "A 49727-2023")</f>
        <v/>
      </c>
      <c r="X328">
        <f>HYPERLINK("https://klasma.github.io/Logging_2305/tillsyn/A 49727-2023 tillsynsbegäran.docx", "A 49727-2023")</f>
        <v/>
      </c>
      <c r="Y328">
        <f>HYPERLINK("https://klasma.github.io/Logging_2305/tillsynsmail/A 49727-2023 tillsynsbegäran mail.docx", "A 49727-2023")</f>
        <v/>
      </c>
    </row>
    <row r="329" ht="15" customHeight="1">
      <c r="A329" t="inlineStr">
        <is>
          <t>A 59008-2024</t>
        </is>
      </c>
      <c r="B329" s="1" t="n">
        <v>45636</v>
      </c>
      <c r="C329" s="1" t="n">
        <v>46193</v>
      </c>
      <c r="D329" t="inlineStr">
        <is>
          <t>JÄMTLANDS LÄN</t>
        </is>
      </c>
      <c r="E329" t="inlineStr">
        <is>
          <t>BRÄCKE</t>
        </is>
      </c>
      <c r="F329" t="inlineStr">
        <is>
          <t>SCA</t>
        </is>
      </c>
      <c r="G329" t="n">
        <v>2.5</v>
      </c>
      <c r="H329" t="n">
        <v>0</v>
      </c>
      <c r="I329" t="n">
        <v>0</v>
      </c>
      <c r="J329" t="n">
        <v>1</v>
      </c>
      <c r="K329" t="n">
        <v>0</v>
      </c>
      <c r="L329" t="n">
        <v>0</v>
      </c>
      <c r="M329" t="n">
        <v>0</v>
      </c>
      <c r="N329" t="n">
        <v>0</v>
      </c>
      <c r="O329" t="n">
        <v>1</v>
      </c>
      <c r="P329" t="n">
        <v>0</v>
      </c>
      <c r="Q329" t="n">
        <v>1</v>
      </c>
      <c r="R329" s="2" t="inlineStr">
        <is>
          <t>Gammelgransskål</t>
        </is>
      </c>
      <c r="S329">
        <f>HYPERLINK("https://klasma.github.io/Logging_2305/artfynd/A 59008-2024 artfynd.xlsx", "A 59008-2024")</f>
        <v/>
      </c>
      <c r="T329">
        <f>HYPERLINK("https://klasma.github.io/Logging_2305/kartor/A 59008-2024 karta.png", "A 59008-2024")</f>
        <v/>
      </c>
      <c r="V329">
        <f>HYPERLINK("https://klasma.github.io/Logging_2305/klagomål/A 59008-2024 FSC-klagomål.docx", "A 59008-2024")</f>
        <v/>
      </c>
      <c r="W329">
        <f>HYPERLINK("https://klasma.github.io/Logging_2305/klagomålsmail/A 59008-2024 FSC-klagomål mail.docx", "A 59008-2024")</f>
        <v/>
      </c>
      <c r="X329">
        <f>HYPERLINK("https://klasma.github.io/Logging_2305/tillsyn/A 59008-2024 tillsynsbegäran.docx", "A 59008-2024")</f>
        <v/>
      </c>
      <c r="Y329">
        <f>HYPERLINK("https://klasma.github.io/Logging_2305/tillsynsmail/A 59008-2024 tillsynsbegäran mail.docx", "A 59008-2024")</f>
        <v/>
      </c>
    </row>
    <row r="330" ht="15" customHeight="1">
      <c r="A330" t="inlineStr">
        <is>
          <t>A 9204-2025</t>
        </is>
      </c>
      <c r="B330" s="1" t="n">
        <v>45714</v>
      </c>
      <c r="C330" s="1" t="n">
        <v>46193</v>
      </c>
      <c r="D330" t="inlineStr">
        <is>
          <t>JÄMTLANDS LÄN</t>
        </is>
      </c>
      <c r="E330" t="inlineStr">
        <is>
          <t>BRÄCKE</t>
        </is>
      </c>
      <c r="F330" t="inlineStr">
        <is>
          <t>SCA</t>
        </is>
      </c>
      <c r="G330" t="n">
        <v>3.6</v>
      </c>
      <c r="H330" t="n">
        <v>1</v>
      </c>
      <c r="I330" t="n">
        <v>0</v>
      </c>
      <c r="J330" t="n">
        <v>1</v>
      </c>
      <c r="K330" t="n">
        <v>0</v>
      </c>
      <c r="L330" t="n">
        <v>0</v>
      </c>
      <c r="M330" t="n">
        <v>0</v>
      </c>
      <c r="N330" t="n">
        <v>0</v>
      </c>
      <c r="O330" t="n">
        <v>1</v>
      </c>
      <c r="P330" t="n">
        <v>0</v>
      </c>
      <c r="Q330" t="n">
        <v>1</v>
      </c>
      <c r="R330" s="2" t="inlineStr">
        <is>
          <t>Talltita</t>
        </is>
      </c>
      <c r="S330">
        <f>HYPERLINK("https://klasma.github.io/Logging_2305/artfynd/A 9204-2025 artfynd.xlsx", "A 9204-2025")</f>
        <v/>
      </c>
      <c r="T330">
        <f>HYPERLINK("https://klasma.github.io/Logging_2305/kartor/A 9204-2025 karta.png", "A 9204-2025")</f>
        <v/>
      </c>
      <c r="V330">
        <f>HYPERLINK("https://klasma.github.io/Logging_2305/klagomål/A 9204-2025 FSC-klagomål.docx", "A 9204-2025")</f>
        <v/>
      </c>
      <c r="W330">
        <f>HYPERLINK("https://klasma.github.io/Logging_2305/klagomålsmail/A 9204-2025 FSC-klagomål mail.docx", "A 9204-2025")</f>
        <v/>
      </c>
      <c r="X330">
        <f>HYPERLINK("https://klasma.github.io/Logging_2305/tillsyn/A 9204-2025 tillsynsbegäran.docx", "A 9204-2025")</f>
        <v/>
      </c>
      <c r="Y330">
        <f>HYPERLINK("https://klasma.github.io/Logging_2305/tillsynsmail/A 9204-2025 tillsynsbegäran mail.docx", "A 9204-2025")</f>
        <v/>
      </c>
      <c r="Z330">
        <f>HYPERLINK("https://klasma.github.io/Logging_2305/fåglar/A 9204-2025 prioriterade fågelarter.docx", "A 9204-2025")</f>
        <v/>
      </c>
    </row>
    <row r="331" ht="15" customHeight="1">
      <c r="A331" t="inlineStr">
        <is>
          <t>A 40869-2024</t>
        </is>
      </c>
      <c r="B331" s="1" t="n">
        <v>45558</v>
      </c>
      <c r="C331" s="1" t="n">
        <v>46193</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44323-2023</t>
        </is>
      </c>
      <c r="B332" s="1" t="n">
        <v>45188</v>
      </c>
      <c r="C332" s="1" t="n">
        <v>46193</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56449-2025</t>
        </is>
      </c>
      <c r="B333" s="1" t="n">
        <v>45975</v>
      </c>
      <c r="C333" s="1" t="n">
        <v>46193</v>
      </c>
      <c r="D333" t="inlineStr">
        <is>
          <t>JÄMTLANDS LÄN</t>
        </is>
      </c>
      <c r="E333" t="inlineStr">
        <is>
          <t>BRÄCKE</t>
        </is>
      </c>
      <c r="G333" t="n">
        <v>8.5</v>
      </c>
      <c r="H333" t="n">
        <v>0</v>
      </c>
      <c r="I333" t="n">
        <v>0</v>
      </c>
      <c r="J333" t="n">
        <v>1</v>
      </c>
      <c r="K333" t="n">
        <v>0</v>
      </c>
      <c r="L333" t="n">
        <v>0</v>
      </c>
      <c r="M333" t="n">
        <v>0</v>
      </c>
      <c r="N333" t="n">
        <v>0</v>
      </c>
      <c r="O333" t="n">
        <v>1</v>
      </c>
      <c r="P333" t="n">
        <v>0</v>
      </c>
      <c r="Q333" t="n">
        <v>1</v>
      </c>
      <c r="R333" s="2" t="inlineStr">
        <is>
          <t>Uddnate</t>
        </is>
      </c>
      <c r="S333">
        <f>HYPERLINK("https://klasma.github.io/Logging_2305/artfynd/A 56449-2025 artfynd.xlsx", "A 56449-2025")</f>
        <v/>
      </c>
      <c r="T333">
        <f>HYPERLINK("https://klasma.github.io/Logging_2305/kartor/A 56449-2025 karta.png", "A 56449-2025")</f>
        <v/>
      </c>
      <c r="V333">
        <f>HYPERLINK("https://klasma.github.io/Logging_2305/klagomål/A 56449-2025 FSC-klagomål.docx", "A 56449-2025")</f>
        <v/>
      </c>
      <c r="W333">
        <f>HYPERLINK("https://klasma.github.io/Logging_2305/klagomålsmail/A 56449-2025 FSC-klagomål mail.docx", "A 56449-2025")</f>
        <v/>
      </c>
      <c r="X333">
        <f>HYPERLINK("https://klasma.github.io/Logging_2305/tillsyn/A 56449-2025 tillsynsbegäran.docx", "A 56449-2025")</f>
        <v/>
      </c>
      <c r="Y333">
        <f>HYPERLINK("https://klasma.github.io/Logging_2305/tillsynsmail/A 56449-2025 tillsynsbegäran mail.docx", "A 56449-2025")</f>
        <v/>
      </c>
    </row>
    <row r="334" ht="15" customHeight="1">
      <c r="A334" t="inlineStr">
        <is>
          <t>A 45081-2025</t>
        </is>
      </c>
      <c r="B334" s="1" t="n">
        <v>45919</v>
      </c>
      <c r="C334" s="1" t="n">
        <v>46193</v>
      </c>
      <c r="D334" t="inlineStr">
        <is>
          <t>JÄMTLANDS LÄN</t>
        </is>
      </c>
      <c r="E334" t="inlineStr">
        <is>
          <t>BRÄCKE</t>
        </is>
      </c>
      <c r="F334" t="inlineStr">
        <is>
          <t>SCA</t>
        </is>
      </c>
      <c r="G334" t="n">
        <v>5.8</v>
      </c>
      <c r="H334" t="n">
        <v>1</v>
      </c>
      <c r="I334" t="n">
        <v>0</v>
      </c>
      <c r="J334" t="n">
        <v>0</v>
      </c>
      <c r="K334" t="n">
        <v>0</v>
      </c>
      <c r="L334" t="n">
        <v>0</v>
      </c>
      <c r="M334" t="n">
        <v>0</v>
      </c>
      <c r="N334" t="n">
        <v>0</v>
      </c>
      <c r="O334" t="n">
        <v>0</v>
      </c>
      <c r="P334" t="n">
        <v>0</v>
      </c>
      <c r="Q334" t="n">
        <v>1</v>
      </c>
      <c r="R334" s="2" t="inlineStr">
        <is>
          <t>Blåsippa</t>
        </is>
      </c>
      <c r="S334">
        <f>HYPERLINK("https://klasma.github.io/Logging_2305/artfynd/A 45081-2025 artfynd.xlsx", "A 45081-2025")</f>
        <v/>
      </c>
      <c r="T334">
        <f>HYPERLINK("https://klasma.github.io/Logging_2305/kartor/A 45081-2025 karta.png", "A 45081-2025")</f>
        <v/>
      </c>
      <c r="V334">
        <f>HYPERLINK("https://klasma.github.io/Logging_2305/klagomål/A 45081-2025 FSC-klagomål.docx", "A 45081-2025")</f>
        <v/>
      </c>
      <c r="W334">
        <f>HYPERLINK("https://klasma.github.io/Logging_2305/klagomålsmail/A 45081-2025 FSC-klagomål mail.docx", "A 45081-2025")</f>
        <v/>
      </c>
      <c r="X334">
        <f>HYPERLINK("https://klasma.github.io/Logging_2305/tillsyn/A 45081-2025 tillsynsbegäran.docx", "A 45081-2025")</f>
        <v/>
      </c>
      <c r="Y334">
        <f>HYPERLINK("https://klasma.github.io/Logging_2305/tillsynsmail/A 45081-2025 tillsynsbegäran mail.docx", "A 45081-2025")</f>
        <v/>
      </c>
    </row>
    <row r="335" ht="15" customHeight="1">
      <c r="A335" t="inlineStr">
        <is>
          <t>A 51177-2025</t>
        </is>
      </c>
      <c r="B335" s="1" t="n">
        <v>45947</v>
      </c>
      <c r="C335" s="1" t="n">
        <v>46193</v>
      </c>
      <c r="D335" t="inlineStr">
        <is>
          <t>JÄMTLANDS LÄN</t>
        </is>
      </c>
      <c r="E335" t="inlineStr">
        <is>
          <t>BRÄCKE</t>
        </is>
      </c>
      <c r="G335" t="n">
        <v>9.6</v>
      </c>
      <c r="H335" t="n">
        <v>0</v>
      </c>
      <c r="I335" t="n">
        <v>1</v>
      </c>
      <c r="J335" t="n">
        <v>0</v>
      </c>
      <c r="K335" t="n">
        <v>0</v>
      </c>
      <c r="L335" t="n">
        <v>0</v>
      </c>
      <c r="M335" t="n">
        <v>0</v>
      </c>
      <c r="N335" t="n">
        <v>0</v>
      </c>
      <c r="O335" t="n">
        <v>0</v>
      </c>
      <c r="P335" t="n">
        <v>0</v>
      </c>
      <c r="Q335" t="n">
        <v>1</v>
      </c>
      <c r="R335" s="2" t="inlineStr">
        <is>
          <t>Vedticka</t>
        </is>
      </c>
      <c r="S335">
        <f>HYPERLINK("https://klasma.github.io/Logging_2305/artfynd/A 51177-2025 artfynd.xlsx", "A 51177-2025")</f>
        <v/>
      </c>
      <c r="T335">
        <f>HYPERLINK("https://klasma.github.io/Logging_2305/kartor/A 51177-2025 karta.png", "A 51177-2025")</f>
        <v/>
      </c>
      <c r="V335">
        <f>HYPERLINK("https://klasma.github.io/Logging_2305/klagomål/A 51177-2025 FSC-klagomål.docx", "A 51177-2025")</f>
        <v/>
      </c>
      <c r="W335">
        <f>HYPERLINK("https://klasma.github.io/Logging_2305/klagomålsmail/A 51177-2025 FSC-klagomål mail.docx", "A 51177-2025")</f>
        <v/>
      </c>
      <c r="X335">
        <f>HYPERLINK("https://klasma.github.io/Logging_2305/tillsyn/A 51177-2025 tillsynsbegäran.docx", "A 51177-2025")</f>
        <v/>
      </c>
      <c r="Y335">
        <f>HYPERLINK("https://klasma.github.io/Logging_2305/tillsynsmail/A 51177-2025 tillsynsbegäran mail.docx", "A 51177-2025")</f>
        <v/>
      </c>
    </row>
    <row r="336" ht="15" customHeight="1">
      <c r="A336" t="inlineStr">
        <is>
          <t>A 46093-2025</t>
        </is>
      </c>
      <c r="B336" s="1" t="n">
        <v>45924</v>
      </c>
      <c r="C336" s="1" t="n">
        <v>46193</v>
      </c>
      <c r="D336" t="inlineStr">
        <is>
          <t>JÄMTLANDS LÄN</t>
        </is>
      </c>
      <c r="E336" t="inlineStr">
        <is>
          <t>BRÄCKE</t>
        </is>
      </c>
      <c r="F336" t="inlineStr">
        <is>
          <t>SCA</t>
        </is>
      </c>
      <c r="G336" t="n">
        <v>2.4</v>
      </c>
      <c r="H336" t="n">
        <v>0</v>
      </c>
      <c r="I336" t="n">
        <v>1</v>
      </c>
      <c r="J336" t="n">
        <v>0</v>
      </c>
      <c r="K336" t="n">
        <v>0</v>
      </c>
      <c r="L336" t="n">
        <v>0</v>
      </c>
      <c r="M336" t="n">
        <v>0</v>
      </c>
      <c r="N336" t="n">
        <v>0</v>
      </c>
      <c r="O336" t="n">
        <v>0</v>
      </c>
      <c r="P336" t="n">
        <v>0</v>
      </c>
      <c r="Q336" t="n">
        <v>1</v>
      </c>
      <c r="R336" s="2" t="inlineStr">
        <is>
          <t>Kransrams</t>
        </is>
      </c>
      <c r="S336">
        <f>HYPERLINK("https://klasma.github.io/Logging_2305/artfynd/A 46093-2025 artfynd.xlsx", "A 46093-2025")</f>
        <v/>
      </c>
      <c r="T336">
        <f>HYPERLINK("https://klasma.github.io/Logging_2305/kartor/A 46093-2025 karta.png", "A 46093-2025")</f>
        <v/>
      </c>
      <c r="V336">
        <f>HYPERLINK("https://klasma.github.io/Logging_2305/klagomål/A 46093-2025 FSC-klagomål.docx", "A 46093-2025")</f>
        <v/>
      </c>
      <c r="W336">
        <f>HYPERLINK("https://klasma.github.io/Logging_2305/klagomålsmail/A 46093-2025 FSC-klagomål mail.docx", "A 46093-2025")</f>
        <v/>
      </c>
      <c r="X336">
        <f>HYPERLINK("https://klasma.github.io/Logging_2305/tillsyn/A 46093-2025 tillsynsbegäran.docx", "A 46093-2025")</f>
        <v/>
      </c>
      <c r="Y336">
        <f>HYPERLINK("https://klasma.github.io/Logging_2305/tillsynsmail/A 46093-2025 tillsynsbegäran mail.docx", "A 46093-2025")</f>
        <v/>
      </c>
    </row>
    <row r="337" ht="15" customHeight="1">
      <c r="A337" t="inlineStr">
        <is>
          <t>A 46626-2025</t>
        </is>
      </c>
      <c r="B337" s="1" t="n">
        <v>45926</v>
      </c>
      <c r="C337" s="1" t="n">
        <v>46193</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46626-2025 artfynd.xlsx", "A 46626-2025")</f>
        <v/>
      </c>
      <c r="T337">
        <f>HYPERLINK("https://klasma.github.io/Logging_2305/kartor/A 46626-2025 karta.png", "A 46626-2025")</f>
        <v/>
      </c>
      <c r="V337">
        <f>HYPERLINK("https://klasma.github.io/Logging_2305/klagomål/A 46626-2025 FSC-klagomål.docx", "A 46626-2025")</f>
        <v/>
      </c>
      <c r="W337">
        <f>HYPERLINK("https://klasma.github.io/Logging_2305/klagomålsmail/A 46626-2025 FSC-klagomål mail.docx", "A 46626-2025")</f>
        <v/>
      </c>
      <c r="X337">
        <f>HYPERLINK("https://klasma.github.io/Logging_2305/tillsyn/A 46626-2025 tillsynsbegäran.docx", "A 46626-2025")</f>
        <v/>
      </c>
      <c r="Y337">
        <f>HYPERLINK("https://klasma.github.io/Logging_2305/tillsynsmail/A 46626-2025 tillsynsbegäran mail.docx", "A 46626-2025")</f>
        <v/>
      </c>
    </row>
    <row r="338" ht="15" customHeight="1">
      <c r="A338" t="inlineStr">
        <is>
          <t>A 46435-2025</t>
        </is>
      </c>
      <c r="B338" s="1" t="n">
        <v>45925</v>
      </c>
      <c r="C338" s="1" t="n">
        <v>46193</v>
      </c>
      <c r="D338" t="inlineStr">
        <is>
          <t>JÄMTLANDS LÄN</t>
        </is>
      </c>
      <c r="E338" t="inlineStr">
        <is>
          <t>BRÄCKE</t>
        </is>
      </c>
      <c r="F338" t="inlineStr">
        <is>
          <t>SCA</t>
        </is>
      </c>
      <c r="G338" t="n">
        <v>4</v>
      </c>
      <c r="H338" t="n">
        <v>0</v>
      </c>
      <c r="I338" t="n">
        <v>0</v>
      </c>
      <c r="J338" t="n">
        <v>1</v>
      </c>
      <c r="K338" t="n">
        <v>0</v>
      </c>
      <c r="L338" t="n">
        <v>0</v>
      </c>
      <c r="M338" t="n">
        <v>0</v>
      </c>
      <c r="N338" t="n">
        <v>0</v>
      </c>
      <c r="O338" t="n">
        <v>1</v>
      </c>
      <c r="P338" t="n">
        <v>0</v>
      </c>
      <c r="Q338" t="n">
        <v>1</v>
      </c>
      <c r="R338" s="2" t="inlineStr">
        <is>
          <t>Motaggsvamp</t>
        </is>
      </c>
      <c r="S338">
        <f>HYPERLINK("https://klasma.github.io/Logging_2305/artfynd/A 46435-2025 artfynd.xlsx", "A 46435-2025")</f>
        <v/>
      </c>
      <c r="T338">
        <f>HYPERLINK("https://klasma.github.io/Logging_2305/kartor/A 46435-2025 karta.png", "A 46435-2025")</f>
        <v/>
      </c>
      <c r="V338">
        <f>HYPERLINK("https://klasma.github.io/Logging_2305/klagomål/A 46435-2025 FSC-klagomål.docx", "A 46435-2025")</f>
        <v/>
      </c>
      <c r="W338">
        <f>HYPERLINK("https://klasma.github.io/Logging_2305/klagomålsmail/A 46435-2025 FSC-klagomål mail.docx", "A 46435-2025")</f>
        <v/>
      </c>
      <c r="X338">
        <f>HYPERLINK("https://klasma.github.io/Logging_2305/tillsyn/A 46435-2025 tillsynsbegäran.docx", "A 46435-2025")</f>
        <v/>
      </c>
      <c r="Y338">
        <f>HYPERLINK("https://klasma.github.io/Logging_2305/tillsynsmail/A 46435-2025 tillsynsbegäran mail.docx", "A 46435-2025")</f>
        <v/>
      </c>
    </row>
    <row r="339" ht="15" customHeight="1">
      <c r="A339" t="inlineStr">
        <is>
          <t>A 31479-2024</t>
        </is>
      </c>
      <c r="B339" s="1" t="n">
        <v>45505</v>
      </c>
      <c r="C339" s="1" t="n">
        <v>46193</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Violettgrå tagellav</t>
        </is>
      </c>
      <c r="S339">
        <f>HYPERLINK("https://klasma.github.io/Logging_2305/artfynd/A 31479-2024 artfynd.xlsx", "A 31479-2024")</f>
        <v/>
      </c>
      <c r="T339">
        <f>HYPERLINK("https://klasma.github.io/Logging_2305/kartor/A 31479-2024 karta.png", "A 31479-2024")</f>
        <v/>
      </c>
      <c r="V339">
        <f>HYPERLINK("https://klasma.github.io/Logging_2305/klagomål/A 31479-2024 FSC-klagomål.docx", "A 31479-2024")</f>
        <v/>
      </c>
      <c r="W339">
        <f>HYPERLINK("https://klasma.github.io/Logging_2305/klagomålsmail/A 31479-2024 FSC-klagomål mail.docx", "A 31479-2024")</f>
        <v/>
      </c>
      <c r="X339">
        <f>HYPERLINK("https://klasma.github.io/Logging_2305/tillsyn/A 31479-2024 tillsynsbegäran.docx", "A 31479-2024")</f>
        <v/>
      </c>
      <c r="Y339">
        <f>HYPERLINK("https://klasma.github.io/Logging_2305/tillsynsmail/A 31479-2024 tillsynsbegäran mail.docx", "A 31479-2024")</f>
        <v/>
      </c>
    </row>
    <row r="340" ht="15" customHeight="1">
      <c r="A340" t="inlineStr">
        <is>
          <t>A 33773-2024</t>
        </is>
      </c>
      <c r="B340" s="1" t="n">
        <v>45520</v>
      </c>
      <c r="C340" s="1" t="n">
        <v>46193</v>
      </c>
      <c r="D340" t="inlineStr">
        <is>
          <t>JÄMTLANDS LÄN</t>
        </is>
      </c>
      <c r="E340" t="inlineStr">
        <is>
          <t>BRÄCKE</t>
        </is>
      </c>
      <c r="F340" t="inlineStr">
        <is>
          <t>SCA</t>
        </is>
      </c>
      <c r="G340" t="n">
        <v>1.5</v>
      </c>
      <c r="H340" t="n">
        <v>0</v>
      </c>
      <c r="I340" t="n">
        <v>0</v>
      </c>
      <c r="J340" t="n">
        <v>0</v>
      </c>
      <c r="K340" t="n">
        <v>1</v>
      </c>
      <c r="L340" t="n">
        <v>0</v>
      </c>
      <c r="M340" t="n">
        <v>0</v>
      </c>
      <c r="N340" t="n">
        <v>0</v>
      </c>
      <c r="O340" t="n">
        <v>1</v>
      </c>
      <c r="P340" t="n">
        <v>1</v>
      </c>
      <c r="Q340" t="n">
        <v>1</v>
      </c>
      <c r="R340" s="2" t="inlineStr">
        <is>
          <t>Smalskaftslav</t>
        </is>
      </c>
      <c r="S340">
        <f>HYPERLINK("https://klasma.github.io/Logging_2305/artfynd/A 33773-2024 artfynd.xlsx", "A 33773-2024")</f>
        <v/>
      </c>
      <c r="T340">
        <f>HYPERLINK("https://klasma.github.io/Logging_2305/kartor/A 33773-2024 karta.png", "A 33773-2024")</f>
        <v/>
      </c>
      <c r="V340">
        <f>HYPERLINK("https://klasma.github.io/Logging_2305/klagomål/A 33773-2024 FSC-klagomål.docx", "A 33773-2024")</f>
        <v/>
      </c>
      <c r="W340">
        <f>HYPERLINK("https://klasma.github.io/Logging_2305/klagomålsmail/A 33773-2024 FSC-klagomål mail.docx", "A 33773-2024")</f>
        <v/>
      </c>
      <c r="X340">
        <f>HYPERLINK("https://klasma.github.io/Logging_2305/tillsyn/A 33773-2024 tillsynsbegäran.docx", "A 33773-2024")</f>
        <v/>
      </c>
      <c r="Y340">
        <f>HYPERLINK("https://klasma.github.io/Logging_2305/tillsynsmail/A 33773-2024 tillsynsbegäran mail.docx", "A 33773-2024")</f>
        <v/>
      </c>
    </row>
    <row r="341" ht="15" customHeight="1">
      <c r="A341" t="inlineStr">
        <is>
          <t>A 29323-2023</t>
        </is>
      </c>
      <c r="B341" s="1" t="n">
        <v>45105</v>
      </c>
      <c r="C341" s="1" t="n">
        <v>46193</v>
      </c>
      <c r="D341" t="inlineStr">
        <is>
          <t>JÄMTLANDS LÄN</t>
        </is>
      </c>
      <c r="E341" t="inlineStr">
        <is>
          <t>BRÄCKE</t>
        </is>
      </c>
      <c r="F341" t="inlineStr">
        <is>
          <t>SCA</t>
        </is>
      </c>
      <c r="G341" t="n">
        <v>3.4</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29323-2023 artfynd.xlsx", "A 29323-2023")</f>
        <v/>
      </c>
      <c r="T341">
        <f>HYPERLINK("https://klasma.github.io/Logging_2305/kartor/A 29323-2023 karta.png", "A 29323-2023")</f>
        <v/>
      </c>
      <c r="V341">
        <f>HYPERLINK("https://klasma.github.io/Logging_2305/klagomål/A 29323-2023 FSC-klagomål.docx", "A 29323-2023")</f>
        <v/>
      </c>
      <c r="W341">
        <f>HYPERLINK("https://klasma.github.io/Logging_2305/klagomålsmail/A 29323-2023 FSC-klagomål mail.docx", "A 29323-2023")</f>
        <v/>
      </c>
      <c r="X341">
        <f>HYPERLINK("https://klasma.github.io/Logging_2305/tillsyn/A 29323-2023 tillsynsbegäran.docx", "A 29323-2023")</f>
        <v/>
      </c>
      <c r="Y341">
        <f>HYPERLINK("https://klasma.github.io/Logging_2305/tillsynsmail/A 29323-2023 tillsynsbegäran mail.docx", "A 29323-2023")</f>
        <v/>
      </c>
    </row>
    <row r="342" ht="15" customHeight="1">
      <c r="A342" t="inlineStr">
        <is>
          <t>A 44855-2025</t>
        </is>
      </c>
      <c r="B342" s="1" t="n">
        <v>45918</v>
      </c>
      <c r="C342" s="1" t="n">
        <v>46193</v>
      </c>
      <c r="D342" t="inlineStr">
        <is>
          <t>JÄMTLANDS LÄN</t>
        </is>
      </c>
      <c r="E342" t="inlineStr">
        <is>
          <t>BRÄCKE</t>
        </is>
      </c>
      <c r="G342" t="n">
        <v>2</v>
      </c>
      <c r="H342" t="n">
        <v>1</v>
      </c>
      <c r="I342" t="n">
        <v>0</v>
      </c>
      <c r="J342" t="n">
        <v>0</v>
      </c>
      <c r="K342" t="n">
        <v>0</v>
      </c>
      <c r="L342" t="n">
        <v>0</v>
      </c>
      <c r="M342" t="n">
        <v>0</v>
      </c>
      <c r="N342" t="n">
        <v>0</v>
      </c>
      <c r="O342" t="n">
        <v>0</v>
      </c>
      <c r="P342" t="n">
        <v>0</v>
      </c>
      <c r="Q342" t="n">
        <v>1</v>
      </c>
      <c r="R342" s="2" t="inlineStr">
        <is>
          <t>Järpe</t>
        </is>
      </c>
      <c r="S342">
        <f>HYPERLINK("https://klasma.github.io/Logging_2305/artfynd/A 44855-2025 artfynd.xlsx", "A 44855-2025")</f>
        <v/>
      </c>
      <c r="T342">
        <f>HYPERLINK("https://klasma.github.io/Logging_2305/kartor/A 44855-2025 karta.png", "A 44855-2025")</f>
        <v/>
      </c>
      <c r="V342">
        <f>HYPERLINK("https://klasma.github.io/Logging_2305/klagomål/A 44855-2025 FSC-klagomål.docx", "A 44855-2025")</f>
        <v/>
      </c>
      <c r="W342">
        <f>HYPERLINK("https://klasma.github.io/Logging_2305/klagomålsmail/A 44855-2025 FSC-klagomål mail.docx", "A 44855-2025")</f>
        <v/>
      </c>
      <c r="X342">
        <f>HYPERLINK("https://klasma.github.io/Logging_2305/tillsyn/A 44855-2025 tillsynsbegäran.docx", "A 44855-2025")</f>
        <v/>
      </c>
      <c r="Y342">
        <f>HYPERLINK("https://klasma.github.io/Logging_2305/tillsynsmail/A 44855-2025 tillsynsbegäran mail.docx", "A 44855-2025")</f>
        <v/>
      </c>
      <c r="Z342">
        <f>HYPERLINK("https://klasma.github.io/Logging_2305/fåglar/A 44855-2025 prioriterade fågelarter.docx", "A 44855-2025")</f>
        <v/>
      </c>
    </row>
    <row r="343" ht="15" customHeight="1">
      <c r="A343" t="inlineStr">
        <is>
          <t>A 48064-2023</t>
        </is>
      </c>
      <c r="B343" s="1" t="n">
        <v>45204</v>
      </c>
      <c r="C343" s="1" t="n">
        <v>46193</v>
      </c>
      <c r="D343" t="inlineStr">
        <is>
          <t>JÄMTLANDS LÄN</t>
        </is>
      </c>
      <c r="E343" t="inlineStr">
        <is>
          <t>BRÄCKE</t>
        </is>
      </c>
      <c r="G343" t="n">
        <v>2.3</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48064-2023 artfynd.xlsx", "A 48064-2023")</f>
        <v/>
      </c>
      <c r="T343">
        <f>HYPERLINK("https://klasma.github.io/Logging_2305/kartor/A 48064-2023 karta.png", "A 48064-2023")</f>
        <v/>
      </c>
      <c r="V343">
        <f>HYPERLINK("https://klasma.github.io/Logging_2305/klagomål/A 48064-2023 FSC-klagomål.docx", "A 48064-2023")</f>
        <v/>
      </c>
      <c r="W343">
        <f>HYPERLINK("https://klasma.github.io/Logging_2305/klagomålsmail/A 48064-2023 FSC-klagomål mail.docx", "A 48064-2023")</f>
        <v/>
      </c>
      <c r="X343">
        <f>HYPERLINK("https://klasma.github.io/Logging_2305/tillsyn/A 48064-2023 tillsynsbegäran.docx", "A 48064-2023")</f>
        <v/>
      </c>
      <c r="Y343">
        <f>HYPERLINK("https://klasma.github.io/Logging_2305/tillsynsmail/A 48064-2023 tillsynsbegäran mail.docx", "A 48064-2023")</f>
        <v/>
      </c>
      <c r="Z343">
        <f>HYPERLINK("https://klasma.github.io/Logging_2305/fåglar/A 48064-2023 prioriterade fågelarter.docx", "A 48064-2023")</f>
        <v/>
      </c>
    </row>
    <row r="344" ht="15" customHeight="1">
      <c r="A344" t="inlineStr">
        <is>
          <t>A 18267-2025</t>
        </is>
      </c>
      <c r="B344" s="1" t="n">
        <v>45762</v>
      </c>
      <c r="C344" s="1" t="n">
        <v>46193</v>
      </c>
      <c r="D344" t="inlineStr">
        <is>
          <t>JÄMTLANDS LÄN</t>
        </is>
      </c>
      <c r="E344" t="inlineStr">
        <is>
          <t>BRÄCKE</t>
        </is>
      </c>
      <c r="G344" t="n">
        <v>0.6</v>
      </c>
      <c r="H344" t="n">
        <v>0</v>
      </c>
      <c r="I344" t="n">
        <v>1</v>
      </c>
      <c r="J344" t="n">
        <v>0</v>
      </c>
      <c r="K344" t="n">
        <v>0</v>
      </c>
      <c r="L344" t="n">
        <v>0</v>
      </c>
      <c r="M344" t="n">
        <v>0</v>
      </c>
      <c r="N344" t="n">
        <v>0</v>
      </c>
      <c r="O344" t="n">
        <v>0</v>
      </c>
      <c r="P344" t="n">
        <v>0</v>
      </c>
      <c r="Q344" t="n">
        <v>1</v>
      </c>
      <c r="R344" s="2" t="inlineStr">
        <is>
          <t>Tibast</t>
        </is>
      </c>
      <c r="S344">
        <f>HYPERLINK("https://klasma.github.io/Logging_2305/artfynd/A 18267-2025 artfynd.xlsx", "A 18267-2025")</f>
        <v/>
      </c>
      <c r="T344">
        <f>HYPERLINK("https://klasma.github.io/Logging_2305/kartor/A 18267-2025 karta.png", "A 18267-2025")</f>
        <v/>
      </c>
      <c r="V344">
        <f>HYPERLINK("https://klasma.github.io/Logging_2305/klagomål/A 18267-2025 FSC-klagomål.docx", "A 18267-2025")</f>
        <v/>
      </c>
      <c r="W344">
        <f>HYPERLINK("https://klasma.github.io/Logging_2305/klagomålsmail/A 18267-2025 FSC-klagomål mail.docx", "A 18267-2025")</f>
        <v/>
      </c>
      <c r="X344">
        <f>HYPERLINK("https://klasma.github.io/Logging_2305/tillsyn/A 18267-2025 tillsynsbegäran.docx", "A 18267-2025")</f>
        <v/>
      </c>
      <c r="Y344">
        <f>HYPERLINK("https://klasma.github.io/Logging_2305/tillsynsmail/A 18267-2025 tillsynsbegäran mail.docx", "A 18267-2025")</f>
        <v/>
      </c>
    </row>
    <row r="345" ht="15" customHeight="1">
      <c r="A345" t="inlineStr">
        <is>
          <t>A 24094-2025</t>
        </is>
      </c>
      <c r="B345" s="1" t="n">
        <v>45796</v>
      </c>
      <c r="C345" s="1" t="n">
        <v>46193</v>
      </c>
      <c r="D345" t="inlineStr">
        <is>
          <t>JÄMTLANDS LÄN</t>
        </is>
      </c>
      <c r="E345" t="inlineStr">
        <is>
          <t>BRÄCKE</t>
        </is>
      </c>
      <c r="F345" t="inlineStr">
        <is>
          <t>SCA</t>
        </is>
      </c>
      <c r="G345" t="n">
        <v>4.1</v>
      </c>
      <c r="H345" t="n">
        <v>0</v>
      </c>
      <c r="I345" t="n">
        <v>0</v>
      </c>
      <c r="J345" t="n">
        <v>1</v>
      </c>
      <c r="K345" t="n">
        <v>0</v>
      </c>
      <c r="L345" t="n">
        <v>0</v>
      </c>
      <c r="M345" t="n">
        <v>0</v>
      </c>
      <c r="N345" t="n">
        <v>0</v>
      </c>
      <c r="O345" t="n">
        <v>1</v>
      </c>
      <c r="P345" t="n">
        <v>0</v>
      </c>
      <c r="Q345" t="n">
        <v>1</v>
      </c>
      <c r="R345" s="2" t="inlineStr">
        <is>
          <t>Vedskivlav</t>
        </is>
      </c>
      <c r="S345">
        <f>HYPERLINK("https://klasma.github.io/Logging_2305/artfynd/A 24094-2025 artfynd.xlsx", "A 24094-2025")</f>
        <v/>
      </c>
      <c r="T345">
        <f>HYPERLINK("https://klasma.github.io/Logging_2305/kartor/A 24094-2025 karta.png", "A 24094-2025")</f>
        <v/>
      </c>
      <c r="V345">
        <f>HYPERLINK("https://klasma.github.io/Logging_2305/klagomål/A 24094-2025 FSC-klagomål.docx", "A 24094-2025")</f>
        <v/>
      </c>
      <c r="W345">
        <f>HYPERLINK("https://klasma.github.io/Logging_2305/klagomålsmail/A 24094-2025 FSC-klagomål mail.docx", "A 24094-2025")</f>
        <v/>
      </c>
      <c r="X345">
        <f>HYPERLINK("https://klasma.github.io/Logging_2305/tillsyn/A 24094-2025 tillsynsbegäran.docx", "A 24094-2025")</f>
        <v/>
      </c>
      <c r="Y345">
        <f>HYPERLINK("https://klasma.github.io/Logging_2305/tillsynsmail/A 24094-2025 tillsynsbegäran mail.docx", "A 24094-2025")</f>
        <v/>
      </c>
    </row>
    <row r="346" ht="15" customHeight="1">
      <c r="A346" t="inlineStr">
        <is>
          <t>A 27460-2024</t>
        </is>
      </c>
      <c r="B346" s="1" t="n">
        <v>45474</v>
      </c>
      <c r="C346" s="1" t="n">
        <v>46193</v>
      </c>
      <c r="D346" t="inlineStr">
        <is>
          <t>JÄMTLANDS LÄN</t>
        </is>
      </c>
      <c r="E346" t="inlineStr">
        <is>
          <t>BRÄCKE</t>
        </is>
      </c>
      <c r="G346" t="n">
        <v>11.5</v>
      </c>
      <c r="H346" t="n">
        <v>1</v>
      </c>
      <c r="I346" t="n">
        <v>0</v>
      </c>
      <c r="J346" t="n">
        <v>0</v>
      </c>
      <c r="K346" t="n">
        <v>0</v>
      </c>
      <c r="L346" t="n">
        <v>0</v>
      </c>
      <c r="M346" t="n">
        <v>0</v>
      </c>
      <c r="N346" t="n">
        <v>0</v>
      </c>
      <c r="O346" t="n">
        <v>0</v>
      </c>
      <c r="P346" t="n">
        <v>0</v>
      </c>
      <c r="Q346" t="n">
        <v>1</v>
      </c>
      <c r="R346" s="2" t="inlineStr">
        <is>
          <t>Revlummer</t>
        </is>
      </c>
      <c r="S346">
        <f>HYPERLINK("https://klasma.github.io/Logging_2305/artfynd/A 27460-2024 artfynd.xlsx", "A 27460-2024")</f>
        <v/>
      </c>
      <c r="T346">
        <f>HYPERLINK("https://klasma.github.io/Logging_2305/kartor/A 27460-2024 karta.png", "A 27460-2024")</f>
        <v/>
      </c>
      <c r="V346">
        <f>HYPERLINK("https://klasma.github.io/Logging_2305/klagomål/A 27460-2024 FSC-klagomål.docx", "A 27460-2024")</f>
        <v/>
      </c>
      <c r="W346">
        <f>HYPERLINK("https://klasma.github.io/Logging_2305/klagomålsmail/A 27460-2024 FSC-klagomål mail.docx", "A 27460-2024")</f>
        <v/>
      </c>
      <c r="X346">
        <f>HYPERLINK("https://klasma.github.io/Logging_2305/tillsyn/A 27460-2024 tillsynsbegäran.docx", "A 27460-2024")</f>
        <v/>
      </c>
      <c r="Y346">
        <f>HYPERLINK("https://klasma.github.io/Logging_2305/tillsynsmail/A 27460-2024 tillsynsbegäran mail.docx", "A 27460-2024")</f>
        <v/>
      </c>
    </row>
    <row r="347" ht="15" customHeight="1">
      <c r="A347" t="inlineStr">
        <is>
          <t>A 50256-2025</t>
        </is>
      </c>
      <c r="B347" s="1" t="n">
        <v>45944</v>
      </c>
      <c r="C347" s="1" t="n">
        <v>46193</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Berggräsfjäril</t>
        </is>
      </c>
      <c r="S347">
        <f>HYPERLINK("https://klasma.github.io/Logging_2305/artfynd/A 50256-2025 artfynd.xlsx", "A 50256-2025")</f>
        <v/>
      </c>
      <c r="T347">
        <f>HYPERLINK("https://klasma.github.io/Logging_2305/kartor/A 50256-2025 karta.png", "A 50256-2025")</f>
        <v/>
      </c>
      <c r="V347">
        <f>HYPERLINK("https://klasma.github.io/Logging_2305/klagomål/A 50256-2025 FSC-klagomål.docx", "A 50256-2025")</f>
        <v/>
      </c>
      <c r="W347">
        <f>HYPERLINK("https://klasma.github.io/Logging_2305/klagomålsmail/A 50256-2025 FSC-klagomål mail.docx", "A 50256-2025")</f>
        <v/>
      </c>
      <c r="X347">
        <f>HYPERLINK("https://klasma.github.io/Logging_2305/tillsyn/A 50256-2025 tillsynsbegäran.docx", "A 50256-2025")</f>
        <v/>
      </c>
      <c r="Y347">
        <f>HYPERLINK("https://klasma.github.io/Logging_2305/tillsynsmail/A 50256-2025 tillsynsbegäran mail.docx", "A 50256-2025")</f>
        <v/>
      </c>
    </row>
    <row r="348" ht="15" customHeight="1">
      <c r="A348" t="inlineStr">
        <is>
          <t>A 15189-2025</t>
        </is>
      </c>
      <c r="B348" s="1" t="n">
        <v>45744</v>
      </c>
      <c r="C348" s="1" t="n">
        <v>46193</v>
      </c>
      <c r="D348" t="inlineStr">
        <is>
          <t>JÄMTLANDS LÄN</t>
        </is>
      </c>
      <c r="E348" t="inlineStr">
        <is>
          <t>BRÄCKE</t>
        </is>
      </c>
      <c r="F348" t="inlineStr">
        <is>
          <t>SCA</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15189-2025 artfynd.xlsx", "A 15189-2025")</f>
        <v/>
      </c>
      <c r="T348">
        <f>HYPERLINK("https://klasma.github.io/Logging_2305/kartor/A 15189-2025 karta.png", "A 15189-2025")</f>
        <v/>
      </c>
      <c r="V348">
        <f>HYPERLINK("https://klasma.github.io/Logging_2305/klagomål/A 15189-2025 FSC-klagomål.docx", "A 15189-2025")</f>
        <v/>
      </c>
      <c r="W348">
        <f>HYPERLINK("https://klasma.github.io/Logging_2305/klagomålsmail/A 15189-2025 FSC-klagomål mail.docx", "A 15189-2025")</f>
        <v/>
      </c>
      <c r="X348">
        <f>HYPERLINK("https://klasma.github.io/Logging_2305/tillsyn/A 15189-2025 tillsynsbegäran.docx", "A 15189-2025")</f>
        <v/>
      </c>
      <c r="Y348">
        <f>HYPERLINK("https://klasma.github.io/Logging_2305/tillsynsmail/A 15189-2025 tillsynsbegäran mail.docx", "A 15189-2025")</f>
        <v/>
      </c>
      <c r="Z348">
        <f>HYPERLINK("https://klasma.github.io/Logging_2305/fåglar/A 15189-2025 prioriterade fågelarter.docx", "A 15189-2025")</f>
        <v/>
      </c>
    </row>
    <row r="349" ht="15" customHeight="1">
      <c r="A349" t="inlineStr">
        <is>
          <t>A 41313-2024</t>
        </is>
      </c>
      <c r="B349" s="1" t="n">
        <v>45559</v>
      </c>
      <c r="C349" s="1" t="n">
        <v>46193</v>
      </c>
      <c r="D349" t="inlineStr">
        <is>
          <t>JÄMTLANDS LÄN</t>
        </is>
      </c>
      <c r="E349" t="inlineStr">
        <is>
          <t>BRÄCKE</t>
        </is>
      </c>
      <c r="F349" t="inlineStr">
        <is>
          <t>SCA</t>
        </is>
      </c>
      <c r="G349" t="n">
        <v>3.9</v>
      </c>
      <c r="H349" t="n">
        <v>0</v>
      </c>
      <c r="I349" t="n">
        <v>0</v>
      </c>
      <c r="J349" t="n">
        <v>1</v>
      </c>
      <c r="K349" t="n">
        <v>0</v>
      </c>
      <c r="L349" t="n">
        <v>0</v>
      </c>
      <c r="M349" t="n">
        <v>0</v>
      </c>
      <c r="N349" t="n">
        <v>0</v>
      </c>
      <c r="O349" t="n">
        <v>1</v>
      </c>
      <c r="P349" t="n">
        <v>0</v>
      </c>
      <c r="Q349" t="n">
        <v>1</v>
      </c>
      <c r="R349" s="2" t="inlineStr">
        <is>
          <t>Veckticka</t>
        </is>
      </c>
      <c r="S349">
        <f>HYPERLINK("https://klasma.github.io/Logging_2305/artfynd/A 41313-2024 artfynd.xlsx", "A 41313-2024")</f>
        <v/>
      </c>
      <c r="T349">
        <f>HYPERLINK("https://klasma.github.io/Logging_2305/kartor/A 41313-2024 karta.png", "A 41313-2024")</f>
        <v/>
      </c>
      <c r="V349">
        <f>HYPERLINK("https://klasma.github.io/Logging_2305/klagomål/A 41313-2024 FSC-klagomål.docx", "A 41313-2024")</f>
        <v/>
      </c>
      <c r="W349">
        <f>HYPERLINK("https://klasma.github.io/Logging_2305/klagomålsmail/A 41313-2024 FSC-klagomål mail.docx", "A 41313-2024")</f>
        <v/>
      </c>
      <c r="X349">
        <f>HYPERLINK("https://klasma.github.io/Logging_2305/tillsyn/A 41313-2024 tillsynsbegäran.docx", "A 41313-2024")</f>
        <v/>
      </c>
      <c r="Y349">
        <f>HYPERLINK("https://klasma.github.io/Logging_2305/tillsynsmail/A 41313-2024 tillsynsbegäran mail.docx", "A 41313-2024")</f>
        <v/>
      </c>
    </row>
    <row r="350" ht="15" customHeight="1">
      <c r="A350" t="inlineStr">
        <is>
          <t>A 12640-2025</t>
        </is>
      </c>
      <c r="B350" s="1" t="n">
        <v>45733</v>
      </c>
      <c r="C350" s="1" t="n">
        <v>46193</v>
      </c>
      <c r="D350" t="inlineStr">
        <is>
          <t>JÄMTLANDS LÄN</t>
        </is>
      </c>
      <c r="E350" t="inlineStr">
        <is>
          <t>BRÄCKE</t>
        </is>
      </c>
      <c r="F350" t="inlineStr">
        <is>
          <t>SCA</t>
        </is>
      </c>
      <c r="G350" t="n">
        <v>2.1</v>
      </c>
      <c r="H350" t="n">
        <v>1</v>
      </c>
      <c r="I350" t="n">
        <v>0</v>
      </c>
      <c r="J350" t="n">
        <v>0</v>
      </c>
      <c r="K350" t="n">
        <v>0</v>
      </c>
      <c r="L350" t="n">
        <v>0</v>
      </c>
      <c r="M350" t="n">
        <v>0</v>
      </c>
      <c r="N350" t="n">
        <v>0</v>
      </c>
      <c r="O350" t="n">
        <v>0</v>
      </c>
      <c r="P350" t="n">
        <v>0</v>
      </c>
      <c r="Q350" t="n">
        <v>1</v>
      </c>
      <c r="R350" s="2" t="inlineStr">
        <is>
          <t>Nattviol</t>
        </is>
      </c>
      <c r="S350">
        <f>HYPERLINK("https://klasma.github.io/Logging_2305/artfynd/A 12640-2025 artfynd.xlsx", "A 12640-2025")</f>
        <v/>
      </c>
      <c r="T350">
        <f>HYPERLINK("https://klasma.github.io/Logging_2305/kartor/A 12640-2025 karta.png", "A 12640-2025")</f>
        <v/>
      </c>
      <c r="V350">
        <f>HYPERLINK("https://klasma.github.io/Logging_2305/klagomål/A 12640-2025 FSC-klagomål.docx", "A 12640-2025")</f>
        <v/>
      </c>
      <c r="W350">
        <f>HYPERLINK("https://klasma.github.io/Logging_2305/klagomålsmail/A 12640-2025 FSC-klagomål mail.docx", "A 12640-2025")</f>
        <v/>
      </c>
      <c r="X350">
        <f>HYPERLINK("https://klasma.github.io/Logging_2305/tillsyn/A 12640-2025 tillsynsbegäran.docx", "A 12640-2025")</f>
        <v/>
      </c>
      <c r="Y350">
        <f>HYPERLINK("https://klasma.github.io/Logging_2305/tillsynsmail/A 12640-2025 tillsynsbegäran mail.docx", "A 12640-2025")</f>
        <v/>
      </c>
    </row>
    <row r="351" ht="15" customHeight="1">
      <c r="A351" t="inlineStr">
        <is>
          <t>A 2063-2024</t>
        </is>
      </c>
      <c r="B351" s="1" t="n">
        <v>45308</v>
      </c>
      <c r="C351" s="1" t="n">
        <v>46193</v>
      </c>
      <c r="D351" t="inlineStr">
        <is>
          <t>JÄMTLANDS LÄN</t>
        </is>
      </c>
      <c r="E351" t="inlineStr">
        <is>
          <t>BRÄCKE</t>
        </is>
      </c>
      <c r="F351" t="inlineStr">
        <is>
          <t>SCA</t>
        </is>
      </c>
      <c r="G351" t="n">
        <v>5.7</v>
      </c>
      <c r="H351" t="n">
        <v>0</v>
      </c>
      <c r="I351" t="n">
        <v>0</v>
      </c>
      <c r="J351" t="n">
        <v>0</v>
      </c>
      <c r="K351" t="n">
        <v>1</v>
      </c>
      <c r="L351" t="n">
        <v>0</v>
      </c>
      <c r="M351" t="n">
        <v>0</v>
      </c>
      <c r="N351" t="n">
        <v>0</v>
      </c>
      <c r="O351" t="n">
        <v>1</v>
      </c>
      <c r="P351" t="n">
        <v>1</v>
      </c>
      <c r="Q351" t="n">
        <v>1</v>
      </c>
      <c r="R351" s="2" t="inlineStr">
        <is>
          <t>Gräddporing</t>
        </is>
      </c>
      <c r="S351">
        <f>HYPERLINK("https://klasma.github.io/Logging_2305/artfynd/A 2063-2024 artfynd.xlsx", "A 2063-2024")</f>
        <v/>
      </c>
      <c r="T351">
        <f>HYPERLINK("https://klasma.github.io/Logging_2305/kartor/A 2063-2024 karta.png", "A 2063-2024")</f>
        <v/>
      </c>
      <c r="V351">
        <f>HYPERLINK("https://klasma.github.io/Logging_2305/klagomål/A 2063-2024 FSC-klagomål.docx", "A 2063-2024")</f>
        <v/>
      </c>
      <c r="W351">
        <f>HYPERLINK("https://klasma.github.io/Logging_2305/klagomålsmail/A 2063-2024 FSC-klagomål mail.docx", "A 2063-2024")</f>
        <v/>
      </c>
      <c r="X351">
        <f>HYPERLINK("https://klasma.github.io/Logging_2305/tillsyn/A 2063-2024 tillsynsbegäran.docx", "A 2063-2024")</f>
        <v/>
      </c>
      <c r="Y351">
        <f>HYPERLINK("https://klasma.github.io/Logging_2305/tillsynsmail/A 2063-2024 tillsynsbegäran mail.docx", "A 2063-2024")</f>
        <v/>
      </c>
    </row>
    <row r="352" ht="15" customHeight="1">
      <c r="A352" t="inlineStr">
        <is>
          <t>A 7686-2025</t>
        </is>
      </c>
      <c r="B352" s="1" t="n">
        <v>45706</v>
      </c>
      <c r="C352" s="1" t="n">
        <v>46193</v>
      </c>
      <c r="D352" t="inlineStr">
        <is>
          <t>JÄMTLANDS LÄN</t>
        </is>
      </c>
      <c r="E352" t="inlineStr">
        <is>
          <t>BRÄCKE</t>
        </is>
      </c>
      <c r="F352" t="inlineStr">
        <is>
          <t>SCA</t>
        </is>
      </c>
      <c r="G352" t="n">
        <v>1</v>
      </c>
      <c r="H352" t="n">
        <v>1</v>
      </c>
      <c r="I352" t="n">
        <v>0</v>
      </c>
      <c r="J352" t="n">
        <v>0</v>
      </c>
      <c r="K352" t="n">
        <v>1</v>
      </c>
      <c r="L352" t="n">
        <v>0</v>
      </c>
      <c r="M352" t="n">
        <v>0</v>
      </c>
      <c r="N352" t="n">
        <v>0</v>
      </c>
      <c r="O352" t="n">
        <v>1</v>
      </c>
      <c r="P352" t="n">
        <v>1</v>
      </c>
      <c r="Q352" t="n">
        <v>1</v>
      </c>
      <c r="R352" s="2" t="inlineStr">
        <is>
          <t>Knärot</t>
        </is>
      </c>
      <c r="S352">
        <f>HYPERLINK("https://klasma.github.io/Logging_2305/artfynd/A 7686-2025 artfynd.xlsx", "A 7686-2025")</f>
        <v/>
      </c>
      <c r="T352">
        <f>HYPERLINK("https://klasma.github.io/Logging_2305/kartor/A 7686-2025 karta.png", "A 7686-2025")</f>
        <v/>
      </c>
      <c r="U352">
        <f>HYPERLINK("https://klasma.github.io/Logging_2305/knärot/A 7686-2025 karta knärot.png", "A 7686-2025")</f>
        <v/>
      </c>
      <c r="V352">
        <f>HYPERLINK("https://klasma.github.io/Logging_2305/klagomål/A 7686-2025 FSC-klagomål.docx", "A 7686-2025")</f>
        <v/>
      </c>
      <c r="W352">
        <f>HYPERLINK("https://klasma.github.io/Logging_2305/klagomålsmail/A 7686-2025 FSC-klagomål mail.docx", "A 7686-2025")</f>
        <v/>
      </c>
      <c r="X352">
        <f>HYPERLINK("https://klasma.github.io/Logging_2305/tillsyn/A 7686-2025 tillsynsbegäran.docx", "A 7686-2025")</f>
        <v/>
      </c>
      <c r="Y352">
        <f>HYPERLINK("https://klasma.github.io/Logging_2305/tillsynsmail/A 7686-2025 tillsynsbegäran mail.docx", "A 7686-2025")</f>
        <v/>
      </c>
    </row>
    <row r="353" ht="15" customHeight="1">
      <c r="A353" t="inlineStr">
        <is>
          <t>A 53832-2024</t>
        </is>
      </c>
      <c r="B353" s="1" t="n">
        <v>45615</v>
      </c>
      <c r="C353" s="1" t="n">
        <v>46193</v>
      </c>
      <c r="D353" t="inlineStr">
        <is>
          <t>JÄMTLANDS LÄN</t>
        </is>
      </c>
      <c r="E353" t="inlineStr">
        <is>
          <t>BRÄCKE</t>
        </is>
      </c>
      <c r="F353" t="inlineStr">
        <is>
          <t>SCA</t>
        </is>
      </c>
      <c r="G353" t="n">
        <v>4</v>
      </c>
      <c r="H353" t="n">
        <v>0</v>
      </c>
      <c r="I353" t="n">
        <v>0</v>
      </c>
      <c r="J353" t="n">
        <v>1</v>
      </c>
      <c r="K353" t="n">
        <v>0</v>
      </c>
      <c r="L353" t="n">
        <v>0</v>
      </c>
      <c r="M353" t="n">
        <v>0</v>
      </c>
      <c r="N353" t="n">
        <v>0</v>
      </c>
      <c r="O353" t="n">
        <v>1</v>
      </c>
      <c r="P353" t="n">
        <v>0</v>
      </c>
      <c r="Q353" t="n">
        <v>1</v>
      </c>
      <c r="R353" s="2" t="inlineStr">
        <is>
          <t>Dropptaggsvamp</t>
        </is>
      </c>
      <c r="S353">
        <f>HYPERLINK("https://klasma.github.io/Logging_2305/artfynd/A 53832-2024 artfynd.xlsx", "A 53832-2024")</f>
        <v/>
      </c>
      <c r="T353">
        <f>HYPERLINK("https://klasma.github.io/Logging_2305/kartor/A 53832-2024 karta.png", "A 53832-2024")</f>
        <v/>
      </c>
      <c r="V353">
        <f>HYPERLINK("https://klasma.github.io/Logging_2305/klagomål/A 53832-2024 FSC-klagomål.docx", "A 53832-2024")</f>
        <v/>
      </c>
      <c r="W353">
        <f>HYPERLINK("https://klasma.github.io/Logging_2305/klagomålsmail/A 53832-2024 FSC-klagomål mail.docx", "A 53832-2024")</f>
        <v/>
      </c>
      <c r="X353">
        <f>HYPERLINK("https://klasma.github.io/Logging_2305/tillsyn/A 53832-2024 tillsynsbegäran.docx", "A 53832-2024")</f>
        <v/>
      </c>
      <c r="Y353">
        <f>HYPERLINK("https://klasma.github.io/Logging_2305/tillsynsmail/A 53832-2024 tillsynsbegäran mail.docx", "A 53832-2024")</f>
        <v/>
      </c>
    </row>
    <row r="354" ht="15" customHeight="1">
      <c r="A354" t="inlineStr">
        <is>
          <t>A 24049-2023</t>
        </is>
      </c>
      <c r="B354" s="1" t="n">
        <v>45078</v>
      </c>
      <c r="C354" s="1" t="n">
        <v>46193</v>
      </c>
      <c r="D354" t="inlineStr">
        <is>
          <t>JÄMTLANDS LÄN</t>
        </is>
      </c>
      <c r="E354" t="inlineStr">
        <is>
          <t>BRÄCKE</t>
        </is>
      </c>
      <c r="G354" t="n">
        <v>15.2</v>
      </c>
      <c r="H354" t="n">
        <v>0</v>
      </c>
      <c r="I354" t="n">
        <v>0</v>
      </c>
      <c r="J354" t="n">
        <v>1</v>
      </c>
      <c r="K354" t="n">
        <v>0</v>
      </c>
      <c r="L354" t="n">
        <v>0</v>
      </c>
      <c r="M354" t="n">
        <v>0</v>
      </c>
      <c r="N354" t="n">
        <v>0</v>
      </c>
      <c r="O354" t="n">
        <v>1</v>
      </c>
      <c r="P354" t="n">
        <v>0</v>
      </c>
      <c r="Q354" t="n">
        <v>1</v>
      </c>
      <c r="R354" s="2" t="inlineStr">
        <is>
          <t>Lunglav</t>
        </is>
      </c>
      <c r="S354">
        <f>HYPERLINK("https://klasma.github.io/Logging_2305/artfynd/A 24049-2023 artfynd.xlsx", "A 24049-2023")</f>
        <v/>
      </c>
      <c r="T354">
        <f>HYPERLINK("https://klasma.github.io/Logging_2305/kartor/A 24049-2023 karta.png", "A 24049-2023")</f>
        <v/>
      </c>
      <c r="V354">
        <f>HYPERLINK("https://klasma.github.io/Logging_2305/klagomål/A 24049-2023 FSC-klagomål.docx", "A 24049-2023")</f>
        <v/>
      </c>
      <c r="W354">
        <f>HYPERLINK("https://klasma.github.io/Logging_2305/klagomålsmail/A 24049-2023 FSC-klagomål mail.docx", "A 24049-2023")</f>
        <v/>
      </c>
      <c r="X354">
        <f>HYPERLINK("https://klasma.github.io/Logging_2305/tillsyn/A 24049-2023 tillsynsbegäran.docx", "A 24049-2023")</f>
        <v/>
      </c>
      <c r="Y354">
        <f>HYPERLINK("https://klasma.github.io/Logging_2305/tillsynsmail/A 24049-2023 tillsynsbegäran mail.docx", "A 24049-2023")</f>
        <v/>
      </c>
    </row>
    <row r="355" ht="15" customHeight="1">
      <c r="A355" t="inlineStr">
        <is>
          <t>A 15076-2022</t>
        </is>
      </c>
      <c r="B355" s="1" t="n">
        <v>44657</v>
      </c>
      <c r="C355" s="1" t="n">
        <v>46193</v>
      </c>
      <c r="D355" t="inlineStr">
        <is>
          <t>JÄMTLANDS LÄN</t>
        </is>
      </c>
      <c r="E355" t="inlineStr">
        <is>
          <t>BRÄCKE</t>
        </is>
      </c>
      <c r="G355" t="n">
        <v>24.7</v>
      </c>
      <c r="H355" t="n">
        <v>0</v>
      </c>
      <c r="I355" t="n">
        <v>0</v>
      </c>
      <c r="J355" t="n">
        <v>1</v>
      </c>
      <c r="K355" t="n">
        <v>0</v>
      </c>
      <c r="L355" t="n">
        <v>0</v>
      </c>
      <c r="M355" t="n">
        <v>0</v>
      </c>
      <c r="N355" t="n">
        <v>0</v>
      </c>
      <c r="O355" t="n">
        <v>1</v>
      </c>
      <c r="P355" t="n">
        <v>0</v>
      </c>
      <c r="Q355" t="n">
        <v>1</v>
      </c>
      <c r="R355" s="2" t="inlineStr">
        <is>
          <t>Skrovellav</t>
        </is>
      </c>
      <c r="S355">
        <f>HYPERLINK("https://klasma.github.io/Logging_2305/artfynd/A 15076-2022 artfynd.xlsx", "A 15076-2022")</f>
        <v/>
      </c>
      <c r="T355">
        <f>HYPERLINK("https://klasma.github.io/Logging_2305/kartor/A 15076-2022 karta.png", "A 15076-2022")</f>
        <v/>
      </c>
      <c r="V355">
        <f>HYPERLINK("https://klasma.github.io/Logging_2305/klagomål/A 15076-2022 FSC-klagomål.docx", "A 15076-2022")</f>
        <v/>
      </c>
      <c r="W355">
        <f>HYPERLINK("https://klasma.github.io/Logging_2305/klagomålsmail/A 15076-2022 FSC-klagomål mail.docx", "A 15076-2022")</f>
        <v/>
      </c>
      <c r="X355">
        <f>HYPERLINK("https://klasma.github.io/Logging_2305/tillsyn/A 15076-2022 tillsynsbegäran.docx", "A 15076-2022")</f>
        <v/>
      </c>
      <c r="Y355">
        <f>HYPERLINK("https://klasma.github.io/Logging_2305/tillsynsmail/A 15076-2022 tillsynsbegäran mail.docx", "A 15076-2022")</f>
        <v/>
      </c>
    </row>
    <row r="356" ht="15" customHeight="1">
      <c r="A356" t="inlineStr">
        <is>
          <t>A 12062-2023</t>
        </is>
      </c>
      <c r="B356" s="1" t="n">
        <v>44996</v>
      </c>
      <c r="C356" s="1" t="n">
        <v>46193</v>
      </c>
      <c r="D356" t="inlineStr">
        <is>
          <t>JÄMTLANDS LÄN</t>
        </is>
      </c>
      <c r="E356" t="inlineStr">
        <is>
          <t>BRÄCKE</t>
        </is>
      </c>
      <c r="G356" t="n">
        <v>5.4</v>
      </c>
      <c r="H356" t="n">
        <v>0</v>
      </c>
      <c r="I356" t="n">
        <v>0</v>
      </c>
      <c r="J356" t="n">
        <v>1</v>
      </c>
      <c r="K356" t="n">
        <v>0</v>
      </c>
      <c r="L356" t="n">
        <v>0</v>
      </c>
      <c r="M356" t="n">
        <v>0</v>
      </c>
      <c r="N356" t="n">
        <v>0</v>
      </c>
      <c r="O356" t="n">
        <v>1</v>
      </c>
      <c r="P356" t="n">
        <v>0</v>
      </c>
      <c r="Q356" t="n">
        <v>1</v>
      </c>
      <c r="R356" s="2" t="inlineStr">
        <is>
          <t>Lunglav</t>
        </is>
      </c>
      <c r="S356">
        <f>HYPERLINK("https://klasma.github.io/Logging_2305/artfynd/A 12062-2023 artfynd.xlsx", "A 12062-2023")</f>
        <v/>
      </c>
      <c r="T356">
        <f>HYPERLINK("https://klasma.github.io/Logging_2305/kartor/A 12062-2023 karta.png", "A 12062-2023")</f>
        <v/>
      </c>
      <c r="V356">
        <f>HYPERLINK("https://klasma.github.io/Logging_2305/klagomål/A 12062-2023 FSC-klagomål.docx", "A 12062-2023")</f>
        <v/>
      </c>
      <c r="W356">
        <f>HYPERLINK("https://klasma.github.io/Logging_2305/klagomålsmail/A 12062-2023 FSC-klagomål mail.docx", "A 12062-2023")</f>
        <v/>
      </c>
      <c r="X356">
        <f>HYPERLINK("https://klasma.github.io/Logging_2305/tillsyn/A 12062-2023 tillsynsbegäran.docx", "A 12062-2023")</f>
        <v/>
      </c>
      <c r="Y356">
        <f>HYPERLINK("https://klasma.github.io/Logging_2305/tillsynsmail/A 12062-2023 tillsynsbegäran mail.docx", "A 12062-2023")</f>
        <v/>
      </c>
    </row>
    <row r="357" ht="15" customHeight="1">
      <c r="A357" t="inlineStr">
        <is>
          <t>A 23062-2026</t>
        </is>
      </c>
      <c r="B357" s="1" t="n">
        <v>46161</v>
      </c>
      <c r="C357" s="1" t="n">
        <v>46193</v>
      </c>
      <c r="D357" t="inlineStr">
        <is>
          <t>JÄMTLANDS LÄN</t>
        </is>
      </c>
      <c r="E357" t="inlineStr">
        <is>
          <t>BRÄCKE</t>
        </is>
      </c>
      <c r="G357" t="n">
        <v>30</v>
      </c>
      <c r="H357" t="n">
        <v>0</v>
      </c>
      <c r="I357" t="n">
        <v>0</v>
      </c>
      <c r="J357" t="n">
        <v>1</v>
      </c>
      <c r="K357" t="n">
        <v>0</v>
      </c>
      <c r="L357" t="n">
        <v>0</v>
      </c>
      <c r="M357" t="n">
        <v>0</v>
      </c>
      <c r="N357" t="n">
        <v>0</v>
      </c>
      <c r="O357" t="n">
        <v>1</v>
      </c>
      <c r="P357" t="n">
        <v>0</v>
      </c>
      <c r="Q357" t="n">
        <v>1</v>
      </c>
      <c r="R357" s="2" t="inlineStr">
        <is>
          <t>Lunglav</t>
        </is>
      </c>
      <c r="S357">
        <f>HYPERLINK("https://klasma.github.io/Logging_2305/artfynd/A 23062-2026 artfynd.xlsx", "A 23062-2026")</f>
        <v/>
      </c>
      <c r="T357">
        <f>HYPERLINK("https://klasma.github.io/Logging_2305/kartor/A 23062-2026 karta.png", "A 23062-2026")</f>
        <v/>
      </c>
      <c r="V357">
        <f>HYPERLINK("https://klasma.github.io/Logging_2305/klagomål/A 23062-2026 FSC-klagomål.docx", "A 23062-2026")</f>
        <v/>
      </c>
      <c r="W357">
        <f>HYPERLINK("https://klasma.github.io/Logging_2305/klagomålsmail/A 23062-2026 FSC-klagomål mail.docx", "A 23062-2026")</f>
        <v/>
      </c>
      <c r="X357">
        <f>HYPERLINK("https://klasma.github.io/Logging_2305/tillsyn/A 23062-2026 tillsynsbegäran.docx", "A 23062-2026")</f>
        <v/>
      </c>
      <c r="Y357">
        <f>HYPERLINK("https://klasma.github.io/Logging_2305/tillsynsmail/A 23062-2026 tillsynsbegäran mail.docx", "A 23062-2026")</f>
        <v/>
      </c>
    </row>
    <row r="358" ht="15" customHeight="1">
      <c r="A358" t="inlineStr">
        <is>
          <t>A 58091-2025</t>
        </is>
      </c>
      <c r="B358" s="1" t="n">
        <v>45982</v>
      </c>
      <c r="C358" s="1" t="n">
        <v>46193</v>
      </c>
      <c r="D358" t="inlineStr">
        <is>
          <t>JÄMTLANDS LÄN</t>
        </is>
      </c>
      <c r="E358" t="inlineStr">
        <is>
          <t>BRÄCKE</t>
        </is>
      </c>
      <c r="F358" t="inlineStr">
        <is>
          <t>SCA</t>
        </is>
      </c>
      <c r="G358" t="n">
        <v>5</v>
      </c>
      <c r="H358" t="n">
        <v>1</v>
      </c>
      <c r="I358" t="n">
        <v>0</v>
      </c>
      <c r="J358" t="n">
        <v>0</v>
      </c>
      <c r="K358" t="n">
        <v>1</v>
      </c>
      <c r="L358" t="n">
        <v>0</v>
      </c>
      <c r="M358" t="n">
        <v>0</v>
      </c>
      <c r="N358" t="n">
        <v>0</v>
      </c>
      <c r="O358" t="n">
        <v>1</v>
      </c>
      <c r="P358" t="n">
        <v>1</v>
      </c>
      <c r="Q358" t="n">
        <v>1</v>
      </c>
      <c r="R358" s="2" t="inlineStr">
        <is>
          <t>Doftticka</t>
        </is>
      </c>
      <c r="S358">
        <f>HYPERLINK("https://klasma.github.io/Logging_2305/artfynd/A 58091-2025 artfynd.xlsx", "A 58091-2025")</f>
        <v/>
      </c>
      <c r="T358">
        <f>HYPERLINK("https://klasma.github.io/Logging_2305/kartor/A 58091-2025 karta.png", "A 58091-2025")</f>
        <v/>
      </c>
      <c r="V358">
        <f>HYPERLINK("https://klasma.github.io/Logging_2305/klagomål/A 58091-2025 FSC-klagomål.docx", "A 58091-2025")</f>
        <v/>
      </c>
      <c r="W358">
        <f>HYPERLINK("https://klasma.github.io/Logging_2305/klagomålsmail/A 58091-2025 FSC-klagomål mail.docx", "A 58091-2025")</f>
        <v/>
      </c>
      <c r="X358">
        <f>HYPERLINK("https://klasma.github.io/Logging_2305/tillsyn/A 58091-2025 tillsynsbegäran.docx", "A 58091-2025")</f>
        <v/>
      </c>
      <c r="Y358">
        <f>HYPERLINK("https://klasma.github.io/Logging_2305/tillsynsmail/A 58091-2025 tillsynsbegäran mail.docx", "A 58091-2025")</f>
        <v/>
      </c>
    </row>
    <row r="359" ht="15" customHeight="1">
      <c r="A359" t="inlineStr">
        <is>
          <t>A 57616-2025</t>
        </is>
      </c>
      <c r="B359" s="1" t="n">
        <v>45981</v>
      </c>
      <c r="C359" s="1" t="n">
        <v>46193</v>
      </c>
      <c r="D359" t="inlineStr">
        <is>
          <t>JÄMTLANDS LÄN</t>
        </is>
      </c>
      <c r="E359" t="inlineStr">
        <is>
          <t>BRÄCKE</t>
        </is>
      </c>
      <c r="F359" t="inlineStr">
        <is>
          <t>SCA</t>
        </is>
      </c>
      <c r="G359" t="n">
        <v>2.5</v>
      </c>
      <c r="H359" t="n">
        <v>0</v>
      </c>
      <c r="I359" t="n">
        <v>1</v>
      </c>
      <c r="J359" t="n">
        <v>0</v>
      </c>
      <c r="K359" t="n">
        <v>0</v>
      </c>
      <c r="L359" t="n">
        <v>0</v>
      </c>
      <c r="M359" t="n">
        <v>0</v>
      </c>
      <c r="N359" t="n">
        <v>0</v>
      </c>
      <c r="O359" t="n">
        <v>0</v>
      </c>
      <c r="P359" t="n">
        <v>0</v>
      </c>
      <c r="Q359" t="n">
        <v>1</v>
      </c>
      <c r="R359" s="2" t="inlineStr">
        <is>
          <t>Trådticka</t>
        </is>
      </c>
      <c r="S359">
        <f>HYPERLINK("https://klasma.github.io/Logging_2305/artfynd/A 57616-2025 artfynd.xlsx", "A 57616-2025")</f>
        <v/>
      </c>
      <c r="T359">
        <f>HYPERLINK("https://klasma.github.io/Logging_2305/kartor/A 57616-2025 karta.png", "A 57616-2025")</f>
        <v/>
      </c>
      <c r="V359">
        <f>HYPERLINK("https://klasma.github.io/Logging_2305/klagomål/A 57616-2025 FSC-klagomål.docx", "A 57616-2025")</f>
        <v/>
      </c>
      <c r="W359">
        <f>HYPERLINK("https://klasma.github.io/Logging_2305/klagomålsmail/A 57616-2025 FSC-klagomål mail.docx", "A 57616-2025")</f>
        <v/>
      </c>
      <c r="X359">
        <f>HYPERLINK("https://klasma.github.io/Logging_2305/tillsyn/A 57616-2025 tillsynsbegäran.docx", "A 57616-2025")</f>
        <v/>
      </c>
      <c r="Y359">
        <f>HYPERLINK("https://klasma.github.io/Logging_2305/tillsynsmail/A 57616-2025 tillsynsbegäran mail.docx", "A 57616-2025")</f>
        <v/>
      </c>
    </row>
    <row r="360" ht="15" customHeight="1">
      <c r="A360" t="inlineStr">
        <is>
          <t>A 59542-2025</t>
        </is>
      </c>
      <c r="B360" s="1" t="n">
        <v>45990</v>
      </c>
      <c r="C360" s="1" t="n">
        <v>46193</v>
      </c>
      <c r="D360" t="inlineStr">
        <is>
          <t>JÄMTLANDS LÄN</t>
        </is>
      </c>
      <c r="E360" t="inlineStr">
        <is>
          <t>BRÄCKE</t>
        </is>
      </c>
      <c r="F360" t="inlineStr">
        <is>
          <t>SCA</t>
        </is>
      </c>
      <c r="G360" t="n">
        <v>9.9</v>
      </c>
      <c r="H360" t="n">
        <v>0</v>
      </c>
      <c r="I360" t="n">
        <v>0</v>
      </c>
      <c r="J360" t="n">
        <v>0</v>
      </c>
      <c r="K360" t="n">
        <v>1</v>
      </c>
      <c r="L360" t="n">
        <v>0</v>
      </c>
      <c r="M360" t="n">
        <v>0</v>
      </c>
      <c r="N360" t="n">
        <v>0</v>
      </c>
      <c r="O360" t="n">
        <v>1</v>
      </c>
      <c r="P360" t="n">
        <v>1</v>
      </c>
      <c r="Q360" t="n">
        <v>1</v>
      </c>
      <c r="R360" s="2" t="inlineStr">
        <is>
          <t>Aspgelélav</t>
        </is>
      </c>
      <c r="S360">
        <f>HYPERLINK("https://klasma.github.io/Logging_2305/artfynd/A 59542-2025 artfynd.xlsx", "A 59542-2025")</f>
        <v/>
      </c>
      <c r="T360">
        <f>HYPERLINK("https://klasma.github.io/Logging_2305/kartor/A 59542-2025 karta.png", "A 59542-2025")</f>
        <v/>
      </c>
      <c r="V360">
        <f>HYPERLINK("https://klasma.github.io/Logging_2305/klagomål/A 59542-2025 FSC-klagomål.docx", "A 59542-2025")</f>
        <v/>
      </c>
      <c r="W360">
        <f>HYPERLINK("https://klasma.github.io/Logging_2305/klagomålsmail/A 59542-2025 FSC-klagomål mail.docx", "A 59542-2025")</f>
        <v/>
      </c>
      <c r="X360">
        <f>HYPERLINK("https://klasma.github.io/Logging_2305/tillsyn/A 59542-2025 tillsynsbegäran.docx", "A 59542-2025")</f>
        <v/>
      </c>
      <c r="Y360">
        <f>HYPERLINK("https://klasma.github.io/Logging_2305/tillsynsmail/A 59542-2025 tillsynsbegäran mail.docx", "A 59542-2025")</f>
        <v/>
      </c>
    </row>
    <row r="361" ht="15" customHeight="1">
      <c r="A361" t="inlineStr">
        <is>
          <t>A 235-2022</t>
        </is>
      </c>
      <c r="B361" s="1" t="n">
        <v>44564</v>
      </c>
      <c r="C361" s="1" t="n">
        <v>46193</v>
      </c>
      <c r="D361" t="inlineStr">
        <is>
          <t>JÄMTLANDS LÄN</t>
        </is>
      </c>
      <c r="E361" t="inlineStr">
        <is>
          <t>BRÄCKE</t>
        </is>
      </c>
      <c r="F361" t="inlineStr">
        <is>
          <t>SCA</t>
        </is>
      </c>
      <c r="G361" t="n">
        <v>5.8</v>
      </c>
      <c r="H361" t="n">
        <v>0</v>
      </c>
      <c r="I361" t="n">
        <v>0</v>
      </c>
      <c r="J361" t="n">
        <v>1</v>
      </c>
      <c r="K361" t="n">
        <v>0</v>
      </c>
      <c r="L361" t="n">
        <v>0</v>
      </c>
      <c r="M361" t="n">
        <v>0</v>
      </c>
      <c r="N361" t="n">
        <v>0</v>
      </c>
      <c r="O361" t="n">
        <v>1</v>
      </c>
      <c r="P361" t="n">
        <v>0</v>
      </c>
      <c r="Q361" t="n">
        <v>1</v>
      </c>
      <c r="R361" s="2" t="inlineStr">
        <is>
          <t>Harticka</t>
        </is>
      </c>
      <c r="S361">
        <f>HYPERLINK("https://klasma.github.io/Logging_2305/artfynd/A 235-2022 artfynd.xlsx", "A 235-2022")</f>
        <v/>
      </c>
      <c r="T361">
        <f>HYPERLINK("https://klasma.github.io/Logging_2305/kartor/A 235-2022 karta.png", "A 235-2022")</f>
        <v/>
      </c>
      <c r="V361">
        <f>HYPERLINK("https://klasma.github.io/Logging_2305/klagomål/A 235-2022 FSC-klagomål.docx", "A 235-2022")</f>
        <v/>
      </c>
      <c r="W361">
        <f>HYPERLINK("https://klasma.github.io/Logging_2305/klagomålsmail/A 235-2022 FSC-klagomål mail.docx", "A 235-2022")</f>
        <v/>
      </c>
      <c r="X361">
        <f>HYPERLINK("https://klasma.github.io/Logging_2305/tillsyn/A 235-2022 tillsynsbegäran.docx", "A 235-2022")</f>
        <v/>
      </c>
      <c r="Y361">
        <f>HYPERLINK("https://klasma.github.io/Logging_2305/tillsynsmail/A 235-2022 tillsynsbegäran mail.docx", "A 235-2022")</f>
        <v/>
      </c>
    </row>
    <row r="362" ht="15" customHeight="1">
      <c r="A362" t="inlineStr">
        <is>
          <t>A 34911-2025</t>
        </is>
      </c>
      <c r="B362" s="1" t="n">
        <v>45849</v>
      </c>
      <c r="C362" s="1" t="n">
        <v>46193</v>
      </c>
      <c r="D362" t="inlineStr">
        <is>
          <t>JÄMTLANDS LÄN</t>
        </is>
      </c>
      <c r="E362" t="inlineStr">
        <is>
          <t>BRÄCKE</t>
        </is>
      </c>
      <c r="F362" t="inlineStr">
        <is>
          <t>Sveaskog</t>
        </is>
      </c>
      <c r="G362" t="n">
        <v>7.2</v>
      </c>
      <c r="H362" t="n">
        <v>1</v>
      </c>
      <c r="I362" t="n">
        <v>1</v>
      </c>
      <c r="J362" t="n">
        <v>0</v>
      </c>
      <c r="K362" t="n">
        <v>0</v>
      </c>
      <c r="L362" t="n">
        <v>0</v>
      </c>
      <c r="M362" t="n">
        <v>0</v>
      </c>
      <c r="N362" t="n">
        <v>0</v>
      </c>
      <c r="O362" t="n">
        <v>0</v>
      </c>
      <c r="P362" t="n">
        <v>0</v>
      </c>
      <c r="Q362" t="n">
        <v>1</v>
      </c>
      <c r="R362" s="2" t="inlineStr">
        <is>
          <t>Guckusko</t>
        </is>
      </c>
      <c r="S362">
        <f>HYPERLINK("https://klasma.github.io/Logging_2305/artfynd/A 34911-2025 artfynd.xlsx", "A 34911-2025")</f>
        <v/>
      </c>
      <c r="T362">
        <f>HYPERLINK("https://klasma.github.io/Logging_2305/kartor/A 34911-2025 karta.png", "A 34911-2025")</f>
        <v/>
      </c>
      <c r="V362">
        <f>HYPERLINK("https://klasma.github.io/Logging_2305/klagomål/A 34911-2025 FSC-klagomål.docx", "A 34911-2025")</f>
        <v/>
      </c>
      <c r="W362">
        <f>HYPERLINK("https://klasma.github.io/Logging_2305/klagomålsmail/A 34911-2025 FSC-klagomål mail.docx", "A 34911-2025")</f>
        <v/>
      </c>
      <c r="X362">
        <f>HYPERLINK("https://klasma.github.io/Logging_2305/tillsyn/A 34911-2025 tillsynsbegäran.docx", "A 34911-2025")</f>
        <v/>
      </c>
      <c r="Y362">
        <f>HYPERLINK("https://klasma.github.io/Logging_2305/tillsynsmail/A 34911-2025 tillsynsbegäran mail.docx", "A 34911-2025")</f>
        <v/>
      </c>
    </row>
    <row r="363" ht="15" customHeight="1">
      <c r="A363" t="inlineStr">
        <is>
          <t>A 59546-2025</t>
        </is>
      </c>
      <c r="B363" s="1" t="n">
        <v>45990</v>
      </c>
      <c r="C363" s="1" t="n">
        <v>46193</v>
      </c>
      <c r="D363" t="inlineStr">
        <is>
          <t>JÄMTLANDS LÄN</t>
        </is>
      </c>
      <c r="E363" t="inlineStr">
        <is>
          <t>BRÄCKE</t>
        </is>
      </c>
      <c r="F363" t="inlineStr">
        <is>
          <t>SCA</t>
        </is>
      </c>
      <c r="G363" t="n">
        <v>1</v>
      </c>
      <c r="H363" t="n">
        <v>0</v>
      </c>
      <c r="I363" t="n">
        <v>0</v>
      </c>
      <c r="J363" t="n">
        <v>1</v>
      </c>
      <c r="K363" t="n">
        <v>0</v>
      </c>
      <c r="L363" t="n">
        <v>0</v>
      </c>
      <c r="M363" t="n">
        <v>0</v>
      </c>
      <c r="N363" t="n">
        <v>0</v>
      </c>
      <c r="O363" t="n">
        <v>1</v>
      </c>
      <c r="P363" t="n">
        <v>0</v>
      </c>
      <c r="Q363" t="n">
        <v>1</v>
      </c>
      <c r="R363" s="2" t="inlineStr">
        <is>
          <t>Vedskivlav</t>
        </is>
      </c>
      <c r="S363">
        <f>HYPERLINK("https://klasma.github.io/Logging_2305/artfynd/A 59546-2025 artfynd.xlsx", "A 59546-2025")</f>
        <v/>
      </c>
      <c r="T363">
        <f>HYPERLINK("https://klasma.github.io/Logging_2305/kartor/A 59546-2025 karta.png", "A 59546-2025")</f>
        <v/>
      </c>
      <c r="V363">
        <f>HYPERLINK("https://klasma.github.io/Logging_2305/klagomål/A 59546-2025 FSC-klagomål.docx", "A 59546-2025")</f>
        <v/>
      </c>
      <c r="W363">
        <f>HYPERLINK("https://klasma.github.io/Logging_2305/klagomålsmail/A 59546-2025 FSC-klagomål mail.docx", "A 59546-2025")</f>
        <v/>
      </c>
      <c r="X363">
        <f>HYPERLINK("https://klasma.github.io/Logging_2305/tillsyn/A 59546-2025 tillsynsbegäran.docx", "A 59546-2025")</f>
        <v/>
      </c>
      <c r="Y363">
        <f>HYPERLINK("https://klasma.github.io/Logging_2305/tillsynsmail/A 59546-2025 tillsynsbegäran mail.docx", "A 59546-2025")</f>
        <v/>
      </c>
    </row>
    <row r="364" ht="15" customHeight="1">
      <c r="A364" t="inlineStr">
        <is>
          <t>A 35210-2025</t>
        </is>
      </c>
      <c r="B364" s="1" t="n">
        <v>45853</v>
      </c>
      <c r="C364" s="1" t="n">
        <v>46193</v>
      </c>
      <c r="D364" t="inlineStr">
        <is>
          <t>JÄMTLANDS LÄN</t>
        </is>
      </c>
      <c r="E364" t="inlineStr">
        <is>
          <t>BRÄCKE</t>
        </is>
      </c>
      <c r="F364" t="inlineStr">
        <is>
          <t>SCA</t>
        </is>
      </c>
      <c r="G364" t="n">
        <v>2.6</v>
      </c>
      <c r="H364" t="n">
        <v>0</v>
      </c>
      <c r="I364" t="n">
        <v>0</v>
      </c>
      <c r="J364" t="n">
        <v>1</v>
      </c>
      <c r="K364" t="n">
        <v>0</v>
      </c>
      <c r="L364" t="n">
        <v>0</v>
      </c>
      <c r="M364" t="n">
        <v>0</v>
      </c>
      <c r="N364" t="n">
        <v>0</v>
      </c>
      <c r="O364" t="n">
        <v>1</v>
      </c>
      <c r="P364" t="n">
        <v>0</v>
      </c>
      <c r="Q364" t="n">
        <v>1</v>
      </c>
      <c r="R364" s="2" t="inlineStr">
        <is>
          <t>Lunglav</t>
        </is>
      </c>
      <c r="S364">
        <f>HYPERLINK("https://klasma.github.io/Logging_2305/artfynd/A 35210-2025 artfynd.xlsx", "A 35210-2025")</f>
        <v/>
      </c>
      <c r="T364">
        <f>HYPERLINK("https://klasma.github.io/Logging_2305/kartor/A 35210-2025 karta.png", "A 35210-2025")</f>
        <v/>
      </c>
      <c r="V364">
        <f>HYPERLINK("https://klasma.github.io/Logging_2305/klagomål/A 35210-2025 FSC-klagomål.docx", "A 35210-2025")</f>
        <v/>
      </c>
      <c r="W364">
        <f>HYPERLINK("https://klasma.github.io/Logging_2305/klagomålsmail/A 35210-2025 FSC-klagomål mail.docx", "A 35210-2025")</f>
        <v/>
      </c>
      <c r="X364">
        <f>HYPERLINK("https://klasma.github.io/Logging_2305/tillsyn/A 35210-2025 tillsynsbegäran.docx", "A 35210-2025")</f>
        <v/>
      </c>
      <c r="Y364">
        <f>HYPERLINK("https://klasma.github.io/Logging_2305/tillsynsmail/A 35210-2025 tillsynsbegäran mail.docx", "A 35210-2025")</f>
        <v/>
      </c>
    </row>
    <row r="365" ht="15" customHeight="1">
      <c r="A365" t="inlineStr">
        <is>
          <t>A 35229-2025</t>
        </is>
      </c>
      <c r="B365" s="1" t="n">
        <v>45853</v>
      </c>
      <c r="C365" s="1" t="n">
        <v>46193</v>
      </c>
      <c r="D365" t="inlineStr">
        <is>
          <t>JÄMTLANDS LÄN</t>
        </is>
      </c>
      <c r="E365" t="inlineStr">
        <is>
          <t>BRÄCKE</t>
        </is>
      </c>
      <c r="F365" t="inlineStr">
        <is>
          <t>SCA</t>
        </is>
      </c>
      <c r="G365" t="n">
        <v>2.6</v>
      </c>
      <c r="H365" t="n">
        <v>0</v>
      </c>
      <c r="I365" t="n">
        <v>1</v>
      </c>
      <c r="J365" t="n">
        <v>0</v>
      </c>
      <c r="K365" t="n">
        <v>0</v>
      </c>
      <c r="L365" t="n">
        <v>0</v>
      </c>
      <c r="M365" t="n">
        <v>0</v>
      </c>
      <c r="N365" t="n">
        <v>0</v>
      </c>
      <c r="O365" t="n">
        <v>0</v>
      </c>
      <c r="P365" t="n">
        <v>0</v>
      </c>
      <c r="Q365" t="n">
        <v>1</v>
      </c>
      <c r="R365" s="2" t="inlineStr">
        <is>
          <t>Vedticka</t>
        </is>
      </c>
      <c r="S365">
        <f>HYPERLINK("https://klasma.github.io/Logging_2305/artfynd/A 35229-2025 artfynd.xlsx", "A 35229-2025")</f>
        <v/>
      </c>
      <c r="T365">
        <f>HYPERLINK("https://klasma.github.io/Logging_2305/kartor/A 35229-2025 karta.png", "A 35229-2025")</f>
        <v/>
      </c>
      <c r="V365">
        <f>HYPERLINK("https://klasma.github.io/Logging_2305/klagomål/A 35229-2025 FSC-klagomål.docx", "A 35229-2025")</f>
        <v/>
      </c>
      <c r="W365">
        <f>HYPERLINK("https://klasma.github.io/Logging_2305/klagomålsmail/A 35229-2025 FSC-klagomål mail.docx", "A 35229-2025")</f>
        <v/>
      </c>
      <c r="X365">
        <f>HYPERLINK("https://klasma.github.io/Logging_2305/tillsyn/A 35229-2025 tillsynsbegäran.docx", "A 35229-2025")</f>
        <v/>
      </c>
      <c r="Y365">
        <f>HYPERLINK("https://klasma.github.io/Logging_2305/tillsynsmail/A 35229-2025 tillsynsbegäran mail.docx", "A 35229-2025")</f>
        <v/>
      </c>
    </row>
    <row r="366" ht="15" customHeight="1">
      <c r="A366" t="inlineStr">
        <is>
          <t>A 35328-2025</t>
        </is>
      </c>
      <c r="B366" s="1" t="n">
        <v>45854</v>
      </c>
      <c r="C366" s="1" t="n">
        <v>46193</v>
      </c>
      <c r="D366" t="inlineStr">
        <is>
          <t>JÄMTLANDS LÄN</t>
        </is>
      </c>
      <c r="E366" t="inlineStr">
        <is>
          <t>BRÄCKE</t>
        </is>
      </c>
      <c r="F366" t="inlineStr">
        <is>
          <t>Sveaskog</t>
        </is>
      </c>
      <c r="G366" t="n">
        <v>4.8</v>
      </c>
      <c r="H366" t="n">
        <v>0</v>
      </c>
      <c r="I366" t="n">
        <v>0</v>
      </c>
      <c r="J366" t="n">
        <v>1</v>
      </c>
      <c r="K366" t="n">
        <v>0</v>
      </c>
      <c r="L366" t="n">
        <v>0</v>
      </c>
      <c r="M366" t="n">
        <v>0</v>
      </c>
      <c r="N366" t="n">
        <v>0</v>
      </c>
      <c r="O366" t="n">
        <v>1</v>
      </c>
      <c r="P366" t="n">
        <v>0</v>
      </c>
      <c r="Q366" t="n">
        <v>1</v>
      </c>
      <c r="R366" s="2" t="inlineStr">
        <is>
          <t>Lunglav</t>
        </is>
      </c>
      <c r="S366">
        <f>HYPERLINK("https://klasma.github.io/Logging_2305/artfynd/A 35328-2025 artfynd.xlsx", "A 35328-2025")</f>
        <v/>
      </c>
      <c r="T366">
        <f>HYPERLINK("https://klasma.github.io/Logging_2305/kartor/A 35328-2025 karta.png", "A 35328-2025")</f>
        <v/>
      </c>
      <c r="V366">
        <f>HYPERLINK("https://klasma.github.io/Logging_2305/klagomål/A 35328-2025 FSC-klagomål.docx", "A 35328-2025")</f>
        <v/>
      </c>
      <c r="W366">
        <f>HYPERLINK("https://klasma.github.io/Logging_2305/klagomålsmail/A 35328-2025 FSC-klagomål mail.docx", "A 35328-2025")</f>
        <v/>
      </c>
      <c r="X366">
        <f>HYPERLINK("https://klasma.github.io/Logging_2305/tillsyn/A 35328-2025 tillsynsbegäran.docx", "A 35328-2025")</f>
        <v/>
      </c>
      <c r="Y366">
        <f>HYPERLINK("https://klasma.github.io/Logging_2305/tillsynsmail/A 35328-2025 tillsynsbegäran mail.docx", "A 35328-2025")</f>
        <v/>
      </c>
    </row>
    <row r="367" ht="15" customHeight="1">
      <c r="A367" t="inlineStr">
        <is>
          <t>A 40097-2023</t>
        </is>
      </c>
      <c r="B367" s="1" t="n">
        <v>45168</v>
      </c>
      <c r="C367" s="1" t="n">
        <v>46193</v>
      </c>
      <c r="D367" t="inlineStr">
        <is>
          <t>JÄMTLANDS LÄN</t>
        </is>
      </c>
      <c r="E367" t="inlineStr">
        <is>
          <t>BRÄCKE</t>
        </is>
      </c>
      <c r="F367" t="inlineStr">
        <is>
          <t>SCA</t>
        </is>
      </c>
      <c r="G367" t="n">
        <v>3.8</v>
      </c>
      <c r="H367" t="n">
        <v>1</v>
      </c>
      <c r="I367" t="n">
        <v>0</v>
      </c>
      <c r="J367" t="n">
        <v>0</v>
      </c>
      <c r="K367" t="n">
        <v>1</v>
      </c>
      <c r="L367" t="n">
        <v>0</v>
      </c>
      <c r="M367" t="n">
        <v>0</v>
      </c>
      <c r="N367" t="n">
        <v>0</v>
      </c>
      <c r="O367" t="n">
        <v>1</v>
      </c>
      <c r="P367" t="n">
        <v>1</v>
      </c>
      <c r="Q367" t="n">
        <v>1</v>
      </c>
      <c r="R367" s="2" t="inlineStr">
        <is>
          <t>Knärot</t>
        </is>
      </c>
      <c r="S367">
        <f>HYPERLINK("https://klasma.github.io/Logging_2305/artfynd/A 40097-2023 artfynd.xlsx", "A 40097-2023")</f>
        <v/>
      </c>
      <c r="T367">
        <f>HYPERLINK("https://klasma.github.io/Logging_2305/kartor/A 40097-2023 karta.png", "A 40097-2023")</f>
        <v/>
      </c>
      <c r="U367">
        <f>HYPERLINK("https://klasma.github.io/Logging_2305/knärot/A 40097-2023 karta knärot.png", "A 40097-2023")</f>
        <v/>
      </c>
      <c r="V367">
        <f>HYPERLINK("https://klasma.github.io/Logging_2305/klagomål/A 40097-2023 FSC-klagomål.docx", "A 40097-2023")</f>
        <v/>
      </c>
      <c r="W367">
        <f>HYPERLINK("https://klasma.github.io/Logging_2305/klagomålsmail/A 40097-2023 FSC-klagomål mail.docx", "A 40097-2023")</f>
        <v/>
      </c>
      <c r="X367">
        <f>HYPERLINK("https://klasma.github.io/Logging_2305/tillsyn/A 40097-2023 tillsynsbegäran.docx", "A 40097-2023")</f>
        <v/>
      </c>
      <c r="Y367">
        <f>HYPERLINK("https://klasma.github.io/Logging_2305/tillsynsmail/A 40097-2023 tillsynsbegäran mail.docx", "A 40097-2023")</f>
        <v/>
      </c>
    </row>
    <row r="368" ht="15" customHeight="1">
      <c r="A368" t="inlineStr">
        <is>
          <t>A 21509-2026</t>
        </is>
      </c>
      <c r="B368" s="1" t="n">
        <v>46148</v>
      </c>
      <c r="C368" s="1" t="n">
        <v>46193</v>
      </c>
      <c r="D368" t="inlineStr">
        <is>
          <t>JÄMTLANDS LÄN</t>
        </is>
      </c>
      <c r="E368" t="inlineStr">
        <is>
          <t>BRÄCKE</t>
        </is>
      </c>
      <c r="F368" t="inlineStr">
        <is>
          <t>SCA</t>
        </is>
      </c>
      <c r="G368" t="n">
        <v>3.9</v>
      </c>
      <c r="H368" t="n">
        <v>1</v>
      </c>
      <c r="I368" t="n">
        <v>1</v>
      </c>
      <c r="J368" t="n">
        <v>0</v>
      </c>
      <c r="K368" t="n">
        <v>0</v>
      </c>
      <c r="L368" t="n">
        <v>0</v>
      </c>
      <c r="M368" t="n">
        <v>0</v>
      </c>
      <c r="N368" t="n">
        <v>0</v>
      </c>
      <c r="O368" t="n">
        <v>0</v>
      </c>
      <c r="P368" t="n">
        <v>0</v>
      </c>
      <c r="Q368" t="n">
        <v>1</v>
      </c>
      <c r="R368" s="2" t="inlineStr">
        <is>
          <t>Spindelblomster</t>
        </is>
      </c>
      <c r="S368">
        <f>HYPERLINK("https://klasma.github.io/Logging_2305/artfynd/A 21509-2026 artfynd.xlsx", "A 21509-2026")</f>
        <v/>
      </c>
      <c r="T368">
        <f>HYPERLINK("https://klasma.github.io/Logging_2305/kartor/A 21509-2026 karta.png", "A 21509-2026")</f>
        <v/>
      </c>
      <c r="V368">
        <f>HYPERLINK("https://klasma.github.io/Logging_2305/klagomål/A 21509-2026 FSC-klagomål.docx", "A 21509-2026")</f>
        <v/>
      </c>
      <c r="W368">
        <f>HYPERLINK("https://klasma.github.io/Logging_2305/klagomålsmail/A 21509-2026 FSC-klagomål mail.docx", "A 21509-2026")</f>
        <v/>
      </c>
      <c r="X368">
        <f>HYPERLINK("https://klasma.github.io/Logging_2305/tillsyn/A 21509-2026 tillsynsbegäran.docx", "A 21509-2026")</f>
        <v/>
      </c>
      <c r="Y368">
        <f>HYPERLINK("https://klasma.github.io/Logging_2305/tillsynsmail/A 21509-2026 tillsynsbegäran mail.docx", "A 21509-2026")</f>
        <v/>
      </c>
    </row>
    <row r="369" ht="15" customHeight="1">
      <c r="A369" t="inlineStr">
        <is>
          <t>A 10110-2025</t>
        </is>
      </c>
      <c r="B369" s="1" t="n">
        <v>45719</v>
      </c>
      <c r="C369" s="1" t="n">
        <v>46193</v>
      </c>
      <c r="D369" t="inlineStr">
        <is>
          <t>JÄMTLANDS LÄN</t>
        </is>
      </c>
      <c r="E369" t="inlineStr">
        <is>
          <t>BRÄCKE</t>
        </is>
      </c>
      <c r="G369" t="n">
        <v>1.2</v>
      </c>
      <c r="H369" t="n">
        <v>0</v>
      </c>
      <c r="I369" t="n">
        <v>0</v>
      </c>
      <c r="J369" t="n">
        <v>1</v>
      </c>
      <c r="K369" t="n">
        <v>0</v>
      </c>
      <c r="L369" t="n">
        <v>0</v>
      </c>
      <c r="M369" t="n">
        <v>0</v>
      </c>
      <c r="N369" t="n">
        <v>0</v>
      </c>
      <c r="O369" t="n">
        <v>1</v>
      </c>
      <c r="P369" t="n">
        <v>0</v>
      </c>
      <c r="Q369" t="n">
        <v>1</v>
      </c>
      <c r="R369" s="2" t="inlineStr">
        <is>
          <t>Lunglav</t>
        </is>
      </c>
      <c r="S369">
        <f>HYPERLINK("https://klasma.github.io/Logging_2305/artfynd/A 10110-2025 artfynd.xlsx", "A 10110-2025")</f>
        <v/>
      </c>
      <c r="T369">
        <f>HYPERLINK("https://klasma.github.io/Logging_2305/kartor/A 10110-2025 karta.png", "A 10110-2025")</f>
        <v/>
      </c>
      <c r="V369">
        <f>HYPERLINK("https://klasma.github.io/Logging_2305/klagomål/A 10110-2025 FSC-klagomål.docx", "A 10110-2025")</f>
        <v/>
      </c>
      <c r="W369">
        <f>HYPERLINK("https://klasma.github.io/Logging_2305/klagomålsmail/A 10110-2025 FSC-klagomål mail.docx", "A 10110-2025")</f>
        <v/>
      </c>
      <c r="X369">
        <f>HYPERLINK("https://klasma.github.io/Logging_2305/tillsyn/A 10110-2025 tillsynsbegäran.docx", "A 10110-2025")</f>
        <v/>
      </c>
      <c r="Y369">
        <f>HYPERLINK("https://klasma.github.io/Logging_2305/tillsynsmail/A 10110-2025 tillsynsbegäran mail.docx", "A 10110-2025")</f>
        <v/>
      </c>
    </row>
    <row r="370" ht="15" customHeight="1">
      <c r="A370" t="inlineStr">
        <is>
          <t>A 51910-2024</t>
        </is>
      </c>
      <c r="B370" s="1" t="n">
        <v>45607</v>
      </c>
      <c r="C370" s="1" t="n">
        <v>46193</v>
      </c>
      <c r="D370" t="inlineStr">
        <is>
          <t>JÄMTLANDS LÄN</t>
        </is>
      </c>
      <c r="E370" t="inlineStr">
        <is>
          <t>BRÄCKE</t>
        </is>
      </c>
      <c r="G370" t="n">
        <v>2.7</v>
      </c>
      <c r="H370" t="n">
        <v>0</v>
      </c>
      <c r="I370" t="n">
        <v>0</v>
      </c>
      <c r="J370" t="n">
        <v>1</v>
      </c>
      <c r="K370" t="n">
        <v>0</v>
      </c>
      <c r="L370" t="n">
        <v>0</v>
      </c>
      <c r="M370" t="n">
        <v>0</v>
      </c>
      <c r="N370" t="n">
        <v>0</v>
      </c>
      <c r="O370" t="n">
        <v>1</v>
      </c>
      <c r="P370" t="n">
        <v>0</v>
      </c>
      <c r="Q370" t="n">
        <v>1</v>
      </c>
      <c r="R370" s="2" t="inlineStr">
        <is>
          <t>Slåtterfibbla</t>
        </is>
      </c>
      <c r="S370">
        <f>HYPERLINK("https://klasma.github.io/Logging_2305/artfynd/A 51910-2024 artfynd.xlsx", "A 51910-2024")</f>
        <v/>
      </c>
      <c r="T370">
        <f>HYPERLINK("https://klasma.github.io/Logging_2305/kartor/A 51910-2024 karta.png", "A 51910-2024")</f>
        <v/>
      </c>
      <c r="V370">
        <f>HYPERLINK("https://klasma.github.io/Logging_2305/klagomål/A 51910-2024 FSC-klagomål.docx", "A 51910-2024")</f>
        <v/>
      </c>
      <c r="W370">
        <f>HYPERLINK("https://klasma.github.io/Logging_2305/klagomålsmail/A 51910-2024 FSC-klagomål mail.docx", "A 51910-2024")</f>
        <v/>
      </c>
      <c r="X370">
        <f>HYPERLINK("https://klasma.github.io/Logging_2305/tillsyn/A 51910-2024 tillsynsbegäran.docx", "A 51910-2024")</f>
        <v/>
      </c>
      <c r="Y370">
        <f>HYPERLINK("https://klasma.github.io/Logging_2305/tillsynsmail/A 51910-2024 tillsynsbegäran mail.docx", "A 51910-2024")</f>
        <v/>
      </c>
    </row>
    <row r="371" ht="15" customHeight="1">
      <c r="A371" t="inlineStr">
        <is>
          <t>A 49032-2024</t>
        </is>
      </c>
      <c r="B371" s="1" t="n">
        <v>45594</v>
      </c>
      <c r="C371" s="1" t="n">
        <v>46193</v>
      </c>
      <c r="D371" t="inlineStr">
        <is>
          <t>JÄMTLANDS LÄN</t>
        </is>
      </c>
      <c r="E371" t="inlineStr">
        <is>
          <t>BRÄCKE</t>
        </is>
      </c>
      <c r="F371" t="inlineStr">
        <is>
          <t>SCA</t>
        </is>
      </c>
      <c r="G371" t="n">
        <v>1</v>
      </c>
      <c r="H371" t="n">
        <v>1</v>
      </c>
      <c r="I371" t="n">
        <v>0</v>
      </c>
      <c r="J371" t="n">
        <v>1</v>
      </c>
      <c r="K371" t="n">
        <v>0</v>
      </c>
      <c r="L371" t="n">
        <v>0</v>
      </c>
      <c r="M371" t="n">
        <v>0</v>
      </c>
      <c r="N371" t="n">
        <v>0</v>
      </c>
      <c r="O371" t="n">
        <v>1</v>
      </c>
      <c r="P371" t="n">
        <v>0</v>
      </c>
      <c r="Q371" t="n">
        <v>1</v>
      </c>
      <c r="R371" s="2" t="inlineStr">
        <is>
          <t>Lavskrika</t>
        </is>
      </c>
      <c r="S371">
        <f>HYPERLINK("https://klasma.github.io/Logging_2305/artfynd/A 49032-2024 artfynd.xlsx", "A 49032-2024")</f>
        <v/>
      </c>
      <c r="T371">
        <f>HYPERLINK("https://klasma.github.io/Logging_2305/kartor/A 49032-2024 karta.png", "A 49032-2024")</f>
        <v/>
      </c>
      <c r="V371">
        <f>HYPERLINK("https://klasma.github.io/Logging_2305/klagomål/A 49032-2024 FSC-klagomål.docx", "A 49032-2024")</f>
        <v/>
      </c>
      <c r="W371">
        <f>HYPERLINK("https://klasma.github.io/Logging_2305/klagomålsmail/A 49032-2024 FSC-klagomål mail.docx", "A 49032-2024")</f>
        <v/>
      </c>
      <c r="X371">
        <f>HYPERLINK("https://klasma.github.io/Logging_2305/tillsyn/A 49032-2024 tillsynsbegäran.docx", "A 49032-2024")</f>
        <v/>
      </c>
      <c r="Y371">
        <f>HYPERLINK("https://klasma.github.io/Logging_2305/tillsynsmail/A 49032-2024 tillsynsbegäran mail.docx", "A 49032-2024")</f>
        <v/>
      </c>
      <c r="Z371">
        <f>HYPERLINK("https://klasma.github.io/Logging_2305/fåglar/A 49032-2024 prioriterade fågelarter.docx", "A 49032-2024")</f>
        <v/>
      </c>
    </row>
    <row r="372" ht="15" customHeight="1">
      <c r="A372" t="inlineStr">
        <is>
          <t>A 62261-2025</t>
        </is>
      </c>
      <c r="B372" s="1" t="n">
        <v>46006</v>
      </c>
      <c r="C372" s="1" t="n">
        <v>46193</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15462-2025</t>
        </is>
      </c>
      <c r="B373" s="1" t="n">
        <v>45747</v>
      </c>
      <c r="C373" s="1" t="n">
        <v>46193</v>
      </c>
      <c r="D373" t="inlineStr">
        <is>
          <t>JÄMTLANDS LÄN</t>
        </is>
      </c>
      <c r="E373" t="inlineStr">
        <is>
          <t>BRÄCKE</t>
        </is>
      </c>
      <c r="F373" t="inlineStr">
        <is>
          <t>SCA</t>
        </is>
      </c>
      <c r="G373" t="n">
        <v>1.6</v>
      </c>
      <c r="H373" t="n">
        <v>0</v>
      </c>
      <c r="I373" t="n">
        <v>0</v>
      </c>
      <c r="J373" t="n">
        <v>0</v>
      </c>
      <c r="K373" t="n">
        <v>1</v>
      </c>
      <c r="L373" t="n">
        <v>0</v>
      </c>
      <c r="M373" t="n">
        <v>0</v>
      </c>
      <c r="N373" t="n">
        <v>0</v>
      </c>
      <c r="O373" t="n">
        <v>1</v>
      </c>
      <c r="P373" t="n">
        <v>1</v>
      </c>
      <c r="Q373" t="n">
        <v>1</v>
      </c>
      <c r="R373" s="2" t="inlineStr">
        <is>
          <t>Smalskaftslav</t>
        </is>
      </c>
      <c r="S373">
        <f>HYPERLINK("https://klasma.github.io/Logging_2305/artfynd/A 15462-2025 artfynd.xlsx", "A 15462-2025")</f>
        <v/>
      </c>
      <c r="T373">
        <f>HYPERLINK("https://klasma.github.io/Logging_2305/kartor/A 15462-2025 karta.png", "A 15462-2025")</f>
        <v/>
      </c>
      <c r="V373">
        <f>HYPERLINK("https://klasma.github.io/Logging_2305/klagomål/A 15462-2025 FSC-klagomål.docx", "A 15462-2025")</f>
        <v/>
      </c>
      <c r="W373">
        <f>HYPERLINK("https://klasma.github.io/Logging_2305/klagomålsmail/A 15462-2025 FSC-klagomål mail.docx", "A 15462-2025")</f>
        <v/>
      </c>
      <c r="X373">
        <f>HYPERLINK("https://klasma.github.io/Logging_2305/tillsyn/A 15462-2025 tillsynsbegäran.docx", "A 15462-2025")</f>
        <v/>
      </c>
      <c r="Y373">
        <f>HYPERLINK("https://klasma.github.io/Logging_2305/tillsynsmail/A 15462-2025 tillsynsbegäran mail.docx", "A 15462-2025")</f>
        <v/>
      </c>
    </row>
    <row r="374" ht="15" customHeight="1">
      <c r="A374" t="inlineStr">
        <is>
          <t>A 39085-2025</t>
        </is>
      </c>
      <c r="B374" s="1" t="n">
        <v>45888</v>
      </c>
      <c r="C374" s="1" t="n">
        <v>46193</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63641-2025</t>
        </is>
      </c>
      <c r="B375" s="1" t="n">
        <v>46014</v>
      </c>
      <c r="C375" s="1" t="n">
        <v>46193</v>
      </c>
      <c r="D375" t="inlineStr">
        <is>
          <t>JÄMTLANDS LÄN</t>
        </is>
      </c>
      <c r="E375" t="inlineStr">
        <is>
          <t>BRÄCKE</t>
        </is>
      </c>
      <c r="F375" t="inlineStr">
        <is>
          <t>SCA</t>
        </is>
      </c>
      <c r="G375" t="n">
        <v>17.7</v>
      </c>
      <c r="H375" t="n">
        <v>0</v>
      </c>
      <c r="I375" t="n">
        <v>0</v>
      </c>
      <c r="J375" t="n">
        <v>1</v>
      </c>
      <c r="K375" t="n">
        <v>0</v>
      </c>
      <c r="L375" t="n">
        <v>0</v>
      </c>
      <c r="M375" t="n">
        <v>0</v>
      </c>
      <c r="N375" t="n">
        <v>0</v>
      </c>
      <c r="O375" t="n">
        <v>1</v>
      </c>
      <c r="P375" t="n">
        <v>0</v>
      </c>
      <c r="Q375" t="n">
        <v>1</v>
      </c>
      <c r="R375" s="2" t="inlineStr">
        <is>
          <t>Lundviva</t>
        </is>
      </c>
      <c r="S375">
        <f>HYPERLINK("https://klasma.github.io/Logging_2305/artfynd/A 63641-2025 artfynd.xlsx", "A 63641-2025")</f>
        <v/>
      </c>
      <c r="T375">
        <f>HYPERLINK("https://klasma.github.io/Logging_2305/kartor/A 63641-2025 karta.png", "A 63641-2025")</f>
        <v/>
      </c>
      <c r="V375">
        <f>HYPERLINK("https://klasma.github.io/Logging_2305/klagomål/A 63641-2025 FSC-klagomål.docx", "A 63641-2025")</f>
        <v/>
      </c>
      <c r="W375">
        <f>HYPERLINK("https://klasma.github.io/Logging_2305/klagomålsmail/A 63641-2025 FSC-klagomål mail.docx", "A 63641-2025")</f>
        <v/>
      </c>
      <c r="X375">
        <f>HYPERLINK("https://klasma.github.io/Logging_2305/tillsyn/A 63641-2025 tillsynsbegäran.docx", "A 63641-2025")</f>
        <v/>
      </c>
      <c r="Y375">
        <f>HYPERLINK("https://klasma.github.io/Logging_2305/tillsynsmail/A 63641-2025 tillsynsbegäran mail.docx", "A 63641-2025")</f>
        <v/>
      </c>
    </row>
    <row r="376" ht="15" customHeight="1">
      <c r="A376" t="inlineStr">
        <is>
          <t>A 14628-2022</t>
        </is>
      </c>
      <c r="B376" s="1" t="n">
        <v>44655</v>
      </c>
      <c r="C376" s="1" t="n">
        <v>46193</v>
      </c>
      <c r="D376" t="inlineStr">
        <is>
          <t>JÄMTLANDS LÄN</t>
        </is>
      </c>
      <c r="E376" t="inlineStr">
        <is>
          <t>BRÄCKE</t>
        </is>
      </c>
      <c r="G376" t="n">
        <v>4.7</v>
      </c>
      <c r="H376" t="n">
        <v>0</v>
      </c>
      <c r="I376" t="n">
        <v>0</v>
      </c>
      <c r="J376" t="n">
        <v>1</v>
      </c>
      <c r="K376" t="n">
        <v>0</v>
      </c>
      <c r="L376" t="n">
        <v>0</v>
      </c>
      <c r="M376" t="n">
        <v>0</v>
      </c>
      <c r="N376" t="n">
        <v>0</v>
      </c>
      <c r="O376" t="n">
        <v>1</v>
      </c>
      <c r="P376" t="n">
        <v>0</v>
      </c>
      <c r="Q376" t="n">
        <v>1</v>
      </c>
      <c r="R376" s="2" t="inlineStr">
        <is>
          <t>Dropptaggsvamp</t>
        </is>
      </c>
      <c r="S376">
        <f>HYPERLINK("https://klasma.github.io/Logging_2305/artfynd/A 14628-2022 artfynd.xlsx", "A 14628-2022")</f>
        <v/>
      </c>
      <c r="T376">
        <f>HYPERLINK("https://klasma.github.io/Logging_2305/kartor/A 14628-2022 karta.png", "A 14628-2022")</f>
        <v/>
      </c>
      <c r="V376">
        <f>HYPERLINK("https://klasma.github.io/Logging_2305/klagomål/A 14628-2022 FSC-klagomål.docx", "A 14628-2022")</f>
        <v/>
      </c>
      <c r="W376">
        <f>HYPERLINK("https://klasma.github.io/Logging_2305/klagomålsmail/A 14628-2022 FSC-klagomål mail.docx", "A 14628-2022")</f>
        <v/>
      </c>
      <c r="X376">
        <f>HYPERLINK("https://klasma.github.io/Logging_2305/tillsyn/A 14628-2022 tillsynsbegäran.docx", "A 14628-2022")</f>
        <v/>
      </c>
      <c r="Y376">
        <f>HYPERLINK("https://klasma.github.io/Logging_2305/tillsynsmail/A 14628-2022 tillsynsbegäran mail.docx", "A 14628-2022")</f>
        <v/>
      </c>
    </row>
    <row r="377" ht="15" customHeight="1">
      <c r="A377" t="inlineStr">
        <is>
          <t>A 9816-2024</t>
        </is>
      </c>
      <c r="B377" s="1" t="n">
        <v>45363</v>
      </c>
      <c r="C377" s="1" t="n">
        <v>46193</v>
      </c>
      <c r="D377" t="inlineStr">
        <is>
          <t>JÄMTLANDS LÄN</t>
        </is>
      </c>
      <c r="E377" t="inlineStr">
        <is>
          <t>BRÄCKE</t>
        </is>
      </c>
      <c r="F377" t="inlineStr">
        <is>
          <t>SCA</t>
        </is>
      </c>
      <c r="G377" t="n">
        <v>2.1</v>
      </c>
      <c r="H377" t="n">
        <v>1</v>
      </c>
      <c r="I377" t="n">
        <v>0</v>
      </c>
      <c r="J377" t="n">
        <v>0</v>
      </c>
      <c r="K377" t="n">
        <v>1</v>
      </c>
      <c r="L377" t="n">
        <v>0</v>
      </c>
      <c r="M377" t="n">
        <v>0</v>
      </c>
      <c r="N377" t="n">
        <v>0</v>
      </c>
      <c r="O377" t="n">
        <v>1</v>
      </c>
      <c r="P377" t="n">
        <v>1</v>
      </c>
      <c r="Q377" t="n">
        <v>1</v>
      </c>
      <c r="R377" s="2" t="inlineStr">
        <is>
          <t>Knärot</t>
        </is>
      </c>
      <c r="S377">
        <f>HYPERLINK("https://klasma.github.io/Logging_2305/artfynd/A 9816-2024 artfynd.xlsx", "A 9816-2024")</f>
        <v/>
      </c>
      <c r="T377">
        <f>HYPERLINK("https://klasma.github.io/Logging_2305/kartor/A 9816-2024 karta.png", "A 9816-2024")</f>
        <v/>
      </c>
      <c r="U377">
        <f>HYPERLINK("https://klasma.github.io/Logging_2305/knärot/A 9816-2024 karta knärot.png", "A 9816-2024")</f>
        <v/>
      </c>
      <c r="V377">
        <f>HYPERLINK("https://klasma.github.io/Logging_2305/klagomål/A 9816-2024 FSC-klagomål.docx", "A 9816-2024")</f>
        <v/>
      </c>
      <c r="W377">
        <f>HYPERLINK("https://klasma.github.io/Logging_2305/klagomålsmail/A 9816-2024 FSC-klagomål mail.docx", "A 9816-2024")</f>
        <v/>
      </c>
      <c r="X377">
        <f>HYPERLINK("https://klasma.github.io/Logging_2305/tillsyn/A 9816-2024 tillsynsbegäran.docx", "A 9816-2024")</f>
        <v/>
      </c>
      <c r="Y377">
        <f>HYPERLINK("https://klasma.github.io/Logging_2305/tillsynsmail/A 9816-2024 tillsynsbegäran mail.docx", "A 9816-2024")</f>
        <v/>
      </c>
    </row>
    <row r="378" ht="15" customHeight="1">
      <c r="A378" t="inlineStr">
        <is>
          <t>A 49325-2023</t>
        </is>
      </c>
      <c r="B378" s="1" t="n">
        <v>45210</v>
      </c>
      <c r="C378" s="1" t="n">
        <v>46193</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58777-2023</t>
        </is>
      </c>
      <c r="B379" s="1" t="n">
        <v>45251</v>
      </c>
      <c r="C379" s="1" t="n">
        <v>46193</v>
      </c>
      <c r="D379" t="inlineStr">
        <is>
          <t>JÄMTLANDS LÄN</t>
        </is>
      </c>
      <c r="E379" t="inlineStr">
        <is>
          <t>BRÄCKE</t>
        </is>
      </c>
      <c r="F379" t="inlineStr">
        <is>
          <t>SCA</t>
        </is>
      </c>
      <c r="G379" t="n">
        <v>1.1</v>
      </c>
      <c r="H379" t="n">
        <v>0</v>
      </c>
      <c r="I379" t="n">
        <v>0</v>
      </c>
      <c r="J379" t="n">
        <v>0</v>
      </c>
      <c r="K379" t="n">
        <v>1</v>
      </c>
      <c r="L379" t="n">
        <v>0</v>
      </c>
      <c r="M379" t="n">
        <v>0</v>
      </c>
      <c r="N379" t="n">
        <v>0</v>
      </c>
      <c r="O379" t="n">
        <v>1</v>
      </c>
      <c r="P379" t="n">
        <v>1</v>
      </c>
      <c r="Q379" t="n">
        <v>1</v>
      </c>
      <c r="R379" s="2" t="inlineStr">
        <is>
          <t>Igelkott</t>
        </is>
      </c>
      <c r="S379">
        <f>HYPERLINK("https://klasma.github.io/Logging_2305/artfynd/A 58777-2023 artfynd.xlsx", "A 58777-2023")</f>
        <v/>
      </c>
      <c r="T379">
        <f>HYPERLINK("https://klasma.github.io/Logging_2305/kartor/A 58777-2023 karta.png", "A 58777-2023")</f>
        <v/>
      </c>
      <c r="V379">
        <f>HYPERLINK("https://klasma.github.io/Logging_2305/klagomål/A 58777-2023 FSC-klagomål.docx", "A 58777-2023")</f>
        <v/>
      </c>
      <c r="W379">
        <f>HYPERLINK("https://klasma.github.io/Logging_2305/klagomålsmail/A 58777-2023 FSC-klagomål mail.docx", "A 58777-2023")</f>
        <v/>
      </c>
      <c r="X379">
        <f>HYPERLINK("https://klasma.github.io/Logging_2305/tillsyn/A 58777-2023 tillsynsbegäran.docx", "A 58777-2023")</f>
        <v/>
      </c>
      <c r="Y379">
        <f>HYPERLINK("https://klasma.github.io/Logging_2305/tillsynsmail/A 58777-2023 tillsynsbegäran mail.docx", "A 58777-2023")</f>
        <v/>
      </c>
    </row>
    <row r="380" ht="15" customHeight="1">
      <c r="A380" t="inlineStr">
        <is>
          <t>A 50513-2023</t>
        </is>
      </c>
      <c r="B380" s="1" t="n">
        <v>45216</v>
      </c>
      <c r="C380" s="1" t="n">
        <v>46193</v>
      </c>
      <c r="D380" t="inlineStr">
        <is>
          <t>JÄMTLANDS LÄN</t>
        </is>
      </c>
      <c r="E380" t="inlineStr">
        <is>
          <t>BRÄCKE</t>
        </is>
      </c>
      <c r="F380" t="inlineStr">
        <is>
          <t>SCA</t>
        </is>
      </c>
      <c r="G380" t="n">
        <v>1.7</v>
      </c>
      <c r="H380" t="n">
        <v>1</v>
      </c>
      <c r="I380" t="n">
        <v>0</v>
      </c>
      <c r="J380" t="n">
        <v>0</v>
      </c>
      <c r="K380" t="n">
        <v>0</v>
      </c>
      <c r="L380" t="n">
        <v>0</v>
      </c>
      <c r="M380" t="n">
        <v>0</v>
      </c>
      <c r="N380" t="n">
        <v>0</v>
      </c>
      <c r="O380" t="n">
        <v>0</v>
      </c>
      <c r="P380" t="n">
        <v>0</v>
      </c>
      <c r="Q380" t="n">
        <v>1</v>
      </c>
      <c r="R380" s="2" t="inlineStr">
        <is>
          <t>Grönsiska</t>
        </is>
      </c>
      <c r="S380">
        <f>HYPERLINK("https://klasma.github.io/Logging_2305/artfynd/A 50513-2023 artfynd.xlsx", "A 50513-2023")</f>
        <v/>
      </c>
      <c r="T380">
        <f>HYPERLINK("https://klasma.github.io/Logging_2305/kartor/A 50513-2023 karta.png", "A 50513-2023")</f>
        <v/>
      </c>
      <c r="V380">
        <f>HYPERLINK("https://klasma.github.io/Logging_2305/klagomål/A 50513-2023 FSC-klagomål.docx", "A 50513-2023")</f>
        <v/>
      </c>
      <c r="W380">
        <f>HYPERLINK("https://klasma.github.io/Logging_2305/klagomålsmail/A 50513-2023 FSC-klagomål mail.docx", "A 50513-2023")</f>
        <v/>
      </c>
      <c r="X380">
        <f>HYPERLINK("https://klasma.github.io/Logging_2305/tillsyn/A 50513-2023 tillsynsbegäran.docx", "A 50513-2023")</f>
        <v/>
      </c>
      <c r="Y380">
        <f>HYPERLINK("https://klasma.github.io/Logging_2305/tillsynsmail/A 50513-2023 tillsynsbegäran mail.docx", "A 50513-2023")</f>
        <v/>
      </c>
      <c r="Z380">
        <f>HYPERLINK("https://klasma.github.io/Logging_2305/fåglar/A 50513-2023 prioriterade fågelarter.docx", "A 50513-2023")</f>
        <v/>
      </c>
    </row>
    <row r="381" ht="15" customHeight="1">
      <c r="A381" t="inlineStr">
        <is>
          <t>A 8958-2023</t>
        </is>
      </c>
      <c r="B381" s="1" t="n">
        <v>44979</v>
      </c>
      <c r="C381" s="1" t="n">
        <v>46193</v>
      </c>
      <c r="D381" t="inlineStr">
        <is>
          <t>JÄMTLANDS LÄN</t>
        </is>
      </c>
      <c r="E381" t="inlineStr">
        <is>
          <t>BRÄCKE</t>
        </is>
      </c>
      <c r="G381" t="n">
        <v>4.9</v>
      </c>
      <c r="H381" t="n">
        <v>1</v>
      </c>
      <c r="I381" t="n">
        <v>0</v>
      </c>
      <c r="J381" t="n">
        <v>1</v>
      </c>
      <c r="K381" t="n">
        <v>0</v>
      </c>
      <c r="L381" t="n">
        <v>0</v>
      </c>
      <c r="M381" t="n">
        <v>0</v>
      </c>
      <c r="N381" t="n">
        <v>0</v>
      </c>
      <c r="O381" t="n">
        <v>1</v>
      </c>
      <c r="P381" t="n">
        <v>0</v>
      </c>
      <c r="Q381" t="n">
        <v>1</v>
      </c>
      <c r="R381" s="2" t="inlineStr">
        <is>
          <t>Sparvuggla</t>
        </is>
      </c>
      <c r="S381">
        <f>HYPERLINK("https://klasma.github.io/Logging_2305/artfynd/A 8958-2023 artfynd.xlsx", "A 8958-2023")</f>
        <v/>
      </c>
      <c r="T381">
        <f>HYPERLINK("https://klasma.github.io/Logging_2305/kartor/A 8958-2023 karta.png", "A 8958-2023")</f>
        <v/>
      </c>
      <c r="V381">
        <f>HYPERLINK("https://klasma.github.io/Logging_2305/klagomål/A 8958-2023 FSC-klagomål.docx", "A 8958-2023")</f>
        <v/>
      </c>
      <c r="W381">
        <f>HYPERLINK("https://klasma.github.io/Logging_2305/klagomålsmail/A 8958-2023 FSC-klagomål mail.docx", "A 8958-2023")</f>
        <v/>
      </c>
      <c r="X381">
        <f>HYPERLINK("https://klasma.github.io/Logging_2305/tillsyn/A 8958-2023 tillsynsbegäran.docx", "A 8958-2023")</f>
        <v/>
      </c>
      <c r="Y381">
        <f>HYPERLINK("https://klasma.github.io/Logging_2305/tillsynsmail/A 8958-2023 tillsynsbegäran mail.docx", "A 8958-2023")</f>
        <v/>
      </c>
      <c r="Z381">
        <f>HYPERLINK("https://klasma.github.io/Logging_2305/fåglar/A 8958-2023 prioriterade fågelarter.docx", "A 8958-2023")</f>
        <v/>
      </c>
    </row>
    <row r="382" ht="15" customHeight="1">
      <c r="A382" t="inlineStr">
        <is>
          <t>A 4851-2025</t>
        </is>
      </c>
      <c r="B382" s="1" t="n">
        <v>45688</v>
      </c>
      <c r="C382" s="1" t="n">
        <v>46193</v>
      </c>
      <c r="D382" t="inlineStr">
        <is>
          <t>JÄMTLANDS LÄN</t>
        </is>
      </c>
      <c r="E382" t="inlineStr">
        <is>
          <t>BRÄCKE</t>
        </is>
      </c>
      <c r="F382" t="inlineStr">
        <is>
          <t>SCA</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HYPERLINK("https://klasma.github.io/Logging_2305/artfynd/A 4851-2025 artfynd.xlsx", "A 4851-2025")</f>
        <v/>
      </c>
      <c r="T382">
        <f>HYPERLINK("https://klasma.github.io/Logging_2305/kartor/A 4851-2025 karta.png", "A 4851-2025")</f>
        <v/>
      </c>
      <c r="V382">
        <f>HYPERLINK("https://klasma.github.io/Logging_2305/klagomål/A 4851-2025 FSC-klagomål.docx", "A 4851-2025")</f>
        <v/>
      </c>
      <c r="W382">
        <f>HYPERLINK("https://klasma.github.io/Logging_2305/klagomålsmail/A 4851-2025 FSC-klagomål mail.docx", "A 4851-2025")</f>
        <v/>
      </c>
      <c r="X382">
        <f>HYPERLINK("https://klasma.github.io/Logging_2305/tillsyn/A 4851-2025 tillsynsbegäran.docx", "A 4851-2025")</f>
        <v/>
      </c>
      <c r="Y382">
        <f>HYPERLINK("https://klasma.github.io/Logging_2305/tillsynsmail/A 4851-2025 tillsynsbegäran mail.docx", "A 4851-2025")</f>
        <v/>
      </c>
    </row>
    <row r="383" ht="15" customHeight="1">
      <c r="A383" t="inlineStr">
        <is>
          <t>A 57417-2023</t>
        </is>
      </c>
      <c r="B383" s="1" t="n">
        <v>45245</v>
      </c>
      <c r="C383" s="1" t="n">
        <v>46193</v>
      </c>
      <c r="D383" t="inlineStr">
        <is>
          <t>JÄMTLANDS LÄN</t>
        </is>
      </c>
      <c r="E383" t="inlineStr">
        <is>
          <t>BRÄCKE</t>
        </is>
      </c>
      <c r="F383" t="inlineStr">
        <is>
          <t>SCA</t>
        </is>
      </c>
      <c r="G383" t="n">
        <v>4.1</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57417-2023 artfynd.xlsx", "A 57417-2023")</f>
        <v/>
      </c>
      <c r="T383">
        <f>HYPERLINK("https://klasma.github.io/Logging_2305/kartor/A 57417-2023 karta.png", "A 57417-2023")</f>
        <v/>
      </c>
      <c r="V383">
        <f>HYPERLINK("https://klasma.github.io/Logging_2305/klagomål/A 57417-2023 FSC-klagomål.docx", "A 57417-2023")</f>
        <v/>
      </c>
      <c r="W383">
        <f>HYPERLINK("https://klasma.github.io/Logging_2305/klagomålsmail/A 57417-2023 FSC-klagomål mail.docx", "A 57417-2023")</f>
        <v/>
      </c>
      <c r="X383">
        <f>HYPERLINK("https://klasma.github.io/Logging_2305/tillsyn/A 57417-2023 tillsynsbegäran.docx", "A 57417-2023")</f>
        <v/>
      </c>
      <c r="Y383">
        <f>HYPERLINK("https://klasma.github.io/Logging_2305/tillsynsmail/A 57417-2023 tillsynsbegäran mail.docx", "A 57417-2023")</f>
        <v/>
      </c>
      <c r="Z383">
        <f>HYPERLINK("https://klasma.github.io/Logging_2305/fåglar/A 57417-2023 prioriterade fågelarter.docx", "A 57417-2023")</f>
        <v/>
      </c>
    </row>
    <row r="384" ht="15" customHeight="1">
      <c r="A384" t="inlineStr">
        <is>
          <t>A 9946-2026</t>
        </is>
      </c>
      <c r="B384" s="1" t="n">
        <v>46073</v>
      </c>
      <c r="C384" s="1" t="n">
        <v>46193</v>
      </c>
      <c r="D384" t="inlineStr">
        <is>
          <t>JÄMTLANDS LÄN</t>
        </is>
      </c>
      <c r="E384" t="inlineStr">
        <is>
          <t>BRÄCKE</t>
        </is>
      </c>
      <c r="F384" t="inlineStr">
        <is>
          <t>SCA</t>
        </is>
      </c>
      <c r="G384" t="n">
        <v>1.3</v>
      </c>
      <c r="H384" t="n">
        <v>0</v>
      </c>
      <c r="I384" t="n">
        <v>0</v>
      </c>
      <c r="J384" t="n">
        <v>1</v>
      </c>
      <c r="K384" t="n">
        <v>0</v>
      </c>
      <c r="L384" t="n">
        <v>0</v>
      </c>
      <c r="M384" t="n">
        <v>0</v>
      </c>
      <c r="N384" t="n">
        <v>0</v>
      </c>
      <c r="O384" t="n">
        <v>1</v>
      </c>
      <c r="P384" t="n">
        <v>0</v>
      </c>
      <c r="Q384" t="n">
        <v>1</v>
      </c>
      <c r="R384" s="2" t="inlineStr">
        <is>
          <t>Slåtterfibbla</t>
        </is>
      </c>
      <c r="S384">
        <f>HYPERLINK("https://klasma.github.io/Logging_2305/artfynd/A 9946-2026 artfynd.xlsx", "A 9946-2026")</f>
        <v/>
      </c>
      <c r="T384">
        <f>HYPERLINK("https://klasma.github.io/Logging_2305/kartor/A 9946-2026 karta.png", "A 9946-2026")</f>
        <v/>
      </c>
      <c r="V384">
        <f>HYPERLINK("https://klasma.github.io/Logging_2305/klagomål/A 9946-2026 FSC-klagomål.docx", "A 9946-2026")</f>
        <v/>
      </c>
      <c r="W384">
        <f>HYPERLINK("https://klasma.github.io/Logging_2305/klagomålsmail/A 9946-2026 FSC-klagomål mail.docx", "A 9946-2026")</f>
        <v/>
      </c>
      <c r="X384">
        <f>HYPERLINK("https://klasma.github.io/Logging_2305/tillsyn/A 9946-2026 tillsynsbegäran.docx", "A 9946-2026")</f>
        <v/>
      </c>
      <c r="Y384">
        <f>HYPERLINK("https://klasma.github.io/Logging_2305/tillsynsmail/A 9946-2026 tillsynsbegäran mail.docx", "A 9946-2026")</f>
        <v/>
      </c>
    </row>
    <row r="385" ht="15" customHeight="1">
      <c r="A385" t="inlineStr">
        <is>
          <t>A 57797-2023</t>
        </is>
      </c>
      <c r="B385" s="1" t="n">
        <v>45246</v>
      </c>
      <c r="C385" s="1" t="n">
        <v>46193</v>
      </c>
      <c r="D385" t="inlineStr">
        <is>
          <t>JÄMTLANDS LÄN</t>
        </is>
      </c>
      <c r="E385" t="inlineStr">
        <is>
          <t>BRÄCKE</t>
        </is>
      </c>
      <c r="F385" t="inlineStr">
        <is>
          <t>SCA</t>
        </is>
      </c>
      <c r="G385" t="n">
        <v>2.7</v>
      </c>
      <c r="H385" t="n">
        <v>0</v>
      </c>
      <c r="I385" t="n">
        <v>1</v>
      </c>
      <c r="J385" t="n">
        <v>0</v>
      </c>
      <c r="K385" t="n">
        <v>0</v>
      </c>
      <c r="L385" t="n">
        <v>0</v>
      </c>
      <c r="M385" t="n">
        <v>0</v>
      </c>
      <c r="N385" t="n">
        <v>0</v>
      </c>
      <c r="O385" t="n">
        <v>0</v>
      </c>
      <c r="P385" t="n">
        <v>0</v>
      </c>
      <c r="Q385" t="n">
        <v>1</v>
      </c>
      <c r="R385" s="2" t="inlineStr">
        <is>
          <t>Korallblylav</t>
        </is>
      </c>
      <c r="S385">
        <f>HYPERLINK("https://klasma.github.io/Logging_2305/artfynd/A 57797-2023 artfynd.xlsx", "A 57797-2023")</f>
        <v/>
      </c>
      <c r="T385">
        <f>HYPERLINK("https://klasma.github.io/Logging_2305/kartor/A 57797-2023 karta.png", "A 57797-2023")</f>
        <v/>
      </c>
      <c r="V385">
        <f>HYPERLINK("https://klasma.github.io/Logging_2305/klagomål/A 57797-2023 FSC-klagomål.docx", "A 57797-2023")</f>
        <v/>
      </c>
      <c r="W385">
        <f>HYPERLINK("https://klasma.github.io/Logging_2305/klagomålsmail/A 57797-2023 FSC-klagomål mail.docx", "A 57797-2023")</f>
        <v/>
      </c>
      <c r="X385">
        <f>HYPERLINK("https://klasma.github.io/Logging_2305/tillsyn/A 57797-2023 tillsynsbegäran.docx", "A 57797-2023")</f>
        <v/>
      </c>
      <c r="Y385">
        <f>HYPERLINK("https://klasma.github.io/Logging_2305/tillsynsmail/A 57797-2023 tillsynsbegäran mail.docx", "A 57797-2023")</f>
        <v/>
      </c>
    </row>
    <row r="386" ht="15" customHeight="1">
      <c r="A386" t="inlineStr">
        <is>
          <t>A 15262-2025</t>
        </is>
      </c>
      <c r="B386" s="1" t="n">
        <v>45744</v>
      </c>
      <c r="C386" s="1" t="n">
        <v>46193</v>
      </c>
      <c r="D386" t="inlineStr">
        <is>
          <t>JÄMTLANDS LÄN</t>
        </is>
      </c>
      <c r="E386" t="inlineStr">
        <is>
          <t>BRÄCKE</t>
        </is>
      </c>
      <c r="F386" t="inlineStr">
        <is>
          <t>SCA</t>
        </is>
      </c>
      <c r="G386" t="n">
        <v>2.2</v>
      </c>
      <c r="H386" t="n">
        <v>0</v>
      </c>
      <c r="I386" t="n">
        <v>0</v>
      </c>
      <c r="J386" t="n">
        <v>1</v>
      </c>
      <c r="K386" t="n">
        <v>0</v>
      </c>
      <c r="L386" t="n">
        <v>0</v>
      </c>
      <c r="M386" t="n">
        <v>0</v>
      </c>
      <c r="N386" t="n">
        <v>0</v>
      </c>
      <c r="O386" t="n">
        <v>1</v>
      </c>
      <c r="P386" t="n">
        <v>0</v>
      </c>
      <c r="Q386" t="n">
        <v>1</v>
      </c>
      <c r="R386" s="2" t="inlineStr">
        <is>
          <t>Lunglav</t>
        </is>
      </c>
      <c r="S386">
        <f>HYPERLINK("https://klasma.github.io/Logging_2305/artfynd/A 15262-2025 artfynd.xlsx", "A 15262-2025")</f>
        <v/>
      </c>
      <c r="T386">
        <f>HYPERLINK("https://klasma.github.io/Logging_2305/kartor/A 15262-2025 karta.png", "A 15262-2025")</f>
        <v/>
      </c>
      <c r="V386">
        <f>HYPERLINK("https://klasma.github.io/Logging_2305/klagomål/A 15262-2025 FSC-klagomål.docx", "A 15262-2025")</f>
        <v/>
      </c>
      <c r="W386">
        <f>HYPERLINK("https://klasma.github.io/Logging_2305/klagomålsmail/A 15262-2025 FSC-klagomål mail.docx", "A 15262-2025")</f>
        <v/>
      </c>
      <c r="X386">
        <f>HYPERLINK("https://klasma.github.io/Logging_2305/tillsyn/A 15262-2025 tillsynsbegäran.docx", "A 15262-2025")</f>
        <v/>
      </c>
      <c r="Y386">
        <f>HYPERLINK("https://klasma.github.io/Logging_2305/tillsynsmail/A 15262-2025 tillsynsbegäran mail.docx", "A 15262-2025")</f>
        <v/>
      </c>
    </row>
    <row r="387" ht="15" customHeight="1">
      <c r="A387" t="inlineStr">
        <is>
          <t>A 52983-2022</t>
        </is>
      </c>
      <c r="B387" s="1" t="n">
        <v>44875</v>
      </c>
      <c r="C387" s="1" t="n">
        <v>46193</v>
      </c>
      <c r="D387" t="inlineStr">
        <is>
          <t>JÄMTLANDS LÄN</t>
        </is>
      </c>
      <c r="E387" t="inlineStr">
        <is>
          <t>BRÄCKE</t>
        </is>
      </c>
      <c r="G387" t="n">
        <v>7.6</v>
      </c>
      <c r="H387" t="n">
        <v>0</v>
      </c>
      <c r="I387" t="n">
        <v>0</v>
      </c>
      <c r="J387" t="n">
        <v>1</v>
      </c>
      <c r="K387" t="n">
        <v>0</v>
      </c>
      <c r="L387" t="n">
        <v>0</v>
      </c>
      <c r="M387" t="n">
        <v>0</v>
      </c>
      <c r="N387" t="n">
        <v>0</v>
      </c>
      <c r="O387" t="n">
        <v>1</v>
      </c>
      <c r="P387" t="n">
        <v>0</v>
      </c>
      <c r="Q387" t="n">
        <v>1</v>
      </c>
      <c r="R387" s="2" t="inlineStr">
        <is>
          <t>Brunklöver</t>
        </is>
      </c>
      <c r="S387">
        <f>HYPERLINK("https://klasma.github.io/Logging_2305/artfynd/A 52983-2022 artfynd.xlsx", "A 52983-2022")</f>
        <v/>
      </c>
      <c r="T387">
        <f>HYPERLINK("https://klasma.github.io/Logging_2305/kartor/A 52983-2022 karta.png", "A 52983-2022")</f>
        <v/>
      </c>
      <c r="V387">
        <f>HYPERLINK("https://klasma.github.io/Logging_2305/klagomål/A 52983-2022 FSC-klagomål.docx", "A 52983-2022")</f>
        <v/>
      </c>
      <c r="W387">
        <f>HYPERLINK("https://klasma.github.io/Logging_2305/klagomålsmail/A 52983-2022 FSC-klagomål mail.docx", "A 52983-2022")</f>
        <v/>
      </c>
      <c r="X387">
        <f>HYPERLINK("https://klasma.github.io/Logging_2305/tillsyn/A 52983-2022 tillsynsbegäran.docx", "A 52983-2022")</f>
        <v/>
      </c>
      <c r="Y387">
        <f>HYPERLINK("https://klasma.github.io/Logging_2305/tillsynsmail/A 52983-2022 tillsynsbegäran mail.docx", "A 52983-2022")</f>
        <v/>
      </c>
    </row>
    <row r="388" ht="15" customHeight="1">
      <c r="A388" t="inlineStr">
        <is>
          <t>A 11991-2026</t>
        </is>
      </c>
      <c r="B388" s="1" t="n">
        <v>46085</v>
      </c>
      <c r="C388" s="1" t="n">
        <v>46193</v>
      </c>
      <c r="D388" t="inlineStr">
        <is>
          <t>JÄMTLANDS LÄN</t>
        </is>
      </c>
      <c r="E388" t="inlineStr">
        <is>
          <t>BRÄCKE</t>
        </is>
      </c>
      <c r="F388" t="inlineStr">
        <is>
          <t>SCA</t>
        </is>
      </c>
      <c r="G388" t="n">
        <v>12.9</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11991-2026 artfynd.xlsx", "A 11991-2026")</f>
        <v/>
      </c>
      <c r="T388">
        <f>HYPERLINK("https://klasma.github.io/Logging_2305/kartor/A 11991-2026 karta.png", "A 11991-2026")</f>
        <v/>
      </c>
      <c r="V388">
        <f>HYPERLINK("https://klasma.github.io/Logging_2305/klagomål/A 11991-2026 FSC-klagomål.docx", "A 11991-2026")</f>
        <v/>
      </c>
      <c r="W388">
        <f>HYPERLINK("https://klasma.github.io/Logging_2305/klagomålsmail/A 11991-2026 FSC-klagomål mail.docx", "A 11991-2026")</f>
        <v/>
      </c>
      <c r="X388">
        <f>HYPERLINK("https://klasma.github.io/Logging_2305/tillsyn/A 11991-2026 tillsynsbegäran.docx", "A 11991-2026")</f>
        <v/>
      </c>
      <c r="Y388">
        <f>HYPERLINK("https://klasma.github.io/Logging_2305/tillsynsmail/A 11991-2026 tillsynsbegäran mail.docx", "A 11991-2026")</f>
        <v/>
      </c>
    </row>
    <row r="389" ht="15" customHeight="1">
      <c r="A389" t="inlineStr">
        <is>
          <t>A 31888-2024</t>
        </is>
      </c>
      <c r="B389" s="1" t="n">
        <v>45509</v>
      </c>
      <c r="C389" s="1" t="n">
        <v>46193</v>
      </c>
      <c r="D389" t="inlineStr">
        <is>
          <t>JÄMTLANDS LÄN</t>
        </is>
      </c>
      <c r="E389" t="inlineStr">
        <is>
          <t>BRÄCKE</t>
        </is>
      </c>
      <c r="F389" t="inlineStr">
        <is>
          <t>SCA</t>
        </is>
      </c>
      <c r="G389" t="n">
        <v>0.7</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31888-2024 artfynd.xlsx", "A 31888-2024")</f>
        <v/>
      </c>
      <c r="T389">
        <f>HYPERLINK("https://klasma.github.io/Logging_2305/kartor/A 31888-2024 karta.png", "A 31888-2024")</f>
        <v/>
      </c>
      <c r="V389">
        <f>HYPERLINK("https://klasma.github.io/Logging_2305/klagomål/A 31888-2024 FSC-klagomål.docx", "A 31888-2024")</f>
        <v/>
      </c>
      <c r="W389">
        <f>HYPERLINK("https://klasma.github.io/Logging_2305/klagomålsmail/A 31888-2024 FSC-klagomål mail.docx", "A 31888-2024")</f>
        <v/>
      </c>
      <c r="X389">
        <f>HYPERLINK("https://klasma.github.io/Logging_2305/tillsyn/A 31888-2024 tillsynsbegäran.docx", "A 31888-2024")</f>
        <v/>
      </c>
      <c r="Y389">
        <f>HYPERLINK("https://klasma.github.io/Logging_2305/tillsynsmail/A 31888-2024 tillsynsbegäran mail.docx", "A 31888-2024")</f>
        <v/>
      </c>
      <c r="Z389">
        <f>HYPERLINK("https://klasma.github.io/Logging_2305/fåglar/A 31888-2024 prioriterade fågelarter.docx", "A 31888-2024")</f>
        <v/>
      </c>
    </row>
    <row r="390" ht="15" customHeight="1">
      <c r="A390" t="inlineStr">
        <is>
          <t>A 13212-2026</t>
        </is>
      </c>
      <c r="B390" s="1" t="n">
        <v>46093</v>
      </c>
      <c r="C390" s="1" t="n">
        <v>46193</v>
      </c>
      <c r="D390" t="inlineStr">
        <is>
          <t>JÄMTLANDS LÄN</t>
        </is>
      </c>
      <c r="E390" t="inlineStr">
        <is>
          <t>BRÄCKE</t>
        </is>
      </c>
      <c r="F390" t="inlineStr">
        <is>
          <t>SCA</t>
        </is>
      </c>
      <c r="G390" t="n">
        <v>2.6</v>
      </c>
      <c r="H390" t="n">
        <v>0</v>
      </c>
      <c r="I390" t="n">
        <v>0</v>
      </c>
      <c r="J390" t="n">
        <v>1</v>
      </c>
      <c r="K390" t="n">
        <v>0</v>
      </c>
      <c r="L390" t="n">
        <v>0</v>
      </c>
      <c r="M390" t="n">
        <v>0</v>
      </c>
      <c r="N390" t="n">
        <v>0</v>
      </c>
      <c r="O390" t="n">
        <v>1</v>
      </c>
      <c r="P390" t="n">
        <v>0</v>
      </c>
      <c r="Q390" t="n">
        <v>1</v>
      </c>
      <c r="R390" s="2" t="inlineStr">
        <is>
          <t>Fjällig taggsvamp s.str.</t>
        </is>
      </c>
      <c r="S390">
        <f>HYPERLINK("https://klasma.github.io/Logging_2305/artfynd/A 13212-2026 artfynd.xlsx", "A 13212-2026")</f>
        <v/>
      </c>
      <c r="T390">
        <f>HYPERLINK("https://klasma.github.io/Logging_2305/kartor/A 13212-2026 karta.png", "A 13212-2026")</f>
        <v/>
      </c>
      <c r="V390">
        <f>HYPERLINK("https://klasma.github.io/Logging_2305/klagomål/A 13212-2026 FSC-klagomål.docx", "A 13212-2026")</f>
        <v/>
      </c>
      <c r="W390">
        <f>HYPERLINK("https://klasma.github.io/Logging_2305/klagomålsmail/A 13212-2026 FSC-klagomål mail.docx", "A 13212-2026")</f>
        <v/>
      </c>
      <c r="X390">
        <f>HYPERLINK("https://klasma.github.io/Logging_2305/tillsyn/A 13212-2026 tillsynsbegäran.docx", "A 13212-2026")</f>
        <v/>
      </c>
      <c r="Y390">
        <f>HYPERLINK("https://klasma.github.io/Logging_2305/tillsynsmail/A 13212-2026 tillsynsbegäran mail.docx", "A 13212-2026")</f>
        <v/>
      </c>
    </row>
    <row r="391" ht="15" customHeight="1">
      <c r="A391" t="inlineStr">
        <is>
          <t>A 15927-2026</t>
        </is>
      </c>
      <c r="B391" s="1" t="n">
        <v>46107</v>
      </c>
      <c r="C391" s="1" t="n">
        <v>46193</v>
      </c>
      <c r="D391" t="inlineStr">
        <is>
          <t>JÄMTLANDS LÄN</t>
        </is>
      </c>
      <c r="E391" t="inlineStr">
        <is>
          <t>BRÄCKE</t>
        </is>
      </c>
      <c r="G391" t="n">
        <v>12.1</v>
      </c>
      <c r="H391" t="n">
        <v>0</v>
      </c>
      <c r="I391" t="n">
        <v>1</v>
      </c>
      <c r="J391" t="n">
        <v>0</v>
      </c>
      <c r="K391" t="n">
        <v>0</v>
      </c>
      <c r="L391" t="n">
        <v>0</v>
      </c>
      <c r="M391" t="n">
        <v>0</v>
      </c>
      <c r="N391" t="n">
        <v>0</v>
      </c>
      <c r="O391" t="n">
        <v>0</v>
      </c>
      <c r="P391" t="n">
        <v>0</v>
      </c>
      <c r="Q391" t="n">
        <v>1</v>
      </c>
      <c r="R391" s="2" t="inlineStr">
        <is>
          <t>Underviol</t>
        </is>
      </c>
      <c r="S391">
        <f>HYPERLINK("https://klasma.github.io/Logging_2305/artfynd/A 15927-2026 artfynd.xlsx", "A 15927-2026")</f>
        <v/>
      </c>
      <c r="T391">
        <f>HYPERLINK("https://klasma.github.io/Logging_2305/kartor/A 15927-2026 karta.png", "A 15927-2026")</f>
        <v/>
      </c>
      <c r="V391">
        <f>HYPERLINK("https://klasma.github.io/Logging_2305/klagomål/A 15927-2026 FSC-klagomål.docx", "A 15927-2026")</f>
        <v/>
      </c>
      <c r="W391">
        <f>HYPERLINK("https://klasma.github.io/Logging_2305/klagomålsmail/A 15927-2026 FSC-klagomål mail.docx", "A 15927-2026")</f>
        <v/>
      </c>
      <c r="X391">
        <f>HYPERLINK("https://klasma.github.io/Logging_2305/tillsyn/A 15927-2026 tillsynsbegäran.docx", "A 15927-2026")</f>
        <v/>
      </c>
      <c r="Y391">
        <f>HYPERLINK("https://klasma.github.io/Logging_2305/tillsynsmail/A 15927-2026 tillsynsbegäran mail.docx", "A 15927-2026")</f>
        <v/>
      </c>
    </row>
    <row r="392" ht="15" customHeight="1">
      <c r="A392" t="inlineStr">
        <is>
          <t>A 15903-2026</t>
        </is>
      </c>
      <c r="B392" s="1" t="n">
        <v>46107</v>
      </c>
      <c r="C392" s="1" t="n">
        <v>46193</v>
      </c>
      <c r="D392" t="inlineStr">
        <is>
          <t>JÄMTLANDS LÄN</t>
        </is>
      </c>
      <c r="E392" t="inlineStr">
        <is>
          <t>BRÄCKE</t>
        </is>
      </c>
      <c r="F392" t="inlineStr">
        <is>
          <t>SCA</t>
        </is>
      </c>
      <c r="G392" t="n">
        <v>3.5</v>
      </c>
      <c r="H392" t="n">
        <v>0</v>
      </c>
      <c r="I392" t="n">
        <v>0</v>
      </c>
      <c r="J392" t="n">
        <v>0</v>
      </c>
      <c r="K392" t="n">
        <v>1</v>
      </c>
      <c r="L392" t="n">
        <v>0</v>
      </c>
      <c r="M392" t="n">
        <v>0</v>
      </c>
      <c r="N392" t="n">
        <v>0</v>
      </c>
      <c r="O392" t="n">
        <v>1</v>
      </c>
      <c r="P392" t="n">
        <v>1</v>
      </c>
      <c r="Q392" t="n">
        <v>1</v>
      </c>
      <c r="R392" s="2" t="inlineStr">
        <is>
          <t>Garnlav</t>
        </is>
      </c>
      <c r="S392">
        <f>HYPERLINK("https://klasma.github.io/Logging_2305/artfynd/A 15903-2026 artfynd.xlsx", "A 15903-2026")</f>
        <v/>
      </c>
      <c r="T392">
        <f>HYPERLINK("https://klasma.github.io/Logging_2305/kartor/A 15903-2026 karta.png", "A 15903-2026")</f>
        <v/>
      </c>
      <c r="V392">
        <f>HYPERLINK("https://klasma.github.io/Logging_2305/klagomål/A 15903-2026 FSC-klagomål.docx", "A 15903-2026")</f>
        <v/>
      </c>
      <c r="W392">
        <f>HYPERLINK("https://klasma.github.io/Logging_2305/klagomålsmail/A 15903-2026 FSC-klagomål mail.docx", "A 15903-2026")</f>
        <v/>
      </c>
      <c r="X392">
        <f>HYPERLINK("https://klasma.github.io/Logging_2305/tillsyn/A 15903-2026 tillsynsbegäran.docx", "A 15903-2026")</f>
        <v/>
      </c>
      <c r="Y392">
        <f>HYPERLINK("https://klasma.github.io/Logging_2305/tillsynsmail/A 15903-2026 tillsynsbegäran mail.docx", "A 15903-2026")</f>
        <v/>
      </c>
    </row>
    <row r="393" ht="15" customHeight="1">
      <c r="A393" t="inlineStr">
        <is>
          <t>A 17262-2026</t>
        </is>
      </c>
      <c r="B393" s="1" t="n">
        <v>46119</v>
      </c>
      <c r="C393" s="1" t="n">
        <v>46193</v>
      </c>
      <c r="D393" t="inlineStr">
        <is>
          <t>JÄMTLANDS LÄN</t>
        </is>
      </c>
      <c r="E393" t="inlineStr">
        <is>
          <t>BRÄCKE</t>
        </is>
      </c>
      <c r="F393" t="inlineStr">
        <is>
          <t>SCA</t>
        </is>
      </c>
      <c r="G393" t="n">
        <v>3.2</v>
      </c>
      <c r="H393" t="n">
        <v>1</v>
      </c>
      <c r="I393" t="n">
        <v>0</v>
      </c>
      <c r="J393" t="n">
        <v>1</v>
      </c>
      <c r="K393" t="n">
        <v>0</v>
      </c>
      <c r="L393" t="n">
        <v>0</v>
      </c>
      <c r="M393" t="n">
        <v>0</v>
      </c>
      <c r="N393" t="n">
        <v>0</v>
      </c>
      <c r="O393" t="n">
        <v>1</v>
      </c>
      <c r="P393" t="n">
        <v>0</v>
      </c>
      <c r="Q393" t="n">
        <v>1</v>
      </c>
      <c r="R393" s="2" t="inlineStr">
        <is>
          <t>Lavskrika</t>
        </is>
      </c>
      <c r="S393">
        <f>HYPERLINK("https://klasma.github.io/Logging_2305/artfynd/A 17262-2026 artfynd.xlsx", "A 17262-2026")</f>
        <v/>
      </c>
      <c r="T393">
        <f>HYPERLINK("https://klasma.github.io/Logging_2305/kartor/A 17262-2026 karta.png", "A 17262-2026")</f>
        <v/>
      </c>
      <c r="V393">
        <f>HYPERLINK("https://klasma.github.io/Logging_2305/klagomål/A 17262-2026 FSC-klagomål.docx", "A 17262-2026")</f>
        <v/>
      </c>
      <c r="W393">
        <f>HYPERLINK("https://klasma.github.io/Logging_2305/klagomålsmail/A 17262-2026 FSC-klagomål mail.docx", "A 17262-2026")</f>
        <v/>
      </c>
      <c r="X393">
        <f>HYPERLINK("https://klasma.github.io/Logging_2305/tillsyn/A 17262-2026 tillsynsbegäran.docx", "A 17262-2026")</f>
        <v/>
      </c>
      <c r="Y393">
        <f>HYPERLINK("https://klasma.github.io/Logging_2305/tillsynsmail/A 17262-2026 tillsynsbegäran mail.docx", "A 17262-2026")</f>
        <v/>
      </c>
      <c r="Z393">
        <f>HYPERLINK("https://klasma.github.io/Logging_2305/fåglar/A 17262-2026 prioriterade fågelarter.docx", "A 17262-2026")</f>
        <v/>
      </c>
    </row>
    <row r="394" ht="15" customHeight="1">
      <c r="A394" t="inlineStr">
        <is>
          <t>A 17598-2026</t>
        </is>
      </c>
      <c r="B394" s="1" t="n">
        <v>46121</v>
      </c>
      <c r="C394" s="1" t="n">
        <v>46193</v>
      </c>
      <c r="D394" t="inlineStr">
        <is>
          <t>JÄMTLANDS LÄN</t>
        </is>
      </c>
      <c r="E394" t="inlineStr">
        <is>
          <t>BRÄCKE</t>
        </is>
      </c>
      <c r="F394" t="inlineStr">
        <is>
          <t>SCA</t>
        </is>
      </c>
      <c r="G394" t="n">
        <v>1.8</v>
      </c>
      <c r="H394" t="n">
        <v>1</v>
      </c>
      <c r="I394" t="n">
        <v>0</v>
      </c>
      <c r="J394" t="n">
        <v>0</v>
      </c>
      <c r="K394" t="n">
        <v>0</v>
      </c>
      <c r="L394" t="n">
        <v>0</v>
      </c>
      <c r="M394" t="n">
        <v>0</v>
      </c>
      <c r="N394" t="n">
        <v>0</v>
      </c>
      <c r="O394" t="n">
        <v>0</v>
      </c>
      <c r="P394" t="n">
        <v>0</v>
      </c>
      <c r="Q394" t="n">
        <v>1</v>
      </c>
      <c r="R394" s="2" t="inlineStr">
        <is>
          <t>Tjäder</t>
        </is>
      </c>
      <c r="S394">
        <f>HYPERLINK("https://klasma.github.io/Logging_2305/artfynd/A 17598-2026 artfynd.xlsx", "A 17598-2026")</f>
        <v/>
      </c>
      <c r="T394">
        <f>HYPERLINK("https://klasma.github.io/Logging_2305/kartor/A 17598-2026 karta.png", "A 17598-2026")</f>
        <v/>
      </c>
      <c r="V394">
        <f>HYPERLINK("https://klasma.github.io/Logging_2305/klagomål/A 17598-2026 FSC-klagomål.docx", "A 17598-2026")</f>
        <v/>
      </c>
      <c r="W394">
        <f>HYPERLINK("https://klasma.github.io/Logging_2305/klagomålsmail/A 17598-2026 FSC-klagomål mail.docx", "A 17598-2026")</f>
        <v/>
      </c>
      <c r="X394">
        <f>HYPERLINK("https://klasma.github.io/Logging_2305/tillsyn/A 17598-2026 tillsynsbegäran.docx", "A 17598-2026")</f>
        <v/>
      </c>
      <c r="Y394">
        <f>HYPERLINK("https://klasma.github.io/Logging_2305/tillsynsmail/A 17598-2026 tillsynsbegäran mail.docx", "A 17598-2026")</f>
        <v/>
      </c>
      <c r="Z394">
        <f>HYPERLINK("https://klasma.github.io/Logging_2305/fåglar/A 17598-2026 prioriterade fågelarter.docx", "A 17598-2026")</f>
        <v/>
      </c>
    </row>
    <row r="395" ht="15" customHeight="1">
      <c r="A395" t="inlineStr">
        <is>
          <t>A 23317-2026</t>
        </is>
      </c>
      <c r="B395" s="1" t="n">
        <v>46162</v>
      </c>
      <c r="C395" s="1" t="n">
        <v>46193</v>
      </c>
      <c r="D395" t="inlineStr">
        <is>
          <t>JÄMTLANDS LÄN</t>
        </is>
      </c>
      <c r="E395" t="inlineStr">
        <is>
          <t>BRÄCKE</t>
        </is>
      </c>
      <c r="F395" t="inlineStr">
        <is>
          <t>SCA</t>
        </is>
      </c>
      <c r="G395" t="n">
        <v>4.4</v>
      </c>
      <c r="H395" t="n">
        <v>1</v>
      </c>
      <c r="I395" t="n">
        <v>0</v>
      </c>
      <c r="J395" t="n">
        <v>1</v>
      </c>
      <c r="K395" t="n">
        <v>0</v>
      </c>
      <c r="L395" t="n">
        <v>0</v>
      </c>
      <c r="M395" t="n">
        <v>0</v>
      </c>
      <c r="N395" t="n">
        <v>0</v>
      </c>
      <c r="O395" t="n">
        <v>1</v>
      </c>
      <c r="P395" t="n">
        <v>0</v>
      </c>
      <c r="Q395" t="n">
        <v>1</v>
      </c>
      <c r="R395" s="2" t="inlineStr">
        <is>
          <t>Talltita</t>
        </is>
      </c>
      <c r="S395">
        <f>HYPERLINK("https://klasma.github.io/Logging_2305/artfynd/A 23317-2026 artfynd.xlsx", "A 23317-2026")</f>
        <v/>
      </c>
      <c r="T395">
        <f>HYPERLINK("https://klasma.github.io/Logging_2305/kartor/A 23317-2026 karta.png", "A 23317-2026")</f>
        <v/>
      </c>
      <c r="V395">
        <f>HYPERLINK("https://klasma.github.io/Logging_2305/klagomål/A 23317-2026 FSC-klagomål.docx", "A 23317-2026")</f>
        <v/>
      </c>
      <c r="W395">
        <f>HYPERLINK("https://klasma.github.io/Logging_2305/klagomålsmail/A 23317-2026 FSC-klagomål mail.docx", "A 23317-2026")</f>
        <v/>
      </c>
      <c r="X395">
        <f>HYPERLINK("https://klasma.github.io/Logging_2305/tillsyn/A 23317-2026 tillsynsbegäran.docx", "A 23317-2026")</f>
        <v/>
      </c>
      <c r="Y395">
        <f>HYPERLINK("https://klasma.github.io/Logging_2305/tillsynsmail/A 23317-2026 tillsynsbegäran mail.docx", "A 23317-2026")</f>
        <v/>
      </c>
      <c r="Z395">
        <f>HYPERLINK("https://klasma.github.io/Logging_2305/fåglar/A 23317-2026 prioriterade fågelarter.docx", "A 23317-2026")</f>
        <v/>
      </c>
    </row>
    <row r="396" ht="15" customHeight="1">
      <c r="A396" t="inlineStr">
        <is>
          <t>A 23864-2026</t>
        </is>
      </c>
      <c r="B396" s="1" t="n">
        <v>46167</v>
      </c>
      <c r="C396" s="1" t="n">
        <v>46193</v>
      </c>
      <c r="D396" t="inlineStr">
        <is>
          <t>JÄMTLANDS LÄN</t>
        </is>
      </c>
      <c r="E396" t="inlineStr">
        <is>
          <t>BRÄCKE</t>
        </is>
      </c>
      <c r="F396" t="inlineStr">
        <is>
          <t>SCA</t>
        </is>
      </c>
      <c r="G396" t="n">
        <v>6.1</v>
      </c>
      <c r="H396" t="n">
        <v>0</v>
      </c>
      <c r="I396" t="n">
        <v>0</v>
      </c>
      <c r="J396" t="n">
        <v>1</v>
      </c>
      <c r="K396" t="n">
        <v>0</v>
      </c>
      <c r="L396" t="n">
        <v>0</v>
      </c>
      <c r="M396" t="n">
        <v>0</v>
      </c>
      <c r="N396" t="n">
        <v>0</v>
      </c>
      <c r="O396" t="n">
        <v>1</v>
      </c>
      <c r="P396" t="n">
        <v>0</v>
      </c>
      <c r="Q396" t="n">
        <v>1</v>
      </c>
      <c r="R396" s="2" t="inlineStr">
        <is>
          <t>Lunglav</t>
        </is>
      </c>
      <c r="S396">
        <f>HYPERLINK("https://klasma.github.io/Logging_2305/artfynd/A 23864-2026 artfynd.xlsx", "A 23864-2026")</f>
        <v/>
      </c>
      <c r="T396">
        <f>HYPERLINK("https://klasma.github.io/Logging_2305/kartor/A 23864-2026 karta.png", "A 23864-2026")</f>
        <v/>
      </c>
      <c r="V396">
        <f>HYPERLINK("https://klasma.github.io/Logging_2305/klagomål/A 23864-2026 FSC-klagomål.docx", "A 23864-2026")</f>
        <v/>
      </c>
      <c r="W396">
        <f>HYPERLINK("https://klasma.github.io/Logging_2305/klagomålsmail/A 23864-2026 FSC-klagomål mail.docx", "A 23864-2026")</f>
        <v/>
      </c>
      <c r="X396">
        <f>HYPERLINK("https://klasma.github.io/Logging_2305/tillsyn/A 23864-2026 tillsynsbegäran.docx", "A 23864-2026")</f>
        <v/>
      </c>
      <c r="Y396">
        <f>HYPERLINK("https://klasma.github.io/Logging_2305/tillsynsmail/A 23864-2026 tillsynsbegäran mail.docx", "A 23864-2026")</f>
        <v/>
      </c>
    </row>
    <row r="397" ht="15" customHeight="1">
      <c r="A397" t="inlineStr">
        <is>
          <t>A 24399-2026</t>
        </is>
      </c>
      <c r="B397" s="1" t="n">
        <v>46169</v>
      </c>
      <c r="C397" s="1" t="n">
        <v>46193</v>
      </c>
      <c r="D397" t="inlineStr">
        <is>
          <t>JÄMTLANDS LÄN</t>
        </is>
      </c>
      <c r="E397" t="inlineStr">
        <is>
          <t>BRÄCKE</t>
        </is>
      </c>
      <c r="G397" t="n">
        <v>9.1</v>
      </c>
      <c r="H397" t="n">
        <v>1</v>
      </c>
      <c r="I397" t="n">
        <v>0</v>
      </c>
      <c r="J397" t="n">
        <v>0</v>
      </c>
      <c r="K397" t="n">
        <v>0</v>
      </c>
      <c r="L397" t="n">
        <v>0</v>
      </c>
      <c r="M397" t="n">
        <v>0</v>
      </c>
      <c r="N397" t="n">
        <v>0</v>
      </c>
      <c r="O397" t="n">
        <v>0</v>
      </c>
      <c r="P397" t="n">
        <v>0</v>
      </c>
      <c r="Q397" t="n">
        <v>1</v>
      </c>
      <c r="R397" s="2" t="inlineStr">
        <is>
          <t>Utter</t>
        </is>
      </c>
      <c r="S397">
        <f>HYPERLINK("https://klasma.github.io/Logging_2305/artfynd/A 24399-2026 artfynd.xlsx", "A 24399-2026")</f>
        <v/>
      </c>
      <c r="T397">
        <f>HYPERLINK("https://klasma.github.io/Logging_2305/kartor/A 24399-2026 karta.png", "A 24399-2026")</f>
        <v/>
      </c>
      <c r="V397">
        <f>HYPERLINK("https://klasma.github.io/Logging_2305/klagomål/A 24399-2026 FSC-klagomål.docx", "A 24399-2026")</f>
        <v/>
      </c>
      <c r="W397">
        <f>HYPERLINK("https://klasma.github.io/Logging_2305/klagomålsmail/A 24399-2026 FSC-klagomål mail.docx", "A 24399-2026")</f>
        <v/>
      </c>
      <c r="X397">
        <f>HYPERLINK("https://klasma.github.io/Logging_2305/tillsyn/A 24399-2026 tillsynsbegäran.docx", "A 24399-2026")</f>
        <v/>
      </c>
      <c r="Y397">
        <f>HYPERLINK("https://klasma.github.io/Logging_2305/tillsynsmail/A 24399-2026 tillsynsbegäran mail.docx", "A 24399-2026")</f>
        <v/>
      </c>
    </row>
    <row r="398" ht="15" customHeight="1">
      <c r="A398" t="inlineStr">
        <is>
          <t>A 25555-2026</t>
        </is>
      </c>
      <c r="B398" s="1" t="n">
        <v>46177</v>
      </c>
      <c r="C398" s="1" t="n">
        <v>46193</v>
      </c>
      <c r="D398" t="inlineStr">
        <is>
          <t>JÄMTLANDS LÄN</t>
        </is>
      </c>
      <c r="E398" t="inlineStr">
        <is>
          <t>BRÄCKE</t>
        </is>
      </c>
      <c r="F398" t="inlineStr">
        <is>
          <t>SCA</t>
        </is>
      </c>
      <c r="G398" t="n">
        <v>7.1</v>
      </c>
      <c r="H398" t="n">
        <v>1</v>
      </c>
      <c r="I398" t="n">
        <v>0</v>
      </c>
      <c r="J398" t="n">
        <v>0</v>
      </c>
      <c r="K398" t="n">
        <v>1</v>
      </c>
      <c r="L398" t="n">
        <v>0</v>
      </c>
      <c r="M398" t="n">
        <v>0</v>
      </c>
      <c r="N398" t="n">
        <v>0</v>
      </c>
      <c r="O398" t="n">
        <v>1</v>
      </c>
      <c r="P398" t="n">
        <v>1</v>
      </c>
      <c r="Q398" t="n">
        <v>1</v>
      </c>
      <c r="R398" s="2" t="inlineStr">
        <is>
          <t>Doftticka</t>
        </is>
      </c>
      <c r="S398">
        <f>HYPERLINK("https://klasma.github.io/Logging_2305/artfynd/A 25555-2026 artfynd.xlsx", "A 25555-2026")</f>
        <v/>
      </c>
      <c r="T398">
        <f>HYPERLINK("https://klasma.github.io/Logging_2305/kartor/A 25555-2026 karta.png", "A 25555-2026")</f>
        <v/>
      </c>
      <c r="V398">
        <f>HYPERLINK("https://klasma.github.io/Logging_2305/klagomål/A 25555-2026 FSC-klagomål.docx", "A 25555-2026")</f>
        <v/>
      </c>
      <c r="W398">
        <f>HYPERLINK("https://klasma.github.io/Logging_2305/klagomålsmail/A 25555-2026 FSC-klagomål mail.docx", "A 25555-2026")</f>
        <v/>
      </c>
      <c r="X398">
        <f>HYPERLINK("https://klasma.github.io/Logging_2305/tillsyn/A 25555-2026 tillsynsbegäran.docx", "A 25555-2026")</f>
        <v/>
      </c>
      <c r="Y398">
        <f>HYPERLINK("https://klasma.github.io/Logging_2305/tillsynsmail/A 25555-2026 tillsynsbegäran mail.docx", "A 25555-2026")</f>
        <v/>
      </c>
    </row>
    <row r="399" ht="15" customHeight="1">
      <c r="A399" t="inlineStr">
        <is>
          <t>A 20240-2026</t>
        </is>
      </c>
      <c r="B399" s="1" t="n">
        <v>46139</v>
      </c>
      <c r="C399" s="1" t="n">
        <v>46193</v>
      </c>
      <c r="D399" t="inlineStr">
        <is>
          <t>JÄMTLANDS LÄN</t>
        </is>
      </c>
      <c r="E399" t="inlineStr">
        <is>
          <t>BRÄCKE</t>
        </is>
      </c>
      <c r="F399" t="inlineStr">
        <is>
          <t>SCA</t>
        </is>
      </c>
      <c r="G399" t="n">
        <v>6.7</v>
      </c>
      <c r="H399" t="n">
        <v>1</v>
      </c>
      <c r="I399" t="n">
        <v>0</v>
      </c>
      <c r="J399" t="n">
        <v>1</v>
      </c>
      <c r="K399" t="n">
        <v>0</v>
      </c>
      <c r="L399" t="n">
        <v>0</v>
      </c>
      <c r="M399" t="n">
        <v>0</v>
      </c>
      <c r="N399" t="n">
        <v>0</v>
      </c>
      <c r="O399" t="n">
        <v>1</v>
      </c>
      <c r="P399" t="n">
        <v>0</v>
      </c>
      <c r="Q399" t="n">
        <v>1</v>
      </c>
      <c r="R399" s="2" t="inlineStr">
        <is>
          <t>Talltita</t>
        </is>
      </c>
      <c r="S399">
        <f>HYPERLINK("https://klasma.github.io/Logging_2305/artfynd/A 20240-2026 artfynd.xlsx", "A 20240-2026")</f>
        <v/>
      </c>
      <c r="T399">
        <f>HYPERLINK("https://klasma.github.io/Logging_2305/kartor/A 20240-2026 karta.png", "A 20240-2026")</f>
        <v/>
      </c>
      <c r="V399">
        <f>HYPERLINK("https://klasma.github.io/Logging_2305/klagomål/A 20240-2026 FSC-klagomål.docx", "A 20240-2026")</f>
        <v/>
      </c>
      <c r="W399">
        <f>HYPERLINK("https://klasma.github.io/Logging_2305/klagomålsmail/A 20240-2026 FSC-klagomål mail.docx", "A 20240-2026")</f>
        <v/>
      </c>
      <c r="X399">
        <f>HYPERLINK("https://klasma.github.io/Logging_2305/tillsyn/A 20240-2026 tillsynsbegäran.docx", "A 20240-2026")</f>
        <v/>
      </c>
      <c r="Y399">
        <f>HYPERLINK("https://klasma.github.io/Logging_2305/tillsynsmail/A 20240-2026 tillsynsbegäran mail.docx", "A 20240-2026")</f>
        <v/>
      </c>
      <c r="Z399">
        <f>HYPERLINK("https://klasma.github.io/Logging_2305/fåglar/A 20240-2026 prioriterade fågelarter.docx", "A 20240-2026")</f>
        <v/>
      </c>
    </row>
    <row r="400" ht="15" customHeight="1">
      <c r="A400" t="inlineStr">
        <is>
          <t>A 39701-2022</t>
        </is>
      </c>
      <c r="B400" s="1" t="n">
        <v>44818</v>
      </c>
      <c r="C400" s="1" t="n">
        <v>46193</v>
      </c>
      <c r="D400" t="inlineStr">
        <is>
          <t>JÄMTLANDS LÄN</t>
        </is>
      </c>
      <c r="E400" t="inlineStr">
        <is>
          <t>BRÄCKE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1087-2022</t>
        </is>
      </c>
      <c r="B401" s="1" t="n">
        <v>44571</v>
      </c>
      <c r="C401" s="1" t="n">
        <v>46193</v>
      </c>
      <c r="D401" t="inlineStr">
        <is>
          <t>JÄMTLANDS LÄN</t>
        </is>
      </c>
      <c r="E401" t="inlineStr">
        <is>
          <t>BRÄCKE</t>
        </is>
      </c>
      <c r="G401" t="n">
        <v>3.7</v>
      </c>
      <c r="H401" t="n">
        <v>0</v>
      </c>
      <c r="I401" t="n">
        <v>0</v>
      </c>
      <c r="J401" t="n">
        <v>0</v>
      </c>
      <c r="K401" t="n">
        <v>0</v>
      </c>
      <c r="L401" t="n">
        <v>0</v>
      </c>
      <c r="M401" t="n">
        <v>0</v>
      </c>
      <c r="N401" t="n">
        <v>0</v>
      </c>
      <c r="O401" t="n">
        <v>0</v>
      </c>
      <c r="P401" t="n">
        <v>0</v>
      </c>
      <c r="Q401" t="n">
        <v>0</v>
      </c>
      <c r="R401" s="2" t="inlineStr"/>
    </row>
    <row r="402" ht="15" customHeight="1">
      <c r="A402" t="inlineStr">
        <is>
          <t>A 36840-2022</t>
        </is>
      </c>
      <c r="B402" s="1" t="n">
        <v>44805</v>
      </c>
      <c r="C402" s="1" t="n">
        <v>46193</v>
      </c>
      <c r="D402" t="inlineStr">
        <is>
          <t>JÄMTLANDS LÄN</t>
        </is>
      </c>
      <c r="E402" t="inlineStr">
        <is>
          <t>BRÄCKE</t>
        </is>
      </c>
      <c r="G402" t="n">
        <v>1.2</v>
      </c>
      <c r="H402" t="n">
        <v>0</v>
      </c>
      <c r="I402" t="n">
        <v>0</v>
      </c>
      <c r="J402" t="n">
        <v>0</v>
      </c>
      <c r="K402" t="n">
        <v>0</v>
      </c>
      <c r="L402" t="n">
        <v>0</v>
      </c>
      <c r="M402" t="n">
        <v>0</v>
      </c>
      <c r="N402" t="n">
        <v>0</v>
      </c>
      <c r="O402" t="n">
        <v>0</v>
      </c>
      <c r="P402" t="n">
        <v>0</v>
      </c>
      <c r="Q402" t="n">
        <v>0</v>
      </c>
      <c r="R402" s="2" t="inlineStr"/>
    </row>
    <row r="403" ht="15" customHeight="1">
      <c r="A403" t="inlineStr">
        <is>
          <t>A 44752-2022</t>
        </is>
      </c>
      <c r="B403" s="1" t="n">
        <v>44840</v>
      </c>
      <c r="C403" s="1" t="n">
        <v>46193</v>
      </c>
      <c r="D403" t="inlineStr">
        <is>
          <t>JÄMTLANDS LÄN</t>
        </is>
      </c>
      <c r="E403" t="inlineStr">
        <is>
          <t>BRÄCKE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51022-2022</t>
        </is>
      </c>
      <c r="B404" s="1" t="n">
        <v>44867</v>
      </c>
      <c r="C404" s="1" t="n">
        <v>46193</v>
      </c>
      <c r="D404" t="inlineStr">
        <is>
          <t>JÄMTLANDS LÄN</t>
        </is>
      </c>
      <c r="E404" t="inlineStr">
        <is>
          <t>BRÄCKE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54829-2022</t>
        </is>
      </c>
      <c r="B405" s="1" t="n">
        <v>44883</v>
      </c>
      <c r="C405" s="1" t="n">
        <v>46193</v>
      </c>
      <c r="D405" t="inlineStr">
        <is>
          <t>JÄMTLANDS LÄN</t>
        </is>
      </c>
      <c r="E405" t="inlineStr">
        <is>
          <t>BRÄCKE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59322-2021</t>
        </is>
      </c>
      <c r="B406" s="1" t="n">
        <v>44490</v>
      </c>
      <c r="C406" s="1" t="n">
        <v>46193</v>
      </c>
      <c r="D406" t="inlineStr">
        <is>
          <t>JÄMTLANDS LÄN</t>
        </is>
      </c>
      <c r="E406" t="inlineStr">
        <is>
          <t>BRÄCKE</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52022-2021</t>
        </is>
      </c>
      <c r="B407" s="1" t="n">
        <v>44463</v>
      </c>
      <c r="C407" s="1" t="n">
        <v>46193</v>
      </c>
      <c r="D407" t="inlineStr">
        <is>
          <t>JÄMTLANDS LÄN</t>
        </is>
      </c>
      <c r="E407" t="inlineStr">
        <is>
          <t>BRÄCKE</t>
        </is>
      </c>
      <c r="G407" t="n">
        <v>8.4</v>
      </c>
      <c r="H407" t="n">
        <v>0</v>
      </c>
      <c r="I407" t="n">
        <v>0</v>
      </c>
      <c r="J407" t="n">
        <v>0</v>
      </c>
      <c r="K407" t="n">
        <v>0</v>
      </c>
      <c r="L407" t="n">
        <v>0</v>
      </c>
      <c r="M407" t="n">
        <v>0</v>
      </c>
      <c r="N407" t="n">
        <v>0</v>
      </c>
      <c r="O407" t="n">
        <v>0</v>
      </c>
      <c r="P407" t="n">
        <v>0</v>
      </c>
      <c r="Q407" t="n">
        <v>0</v>
      </c>
      <c r="R407" s="2" t="inlineStr"/>
    </row>
    <row r="408" ht="15" customHeight="1">
      <c r="A408" t="inlineStr">
        <is>
          <t>A 63590-2021</t>
        </is>
      </c>
      <c r="B408" s="1" t="n">
        <v>44508</v>
      </c>
      <c r="C408" s="1" t="n">
        <v>46193</v>
      </c>
      <c r="D408" t="inlineStr">
        <is>
          <t>JÄMTLANDS LÄN</t>
        </is>
      </c>
      <c r="E408" t="inlineStr">
        <is>
          <t>BRÄCKE</t>
        </is>
      </c>
      <c r="G408" t="n">
        <v>9.1</v>
      </c>
      <c r="H408" t="n">
        <v>0</v>
      </c>
      <c r="I408" t="n">
        <v>0</v>
      </c>
      <c r="J408" t="n">
        <v>0</v>
      </c>
      <c r="K408" t="n">
        <v>0</v>
      </c>
      <c r="L408" t="n">
        <v>0</v>
      </c>
      <c r="M408" t="n">
        <v>0</v>
      </c>
      <c r="N408" t="n">
        <v>0</v>
      </c>
      <c r="O408" t="n">
        <v>0</v>
      </c>
      <c r="P408" t="n">
        <v>0</v>
      </c>
      <c r="Q408" t="n">
        <v>0</v>
      </c>
      <c r="R408" s="2" t="inlineStr"/>
    </row>
    <row r="409" ht="15" customHeight="1">
      <c r="A409" t="inlineStr">
        <is>
          <t>A 43421-2022</t>
        </is>
      </c>
      <c r="B409" s="1" t="n">
        <v>44834</v>
      </c>
      <c r="C409" s="1" t="n">
        <v>46193</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41474-2021</t>
        </is>
      </c>
      <c r="B410" s="1" t="n">
        <v>44424</v>
      </c>
      <c r="C410" s="1" t="n">
        <v>46193</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30810-2022</t>
        </is>
      </c>
      <c r="B411" s="1" t="n">
        <v>44764</v>
      </c>
      <c r="C411" s="1" t="n">
        <v>46193</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39702-2022</t>
        </is>
      </c>
      <c r="B412" s="1" t="n">
        <v>44818</v>
      </c>
      <c r="C412" s="1" t="n">
        <v>46193</v>
      </c>
      <c r="D412" t="inlineStr">
        <is>
          <t>JÄMTLANDS LÄN</t>
        </is>
      </c>
      <c r="E412" t="inlineStr">
        <is>
          <t>BRÄCKE</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37232-2022</t>
        </is>
      </c>
      <c r="B413" s="1" t="n">
        <v>44806</v>
      </c>
      <c r="C413" s="1" t="n">
        <v>46193</v>
      </c>
      <c r="D413" t="inlineStr">
        <is>
          <t>JÄMTLANDS LÄN</t>
        </is>
      </c>
      <c r="E413" t="inlineStr">
        <is>
          <t>BRÄCKE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63600-2021</t>
        </is>
      </c>
      <c r="B414" s="1" t="n">
        <v>44508</v>
      </c>
      <c r="C414" s="1" t="n">
        <v>46193</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48927-2022</t>
        </is>
      </c>
      <c r="B415" s="1" t="n">
        <v>44859</v>
      </c>
      <c r="C415" s="1" t="n">
        <v>46193</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49858-2022</t>
        </is>
      </c>
      <c r="B416" s="1" t="n">
        <v>44862</v>
      </c>
      <c r="C416" s="1" t="n">
        <v>46193</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41175-2022</t>
        </is>
      </c>
      <c r="B417" s="1" t="n">
        <v>44825</v>
      </c>
      <c r="C417" s="1" t="n">
        <v>46193</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51095-2021</t>
        </is>
      </c>
      <c r="B418" s="1" t="n">
        <v>44461</v>
      </c>
      <c r="C418" s="1" t="n">
        <v>46193</v>
      </c>
      <c r="D418" t="inlineStr">
        <is>
          <t>JÄMTLANDS LÄN</t>
        </is>
      </c>
      <c r="E418" t="inlineStr">
        <is>
          <t>BRÄCKE</t>
        </is>
      </c>
      <c r="G418" t="n">
        <v>0.8</v>
      </c>
      <c r="H418" t="n">
        <v>0</v>
      </c>
      <c r="I418" t="n">
        <v>0</v>
      </c>
      <c r="J418" t="n">
        <v>0</v>
      </c>
      <c r="K418" t="n">
        <v>0</v>
      </c>
      <c r="L418" t="n">
        <v>0</v>
      </c>
      <c r="M418" t="n">
        <v>0</v>
      </c>
      <c r="N418" t="n">
        <v>0</v>
      </c>
      <c r="O418" t="n">
        <v>0</v>
      </c>
      <c r="P418" t="n">
        <v>0</v>
      </c>
      <c r="Q418" t="n">
        <v>0</v>
      </c>
      <c r="R418" s="2" t="inlineStr"/>
    </row>
    <row r="419" ht="15" customHeight="1">
      <c r="A419" t="inlineStr">
        <is>
          <t>A 21722-2022</t>
        </is>
      </c>
      <c r="B419" s="1" t="n">
        <v>44706</v>
      </c>
      <c r="C419" s="1" t="n">
        <v>46193</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49838-2022</t>
        </is>
      </c>
      <c r="B420" s="1" t="n">
        <v>44862</v>
      </c>
      <c r="C420" s="1" t="n">
        <v>46193</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69155-2021</t>
        </is>
      </c>
      <c r="B421" s="1" t="n">
        <v>44530</v>
      </c>
      <c r="C421" s="1" t="n">
        <v>46193</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49839-2022</t>
        </is>
      </c>
      <c r="B422" s="1" t="n">
        <v>44862</v>
      </c>
      <c r="C422" s="1" t="n">
        <v>46193</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38593-2021</t>
        </is>
      </c>
      <c r="B423" s="1" t="n">
        <v>44407</v>
      </c>
      <c r="C423" s="1" t="n">
        <v>46193</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47256-2022</t>
        </is>
      </c>
      <c r="B424" s="1" t="n">
        <v>44852</v>
      </c>
      <c r="C424" s="1" t="n">
        <v>46193</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41182-2022</t>
        </is>
      </c>
      <c r="B425" s="1" t="n">
        <v>44825</v>
      </c>
      <c r="C425" s="1" t="n">
        <v>46193</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63534-2021</t>
        </is>
      </c>
      <c r="B426" s="1" t="n">
        <v>44508</v>
      </c>
      <c r="C426" s="1" t="n">
        <v>46193</v>
      </c>
      <c r="D426" t="inlineStr">
        <is>
          <t>JÄMTLANDS LÄN</t>
        </is>
      </c>
      <c r="E426" t="inlineStr">
        <is>
          <t>BRÄCKE</t>
        </is>
      </c>
      <c r="G426" t="n">
        <v>6.6</v>
      </c>
      <c r="H426" t="n">
        <v>0</v>
      </c>
      <c r="I426" t="n">
        <v>0</v>
      </c>
      <c r="J426" t="n">
        <v>0</v>
      </c>
      <c r="K426" t="n">
        <v>0</v>
      </c>
      <c r="L426" t="n">
        <v>0</v>
      </c>
      <c r="M426" t="n">
        <v>0</v>
      </c>
      <c r="N426" t="n">
        <v>0</v>
      </c>
      <c r="O426" t="n">
        <v>0</v>
      </c>
      <c r="P426" t="n">
        <v>0</v>
      </c>
      <c r="Q426" t="n">
        <v>0</v>
      </c>
      <c r="R426" s="2" t="inlineStr"/>
    </row>
    <row r="427" ht="15" customHeight="1">
      <c r="A427" t="inlineStr">
        <is>
          <t>A 43142-2022</t>
        </is>
      </c>
      <c r="B427" s="1" t="n">
        <v>44833</v>
      </c>
      <c r="C427" s="1" t="n">
        <v>46193</v>
      </c>
      <c r="D427" t="inlineStr">
        <is>
          <t>JÄMTLANDS LÄN</t>
        </is>
      </c>
      <c r="E427" t="inlineStr">
        <is>
          <t>BRÄCKE</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42806-2021</t>
        </is>
      </c>
      <c r="B428" s="1" t="n">
        <v>44428</v>
      </c>
      <c r="C428" s="1" t="n">
        <v>46193</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47183-2022</t>
        </is>
      </c>
      <c r="B429" s="1" t="n">
        <v>44851</v>
      </c>
      <c r="C429" s="1" t="n">
        <v>46193</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37234-2022</t>
        </is>
      </c>
      <c r="B430" s="1" t="n">
        <v>44806</v>
      </c>
      <c r="C430" s="1" t="n">
        <v>46193</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51957-2021</t>
        </is>
      </c>
      <c r="B431" s="1" t="n">
        <v>44462</v>
      </c>
      <c r="C431" s="1" t="n">
        <v>46193</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63995-2021</t>
        </is>
      </c>
      <c r="B432" s="1" t="n">
        <v>44509</v>
      </c>
      <c r="C432" s="1" t="n">
        <v>46193</v>
      </c>
      <c r="D432" t="inlineStr">
        <is>
          <t>JÄMTLANDS LÄN</t>
        </is>
      </c>
      <c r="E432" t="inlineStr">
        <is>
          <t>BRÄCKE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64002-2021</t>
        </is>
      </c>
      <c r="B433" s="1" t="n">
        <v>44509</v>
      </c>
      <c r="C433" s="1" t="n">
        <v>46193</v>
      </c>
      <c r="D433" t="inlineStr">
        <is>
          <t>JÄMTLANDS LÄN</t>
        </is>
      </c>
      <c r="E433" t="inlineStr">
        <is>
          <t>BRÄCKE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46193</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70812-2021</t>
        </is>
      </c>
      <c r="B435" s="1" t="n">
        <v>44537</v>
      </c>
      <c r="C435" s="1" t="n">
        <v>46193</v>
      </c>
      <c r="D435" t="inlineStr">
        <is>
          <t>JÄMTLANDS LÄN</t>
        </is>
      </c>
      <c r="E435" t="inlineStr">
        <is>
          <t>BRÄCKE</t>
        </is>
      </c>
      <c r="G435" t="n">
        <v>3.4</v>
      </c>
      <c r="H435" t="n">
        <v>0</v>
      </c>
      <c r="I435" t="n">
        <v>0</v>
      </c>
      <c r="J435" t="n">
        <v>0</v>
      </c>
      <c r="K435" t="n">
        <v>0</v>
      </c>
      <c r="L435" t="n">
        <v>0</v>
      </c>
      <c r="M435" t="n">
        <v>0</v>
      </c>
      <c r="N435" t="n">
        <v>0</v>
      </c>
      <c r="O435" t="n">
        <v>0</v>
      </c>
      <c r="P435" t="n">
        <v>0</v>
      </c>
      <c r="Q435" t="n">
        <v>0</v>
      </c>
      <c r="R435" s="2" t="inlineStr"/>
    </row>
    <row r="436" ht="15" customHeight="1">
      <c r="A436" t="inlineStr">
        <is>
          <t>A 70813-2021</t>
        </is>
      </c>
      <c r="B436" s="1" t="n">
        <v>44537</v>
      </c>
      <c r="C436" s="1" t="n">
        <v>46193</v>
      </c>
      <c r="D436" t="inlineStr">
        <is>
          <t>JÄMTLANDS LÄN</t>
        </is>
      </c>
      <c r="E436" t="inlineStr">
        <is>
          <t>BRÄCKE</t>
        </is>
      </c>
      <c r="G436" t="n">
        <v>5.2</v>
      </c>
      <c r="H436" t="n">
        <v>0</v>
      </c>
      <c r="I436" t="n">
        <v>0</v>
      </c>
      <c r="J436" t="n">
        <v>0</v>
      </c>
      <c r="K436" t="n">
        <v>0</v>
      </c>
      <c r="L436" t="n">
        <v>0</v>
      </c>
      <c r="M436" t="n">
        <v>0</v>
      </c>
      <c r="N436" t="n">
        <v>0</v>
      </c>
      <c r="O436" t="n">
        <v>0</v>
      </c>
      <c r="P436" t="n">
        <v>0</v>
      </c>
      <c r="Q436" t="n">
        <v>0</v>
      </c>
      <c r="R436" s="2" t="inlineStr"/>
    </row>
    <row r="437" ht="15" customHeight="1">
      <c r="A437" t="inlineStr">
        <is>
          <t>A 56114-2021</t>
        </is>
      </c>
      <c r="B437" s="1" t="n">
        <v>44477</v>
      </c>
      <c r="C437" s="1" t="n">
        <v>46193</v>
      </c>
      <c r="D437" t="inlineStr">
        <is>
          <t>JÄMTLANDS LÄN</t>
        </is>
      </c>
      <c r="E437" t="inlineStr">
        <is>
          <t>BRÄCKE</t>
        </is>
      </c>
      <c r="G437" t="n">
        <v>12.7</v>
      </c>
      <c r="H437" t="n">
        <v>0</v>
      </c>
      <c r="I437" t="n">
        <v>0</v>
      </c>
      <c r="J437" t="n">
        <v>0</v>
      </c>
      <c r="K437" t="n">
        <v>0</v>
      </c>
      <c r="L437" t="n">
        <v>0</v>
      </c>
      <c r="M437" t="n">
        <v>0</v>
      </c>
      <c r="N437" t="n">
        <v>0</v>
      </c>
      <c r="O437" t="n">
        <v>0</v>
      </c>
      <c r="P437" t="n">
        <v>0</v>
      </c>
      <c r="Q437" t="n">
        <v>0</v>
      </c>
      <c r="R437" s="2" t="inlineStr"/>
    </row>
    <row r="438" ht="15" customHeight="1">
      <c r="A438" t="inlineStr">
        <is>
          <t>A 40481-2021</t>
        </is>
      </c>
      <c r="B438" s="1" t="n">
        <v>44419</v>
      </c>
      <c r="C438" s="1" t="n">
        <v>46193</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48555-2022</t>
        </is>
      </c>
      <c r="B439" s="1" t="n">
        <v>44859</v>
      </c>
      <c r="C439" s="1" t="n">
        <v>46193</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51020-2022</t>
        </is>
      </c>
      <c r="B440" s="1" t="n">
        <v>44867</v>
      </c>
      <c r="C440" s="1" t="n">
        <v>46193</v>
      </c>
      <c r="D440" t="inlineStr">
        <is>
          <t>JÄMTLANDS LÄN</t>
        </is>
      </c>
      <c r="E440" t="inlineStr">
        <is>
          <t>BRÄCKE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37032-2022</t>
        </is>
      </c>
      <c r="B441" s="1" t="n">
        <v>44806</v>
      </c>
      <c r="C441" s="1" t="n">
        <v>46193</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62954-2021</t>
        </is>
      </c>
      <c r="B442" s="1" t="n">
        <v>44504</v>
      </c>
      <c r="C442" s="1" t="n">
        <v>46193</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46193</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31980-2022</t>
        </is>
      </c>
      <c r="B444" s="1" t="n">
        <v>44777</v>
      </c>
      <c r="C444" s="1" t="n">
        <v>46193</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22702-2022</t>
        </is>
      </c>
      <c r="B445" s="1" t="n">
        <v>44714</v>
      </c>
      <c r="C445" s="1" t="n">
        <v>46193</v>
      </c>
      <c r="D445" t="inlineStr">
        <is>
          <t>JÄMTLANDS LÄN</t>
        </is>
      </c>
      <c r="E445" t="inlineStr">
        <is>
          <t>BRÄCKE</t>
        </is>
      </c>
      <c r="G445" t="n">
        <v>4.6</v>
      </c>
      <c r="H445" t="n">
        <v>0</v>
      </c>
      <c r="I445" t="n">
        <v>0</v>
      </c>
      <c r="J445" t="n">
        <v>0</v>
      </c>
      <c r="K445" t="n">
        <v>0</v>
      </c>
      <c r="L445" t="n">
        <v>0</v>
      </c>
      <c r="M445" t="n">
        <v>0</v>
      </c>
      <c r="N445" t="n">
        <v>0</v>
      </c>
      <c r="O445" t="n">
        <v>0</v>
      </c>
      <c r="P445" t="n">
        <v>0</v>
      </c>
      <c r="Q445" t="n">
        <v>0</v>
      </c>
      <c r="R445" s="2" t="inlineStr"/>
    </row>
    <row r="446" ht="15" customHeight="1">
      <c r="A446" t="inlineStr">
        <is>
          <t>A 68901-2021</t>
        </is>
      </c>
      <c r="B446" s="1" t="n">
        <v>44526</v>
      </c>
      <c r="C446" s="1" t="n">
        <v>46193</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38424-2021</t>
        </is>
      </c>
      <c r="B447" s="1" t="n">
        <v>44406</v>
      </c>
      <c r="C447" s="1" t="n">
        <v>46193</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55900-2022</t>
        </is>
      </c>
      <c r="B448" s="1" t="n">
        <v>44888</v>
      </c>
      <c r="C448" s="1" t="n">
        <v>46193</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46193</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46193</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21654-2022</t>
        </is>
      </c>
      <c r="B451" s="1" t="n">
        <v>44706</v>
      </c>
      <c r="C451" s="1" t="n">
        <v>46193</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21656-2022</t>
        </is>
      </c>
      <c r="B452" s="1" t="n">
        <v>44706</v>
      </c>
      <c r="C452" s="1" t="n">
        <v>46193</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26750-2022</t>
        </is>
      </c>
      <c r="B453" s="1" t="n">
        <v>44739</v>
      </c>
      <c r="C453" s="1" t="n">
        <v>46193</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26139-2022</t>
        </is>
      </c>
      <c r="B454" s="1" t="n">
        <v>44734</v>
      </c>
      <c r="C454" s="1" t="n">
        <v>46193</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66285-2021</t>
        </is>
      </c>
      <c r="B455" s="1" t="n">
        <v>44518</v>
      </c>
      <c r="C455" s="1" t="n">
        <v>46193</v>
      </c>
      <c r="D455" t="inlineStr">
        <is>
          <t>JÄMTLANDS LÄN</t>
        </is>
      </c>
      <c r="E455" t="inlineStr">
        <is>
          <t>BRÄCKE</t>
        </is>
      </c>
      <c r="G455" t="n">
        <v>11.9</v>
      </c>
      <c r="H455" t="n">
        <v>0</v>
      </c>
      <c r="I455" t="n">
        <v>0</v>
      </c>
      <c r="J455" t="n">
        <v>0</v>
      </c>
      <c r="K455" t="n">
        <v>0</v>
      </c>
      <c r="L455" t="n">
        <v>0</v>
      </c>
      <c r="M455" t="n">
        <v>0</v>
      </c>
      <c r="N455" t="n">
        <v>0</v>
      </c>
      <c r="O455" t="n">
        <v>0</v>
      </c>
      <c r="P455" t="n">
        <v>0</v>
      </c>
      <c r="Q455" t="n">
        <v>0</v>
      </c>
      <c r="R455" s="2" t="inlineStr"/>
    </row>
    <row r="456" ht="15" customHeight="1">
      <c r="A456" t="inlineStr">
        <is>
          <t>A 19810-2022</t>
        </is>
      </c>
      <c r="B456" s="1" t="n">
        <v>44694</v>
      </c>
      <c r="C456" s="1" t="n">
        <v>46193</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62953-2021</t>
        </is>
      </c>
      <c r="B457" s="1" t="n">
        <v>44504</v>
      </c>
      <c r="C457" s="1" t="n">
        <v>46193</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31978-2022</t>
        </is>
      </c>
      <c r="B458" s="1" t="n">
        <v>44777</v>
      </c>
      <c r="C458" s="1" t="n">
        <v>46193</v>
      </c>
      <c r="D458" t="inlineStr">
        <is>
          <t>JÄMTLANDS LÄN</t>
        </is>
      </c>
      <c r="E458" t="inlineStr">
        <is>
          <t>BRÄCKE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32964-2022</t>
        </is>
      </c>
      <c r="B459" s="1" t="n">
        <v>44784</v>
      </c>
      <c r="C459" s="1" t="n">
        <v>46193</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17738-2022</t>
        </is>
      </c>
      <c r="B460" s="1" t="n">
        <v>44680</v>
      </c>
      <c r="C460" s="1" t="n">
        <v>46193</v>
      </c>
      <c r="D460" t="inlineStr">
        <is>
          <t>JÄMTLANDS LÄN</t>
        </is>
      </c>
      <c r="E460" t="inlineStr">
        <is>
          <t>BRÄCKE</t>
        </is>
      </c>
      <c r="F460" t="inlineStr">
        <is>
          <t>SCA</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41817-2022</t>
        </is>
      </c>
      <c r="B461" s="1" t="n">
        <v>44827</v>
      </c>
      <c r="C461" s="1" t="n">
        <v>46193</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58269-2021</t>
        </is>
      </c>
      <c r="B462" s="1" t="n">
        <v>44487</v>
      </c>
      <c r="C462" s="1" t="n">
        <v>46193</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58272-2021</t>
        </is>
      </c>
      <c r="B463" s="1" t="n">
        <v>44487</v>
      </c>
      <c r="C463" s="1" t="n">
        <v>46193</v>
      </c>
      <c r="D463" t="inlineStr">
        <is>
          <t>JÄMTLANDS LÄN</t>
        </is>
      </c>
      <c r="E463" t="inlineStr">
        <is>
          <t>BRÄCKE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40775-2023</t>
        </is>
      </c>
      <c r="B464" s="1" t="n">
        <v>45170</v>
      </c>
      <c r="C464" s="1" t="n">
        <v>46193</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47559-2021</t>
        </is>
      </c>
      <c r="B465" s="1" t="n">
        <v>44447</v>
      </c>
      <c r="C465" s="1" t="n">
        <v>46193</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54567-2022</t>
        </is>
      </c>
      <c r="B466" s="1" t="n">
        <v>44882</v>
      </c>
      <c r="C466" s="1" t="n">
        <v>46193</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53662-2022</t>
        </is>
      </c>
      <c r="B467" s="1" t="n">
        <v>44879</v>
      </c>
      <c r="C467" s="1" t="n">
        <v>46193</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8865-2023</t>
        </is>
      </c>
      <c r="B468" s="1" t="n">
        <v>44978</v>
      </c>
      <c r="C468" s="1" t="n">
        <v>46193</v>
      </c>
      <c r="D468" t="inlineStr">
        <is>
          <t>JÄMTLANDS LÄN</t>
        </is>
      </c>
      <c r="E468" t="inlineStr">
        <is>
          <t>BRÄCKE</t>
        </is>
      </c>
      <c r="G468" t="n">
        <v>2.9</v>
      </c>
      <c r="H468" t="n">
        <v>0</v>
      </c>
      <c r="I468" t="n">
        <v>0</v>
      </c>
      <c r="J468" t="n">
        <v>0</v>
      </c>
      <c r="K468" t="n">
        <v>0</v>
      </c>
      <c r="L468" t="n">
        <v>0</v>
      </c>
      <c r="M468" t="n">
        <v>0</v>
      </c>
      <c r="N468" t="n">
        <v>0</v>
      </c>
      <c r="O468" t="n">
        <v>0</v>
      </c>
      <c r="P468" t="n">
        <v>0</v>
      </c>
      <c r="Q468" t="n">
        <v>0</v>
      </c>
      <c r="R468" s="2" t="inlineStr"/>
    </row>
    <row r="469" ht="15" customHeight="1">
      <c r="A469" t="inlineStr">
        <is>
          <t>A 29130-2024</t>
        </is>
      </c>
      <c r="B469" s="1" t="n">
        <v>45482</v>
      </c>
      <c r="C469" s="1" t="n">
        <v>46193</v>
      </c>
      <c r="D469" t="inlineStr">
        <is>
          <t>JÄMTLANDS LÄN</t>
        </is>
      </c>
      <c r="E469" t="inlineStr">
        <is>
          <t>BRÄCKE</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12036-2023</t>
        </is>
      </c>
      <c r="B470" s="1" t="n">
        <v>44995</v>
      </c>
      <c r="C470" s="1" t="n">
        <v>46193</v>
      </c>
      <c r="D470" t="inlineStr">
        <is>
          <t>JÄMTLANDS LÄN</t>
        </is>
      </c>
      <c r="E470" t="inlineStr">
        <is>
          <t>BRÄCKE</t>
        </is>
      </c>
      <c r="G470" t="n">
        <v>16.3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46193</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45304-2022</t>
        </is>
      </c>
      <c r="B472" s="1" t="n">
        <v>44841</v>
      </c>
      <c r="C472" s="1" t="n">
        <v>46193</v>
      </c>
      <c r="D472" t="inlineStr">
        <is>
          <t>JÄMTLANDS LÄN</t>
        </is>
      </c>
      <c r="E472" t="inlineStr">
        <is>
          <t>BRÄCKE</t>
        </is>
      </c>
      <c r="G472" t="n">
        <v>3.8</v>
      </c>
      <c r="H472" t="n">
        <v>0</v>
      </c>
      <c r="I472" t="n">
        <v>0</v>
      </c>
      <c r="J472" t="n">
        <v>0</v>
      </c>
      <c r="K472" t="n">
        <v>0</v>
      </c>
      <c r="L472" t="n">
        <v>0</v>
      </c>
      <c r="M472" t="n">
        <v>0</v>
      </c>
      <c r="N472" t="n">
        <v>0</v>
      </c>
      <c r="O472" t="n">
        <v>0</v>
      </c>
      <c r="P472" t="n">
        <v>0</v>
      </c>
      <c r="Q472" t="n">
        <v>0</v>
      </c>
      <c r="R472" s="2" t="inlineStr"/>
    </row>
    <row r="473" ht="15" customHeight="1">
      <c r="A473" t="inlineStr">
        <is>
          <t>A 46860-2023</t>
        </is>
      </c>
      <c r="B473" s="1" t="n">
        <v>45200</v>
      </c>
      <c r="C473" s="1" t="n">
        <v>46193</v>
      </c>
      <c r="D473" t="inlineStr">
        <is>
          <t>JÄMTLANDS LÄN</t>
        </is>
      </c>
      <c r="E473" t="inlineStr">
        <is>
          <t>BRÄCKE</t>
        </is>
      </c>
      <c r="G473" t="n">
        <v>1.3</v>
      </c>
      <c r="H473" t="n">
        <v>0</v>
      </c>
      <c r="I473" t="n">
        <v>0</v>
      </c>
      <c r="J473" t="n">
        <v>0</v>
      </c>
      <c r="K473" t="n">
        <v>0</v>
      </c>
      <c r="L473" t="n">
        <v>0</v>
      </c>
      <c r="M473" t="n">
        <v>0</v>
      </c>
      <c r="N473" t="n">
        <v>0</v>
      </c>
      <c r="O473" t="n">
        <v>0</v>
      </c>
      <c r="P473" t="n">
        <v>0</v>
      </c>
      <c r="Q473" t="n">
        <v>0</v>
      </c>
      <c r="R473" s="2" t="inlineStr"/>
    </row>
    <row r="474" ht="15" customHeight="1">
      <c r="A474" t="inlineStr">
        <is>
          <t>A 51559-2022</t>
        </is>
      </c>
      <c r="B474" s="1" t="n">
        <v>44869</v>
      </c>
      <c r="C474" s="1" t="n">
        <v>46193</v>
      </c>
      <c r="D474" t="inlineStr">
        <is>
          <t>JÄMTLANDS LÄN</t>
        </is>
      </c>
      <c r="E474" t="inlineStr">
        <is>
          <t>BRÄCKE</t>
        </is>
      </c>
      <c r="F474" t="inlineStr">
        <is>
          <t>SCA</t>
        </is>
      </c>
      <c r="G474" t="n">
        <v>21.1</v>
      </c>
      <c r="H474" t="n">
        <v>0</v>
      </c>
      <c r="I474" t="n">
        <v>0</v>
      </c>
      <c r="J474" t="n">
        <v>0</v>
      </c>
      <c r="K474" t="n">
        <v>0</v>
      </c>
      <c r="L474" t="n">
        <v>0</v>
      </c>
      <c r="M474" t="n">
        <v>0</v>
      </c>
      <c r="N474" t="n">
        <v>0</v>
      </c>
      <c r="O474" t="n">
        <v>0</v>
      </c>
      <c r="P474" t="n">
        <v>0</v>
      </c>
      <c r="Q474" t="n">
        <v>0</v>
      </c>
      <c r="R474" s="2" t="inlineStr"/>
    </row>
    <row r="475" ht="15" customHeight="1">
      <c r="A475" t="inlineStr">
        <is>
          <t>A 46024-2022</t>
        </is>
      </c>
      <c r="B475" s="1" t="n">
        <v>44846</v>
      </c>
      <c r="C475" s="1" t="n">
        <v>46193</v>
      </c>
      <c r="D475" t="inlineStr">
        <is>
          <t>JÄMTLANDS LÄN</t>
        </is>
      </c>
      <c r="E475" t="inlineStr">
        <is>
          <t>BRÄCKE</t>
        </is>
      </c>
      <c r="G475" t="n">
        <v>3</v>
      </c>
      <c r="H475" t="n">
        <v>0</v>
      </c>
      <c r="I475" t="n">
        <v>0</v>
      </c>
      <c r="J475" t="n">
        <v>0</v>
      </c>
      <c r="K475" t="n">
        <v>0</v>
      </c>
      <c r="L475" t="n">
        <v>0</v>
      </c>
      <c r="M475" t="n">
        <v>0</v>
      </c>
      <c r="N475" t="n">
        <v>0</v>
      </c>
      <c r="O475" t="n">
        <v>0</v>
      </c>
      <c r="P475" t="n">
        <v>0</v>
      </c>
      <c r="Q475" t="n">
        <v>0</v>
      </c>
      <c r="R475" s="2" t="inlineStr"/>
    </row>
    <row r="476" ht="15" customHeight="1">
      <c r="A476" t="inlineStr">
        <is>
          <t>A 56221-2021</t>
        </is>
      </c>
      <c r="B476" s="1" t="n">
        <v>44477</v>
      </c>
      <c r="C476" s="1" t="n">
        <v>46193</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21183-2023</t>
        </is>
      </c>
      <c r="B477" s="1" t="n">
        <v>45058</v>
      </c>
      <c r="C477" s="1" t="n">
        <v>46193</v>
      </c>
      <c r="D477" t="inlineStr">
        <is>
          <t>JÄMTLANDS LÄN</t>
        </is>
      </c>
      <c r="E477" t="inlineStr">
        <is>
          <t>BRÄCKE</t>
        </is>
      </c>
      <c r="G477" t="n">
        <v>1.5</v>
      </c>
      <c r="H477" t="n">
        <v>0</v>
      </c>
      <c r="I477" t="n">
        <v>0</v>
      </c>
      <c r="J477" t="n">
        <v>0</v>
      </c>
      <c r="K477" t="n">
        <v>0</v>
      </c>
      <c r="L477" t="n">
        <v>0</v>
      </c>
      <c r="M477" t="n">
        <v>0</v>
      </c>
      <c r="N477" t="n">
        <v>0</v>
      </c>
      <c r="O477" t="n">
        <v>0</v>
      </c>
      <c r="P477" t="n">
        <v>0</v>
      </c>
      <c r="Q477" t="n">
        <v>0</v>
      </c>
      <c r="R477" s="2" t="inlineStr"/>
    </row>
    <row r="478" ht="15" customHeight="1">
      <c r="A478" t="inlineStr">
        <is>
          <t>A 73102-2021</t>
        </is>
      </c>
      <c r="B478" s="1" t="n">
        <v>44550</v>
      </c>
      <c r="C478" s="1" t="n">
        <v>46193</v>
      </c>
      <c r="D478" t="inlineStr">
        <is>
          <t>JÄMTLANDS LÄN</t>
        </is>
      </c>
      <c r="E478" t="inlineStr">
        <is>
          <t>BRÄCKE</t>
        </is>
      </c>
      <c r="F478" t="inlineStr">
        <is>
          <t>Sveaskog</t>
        </is>
      </c>
      <c r="G478" t="n">
        <v>6.5</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46193</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10763-2023</t>
        </is>
      </c>
      <c r="B480" s="1" t="n">
        <v>44988</v>
      </c>
      <c r="C480" s="1" t="n">
        <v>46193</v>
      </c>
      <c r="D480" t="inlineStr">
        <is>
          <t>JÄMTLANDS LÄN</t>
        </is>
      </c>
      <c r="E480" t="inlineStr">
        <is>
          <t>BRÄCKE</t>
        </is>
      </c>
      <c r="G480" t="n">
        <v>1.8</v>
      </c>
      <c r="H480" t="n">
        <v>0</v>
      </c>
      <c r="I480" t="n">
        <v>0</v>
      </c>
      <c r="J480" t="n">
        <v>0</v>
      </c>
      <c r="K480" t="n">
        <v>0</v>
      </c>
      <c r="L480" t="n">
        <v>0</v>
      </c>
      <c r="M480" t="n">
        <v>0</v>
      </c>
      <c r="N480" t="n">
        <v>0</v>
      </c>
      <c r="O480" t="n">
        <v>0</v>
      </c>
      <c r="P480" t="n">
        <v>0</v>
      </c>
      <c r="Q480" t="n">
        <v>0</v>
      </c>
      <c r="R480" s="2" t="inlineStr"/>
    </row>
    <row r="481" ht="15" customHeight="1">
      <c r="A481" t="inlineStr">
        <is>
          <t>A 36312-2024</t>
        </is>
      </c>
      <c r="B481" s="1" t="n">
        <v>45534</v>
      </c>
      <c r="C481" s="1" t="n">
        <v>46193</v>
      </c>
      <c r="D481" t="inlineStr">
        <is>
          <t>JÄMTLANDS LÄN</t>
        </is>
      </c>
      <c r="E481" t="inlineStr">
        <is>
          <t>BRÄCKE</t>
        </is>
      </c>
      <c r="F481" t="inlineStr">
        <is>
          <t>SCA</t>
        </is>
      </c>
      <c r="G481" t="n">
        <v>9.9</v>
      </c>
      <c r="H481" t="n">
        <v>0</v>
      </c>
      <c r="I481" t="n">
        <v>0</v>
      </c>
      <c r="J481" t="n">
        <v>0</v>
      </c>
      <c r="K481" t="n">
        <v>0</v>
      </c>
      <c r="L481" t="n">
        <v>0</v>
      </c>
      <c r="M481" t="n">
        <v>0</v>
      </c>
      <c r="N481" t="n">
        <v>0</v>
      </c>
      <c r="O481" t="n">
        <v>0</v>
      </c>
      <c r="P481" t="n">
        <v>0</v>
      </c>
      <c r="Q481" t="n">
        <v>0</v>
      </c>
      <c r="R481" s="2" t="inlineStr"/>
    </row>
    <row r="482" ht="15" customHeight="1">
      <c r="A482" t="inlineStr">
        <is>
          <t>A 18221-2022</t>
        </is>
      </c>
      <c r="B482" s="1" t="n">
        <v>44685</v>
      </c>
      <c r="C482" s="1" t="n">
        <v>46193</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61662-2022</t>
        </is>
      </c>
      <c r="B483" s="1" t="n">
        <v>44916</v>
      </c>
      <c r="C483" s="1" t="n">
        <v>46193</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52846-2022</t>
        </is>
      </c>
      <c r="B484" s="1" t="n">
        <v>44875</v>
      </c>
      <c r="C484" s="1" t="n">
        <v>46193</v>
      </c>
      <c r="D484" t="inlineStr">
        <is>
          <t>JÄMTLANDS LÄN</t>
        </is>
      </c>
      <c r="E484" t="inlineStr">
        <is>
          <t>BRÄCKE</t>
        </is>
      </c>
      <c r="F484" t="inlineStr">
        <is>
          <t>Övriga Aktiebolag</t>
        </is>
      </c>
      <c r="G484" t="n">
        <v>13.1</v>
      </c>
      <c r="H484" t="n">
        <v>0</v>
      </c>
      <c r="I484" t="n">
        <v>0</v>
      </c>
      <c r="J484" t="n">
        <v>0</v>
      </c>
      <c r="K484" t="n">
        <v>0</v>
      </c>
      <c r="L484" t="n">
        <v>0</v>
      </c>
      <c r="M484" t="n">
        <v>0</v>
      </c>
      <c r="N484" t="n">
        <v>0</v>
      </c>
      <c r="O484" t="n">
        <v>0</v>
      </c>
      <c r="P484" t="n">
        <v>0</v>
      </c>
      <c r="Q484" t="n">
        <v>0</v>
      </c>
      <c r="R484" s="2" t="inlineStr"/>
    </row>
    <row r="485" ht="15" customHeight="1">
      <c r="A485" t="inlineStr">
        <is>
          <t>A 60178-2022</t>
        </is>
      </c>
      <c r="B485" s="1" t="n">
        <v>44909</v>
      </c>
      <c r="C485" s="1" t="n">
        <v>46193</v>
      </c>
      <c r="D485" t="inlineStr">
        <is>
          <t>JÄMTLANDS LÄN</t>
        </is>
      </c>
      <c r="E485" t="inlineStr">
        <is>
          <t>BRÄCKE</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25674-2023</t>
        </is>
      </c>
      <c r="B486" s="1" t="n">
        <v>45089</v>
      </c>
      <c r="C486" s="1" t="n">
        <v>46193</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17905-2025</t>
        </is>
      </c>
      <c r="B487" s="1" t="n">
        <v>45758</v>
      </c>
      <c r="C487" s="1" t="n">
        <v>46193</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56656-2022</t>
        </is>
      </c>
      <c r="B488" s="1" t="n">
        <v>44893</v>
      </c>
      <c r="C488" s="1" t="n">
        <v>46193</v>
      </c>
      <c r="D488" t="inlineStr">
        <is>
          <t>JÄMTLANDS LÄN</t>
        </is>
      </c>
      <c r="E488" t="inlineStr">
        <is>
          <t>BRÄCKE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52021-2022</t>
        </is>
      </c>
      <c r="B489" s="1" t="n">
        <v>44872</v>
      </c>
      <c r="C489" s="1" t="n">
        <v>46193</v>
      </c>
      <c r="D489" t="inlineStr">
        <is>
          <t>JÄMTLANDS LÄN</t>
        </is>
      </c>
      <c r="E489" t="inlineStr">
        <is>
          <t>BRÄCKE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38336-2024</t>
        </is>
      </c>
      <c r="B490" s="1" t="n">
        <v>45545</v>
      </c>
      <c r="C490" s="1" t="n">
        <v>46193</v>
      </c>
      <c r="D490" t="inlineStr">
        <is>
          <t>JÄMTLANDS LÄN</t>
        </is>
      </c>
      <c r="E490" t="inlineStr">
        <is>
          <t>BRÄCKE</t>
        </is>
      </c>
      <c r="G490" t="n">
        <v>1.2</v>
      </c>
      <c r="H490" t="n">
        <v>0</v>
      </c>
      <c r="I490" t="n">
        <v>0</v>
      </c>
      <c r="J490" t="n">
        <v>0</v>
      </c>
      <c r="K490" t="n">
        <v>0</v>
      </c>
      <c r="L490" t="n">
        <v>0</v>
      </c>
      <c r="M490" t="n">
        <v>0</v>
      </c>
      <c r="N490" t="n">
        <v>0</v>
      </c>
      <c r="O490" t="n">
        <v>0</v>
      </c>
      <c r="P490" t="n">
        <v>0</v>
      </c>
      <c r="Q490" t="n">
        <v>0</v>
      </c>
      <c r="R490" s="2" t="inlineStr"/>
    </row>
    <row r="491" ht="15" customHeight="1">
      <c r="A491" t="inlineStr">
        <is>
          <t>A 49646-2023</t>
        </is>
      </c>
      <c r="B491" s="1" t="n">
        <v>45211</v>
      </c>
      <c r="C491" s="1" t="n">
        <v>46193</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10536-2022</t>
        </is>
      </c>
      <c r="B492" s="1" t="n">
        <v>44623</v>
      </c>
      <c r="C492" s="1" t="n">
        <v>46193</v>
      </c>
      <c r="D492" t="inlineStr">
        <is>
          <t>JÄMTLANDS LÄN</t>
        </is>
      </c>
      <c r="E492" t="inlineStr">
        <is>
          <t>BRÄCKE</t>
        </is>
      </c>
      <c r="G492" t="n">
        <v>3.1</v>
      </c>
      <c r="H492" t="n">
        <v>0</v>
      </c>
      <c r="I492" t="n">
        <v>0</v>
      </c>
      <c r="J492" t="n">
        <v>0</v>
      </c>
      <c r="K492" t="n">
        <v>0</v>
      </c>
      <c r="L492" t="n">
        <v>0</v>
      </c>
      <c r="M492" t="n">
        <v>0</v>
      </c>
      <c r="N492" t="n">
        <v>0</v>
      </c>
      <c r="O492" t="n">
        <v>0</v>
      </c>
      <c r="P492" t="n">
        <v>0</v>
      </c>
      <c r="Q492" t="n">
        <v>0</v>
      </c>
      <c r="R492" s="2" t="inlineStr"/>
    </row>
    <row r="493" ht="15" customHeight="1">
      <c r="A493" t="inlineStr">
        <is>
          <t>A 20667-2022</t>
        </is>
      </c>
      <c r="B493" s="1" t="n">
        <v>44700</v>
      </c>
      <c r="C493" s="1" t="n">
        <v>46193</v>
      </c>
      <c r="D493" t="inlineStr">
        <is>
          <t>JÄMTLANDS LÄN</t>
        </is>
      </c>
      <c r="E493" t="inlineStr">
        <is>
          <t>BRÄCKE</t>
        </is>
      </c>
      <c r="G493" t="n">
        <v>13.8</v>
      </c>
      <c r="H493" t="n">
        <v>0</v>
      </c>
      <c r="I493" t="n">
        <v>0</v>
      </c>
      <c r="J493" t="n">
        <v>0</v>
      </c>
      <c r="K493" t="n">
        <v>0</v>
      </c>
      <c r="L493" t="n">
        <v>0</v>
      </c>
      <c r="M493" t="n">
        <v>0</v>
      </c>
      <c r="N493" t="n">
        <v>0</v>
      </c>
      <c r="O493" t="n">
        <v>0</v>
      </c>
      <c r="P493" t="n">
        <v>0</v>
      </c>
      <c r="Q493" t="n">
        <v>0</v>
      </c>
      <c r="R493" s="2" t="inlineStr"/>
    </row>
    <row r="494" ht="15" customHeight="1">
      <c r="A494" t="inlineStr">
        <is>
          <t>A 54571-2021</t>
        </is>
      </c>
      <c r="B494" s="1" t="n">
        <v>44473</v>
      </c>
      <c r="C494" s="1" t="n">
        <v>46193</v>
      </c>
      <c r="D494" t="inlineStr">
        <is>
          <t>JÄMTLANDS LÄN</t>
        </is>
      </c>
      <c r="E494" t="inlineStr">
        <is>
          <t>BRÄCKE</t>
        </is>
      </c>
      <c r="G494" t="n">
        <v>3</v>
      </c>
      <c r="H494" t="n">
        <v>0</v>
      </c>
      <c r="I494" t="n">
        <v>0</v>
      </c>
      <c r="J494" t="n">
        <v>0</v>
      </c>
      <c r="K494" t="n">
        <v>0</v>
      </c>
      <c r="L494" t="n">
        <v>0</v>
      </c>
      <c r="M494" t="n">
        <v>0</v>
      </c>
      <c r="N494" t="n">
        <v>0</v>
      </c>
      <c r="O494" t="n">
        <v>0</v>
      </c>
      <c r="P494" t="n">
        <v>0</v>
      </c>
      <c r="Q494" t="n">
        <v>0</v>
      </c>
      <c r="R494" s="2" t="inlineStr"/>
    </row>
    <row r="495" ht="15" customHeight="1">
      <c r="A495" t="inlineStr">
        <is>
          <t>A 56896-2021</t>
        </is>
      </c>
      <c r="B495" s="1" t="n">
        <v>44481</v>
      </c>
      <c r="C495" s="1" t="n">
        <v>46193</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27799-2024</t>
        </is>
      </c>
      <c r="B496" s="1" t="n">
        <v>45475</v>
      </c>
      <c r="C496" s="1" t="n">
        <v>46193</v>
      </c>
      <c r="D496" t="inlineStr">
        <is>
          <t>JÄMTLANDS LÄN</t>
        </is>
      </c>
      <c r="E496" t="inlineStr">
        <is>
          <t>BRÄCKE</t>
        </is>
      </c>
      <c r="G496" t="n">
        <v>3.6</v>
      </c>
      <c r="H496" t="n">
        <v>0</v>
      </c>
      <c r="I496" t="n">
        <v>0</v>
      </c>
      <c r="J496" t="n">
        <v>0</v>
      </c>
      <c r="K496" t="n">
        <v>0</v>
      </c>
      <c r="L496" t="n">
        <v>0</v>
      </c>
      <c r="M496" t="n">
        <v>0</v>
      </c>
      <c r="N496" t="n">
        <v>0</v>
      </c>
      <c r="O496" t="n">
        <v>0</v>
      </c>
      <c r="P496" t="n">
        <v>0</v>
      </c>
      <c r="Q496" t="n">
        <v>0</v>
      </c>
      <c r="R496" s="2" t="inlineStr"/>
    </row>
    <row r="497" ht="15" customHeight="1">
      <c r="A497" t="inlineStr">
        <is>
          <t>A 46602-2022</t>
        </is>
      </c>
      <c r="B497" s="1" t="n">
        <v>44848</v>
      </c>
      <c r="C497" s="1" t="n">
        <v>46193</v>
      </c>
      <c r="D497" t="inlineStr">
        <is>
          <t>JÄMTLANDS LÄN</t>
        </is>
      </c>
      <c r="E497" t="inlineStr">
        <is>
          <t>BRÄCKE</t>
        </is>
      </c>
      <c r="G497" t="n">
        <v>1.6</v>
      </c>
      <c r="H497" t="n">
        <v>0</v>
      </c>
      <c r="I497" t="n">
        <v>0</v>
      </c>
      <c r="J497" t="n">
        <v>0</v>
      </c>
      <c r="K497" t="n">
        <v>0</v>
      </c>
      <c r="L497" t="n">
        <v>0</v>
      </c>
      <c r="M497" t="n">
        <v>0</v>
      </c>
      <c r="N497" t="n">
        <v>0</v>
      </c>
      <c r="O497" t="n">
        <v>0</v>
      </c>
      <c r="P497" t="n">
        <v>0</v>
      </c>
      <c r="Q497" t="n">
        <v>0</v>
      </c>
      <c r="R497" s="2" t="inlineStr"/>
    </row>
    <row r="498" ht="15" customHeight="1">
      <c r="A498" t="inlineStr">
        <is>
          <t>A 19584-2024</t>
        </is>
      </c>
      <c r="B498" s="1" t="n">
        <v>45429</v>
      </c>
      <c r="C498" s="1" t="n">
        <v>46193</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28796-2023</t>
        </is>
      </c>
      <c r="B499" s="1" t="n">
        <v>45096</v>
      </c>
      <c r="C499" s="1" t="n">
        <v>46193</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39326-2024</t>
        </is>
      </c>
      <c r="B500" s="1" t="n">
        <v>45551</v>
      </c>
      <c r="C500" s="1" t="n">
        <v>46193</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23081-2024</t>
        </is>
      </c>
      <c r="B501" s="1" t="n">
        <v>45450</v>
      </c>
      <c r="C501" s="1" t="n">
        <v>46193</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20095-2023</t>
        </is>
      </c>
      <c r="B502" s="1" t="n">
        <v>45054</v>
      </c>
      <c r="C502" s="1" t="n">
        <v>46193</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61663-2022</t>
        </is>
      </c>
      <c r="B503" s="1" t="n">
        <v>44916</v>
      </c>
      <c r="C503" s="1" t="n">
        <v>46193</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18641-2024</t>
        </is>
      </c>
      <c r="B504" s="1" t="n">
        <v>45425</v>
      </c>
      <c r="C504" s="1" t="n">
        <v>46193</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24717-2022</t>
        </is>
      </c>
      <c r="B505" s="1" t="n">
        <v>44727</v>
      </c>
      <c r="C505" s="1" t="n">
        <v>46193</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15201-2024</t>
        </is>
      </c>
      <c r="B506" s="1" t="n">
        <v>45400</v>
      </c>
      <c r="C506" s="1" t="n">
        <v>46193</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30483-2022</t>
        </is>
      </c>
      <c r="B507" s="1" t="n">
        <v>44761</v>
      </c>
      <c r="C507" s="1" t="n">
        <v>46193</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41922-2023</t>
        </is>
      </c>
      <c r="B508" s="1" t="n">
        <v>45176</v>
      </c>
      <c r="C508" s="1" t="n">
        <v>46193</v>
      </c>
      <c r="D508" t="inlineStr">
        <is>
          <t>JÄMTLANDS LÄN</t>
        </is>
      </c>
      <c r="E508" t="inlineStr">
        <is>
          <t>BRÄCKE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24062-2024</t>
        </is>
      </c>
      <c r="B509" s="1" t="n">
        <v>45456</v>
      </c>
      <c r="C509" s="1" t="n">
        <v>46193</v>
      </c>
      <c r="D509" t="inlineStr">
        <is>
          <t>JÄMTLANDS LÄN</t>
        </is>
      </c>
      <c r="E509" t="inlineStr">
        <is>
          <t>BRÄCKE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5482-2025</t>
        </is>
      </c>
      <c r="B510" s="1" t="n">
        <v>45693</v>
      </c>
      <c r="C510" s="1" t="n">
        <v>46193</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48416-2024</t>
        </is>
      </c>
      <c r="B511" s="1" t="n">
        <v>45590</v>
      </c>
      <c r="C511" s="1" t="n">
        <v>46193</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17016-2024</t>
        </is>
      </c>
      <c r="B512" s="1" t="n">
        <v>45411</v>
      </c>
      <c r="C512" s="1" t="n">
        <v>46193</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11550-2023</t>
        </is>
      </c>
      <c r="B513" s="1" t="n">
        <v>44993</v>
      </c>
      <c r="C513" s="1" t="n">
        <v>46193</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2621-2024</t>
        </is>
      </c>
      <c r="B514" s="1" t="n">
        <v>45313</v>
      </c>
      <c r="C514" s="1" t="n">
        <v>46193</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3180-2024</t>
        </is>
      </c>
      <c r="B515" s="1" t="n">
        <v>45316</v>
      </c>
      <c r="C515" s="1" t="n">
        <v>46193</v>
      </c>
      <c r="D515" t="inlineStr">
        <is>
          <t>JÄMTLANDS LÄN</t>
        </is>
      </c>
      <c r="E515" t="inlineStr">
        <is>
          <t>BRÄCKE</t>
        </is>
      </c>
      <c r="G515" t="n">
        <v>4.7</v>
      </c>
      <c r="H515" t="n">
        <v>0</v>
      </c>
      <c r="I515" t="n">
        <v>0</v>
      </c>
      <c r="J515" t="n">
        <v>0</v>
      </c>
      <c r="K515" t="n">
        <v>0</v>
      </c>
      <c r="L515" t="n">
        <v>0</v>
      </c>
      <c r="M515" t="n">
        <v>0</v>
      </c>
      <c r="N515" t="n">
        <v>0</v>
      </c>
      <c r="O515" t="n">
        <v>0</v>
      </c>
      <c r="P515" t="n">
        <v>0</v>
      </c>
      <c r="Q515" t="n">
        <v>0</v>
      </c>
      <c r="R515" s="2" t="inlineStr"/>
    </row>
    <row r="516" ht="15" customHeight="1">
      <c r="A516" t="inlineStr">
        <is>
          <t>A 3182-2024</t>
        </is>
      </c>
      <c r="B516" s="1" t="n">
        <v>45316</v>
      </c>
      <c r="C516" s="1" t="n">
        <v>46193</v>
      </c>
      <c r="D516" t="inlineStr">
        <is>
          <t>JÄMTLANDS LÄN</t>
        </is>
      </c>
      <c r="E516" t="inlineStr">
        <is>
          <t>BRÄCKE</t>
        </is>
      </c>
      <c r="G516" t="n">
        <v>2.6</v>
      </c>
      <c r="H516" t="n">
        <v>0</v>
      </c>
      <c r="I516" t="n">
        <v>0</v>
      </c>
      <c r="J516" t="n">
        <v>0</v>
      </c>
      <c r="K516" t="n">
        <v>0</v>
      </c>
      <c r="L516" t="n">
        <v>0</v>
      </c>
      <c r="M516" t="n">
        <v>0</v>
      </c>
      <c r="N516" t="n">
        <v>0</v>
      </c>
      <c r="O516" t="n">
        <v>0</v>
      </c>
      <c r="P516" t="n">
        <v>0</v>
      </c>
      <c r="Q516" t="n">
        <v>0</v>
      </c>
      <c r="R516" s="2" t="inlineStr"/>
    </row>
    <row r="517" ht="15" customHeight="1">
      <c r="A517" t="inlineStr">
        <is>
          <t>A 51540-2024</t>
        </is>
      </c>
      <c r="B517" s="1" t="n">
        <v>45604</v>
      </c>
      <c r="C517" s="1" t="n">
        <v>46193</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61415-2021</t>
        </is>
      </c>
      <c r="B518" s="1" t="n">
        <v>44500</v>
      </c>
      <c r="C518" s="1" t="n">
        <v>46193</v>
      </c>
      <c r="D518" t="inlineStr">
        <is>
          <t>JÄMTLANDS LÄN</t>
        </is>
      </c>
      <c r="E518" t="inlineStr">
        <is>
          <t>BRÄCKE</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14664-2024</t>
        </is>
      </c>
      <c r="B519" s="1" t="n">
        <v>45397</v>
      </c>
      <c r="C519" s="1" t="n">
        <v>46193</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70807-2021</t>
        </is>
      </c>
      <c r="B520" s="1" t="n">
        <v>44537</v>
      </c>
      <c r="C520" s="1" t="n">
        <v>46193</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29262-2024</t>
        </is>
      </c>
      <c r="B521" s="1" t="n">
        <v>45482</v>
      </c>
      <c r="C521" s="1" t="n">
        <v>46193</v>
      </c>
      <c r="D521" t="inlineStr">
        <is>
          <t>JÄMTLANDS LÄN</t>
        </is>
      </c>
      <c r="E521" t="inlineStr">
        <is>
          <t>BRÄCKE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59932-2022</t>
        </is>
      </c>
      <c r="B522" s="1" t="n">
        <v>44909</v>
      </c>
      <c r="C522" s="1" t="n">
        <v>46193</v>
      </c>
      <c r="D522" t="inlineStr">
        <is>
          <t>JÄMTLANDS LÄN</t>
        </is>
      </c>
      <c r="E522" t="inlineStr">
        <is>
          <t>BRÄCKE</t>
        </is>
      </c>
      <c r="G522" t="n">
        <v>1.2</v>
      </c>
      <c r="H522" t="n">
        <v>0</v>
      </c>
      <c r="I522" t="n">
        <v>0</v>
      </c>
      <c r="J522" t="n">
        <v>0</v>
      </c>
      <c r="K522" t="n">
        <v>0</v>
      </c>
      <c r="L522" t="n">
        <v>0</v>
      </c>
      <c r="M522" t="n">
        <v>0</v>
      </c>
      <c r="N522" t="n">
        <v>0</v>
      </c>
      <c r="O522" t="n">
        <v>0</v>
      </c>
      <c r="P522" t="n">
        <v>0</v>
      </c>
      <c r="Q522" t="n">
        <v>0</v>
      </c>
      <c r="R522" s="2" t="inlineStr"/>
    </row>
    <row r="523" ht="15" customHeight="1">
      <c r="A523" t="inlineStr">
        <is>
          <t>A 56648-2021</t>
        </is>
      </c>
      <c r="B523" s="1" t="n">
        <v>44480</v>
      </c>
      <c r="C523" s="1" t="n">
        <v>46193</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48433-2023</t>
        </is>
      </c>
      <c r="B524" s="1" t="n">
        <v>45205</v>
      </c>
      <c r="C524" s="1" t="n">
        <v>46193</v>
      </c>
      <c r="D524" t="inlineStr">
        <is>
          <t>JÄMTLANDS LÄN</t>
        </is>
      </c>
      <c r="E524" t="inlineStr">
        <is>
          <t>BRÄCKE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48473-2023</t>
        </is>
      </c>
      <c r="B525" s="1" t="n">
        <v>45206</v>
      </c>
      <c r="C525" s="1" t="n">
        <v>46193</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55523-2022</t>
        </is>
      </c>
      <c r="B526" s="1" t="n">
        <v>44887</v>
      </c>
      <c r="C526" s="1" t="n">
        <v>46193</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59405-2022</t>
        </is>
      </c>
      <c r="B527" s="1" t="n">
        <v>44906</v>
      </c>
      <c r="C527" s="1" t="n">
        <v>46193</v>
      </c>
      <c r="D527" t="inlineStr">
        <is>
          <t>JÄMTLANDS LÄN</t>
        </is>
      </c>
      <c r="E527" t="inlineStr">
        <is>
          <t>BRÄCKE</t>
        </is>
      </c>
      <c r="G527" t="n">
        <v>0.4</v>
      </c>
      <c r="H527" t="n">
        <v>0</v>
      </c>
      <c r="I527" t="n">
        <v>0</v>
      </c>
      <c r="J527" t="n">
        <v>0</v>
      </c>
      <c r="K527" t="n">
        <v>0</v>
      </c>
      <c r="L527" t="n">
        <v>0</v>
      </c>
      <c r="M527" t="n">
        <v>0</v>
      </c>
      <c r="N527" t="n">
        <v>0</v>
      </c>
      <c r="O527" t="n">
        <v>0</v>
      </c>
      <c r="P527" t="n">
        <v>0</v>
      </c>
      <c r="Q527" t="n">
        <v>0</v>
      </c>
      <c r="R527" s="2" t="inlineStr"/>
    </row>
    <row r="528" ht="15" customHeight="1">
      <c r="A528" t="inlineStr">
        <is>
          <t>A 49043-2023</t>
        </is>
      </c>
      <c r="B528" s="1" t="n">
        <v>45209</v>
      </c>
      <c r="C528" s="1" t="n">
        <v>46193</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37829-2022</t>
        </is>
      </c>
      <c r="B529" s="1" t="n">
        <v>44810</v>
      </c>
      <c r="C529" s="1" t="n">
        <v>46193</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59047-2022</t>
        </is>
      </c>
      <c r="B530" s="1" t="n">
        <v>44903</v>
      </c>
      <c r="C530" s="1" t="n">
        <v>46193</v>
      </c>
      <c r="D530" t="inlineStr">
        <is>
          <t>JÄMTLANDS LÄN</t>
        </is>
      </c>
      <c r="E530" t="inlineStr">
        <is>
          <t>BRÄCKE</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37239-2023</t>
        </is>
      </c>
      <c r="B531" s="1" t="n">
        <v>45155</v>
      </c>
      <c r="C531" s="1" t="n">
        <v>46193</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63579-2021</t>
        </is>
      </c>
      <c r="B532" s="1" t="n">
        <v>44508</v>
      </c>
      <c r="C532" s="1" t="n">
        <v>46193</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2035-2022</t>
        </is>
      </c>
      <c r="B533" s="1" t="n">
        <v>44575</v>
      </c>
      <c r="C533" s="1" t="n">
        <v>46193</v>
      </c>
      <c r="D533" t="inlineStr">
        <is>
          <t>JÄMTLANDS LÄN</t>
        </is>
      </c>
      <c r="E533" t="inlineStr">
        <is>
          <t>BRÄCKE</t>
        </is>
      </c>
      <c r="G533" t="n">
        <v>2</v>
      </c>
      <c r="H533" t="n">
        <v>0</v>
      </c>
      <c r="I533" t="n">
        <v>0</v>
      </c>
      <c r="J533" t="n">
        <v>0</v>
      </c>
      <c r="K533" t="n">
        <v>0</v>
      </c>
      <c r="L533" t="n">
        <v>0</v>
      </c>
      <c r="M533" t="n">
        <v>0</v>
      </c>
      <c r="N533" t="n">
        <v>0</v>
      </c>
      <c r="O533" t="n">
        <v>0</v>
      </c>
      <c r="P533" t="n">
        <v>0</v>
      </c>
      <c r="Q533" t="n">
        <v>0</v>
      </c>
      <c r="R533" s="2" t="inlineStr"/>
    </row>
    <row r="534" ht="15" customHeight="1">
      <c r="A534" t="inlineStr">
        <is>
          <t>A 21117-2023</t>
        </is>
      </c>
      <c r="B534" s="1" t="n">
        <v>45061</v>
      </c>
      <c r="C534" s="1" t="n">
        <v>46193</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50609-2023</t>
        </is>
      </c>
      <c r="B535" s="1" t="n">
        <v>45217</v>
      </c>
      <c r="C535" s="1" t="n">
        <v>46193</v>
      </c>
      <c r="D535" t="inlineStr">
        <is>
          <t>JÄMTLANDS LÄN</t>
        </is>
      </c>
      <c r="E535" t="inlineStr">
        <is>
          <t>BRÄCKE</t>
        </is>
      </c>
      <c r="G535" t="n">
        <v>5.7</v>
      </c>
      <c r="H535" t="n">
        <v>0</v>
      </c>
      <c r="I535" t="n">
        <v>0</v>
      </c>
      <c r="J535" t="n">
        <v>0</v>
      </c>
      <c r="K535" t="n">
        <v>0</v>
      </c>
      <c r="L535" t="n">
        <v>0</v>
      </c>
      <c r="M535" t="n">
        <v>0</v>
      </c>
      <c r="N535" t="n">
        <v>0</v>
      </c>
      <c r="O535" t="n">
        <v>0</v>
      </c>
      <c r="P535" t="n">
        <v>0</v>
      </c>
      <c r="Q535" t="n">
        <v>0</v>
      </c>
      <c r="R535" s="2" t="inlineStr"/>
    </row>
    <row r="536" ht="15" customHeight="1">
      <c r="A536" t="inlineStr">
        <is>
          <t>A 20513-2024</t>
        </is>
      </c>
      <c r="B536" s="1" t="n">
        <v>45435</v>
      </c>
      <c r="C536" s="1" t="n">
        <v>46193</v>
      </c>
      <c r="D536" t="inlineStr">
        <is>
          <t>JÄMTLANDS LÄN</t>
        </is>
      </c>
      <c r="E536" t="inlineStr">
        <is>
          <t>BRÄCKE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54863-2024</t>
        </is>
      </c>
      <c r="B537" s="1" t="n">
        <v>45618</v>
      </c>
      <c r="C537" s="1" t="n">
        <v>46193</v>
      </c>
      <c r="D537" t="inlineStr">
        <is>
          <t>JÄMTLANDS LÄN</t>
        </is>
      </c>
      <c r="E537" t="inlineStr">
        <is>
          <t>BRÄCKE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54865-2024</t>
        </is>
      </c>
      <c r="B538" s="1" t="n">
        <v>45618</v>
      </c>
      <c r="C538" s="1" t="n">
        <v>46193</v>
      </c>
      <c r="D538" t="inlineStr">
        <is>
          <t>JÄMTLANDS LÄN</t>
        </is>
      </c>
      <c r="E538" t="inlineStr">
        <is>
          <t>BRÄCKE</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3866-2025</t>
        </is>
      </c>
      <c r="B539" s="1" t="n">
        <v>45684</v>
      </c>
      <c r="C539" s="1" t="n">
        <v>46193</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40769-2021</t>
        </is>
      </c>
      <c r="B540" s="1" t="n">
        <v>44420</v>
      </c>
      <c r="C540" s="1" t="n">
        <v>46193</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12900-2023</t>
        </is>
      </c>
      <c r="B541" s="1" t="n">
        <v>45001</v>
      </c>
      <c r="C541" s="1" t="n">
        <v>46193</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18640-2024</t>
        </is>
      </c>
      <c r="B542" s="1" t="n">
        <v>45425</v>
      </c>
      <c r="C542" s="1" t="n">
        <v>46193</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11093-2024</t>
        </is>
      </c>
      <c r="B543" s="1" t="n">
        <v>45370</v>
      </c>
      <c r="C543" s="1" t="n">
        <v>46193</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18626-2024</t>
        </is>
      </c>
      <c r="B544" s="1" t="n">
        <v>45425</v>
      </c>
      <c r="C544" s="1" t="n">
        <v>46193</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13668-2024</t>
        </is>
      </c>
      <c r="B545" s="1" t="n">
        <v>45387</v>
      </c>
      <c r="C545" s="1" t="n">
        <v>46193</v>
      </c>
      <c r="D545" t="inlineStr">
        <is>
          <t>JÄMTLANDS LÄN</t>
        </is>
      </c>
      <c r="E545" t="inlineStr">
        <is>
          <t>BRÄCKE</t>
        </is>
      </c>
      <c r="G545" t="n">
        <v>8.1</v>
      </c>
      <c r="H545" t="n">
        <v>0</v>
      </c>
      <c r="I545" t="n">
        <v>0</v>
      </c>
      <c r="J545" t="n">
        <v>0</v>
      </c>
      <c r="K545" t="n">
        <v>0</v>
      </c>
      <c r="L545" t="n">
        <v>0</v>
      </c>
      <c r="M545" t="n">
        <v>0</v>
      </c>
      <c r="N545" t="n">
        <v>0</v>
      </c>
      <c r="O545" t="n">
        <v>0</v>
      </c>
      <c r="P545" t="n">
        <v>0</v>
      </c>
      <c r="Q545" t="n">
        <v>0</v>
      </c>
      <c r="R545" s="2" t="inlineStr"/>
    </row>
    <row r="546" ht="15" customHeight="1">
      <c r="A546" t="inlineStr">
        <is>
          <t>A 31521-2022</t>
        </is>
      </c>
      <c r="B546" s="1" t="n">
        <v>44774</v>
      </c>
      <c r="C546" s="1" t="n">
        <v>46193</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16372-2023</t>
        </is>
      </c>
      <c r="B547" s="1" t="n">
        <v>45028</v>
      </c>
      <c r="C547" s="1" t="n">
        <v>46193</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30719-2022</t>
        </is>
      </c>
      <c r="B548" s="1" t="n">
        <v>44763</v>
      </c>
      <c r="C548" s="1" t="n">
        <v>46193</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29325-2022</t>
        </is>
      </c>
      <c r="B549" s="1" t="n">
        <v>44751</v>
      </c>
      <c r="C549" s="1" t="n">
        <v>46193</v>
      </c>
      <c r="D549" t="inlineStr">
        <is>
          <t>JÄMTLANDS LÄN</t>
        </is>
      </c>
      <c r="E549" t="inlineStr">
        <is>
          <t>BRÄCKE</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6516-2024</t>
        </is>
      </c>
      <c r="B550" s="1" t="n">
        <v>45341</v>
      </c>
      <c r="C550" s="1" t="n">
        <v>46193</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43123-2023</t>
        </is>
      </c>
      <c r="B551" s="1" t="n">
        <v>45182</v>
      </c>
      <c r="C551" s="1" t="n">
        <v>46193</v>
      </c>
      <c r="D551" t="inlineStr">
        <is>
          <t>JÄMTLANDS LÄN</t>
        </is>
      </c>
      <c r="E551" t="inlineStr">
        <is>
          <t>BRÄCKE</t>
        </is>
      </c>
      <c r="F551" t="inlineStr">
        <is>
          <t>Naturvårdsverket</t>
        </is>
      </c>
      <c r="G551" t="n">
        <v>9.9</v>
      </c>
      <c r="H551" t="n">
        <v>0</v>
      </c>
      <c r="I551" t="n">
        <v>0</v>
      </c>
      <c r="J551" t="n">
        <v>0</v>
      </c>
      <c r="K551" t="n">
        <v>0</v>
      </c>
      <c r="L551" t="n">
        <v>0</v>
      </c>
      <c r="M551" t="n">
        <v>0</v>
      </c>
      <c r="N551" t="n">
        <v>0</v>
      </c>
      <c r="O551" t="n">
        <v>0</v>
      </c>
      <c r="P551" t="n">
        <v>0</v>
      </c>
      <c r="Q551" t="n">
        <v>0</v>
      </c>
      <c r="R551" s="2" t="inlineStr"/>
    </row>
    <row r="552" ht="15" customHeight="1">
      <c r="A552" t="inlineStr">
        <is>
          <t>A 41825-2024</t>
        </is>
      </c>
      <c r="B552" s="1" t="n">
        <v>45561</v>
      </c>
      <c r="C552" s="1" t="n">
        <v>46193</v>
      </c>
      <c r="D552" t="inlineStr">
        <is>
          <t>JÄMTLANDS LÄN</t>
        </is>
      </c>
      <c r="E552" t="inlineStr">
        <is>
          <t>BRÄCKE</t>
        </is>
      </c>
      <c r="G552" t="n">
        <v>0.9</v>
      </c>
      <c r="H552" t="n">
        <v>0</v>
      </c>
      <c r="I552" t="n">
        <v>0</v>
      </c>
      <c r="J552" t="n">
        <v>0</v>
      </c>
      <c r="K552" t="n">
        <v>0</v>
      </c>
      <c r="L552" t="n">
        <v>0</v>
      </c>
      <c r="M552" t="n">
        <v>0</v>
      </c>
      <c r="N552" t="n">
        <v>0</v>
      </c>
      <c r="O552" t="n">
        <v>0</v>
      </c>
      <c r="P552" t="n">
        <v>0</v>
      </c>
      <c r="Q552" t="n">
        <v>0</v>
      </c>
      <c r="R552" s="2" t="inlineStr"/>
    </row>
    <row r="553" ht="15" customHeight="1">
      <c r="A553" t="inlineStr">
        <is>
          <t>A 14798-2023</t>
        </is>
      </c>
      <c r="B553" s="1" t="n">
        <v>45014</v>
      </c>
      <c r="C553" s="1" t="n">
        <v>46193</v>
      </c>
      <c r="D553" t="inlineStr">
        <is>
          <t>JÄMTLANDS LÄN</t>
        </is>
      </c>
      <c r="E553" t="inlineStr">
        <is>
          <t>BRÄCKE</t>
        </is>
      </c>
      <c r="G553" t="n">
        <v>3.5</v>
      </c>
      <c r="H553" t="n">
        <v>0</v>
      </c>
      <c r="I553" t="n">
        <v>0</v>
      </c>
      <c r="J553" t="n">
        <v>0</v>
      </c>
      <c r="K553" t="n">
        <v>0</v>
      </c>
      <c r="L553" t="n">
        <v>0</v>
      </c>
      <c r="M553" t="n">
        <v>0</v>
      </c>
      <c r="N553" t="n">
        <v>0</v>
      </c>
      <c r="O553" t="n">
        <v>0</v>
      </c>
      <c r="P553" t="n">
        <v>0</v>
      </c>
      <c r="Q553" t="n">
        <v>0</v>
      </c>
      <c r="R553" s="2" t="inlineStr"/>
    </row>
    <row r="554" ht="15" customHeight="1">
      <c r="A554" t="inlineStr">
        <is>
          <t>A 13525-2022</t>
        </is>
      </c>
      <c r="B554" s="1" t="n">
        <v>44648</v>
      </c>
      <c r="C554" s="1" t="n">
        <v>46193</v>
      </c>
      <c r="D554" t="inlineStr">
        <is>
          <t>JÄMTLANDS LÄN</t>
        </is>
      </c>
      <c r="E554" t="inlineStr">
        <is>
          <t>BRÄCKE</t>
        </is>
      </c>
      <c r="G554" t="n">
        <v>0.5</v>
      </c>
      <c r="H554" t="n">
        <v>0</v>
      </c>
      <c r="I554" t="n">
        <v>0</v>
      </c>
      <c r="J554" t="n">
        <v>0</v>
      </c>
      <c r="K554" t="n">
        <v>0</v>
      </c>
      <c r="L554" t="n">
        <v>0</v>
      </c>
      <c r="M554" t="n">
        <v>0</v>
      </c>
      <c r="N554" t="n">
        <v>0</v>
      </c>
      <c r="O554" t="n">
        <v>0</v>
      </c>
      <c r="P554" t="n">
        <v>0</v>
      </c>
      <c r="Q554" t="n">
        <v>0</v>
      </c>
      <c r="R554" s="2" t="inlineStr"/>
    </row>
    <row r="555" ht="15" customHeight="1">
      <c r="A555" t="inlineStr">
        <is>
          <t>A 24010-2024</t>
        </is>
      </c>
      <c r="B555" s="1" t="n">
        <v>45456</v>
      </c>
      <c r="C555" s="1" t="n">
        <v>46193</v>
      </c>
      <c r="D555" t="inlineStr">
        <is>
          <t>JÄMTLANDS LÄN</t>
        </is>
      </c>
      <c r="E555" t="inlineStr">
        <is>
          <t>BRÄCKE</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10532-2022</t>
        </is>
      </c>
      <c r="B556" s="1" t="n">
        <v>44623</v>
      </c>
      <c r="C556" s="1" t="n">
        <v>46193</v>
      </c>
      <c r="D556" t="inlineStr">
        <is>
          <t>JÄMTLANDS LÄN</t>
        </is>
      </c>
      <c r="E556" t="inlineStr">
        <is>
          <t>BRÄCKE</t>
        </is>
      </c>
      <c r="G556" t="n">
        <v>3.1</v>
      </c>
      <c r="H556" t="n">
        <v>0</v>
      </c>
      <c r="I556" t="n">
        <v>0</v>
      </c>
      <c r="J556" t="n">
        <v>0</v>
      </c>
      <c r="K556" t="n">
        <v>0</v>
      </c>
      <c r="L556" t="n">
        <v>0</v>
      </c>
      <c r="M556" t="n">
        <v>0</v>
      </c>
      <c r="N556" t="n">
        <v>0</v>
      </c>
      <c r="O556" t="n">
        <v>0</v>
      </c>
      <c r="P556" t="n">
        <v>0</v>
      </c>
      <c r="Q556" t="n">
        <v>0</v>
      </c>
      <c r="R556" s="2" t="inlineStr"/>
    </row>
    <row r="557" ht="15" customHeight="1">
      <c r="A557" t="inlineStr">
        <is>
          <t>A 32429-2024</t>
        </is>
      </c>
      <c r="B557" s="1" t="n">
        <v>45512</v>
      </c>
      <c r="C557" s="1" t="n">
        <v>46193</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17606-2025</t>
        </is>
      </c>
      <c r="B558" s="1" t="n">
        <v>45757</v>
      </c>
      <c r="C558" s="1" t="n">
        <v>46193</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24056-2022</t>
        </is>
      </c>
      <c r="B559" s="1" t="n">
        <v>44724</v>
      </c>
      <c r="C559" s="1" t="n">
        <v>46193</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5004-2023</t>
        </is>
      </c>
      <c r="B560" s="1" t="n">
        <v>44956</v>
      </c>
      <c r="C560" s="1" t="n">
        <v>46193</v>
      </c>
      <c r="D560" t="inlineStr">
        <is>
          <t>JÄMTLANDS LÄN</t>
        </is>
      </c>
      <c r="E560" t="inlineStr">
        <is>
          <t>BRÄCKE</t>
        </is>
      </c>
      <c r="G560" t="n">
        <v>1.1</v>
      </c>
      <c r="H560" t="n">
        <v>0</v>
      </c>
      <c r="I560" t="n">
        <v>0</v>
      </c>
      <c r="J560" t="n">
        <v>0</v>
      </c>
      <c r="K560" t="n">
        <v>0</v>
      </c>
      <c r="L560" t="n">
        <v>0</v>
      </c>
      <c r="M560" t="n">
        <v>0</v>
      </c>
      <c r="N560" t="n">
        <v>0</v>
      </c>
      <c r="O560" t="n">
        <v>0</v>
      </c>
      <c r="P560" t="n">
        <v>0</v>
      </c>
      <c r="Q560" t="n">
        <v>0</v>
      </c>
      <c r="R560" s="2" t="inlineStr"/>
    </row>
    <row r="561" ht="15" customHeight="1">
      <c r="A561" t="inlineStr">
        <is>
          <t>A 5169-2025</t>
        </is>
      </c>
      <c r="B561" s="1" t="n">
        <v>45691</v>
      </c>
      <c r="C561" s="1" t="n">
        <v>46193</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35506-2023</t>
        </is>
      </c>
      <c r="B562" s="1" t="n">
        <v>45146</v>
      </c>
      <c r="C562" s="1" t="n">
        <v>46193</v>
      </c>
      <c r="D562" t="inlineStr">
        <is>
          <t>JÄMTLANDS LÄN</t>
        </is>
      </c>
      <c r="E562" t="inlineStr">
        <is>
          <t>BRÄCKE</t>
        </is>
      </c>
      <c r="G562" t="n">
        <v>2.1</v>
      </c>
      <c r="H562" t="n">
        <v>0</v>
      </c>
      <c r="I562" t="n">
        <v>0</v>
      </c>
      <c r="J562" t="n">
        <v>0</v>
      </c>
      <c r="K562" t="n">
        <v>0</v>
      </c>
      <c r="L562" t="n">
        <v>0</v>
      </c>
      <c r="M562" t="n">
        <v>0</v>
      </c>
      <c r="N562" t="n">
        <v>0</v>
      </c>
      <c r="O562" t="n">
        <v>0</v>
      </c>
      <c r="P562" t="n">
        <v>0</v>
      </c>
      <c r="Q562" t="n">
        <v>0</v>
      </c>
      <c r="R562" s="2" t="inlineStr"/>
    </row>
    <row r="563" ht="15" customHeight="1">
      <c r="A563" t="inlineStr">
        <is>
          <t>A 49861-2022</t>
        </is>
      </c>
      <c r="B563" s="1" t="n">
        <v>44862</v>
      </c>
      <c r="C563" s="1" t="n">
        <v>46193</v>
      </c>
      <c r="D563" t="inlineStr">
        <is>
          <t>JÄMTLANDS LÄN</t>
        </is>
      </c>
      <c r="E563" t="inlineStr">
        <is>
          <t>BRÄCKE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59650-2024</t>
        </is>
      </c>
      <c r="B564" s="1" t="n">
        <v>45639</v>
      </c>
      <c r="C564" s="1" t="n">
        <v>46193</v>
      </c>
      <c r="D564" t="inlineStr">
        <is>
          <t>JÄMTLANDS LÄN</t>
        </is>
      </c>
      <c r="E564" t="inlineStr">
        <is>
          <t>BRÄCKE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31692-2024</t>
        </is>
      </c>
      <c r="B565" s="1" t="n">
        <v>45507</v>
      </c>
      <c r="C565" s="1" t="n">
        <v>46193</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31713-2024</t>
        </is>
      </c>
      <c r="B566" s="1" t="n">
        <v>45508</v>
      </c>
      <c r="C566" s="1" t="n">
        <v>46193</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57069-2024</t>
        </is>
      </c>
      <c r="B567" s="1" t="n">
        <v>45629</v>
      </c>
      <c r="C567" s="1" t="n">
        <v>46193</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3840-2024</t>
        </is>
      </c>
      <c r="B568" s="1" t="n">
        <v>45321</v>
      </c>
      <c r="C568" s="1" t="n">
        <v>46193</v>
      </c>
      <c r="D568" t="inlineStr">
        <is>
          <t>JÄMTLANDS LÄN</t>
        </is>
      </c>
      <c r="E568" t="inlineStr">
        <is>
          <t>BRÄCKE</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51558-2022</t>
        </is>
      </c>
      <c r="B569" s="1" t="n">
        <v>44869</v>
      </c>
      <c r="C569" s="1" t="n">
        <v>46193</v>
      </c>
      <c r="D569" t="inlineStr">
        <is>
          <t>JÄMTLANDS LÄN</t>
        </is>
      </c>
      <c r="E569" t="inlineStr">
        <is>
          <t>BRÄCKE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42290-2022</t>
        </is>
      </c>
      <c r="B570" s="1" t="n">
        <v>44830</v>
      </c>
      <c r="C570" s="1" t="n">
        <v>46193</v>
      </c>
      <c r="D570" t="inlineStr">
        <is>
          <t>JÄMTLANDS LÄN</t>
        </is>
      </c>
      <c r="E570" t="inlineStr">
        <is>
          <t>BRÄCKE</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63346-2021</t>
        </is>
      </c>
      <c r="B571" s="1" t="n">
        <v>44508</v>
      </c>
      <c r="C571" s="1" t="n">
        <v>46193</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24053-2022</t>
        </is>
      </c>
      <c r="B572" s="1" t="n">
        <v>44724</v>
      </c>
      <c r="C572" s="1" t="n">
        <v>46193</v>
      </c>
      <c r="D572" t="inlineStr">
        <is>
          <t>JÄMTLANDS LÄN</t>
        </is>
      </c>
      <c r="E572" t="inlineStr">
        <is>
          <t>BRÄCKE</t>
        </is>
      </c>
      <c r="G572" t="n">
        <v>1</v>
      </c>
      <c r="H572" t="n">
        <v>0</v>
      </c>
      <c r="I572" t="n">
        <v>0</v>
      </c>
      <c r="J572" t="n">
        <v>0</v>
      </c>
      <c r="K572" t="n">
        <v>0</v>
      </c>
      <c r="L572" t="n">
        <v>0</v>
      </c>
      <c r="M572" t="n">
        <v>0</v>
      </c>
      <c r="N572" t="n">
        <v>0</v>
      </c>
      <c r="O572" t="n">
        <v>0</v>
      </c>
      <c r="P572" t="n">
        <v>0</v>
      </c>
      <c r="Q572" t="n">
        <v>0</v>
      </c>
      <c r="R572" s="2" t="inlineStr"/>
    </row>
    <row r="573" ht="15" customHeight="1">
      <c r="A573" t="inlineStr">
        <is>
          <t>A 58547-2022</t>
        </is>
      </c>
      <c r="B573" s="1" t="n">
        <v>44894</v>
      </c>
      <c r="C573" s="1" t="n">
        <v>46193</v>
      </c>
      <c r="D573" t="inlineStr">
        <is>
          <t>JÄMTLANDS LÄN</t>
        </is>
      </c>
      <c r="E573" t="inlineStr">
        <is>
          <t>BRÄCKE</t>
        </is>
      </c>
      <c r="G573" t="n">
        <v>0.6</v>
      </c>
      <c r="H573" t="n">
        <v>0</v>
      </c>
      <c r="I573" t="n">
        <v>0</v>
      </c>
      <c r="J573" t="n">
        <v>0</v>
      </c>
      <c r="K573" t="n">
        <v>0</v>
      </c>
      <c r="L573" t="n">
        <v>0</v>
      </c>
      <c r="M573" t="n">
        <v>0</v>
      </c>
      <c r="N573" t="n">
        <v>0</v>
      </c>
      <c r="O573" t="n">
        <v>0</v>
      </c>
      <c r="P573" t="n">
        <v>0</v>
      </c>
      <c r="Q573" t="n">
        <v>0</v>
      </c>
      <c r="R573" s="2" t="inlineStr"/>
    </row>
    <row r="574" ht="15" customHeight="1">
      <c r="A574" t="inlineStr">
        <is>
          <t>A 33112-2024</t>
        </is>
      </c>
      <c r="B574" s="1" t="n">
        <v>45517</v>
      </c>
      <c r="C574" s="1" t="n">
        <v>46193</v>
      </c>
      <c r="D574" t="inlineStr">
        <is>
          <t>JÄMTLANDS LÄN</t>
        </is>
      </c>
      <c r="E574" t="inlineStr">
        <is>
          <t>BRÄCKE</t>
        </is>
      </c>
      <c r="G574" t="n">
        <v>0.7</v>
      </c>
      <c r="H574" t="n">
        <v>0</v>
      </c>
      <c r="I574" t="n">
        <v>0</v>
      </c>
      <c r="J574" t="n">
        <v>0</v>
      </c>
      <c r="K574" t="n">
        <v>0</v>
      </c>
      <c r="L574" t="n">
        <v>0</v>
      </c>
      <c r="M574" t="n">
        <v>0</v>
      </c>
      <c r="N574" t="n">
        <v>0</v>
      </c>
      <c r="O574" t="n">
        <v>0</v>
      </c>
      <c r="P574" t="n">
        <v>0</v>
      </c>
      <c r="Q574" t="n">
        <v>0</v>
      </c>
      <c r="R574" s="2" t="inlineStr"/>
      <c r="U574">
        <f>HYPERLINK("https://klasma.github.io/Logging_2305/knärot/A 33112-2024 karta knärot.png", "A 33112-2024")</f>
        <v/>
      </c>
      <c r="V574">
        <f>HYPERLINK("https://klasma.github.io/Logging_2305/klagomål/A 33112-2024 FSC-klagomål.docx", "A 33112-2024")</f>
        <v/>
      </c>
      <c r="W574">
        <f>HYPERLINK("https://klasma.github.io/Logging_2305/klagomålsmail/A 33112-2024 FSC-klagomål mail.docx", "A 33112-2024")</f>
        <v/>
      </c>
      <c r="X574">
        <f>HYPERLINK("https://klasma.github.io/Logging_2305/tillsyn/A 33112-2024 tillsynsbegäran.docx", "A 33112-2024")</f>
        <v/>
      </c>
      <c r="Y574">
        <f>HYPERLINK("https://klasma.github.io/Logging_2305/tillsynsmail/A 33112-2024 tillsynsbegäran mail.docx", "A 33112-2024")</f>
        <v/>
      </c>
    </row>
    <row r="575" ht="15" customHeight="1">
      <c r="A575" t="inlineStr">
        <is>
          <t>A 48425-2023</t>
        </is>
      </c>
      <c r="B575" s="1" t="n">
        <v>45205</v>
      </c>
      <c r="C575" s="1" t="n">
        <v>46193</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19486-2023</t>
        </is>
      </c>
      <c r="B576" s="1" t="n">
        <v>45049</v>
      </c>
      <c r="C576" s="1" t="n">
        <v>46193</v>
      </c>
      <c r="D576" t="inlineStr">
        <is>
          <t>JÄMTLANDS LÄN</t>
        </is>
      </c>
      <c r="E576" t="inlineStr">
        <is>
          <t>BRÄCKE</t>
        </is>
      </c>
      <c r="G576" t="n">
        <v>2.4</v>
      </c>
      <c r="H576" t="n">
        <v>0</v>
      </c>
      <c r="I576" t="n">
        <v>0</v>
      </c>
      <c r="J576" t="n">
        <v>0</v>
      </c>
      <c r="K576" t="n">
        <v>0</v>
      </c>
      <c r="L576" t="n">
        <v>0</v>
      </c>
      <c r="M576" t="n">
        <v>0</v>
      </c>
      <c r="N576" t="n">
        <v>0</v>
      </c>
      <c r="O576" t="n">
        <v>0</v>
      </c>
      <c r="P576" t="n">
        <v>0</v>
      </c>
      <c r="Q576" t="n">
        <v>0</v>
      </c>
      <c r="R576" s="2" t="inlineStr"/>
    </row>
    <row r="577" ht="15" customHeight="1">
      <c r="A577" t="inlineStr">
        <is>
          <t>A 49399-2024</t>
        </is>
      </c>
      <c r="B577" s="1" t="n">
        <v>45595</v>
      </c>
      <c r="C577" s="1" t="n">
        <v>46193</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49400-2024</t>
        </is>
      </c>
      <c r="B578" s="1" t="n">
        <v>45595</v>
      </c>
      <c r="C578" s="1" t="n">
        <v>46193</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32636-2024</t>
        </is>
      </c>
      <c r="B579" s="1" t="n">
        <v>45513</v>
      </c>
      <c r="C579" s="1" t="n">
        <v>46193</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6362-2024</t>
        </is>
      </c>
      <c r="B580" s="1" t="n">
        <v>45338</v>
      </c>
      <c r="C580" s="1" t="n">
        <v>46193</v>
      </c>
      <c r="D580" t="inlineStr">
        <is>
          <t>JÄMTLANDS LÄN</t>
        </is>
      </c>
      <c r="E580" t="inlineStr">
        <is>
          <t>BRÄCKE</t>
        </is>
      </c>
      <c r="G580" t="n">
        <v>4</v>
      </c>
      <c r="H580" t="n">
        <v>0</v>
      </c>
      <c r="I580" t="n">
        <v>0</v>
      </c>
      <c r="J580" t="n">
        <v>0</v>
      </c>
      <c r="K580" t="n">
        <v>0</v>
      </c>
      <c r="L580" t="n">
        <v>0</v>
      </c>
      <c r="M580" t="n">
        <v>0</v>
      </c>
      <c r="N580" t="n">
        <v>0</v>
      </c>
      <c r="O580" t="n">
        <v>0</v>
      </c>
      <c r="P580" t="n">
        <v>0</v>
      </c>
      <c r="Q580" t="n">
        <v>0</v>
      </c>
      <c r="R580" s="2" t="inlineStr"/>
    </row>
    <row r="581" ht="15" customHeight="1">
      <c r="A581" t="inlineStr">
        <is>
          <t>A 58767-2023</t>
        </is>
      </c>
      <c r="B581" s="1" t="n">
        <v>45251</v>
      </c>
      <c r="C581" s="1" t="n">
        <v>46193</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47560-2021</t>
        </is>
      </c>
      <c r="B582" s="1" t="n">
        <v>44447</v>
      </c>
      <c r="C582" s="1" t="n">
        <v>46193</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45722-2024</t>
        </is>
      </c>
      <c r="B583" s="1" t="n">
        <v>45579</v>
      </c>
      <c r="C583" s="1" t="n">
        <v>46193</v>
      </c>
      <c r="D583" t="inlineStr">
        <is>
          <t>JÄMTLANDS LÄN</t>
        </is>
      </c>
      <c r="E583" t="inlineStr">
        <is>
          <t>BRÄCKE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53113-2022</t>
        </is>
      </c>
      <c r="B584" s="1" t="n">
        <v>44873</v>
      </c>
      <c r="C584" s="1" t="n">
        <v>46193</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23064-2024</t>
        </is>
      </c>
      <c r="B585" s="1" t="n">
        <v>45450</v>
      </c>
      <c r="C585" s="1" t="n">
        <v>46193</v>
      </c>
      <c r="D585" t="inlineStr">
        <is>
          <t>JÄMTLANDS LÄN</t>
        </is>
      </c>
      <c r="E585" t="inlineStr">
        <is>
          <t>BRÄCKE</t>
        </is>
      </c>
      <c r="G585" t="n">
        <v>0.8</v>
      </c>
      <c r="H585" t="n">
        <v>0</v>
      </c>
      <c r="I585" t="n">
        <v>0</v>
      </c>
      <c r="J585" t="n">
        <v>0</v>
      </c>
      <c r="K585" t="n">
        <v>0</v>
      </c>
      <c r="L585" t="n">
        <v>0</v>
      </c>
      <c r="M585" t="n">
        <v>0</v>
      </c>
      <c r="N585" t="n">
        <v>0</v>
      </c>
      <c r="O585" t="n">
        <v>0</v>
      </c>
      <c r="P585" t="n">
        <v>0</v>
      </c>
      <c r="Q585" t="n">
        <v>0</v>
      </c>
      <c r="R585" s="2" t="inlineStr"/>
    </row>
    <row r="586" ht="15" customHeight="1">
      <c r="A586" t="inlineStr">
        <is>
          <t>A 16158-2024</t>
        </is>
      </c>
      <c r="B586" s="1" t="n">
        <v>45406</v>
      </c>
      <c r="C586" s="1" t="n">
        <v>46193</v>
      </c>
      <c r="D586" t="inlineStr">
        <is>
          <t>JÄMTLANDS LÄN</t>
        </is>
      </c>
      <c r="E586" t="inlineStr">
        <is>
          <t>BRÄCKE</t>
        </is>
      </c>
      <c r="G586" t="n">
        <v>5</v>
      </c>
      <c r="H586" t="n">
        <v>0</v>
      </c>
      <c r="I586" t="n">
        <v>0</v>
      </c>
      <c r="J586" t="n">
        <v>0</v>
      </c>
      <c r="K586" t="n">
        <v>0</v>
      </c>
      <c r="L586" t="n">
        <v>0</v>
      </c>
      <c r="M586" t="n">
        <v>0</v>
      </c>
      <c r="N586" t="n">
        <v>0</v>
      </c>
      <c r="O586" t="n">
        <v>0</v>
      </c>
      <c r="P586" t="n">
        <v>0</v>
      </c>
      <c r="Q586" t="n">
        <v>0</v>
      </c>
      <c r="R586" s="2" t="inlineStr"/>
    </row>
    <row r="587" ht="15" customHeight="1">
      <c r="A587" t="inlineStr">
        <is>
          <t>A 54334-2023</t>
        </is>
      </c>
      <c r="B587" s="1" t="n">
        <v>45232</v>
      </c>
      <c r="C587" s="1" t="n">
        <v>46193</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18600-2024</t>
        </is>
      </c>
      <c r="B588" s="1" t="n">
        <v>45425</v>
      </c>
      <c r="C588" s="1" t="n">
        <v>46193</v>
      </c>
      <c r="D588" t="inlineStr">
        <is>
          <t>JÄMTLANDS LÄN</t>
        </is>
      </c>
      <c r="E588" t="inlineStr">
        <is>
          <t>BRÄCKE</t>
        </is>
      </c>
      <c r="G588" t="n">
        <v>0.9</v>
      </c>
      <c r="H588" t="n">
        <v>0</v>
      </c>
      <c r="I588" t="n">
        <v>0</v>
      </c>
      <c r="J588" t="n">
        <v>0</v>
      </c>
      <c r="K588" t="n">
        <v>0</v>
      </c>
      <c r="L588" t="n">
        <v>0</v>
      </c>
      <c r="M588" t="n">
        <v>0</v>
      </c>
      <c r="N588" t="n">
        <v>0</v>
      </c>
      <c r="O588" t="n">
        <v>0</v>
      </c>
      <c r="P588" t="n">
        <v>0</v>
      </c>
      <c r="Q588" t="n">
        <v>0</v>
      </c>
      <c r="R588" s="2" t="inlineStr"/>
    </row>
    <row r="589" ht="15" customHeight="1">
      <c r="A589" t="inlineStr">
        <is>
          <t>A 34137-2023</t>
        </is>
      </c>
      <c r="B589" s="1" t="n">
        <v>45135</v>
      </c>
      <c r="C589" s="1" t="n">
        <v>46193</v>
      </c>
      <c r="D589" t="inlineStr">
        <is>
          <t>JÄMTLANDS LÄN</t>
        </is>
      </c>
      <c r="E589" t="inlineStr">
        <is>
          <t>BRÄCKE</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49085-2023</t>
        </is>
      </c>
      <c r="B590" s="1" t="n">
        <v>45204</v>
      </c>
      <c r="C590" s="1" t="n">
        <v>46193</v>
      </c>
      <c r="D590" t="inlineStr">
        <is>
          <t>JÄMTLANDS LÄN</t>
        </is>
      </c>
      <c r="E590" t="inlineStr">
        <is>
          <t>BRÄCKE</t>
        </is>
      </c>
      <c r="G590" t="n">
        <v>2.1</v>
      </c>
      <c r="H590" t="n">
        <v>0</v>
      </c>
      <c r="I590" t="n">
        <v>0</v>
      </c>
      <c r="J590" t="n">
        <v>0</v>
      </c>
      <c r="K590" t="n">
        <v>0</v>
      </c>
      <c r="L590" t="n">
        <v>0</v>
      </c>
      <c r="M590" t="n">
        <v>0</v>
      </c>
      <c r="N590" t="n">
        <v>0</v>
      </c>
      <c r="O590" t="n">
        <v>0</v>
      </c>
      <c r="P590" t="n">
        <v>0</v>
      </c>
      <c r="Q590" t="n">
        <v>0</v>
      </c>
      <c r="R590" s="2" t="inlineStr"/>
    </row>
    <row r="591" ht="15" customHeight="1">
      <c r="A591" t="inlineStr">
        <is>
          <t>A 56732-2022</t>
        </is>
      </c>
      <c r="B591" s="1" t="n">
        <v>44893</v>
      </c>
      <c r="C591" s="1" t="n">
        <v>46193</v>
      </c>
      <c r="D591" t="inlineStr">
        <is>
          <t>JÄMTLANDS LÄN</t>
        </is>
      </c>
      <c r="E591" t="inlineStr">
        <is>
          <t>BRÄCKE</t>
        </is>
      </c>
      <c r="F591" t="inlineStr">
        <is>
          <t>SCA</t>
        </is>
      </c>
      <c r="G591" t="n">
        <v>6.8</v>
      </c>
      <c r="H591" t="n">
        <v>0</v>
      </c>
      <c r="I591" t="n">
        <v>0</v>
      </c>
      <c r="J591" t="n">
        <v>0</v>
      </c>
      <c r="K591" t="n">
        <v>0</v>
      </c>
      <c r="L591" t="n">
        <v>0</v>
      </c>
      <c r="M591" t="n">
        <v>0</v>
      </c>
      <c r="N591" t="n">
        <v>0</v>
      </c>
      <c r="O591" t="n">
        <v>0</v>
      </c>
      <c r="P591" t="n">
        <v>0</v>
      </c>
      <c r="Q591" t="n">
        <v>0</v>
      </c>
      <c r="R591" s="2" t="inlineStr"/>
    </row>
    <row r="592" ht="15" customHeight="1">
      <c r="A592" t="inlineStr">
        <is>
          <t>A 11331-2024</t>
        </is>
      </c>
      <c r="B592" s="1" t="n">
        <v>45372</v>
      </c>
      <c r="C592" s="1" t="n">
        <v>46193</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49339-2024</t>
        </is>
      </c>
      <c r="B593" s="1" t="n">
        <v>45595</v>
      </c>
      <c r="C593" s="1" t="n">
        <v>46193</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27351-2022</t>
        </is>
      </c>
      <c r="B594" s="1" t="n">
        <v>44742</v>
      </c>
      <c r="C594" s="1" t="n">
        <v>46193</v>
      </c>
      <c r="D594" t="inlineStr">
        <is>
          <t>JÄMTLANDS LÄN</t>
        </is>
      </c>
      <c r="E594" t="inlineStr">
        <is>
          <t>BRÄCKE</t>
        </is>
      </c>
      <c r="G594" t="n">
        <v>2</v>
      </c>
      <c r="H594" t="n">
        <v>0</v>
      </c>
      <c r="I594" t="n">
        <v>0</v>
      </c>
      <c r="J594" t="n">
        <v>0</v>
      </c>
      <c r="K594" t="n">
        <v>0</v>
      </c>
      <c r="L594" t="n">
        <v>0</v>
      </c>
      <c r="M594" t="n">
        <v>0</v>
      </c>
      <c r="N594" t="n">
        <v>0</v>
      </c>
      <c r="O594" t="n">
        <v>0</v>
      </c>
      <c r="P594" t="n">
        <v>0</v>
      </c>
      <c r="Q594" t="n">
        <v>0</v>
      </c>
      <c r="R594" s="2" t="inlineStr"/>
    </row>
    <row r="595" ht="15" customHeight="1">
      <c r="A595" t="inlineStr">
        <is>
          <t>A 26522-2024</t>
        </is>
      </c>
      <c r="B595" s="1" t="n">
        <v>45469</v>
      </c>
      <c r="C595" s="1" t="n">
        <v>46193</v>
      </c>
      <c r="D595" t="inlineStr">
        <is>
          <t>JÄMTLANDS LÄN</t>
        </is>
      </c>
      <c r="E595" t="inlineStr">
        <is>
          <t>BRÄCKE</t>
        </is>
      </c>
      <c r="G595" t="n">
        <v>14.1</v>
      </c>
      <c r="H595" t="n">
        <v>0</v>
      </c>
      <c r="I595" t="n">
        <v>0</v>
      </c>
      <c r="J595" t="n">
        <v>0</v>
      </c>
      <c r="K595" t="n">
        <v>0</v>
      </c>
      <c r="L595" t="n">
        <v>0</v>
      </c>
      <c r="M595" t="n">
        <v>0</v>
      </c>
      <c r="N595" t="n">
        <v>0</v>
      </c>
      <c r="O595" t="n">
        <v>0</v>
      </c>
      <c r="P595" t="n">
        <v>0</v>
      </c>
      <c r="Q595" t="n">
        <v>0</v>
      </c>
      <c r="R595" s="2" t="inlineStr"/>
    </row>
    <row r="596" ht="15" customHeight="1">
      <c r="A596" t="inlineStr">
        <is>
          <t>A 18984-2022</t>
        </is>
      </c>
      <c r="B596" s="1" t="n">
        <v>44690</v>
      </c>
      <c r="C596" s="1" t="n">
        <v>46193</v>
      </c>
      <c r="D596" t="inlineStr">
        <is>
          <t>JÄMTLANDS LÄN</t>
        </is>
      </c>
      <c r="E596" t="inlineStr">
        <is>
          <t>BRÄCKE</t>
        </is>
      </c>
      <c r="G596" t="n">
        <v>2.7</v>
      </c>
      <c r="H596" t="n">
        <v>0</v>
      </c>
      <c r="I596" t="n">
        <v>0</v>
      </c>
      <c r="J596" t="n">
        <v>0</v>
      </c>
      <c r="K596" t="n">
        <v>0</v>
      </c>
      <c r="L596" t="n">
        <v>0</v>
      </c>
      <c r="M596" t="n">
        <v>0</v>
      </c>
      <c r="N596" t="n">
        <v>0</v>
      </c>
      <c r="O596" t="n">
        <v>0</v>
      </c>
      <c r="P596" t="n">
        <v>0</v>
      </c>
      <c r="Q596" t="n">
        <v>0</v>
      </c>
      <c r="R596" s="2" t="inlineStr"/>
    </row>
    <row r="597" ht="15" customHeight="1">
      <c r="A597" t="inlineStr">
        <is>
          <t>A 38333-2025</t>
        </is>
      </c>
      <c r="B597" s="1" t="n">
        <v>45883</v>
      </c>
      <c r="C597" s="1" t="n">
        <v>46193</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4123-2025</t>
        </is>
      </c>
      <c r="B598" s="1" t="n">
        <v>45685</v>
      </c>
      <c r="C598" s="1" t="n">
        <v>46193</v>
      </c>
      <c r="D598" t="inlineStr">
        <is>
          <t>JÄMTLANDS LÄN</t>
        </is>
      </c>
      <c r="E598" t="inlineStr">
        <is>
          <t>BRÄCKE</t>
        </is>
      </c>
      <c r="G598" t="n">
        <v>0.3</v>
      </c>
      <c r="H598" t="n">
        <v>0</v>
      </c>
      <c r="I598" t="n">
        <v>0</v>
      </c>
      <c r="J598" t="n">
        <v>0</v>
      </c>
      <c r="K598" t="n">
        <v>0</v>
      </c>
      <c r="L598" t="n">
        <v>0</v>
      </c>
      <c r="M598" t="n">
        <v>0</v>
      </c>
      <c r="N598" t="n">
        <v>0</v>
      </c>
      <c r="O598" t="n">
        <v>0</v>
      </c>
      <c r="P598" t="n">
        <v>0</v>
      </c>
      <c r="Q598" t="n">
        <v>0</v>
      </c>
      <c r="R598" s="2" t="inlineStr"/>
    </row>
    <row r="599" ht="15" customHeight="1">
      <c r="A599" t="inlineStr">
        <is>
          <t>A 56895-2021</t>
        </is>
      </c>
      <c r="B599" s="1" t="n">
        <v>44481</v>
      </c>
      <c r="C599" s="1" t="n">
        <v>46193</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14510-2025</t>
        </is>
      </c>
      <c r="B600" s="1" t="n">
        <v>45741</v>
      </c>
      <c r="C600" s="1" t="n">
        <v>46193</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38381-2025</t>
        </is>
      </c>
      <c r="B601" s="1" t="n">
        <v>45883</v>
      </c>
      <c r="C601" s="1" t="n">
        <v>46193</v>
      </c>
      <c r="D601" t="inlineStr">
        <is>
          <t>JÄMTLANDS LÄN</t>
        </is>
      </c>
      <c r="E601" t="inlineStr">
        <is>
          <t>BRÄCKE</t>
        </is>
      </c>
      <c r="G601" t="n">
        <v>11.1</v>
      </c>
      <c r="H601" t="n">
        <v>0</v>
      </c>
      <c r="I601" t="n">
        <v>0</v>
      </c>
      <c r="J601" t="n">
        <v>0</v>
      </c>
      <c r="K601" t="n">
        <v>0</v>
      </c>
      <c r="L601" t="n">
        <v>0</v>
      </c>
      <c r="M601" t="n">
        <v>0</v>
      </c>
      <c r="N601" t="n">
        <v>0</v>
      </c>
      <c r="O601" t="n">
        <v>0</v>
      </c>
      <c r="P601" t="n">
        <v>0</v>
      </c>
      <c r="Q601" t="n">
        <v>0</v>
      </c>
      <c r="R601" s="2" t="inlineStr"/>
    </row>
    <row r="602" ht="15" customHeight="1">
      <c r="A602" t="inlineStr">
        <is>
          <t>A 22980-2024</t>
        </is>
      </c>
      <c r="B602" s="1" t="n">
        <v>45449</v>
      </c>
      <c r="C602" s="1" t="n">
        <v>46193</v>
      </c>
      <c r="D602" t="inlineStr">
        <is>
          <t>JÄMTLANDS LÄN</t>
        </is>
      </c>
      <c r="E602" t="inlineStr">
        <is>
          <t>BRÄCKE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59417-2023</t>
        </is>
      </c>
      <c r="B603" s="1" t="n">
        <v>45253</v>
      </c>
      <c r="C603" s="1" t="n">
        <v>46193</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46601-2022</t>
        </is>
      </c>
      <c r="B604" s="1" t="n">
        <v>44848</v>
      </c>
      <c r="C604" s="1" t="n">
        <v>46193</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18982-2025</t>
        </is>
      </c>
      <c r="B605" s="1" t="n">
        <v>45764</v>
      </c>
      <c r="C605" s="1" t="n">
        <v>46193</v>
      </c>
      <c r="D605" t="inlineStr">
        <is>
          <t>JÄMTLANDS LÄN</t>
        </is>
      </c>
      <c r="E605" t="inlineStr">
        <is>
          <t>BRÄCKE</t>
        </is>
      </c>
      <c r="F605" t="inlineStr">
        <is>
          <t>SCA</t>
        </is>
      </c>
      <c r="G605" t="n">
        <v>10.3</v>
      </c>
      <c r="H605" t="n">
        <v>0</v>
      </c>
      <c r="I605" t="n">
        <v>0</v>
      </c>
      <c r="J605" t="n">
        <v>0</v>
      </c>
      <c r="K605" t="n">
        <v>0</v>
      </c>
      <c r="L605" t="n">
        <v>0</v>
      </c>
      <c r="M605" t="n">
        <v>0</v>
      </c>
      <c r="N605" t="n">
        <v>0</v>
      </c>
      <c r="O605" t="n">
        <v>0</v>
      </c>
      <c r="P605" t="n">
        <v>0</v>
      </c>
      <c r="Q605" t="n">
        <v>0</v>
      </c>
      <c r="R605" s="2" t="inlineStr"/>
    </row>
    <row r="606" ht="15" customHeight="1">
      <c r="A606" t="inlineStr">
        <is>
          <t>A 3032-2023</t>
        </is>
      </c>
      <c r="B606" s="1" t="n">
        <v>44945</v>
      </c>
      <c r="C606" s="1" t="n">
        <v>46193</v>
      </c>
      <c r="D606" t="inlineStr">
        <is>
          <t>JÄMTLANDS LÄN</t>
        </is>
      </c>
      <c r="E606" t="inlineStr">
        <is>
          <t>BRÄCKE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38123-2025</t>
        </is>
      </c>
      <c r="B607" s="1" t="n">
        <v>45882</v>
      </c>
      <c r="C607" s="1" t="n">
        <v>46193</v>
      </c>
      <c r="D607" t="inlineStr">
        <is>
          <t>JÄMTLANDS LÄN</t>
        </is>
      </c>
      <c r="E607" t="inlineStr">
        <is>
          <t>BRÄCKE</t>
        </is>
      </c>
      <c r="G607" t="n">
        <v>3.8</v>
      </c>
      <c r="H607" t="n">
        <v>0</v>
      </c>
      <c r="I607" t="n">
        <v>0</v>
      </c>
      <c r="J607" t="n">
        <v>0</v>
      </c>
      <c r="K607" t="n">
        <v>0</v>
      </c>
      <c r="L607" t="n">
        <v>0</v>
      </c>
      <c r="M607" t="n">
        <v>0</v>
      </c>
      <c r="N607" t="n">
        <v>0</v>
      </c>
      <c r="O607" t="n">
        <v>0</v>
      </c>
      <c r="P607" t="n">
        <v>0</v>
      </c>
      <c r="Q607" t="n">
        <v>0</v>
      </c>
      <c r="R607" s="2" t="inlineStr"/>
    </row>
    <row r="608" ht="15" customHeight="1">
      <c r="A608" t="inlineStr">
        <is>
          <t>A 48900-2023</t>
        </is>
      </c>
      <c r="B608" s="1" t="n">
        <v>45209</v>
      </c>
      <c r="C608" s="1" t="n">
        <v>46193</v>
      </c>
      <c r="D608" t="inlineStr">
        <is>
          <t>JÄMTLANDS LÄN</t>
        </is>
      </c>
      <c r="E608" t="inlineStr">
        <is>
          <t>BRÄCKE</t>
        </is>
      </c>
      <c r="G608" t="n">
        <v>4.9</v>
      </c>
      <c r="H608" t="n">
        <v>0</v>
      </c>
      <c r="I608" t="n">
        <v>0</v>
      </c>
      <c r="J608" t="n">
        <v>0</v>
      </c>
      <c r="K608" t="n">
        <v>0</v>
      </c>
      <c r="L608" t="n">
        <v>0</v>
      </c>
      <c r="M608" t="n">
        <v>0</v>
      </c>
      <c r="N608" t="n">
        <v>0</v>
      </c>
      <c r="O608" t="n">
        <v>0</v>
      </c>
      <c r="P608" t="n">
        <v>0</v>
      </c>
      <c r="Q608" t="n">
        <v>0</v>
      </c>
      <c r="R608" s="2" t="inlineStr"/>
    </row>
    <row r="609" ht="15" customHeight="1">
      <c r="A609" t="inlineStr">
        <is>
          <t>A 32101-2021</t>
        </is>
      </c>
      <c r="B609" s="1" t="n">
        <v>44370</v>
      </c>
      <c r="C609" s="1" t="n">
        <v>46193</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20267-2024</t>
        </is>
      </c>
      <c r="B610" s="1" t="n">
        <v>45434</v>
      </c>
      <c r="C610" s="1" t="n">
        <v>46193</v>
      </c>
      <c r="D610" t="inlineStr">
        <is>
          <t>JÄMTLANDS LÄN</t>
        </is>
      </c>
      <c r="E610" t="inlineStr">
        <is>
          <t>BRÄCKE</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37960-2024</t>
        </is>
      </c>
      <c r="B611" s="1" t="n">
        <v>45544</v>
      </c>
      <c r="C611" s="1" t="n">
        <v>46193</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31566-2024</t>
        </is>
      </c>
      <c r="B612" s="1" t="n">
        <v>45505</v>
      </c>
      <c r="C612" s="1" t="n">
        <v>46193</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38326-2025</t>
        </is>
      </c>
      <c r="B613" s="1" t="n">
        <v>45883</v>
      </c>
      <c r="C613" s="1" t="n">
        <v>46193</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38358-2025</t>
        </is>
      </c>
      <c r="B614" s="1" t="n">
        <v>45883</v>
      </c>
      <c r="C614" s="1" t="n">
        <v>46193</v>
      </c>
      <c r="D614" t="inlineStr">
        <is>
          <t>JÄMTLANDS LÄN</t>
        </is>
      </c>
      <c r="E614" t="inlineStr">
        <is>
          <t>BRÄCKE</t>
        </is>
      </c>
      <c r="F614" t="inlineStr">
        <is>
          <t>SCA</t>
        </is>
      </c>
      <c r="G614" t="n">
        <v>0.3</v>
      </c>
      <c r="H614" t="n">
        <v>0</v>
      </c>
      <c r="I614" t="n">
        <v>0</v>
      </c>
      <c r="J614" t="n">
        <v>0</v>
      </c>
      <c r="K614" t="n">
        <v>0</v>
      </c>
      <c r="L614" t="n">
        <v>0</v>
      </c>
      <c r="M614" t="n">
        <v>0</v>
      </c>
      <c r="N614" t="n">
        <v>0</v>
      </c>
      <c r="O614" t="n">
        <v>0</v>
      </c>
      <c r="P614" t="n">
        <v>0</v>
      </c>
      <c r="Q614" t="n">
        <v>0</v>
      </c>
      <c r="R614" s="2" t="inlineStr"/>
    </row>
    <row r="615" ht="15" customHeight="1">
      <c r="A615" t="inlineStr">
        <is>
          <t>A 38361-2025</t>
        </is>
      </c>
      <c r="B615" s="1" t="n">
        <v>45883</v>
      </c>
      <c r="C615" s="1" t="n">
        <v>46193</v>
      </c>
      <c r="D615" t="inlineStr">
        <is>
          <t>JÄMTLANDS LÄN</t>
        </is>
      </c>
      <c r="E615" t="inlineStr">
        <is>
          <t>BRÄCKE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38391-2025</t>
        </is>
      </c>
      <c r="B616" s="1" t="n">
        <v>45883</v>
      </c>
      <c r="C616" s="1" t="n">
        <v>46193</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34807-2024</t>
        </is>
      </c>
      <c r="B617" s="1" t="n">
        <v>45526</v>
      </c>
      <c r="C617" s="1" t="n">
        <v>46193</v>
      </c>
      <c r="D617" t="inlineStr">
        <is>
          <t>JÄMTLANDS LÄN</t>
        </is>
      </c>
      <c r="E617" t="inlineStr">
        <is>
          <t>BRÄCKE</t>
        </is>
      </c>
      <c r="G617" t="n">
        <v>5.3</v>
      </c>
      <c r="H617" t="n">
        <v>0</v>
      </c>
      <c r="I617" t="n">
        <v>0</v>
      </c>
      <c r="J617" t="n">
        <v>0</v>
      </c>
      <c r="K617" t="n">
        <v>0</v>
      </c>
      <c r="L617" t="n">
        <v>0</v>
      </c>
      <c r="M617" t="n">
        <v>0</v>
      </c>
      <c r="N617" t="n">
        <v>0</v>
      </c>
      <c r="O617" t="n">
        <v>0</v>
      </c>
      <c r="P617" t="n">
        <v>0</v>
      </c>
      <c r="Q617" t="n">
        <v>0</v>
      </c>
      <c r="R617" s="2" t="inlineStr"/>
    </row>
    <row r="618" ht="15" customHeight="1">
      <c r="A618" t="inlineStr">
        <is>
          <t>A 30874-2024</t>
        </is>
      </c>
      <c r="B618" s="1" t="n">
        <v>45498</v>
      </c>
      <c r="C618" s="1" t="n">
        <v>46193</v>
      </c>
      <c r="D618" t="inlineStr">
        <is>
          <t>JÄMTLANDS LÄN</t>
        </is>
      </c>
      <c r="E618" t="inlineStr">
        <is>
          <t>BRÄCKE</t>
        </is>
      </c>
      <c r="G618" t="n">
        <v>0.7</v>
      </c>
      <c r="H618" t="n">
        <v>0</v>
      </c>
      <c r="I618" t="n">
        <v>0</v>
      </c>
      <c r="J618" t="n">
        <v>0</v>
      </c>
      <c r="K618" t="n">
        <v>0</v>
      </c>
      <c r="L618" t="n">
        <v>0</v>
      </c>
      <c r="M618" t="n">
        <v>0</v>
      </c>
      <c r="N618" t="n">
        <v>0</v>
      </c>
      <c r="O618" t="n">
        <v>0</v>
      </c>
      <c r="P618" t="n">
        <v>0</v>
      </c>
      <c r="Q618" t="n">
        <v>0</v>
      </c>
      <c r="R618" s="2" t="inlineStr"/>
    </row>
    <row r="619" ht="15" customHeight="1">
      <c r="A619" t="inlineStr">
        <is>
          <t>A 17252-2025</t>
        </is>
      </c>
      <c r="B619" s="1" t="n">
        <v>45756</v>
      </c>
      <c r="C619" s="1" t="n">
        <v>46193</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55662-2023</t>
        </is>
      </c>
      <c r="B620" s="1" t="n">
        <v>45238</v>
      </c>
      <c r="C620" s="1" t="n">
        <v>46193</v>
      </c>
      <c r="D620" t="inlineStr">
        <is>
          <t>JÄMTLANDS LÄN</t>
        </is>
      </c>
      <c r="E620" t="inlineStr">
        <is>
          <t>BRÄCKE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61362-2024</t>
        </is>
      </c>
      <c r="B621" s="1" t="n">
        <v>45646</v>
      </c>
      <c r="C621" s="1" t="n">
        <v>46193</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37238-2023</t>
        </is>
      </c>
      <c r="B622" s="1" t="n">
        <v>45155</v>
      </c>
      <c r="C622" s="1" t="n">
        <v>46193</v>
      </c>
      <c r="D622" t="inlineStr">
        <is>
          <t>JÄMTLANDS LÄN</t>
        </is>
      </c>
      <c r="E622" t="inlineStr">
        <is>
          <t>BRÄCKE</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40410-2023</t>
        </is>
      </c>
      <c r="B623" s="1" t="n">
        <v>45169</v>
      </c>
      <c r="C623" s="1" t="n">
        <v>46193</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22985-2023</t>
        </is>
      </c>
      <c r="B624" s="1" t="n">
        <v>45072</v>
      </c>
      <c r="C624" s="1" t="n">
        <v>46193</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44082-2024</t>
        </is>
      </c>
      <c r="B625" s="1" t="n">
        <v>45572</v>
      </c>
      <c r="C625" s="1" t="n">
        <v>46193</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38007-2024</t>
        </is>
      </c>
      <c r="B626" s="1" t="n">
        <v>45544</v>
      </c>
      <c r="C626" s="1" t="n">
        <v>46193</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53278-2022</t>
        </is>
      </c>
      <c r="B627" s="1" t="n">
        <v>44876</v>
      </c>
      <c r="C627" s="1" t="n">
        <v>46193</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38352-2025</t>
        </is>
      </c>
      <c r="B628" s="1" t="n">
        <v>45883</v>
      </c>
      <c r="C628" s="1" t="n">
        <v>46193</v>
      </c>
      <c r="D628" t="inlineStr">
        <is>
          <t>JÄMTLANDS LÄN</t>
        </is>
      </c>
      <c r="E628" t="inlineStr">
        <is>
          <t>BRÄCKE</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38353-2025</t>
        </is>
      </c>
      <c r="B629" s="1" t="n">
        <v>45883</v>
      </c>
      <c r="C629" s="1" t="n">
        <v>46193</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38378-2025</t>
        </is>
      </c>
      <c r="B630" s="1" t="n">
        <v>45883</v>
      </c>
      <c r="C630" s="1" t="n">
        <v>46193</v>
      </c>
      <c r="D630" t="inlineStr">
        <is>
          <t>JÄMTLANDS LÄN</t>
        </is>
      </c>
      <c r="E630" t="inlineStr">
        <is>
          <t>BRÄCKE</t>
        </is>
      </c>
      <c r="G630" t="n">
        <v>0.7</v>
      </c>
      <c r="H630" t="n">
        <v>0</v>
      </c>
      <c r="I630" t="n">
        <v>0</v>
      </c>
      <c r="J630" t="n">
        <v>0</v>
      </c>
      <c r="K630" t="n">
        <v>0</v>
      </c>
      <c r="L630" t="n">
        <v>0</v>
      </c>
      <c r="M630" t="n">
        <v>0</v>
      </c>
      <c r="N630" t="n">
        <v>0</v>
      </c>
      <c r="O630" t="n">
        <v>0</v>
      </c>
      <c r="P630" t="n">
        <v>0</v>
      </c>
      <c r="Q630" t="n">
        <v>0</v>
      </c>
      <c r="R630" s="2" t="inlineStr"/>
    </row>
    <row r="631" ht="15" customHeight="1">
      <c r="A631" t="inlineStr">
        <is>
          <t>A 38379-2025</t>
        </is>
      </c>
      <c r="B631" s="1" t="n">
        <v>45883</v>
      </c>
      <c r="C631" s="1" t="n">
        <v>46193</v>
      </c>
      <c r="D631" t="inlineStr">
        <is>
          <t>JÄMTLANDS LÄN</t>
        </is>
      </c>
      <c r="E631" t="inlineStr">
        <is>
          <t>BRÄCKE</t>
        </is>
      </c>
      <c r="G631" t="n">
        <v>0.7</v>
      </c>
      <c r="H631" t="n">
        <v>0</v>
      </c>
      <c r="I631" t="n">
        <v>0</v>
      </c>
      <c r="J631" t="n">
        <v>0</v>
      </c>
      <c r="K631" t="n">
        <v>0</v>
      </c>
      <c r="L631" t="n">
        <v>0</v>
      </c>
      <c r="M631" t="n">
        <v>0</v>
      </c>
      <c r="N631" t="n">
        <v>0</v>
      </c>
      <c r="O631" t="n">
        <v>0</v>
      </c>
      <c r="P631" t="n">
        <v>0</v>
      </c>
      <c r="Q631" t="n">
        <v>0</v>
      </c>
      <c r="R631" s="2" t="inlineStr"/>
    </row>
    <row r="632" ht="15" customHeight="1">
      <c r="A632" t="inlineStr">
        <is>
          <t>A 53152-2024</t>
        </is>
      </c>
      <c r="B632" s="1" t="n">
        <v>45611</v>
      </c>
      <c r="C632" s="1" t="n">
        <v>46193</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49709-2024</t>
        </is>
      </c>
      <c r="B633" s="1" t="n">
        <v>45596</v>
      </c>
      <c r="C633" s="1" t="n">
        <v>46193</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34409-2021</t>
        </is>
      </c>
      <c r="B634" s="1" t="n">
        <v>44379</v>
      </c>
      <c r="C634" s="1" t="n">
        <v>46193</v>
      </c>
      <c r="D634" t="inlineStr">
        <is>
          <t>JÄMTLANDS LÄN</t>
        </is>
      </c>
      <c r="E634" t="inlineStr">
        <is>
          <t>BRÄCKE</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38459-2025</t>
        </is>
      </c>
      <c r="B635" s="1" t="n">
        <v>45883</v>
      </c>
      <c r="C635" s="1" t="n">
        <v>46193</v>
      </c>
      <c r="D635" t="inlineStr">
        <is>
          <t>JÄMTLANDS LÄN</t>
        </is>
      </c>
      <c r="E635" t="inlineStr">
        <is>
          <t>BRÄCKE</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13166-2024</t>
        </is>
      </c>
      <c r="B636" s="1" t="n">
        <v>45386</v>
      </c>
      <c r="C636" s="1" t="n">
        <v>46193</v>
      </c>
      <c r="D636" t="inlineStr">
        <is>
          <t>JÄMTLANDS LÄN</t>
        </is>
      </c>
      <c r="E636" t="inlineStr">
        <is>
          <t>BRÄCKE</t>
        </is>
      </c>
      <c r="G636" t="n">
        <v>7.3</v>
      </c>
      <c r="H636" t="n">
        <v>0</v>
      </c>
      <c r="I636" t="n">
        <v>0</v>
      </c>
      <c r="J636" t="n">
        <v>0</v>
      </c>
      <c r="K636" t="n">
        <v>0</v>
      </c>
      <c r="L636" t="n">
        <v>0</v>
      </c>
      <c r="M636" t="n">
        <v>0</v>
      </c>
      <c r="N636" t="n">
        <v>0</v>
      </c>
      <c r="O636" t="n">
        <v>0</v>
      </c>
      <c r="P636" t="n">
        <v>0</v>
      </c>
      <c r="Q636" t="n">
        <v>0</v>
      </c>
      <c r="R636" s="2" t="inlineStr"/>
    </row>
    <row r="637" ht="15" customHeight="1">
      <c r="A637" t="inlineStr">
        <is>
          <t>A 24874-2024</t>
        </is>
      </c>
      <c r="B637" s="1" t="n">
        <v>45461</v>
      </c>
      <c r="C637" s="1" t="n">
        <v>46193</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24878-2024</t>
        </is>
      </c>
      <c r="B638" s="1" t="n">
        <v>45461</v>
      </c>
      <c r="C638" s="1" t="n">
        <v>46193</v>
      </c>
      <c r="D638" t="inlineStr">
        <is>
          <t>JÄMTLANDS LÄN</t>
        </is>
      </c>
      <c r="E638" t="inlineStr">
        <is>
          <t>BRÄCKE</t>
        </is>
      </c>
      <c r="G638" t="n">
        <v>3.8</v>
      </c>
      <c r="H638" t="n">
        <v>0</v>
      </c>
      <c r="I638" t="n">
        <v>0</v>
      </c>
      <c r="J638" t="n">
        <v>0</v>
      </c>
      <c r="K638" t="n">
        <v>0</v>
      </c>
      <c r="L638" t="n">
        <v>0</v>
      </c>
      <c r="M638" t="n">
        <v>0</v>
      </c>
      <c r="N638" t="n">
        <v>0</v>
      </c>
      <c r="O638" t="n">
        <v>0</v>
      </c>
      <c r="P638" t="n">
        <v>0</v>
      </c>
      <c r="Q638" t="n">
        <v>0</v>
      </c>
      <c r="R638" s="2" t="inlineStr"/>
    </row>
    <row r="639" ht="15" customHeight="1">
      <c r="A639" t="inlineStr">
        <is>
          <t>A 13180-2024</t>
        </is>
      </c>
      <c r="B639" s="1" t="n">
        <v>45386</v>
      </c>
      <c r="C639" s="1" t="n">
        <v>46193</v>
      </c>
      <c r="D639" t="inlineStr">
        <is>
          <t>JÄMTLANDS LÄN</t>
        </is>
      </c>
      <c r="E639" t="inlineStr">
        <is>
          <t>BRÄCKE</t>
        </is>
      </c>
      <c r="G639" t="n">
        <v>1.8</v>
      </c>
      <c r="H639" t="n">
        <v>0</v>
      </c>
      <c r="I639" t="n">
        <v>0</v>
      </c>
      <c r="J639" t="n">
        <v>0</v>
      </c>
      <c r="K639" t="n">
        <v>0</v>
      </c>
      <c r="L639" t="n">
        <v>0</v>
      </c>
      <c r="M639" t="n">
        <v>0</v>
      </c>
      <c r="N639" t="n">
        <v>0</v>
      </c>
      <c r="O639" t="n">
        <v>0</v>
      </c>
      <c r="P639" t="n">
        <v>0</v>
      </c>
      <c r="Q639" t="n">
        <v>0</v>
      </c>
      <c r="R639" s="2" t="inlineStr"/>
    </row>
    <row r="640" ht="15" customHeight="1">
      <c r="A640" t="inlineStr">
        <is>
          <t>A 32961-2022</t>
        </is>
      </c>
      <c r="B640" s="1" t="n">
        <v>44784</v>
      </c>
      <c r="C640" s="1" t="n">
        <v>46193</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22978-2024</t>
        </is>
      </c>
      <c r="B641" s="1" t="n">
        <v>45449</v>
      </c>
      <c r="C641" s="1" t="n">
        <v>46193</v>
      </c>
      <c r="D641" t="inlineStr">
        <is>
          <t>JÄMTLANDS LÄN</t>
        </is>
      </c>
      <c r="E641" t="inlineStr">
        <is>
          <t>BRÄCKE</t>
        </is>
      </c>
      <c r="G641" t="n">
        <v>3.9</v>
      </c>
      <c r="H641" t="n">
        <v>0</v>
      </c>
      <c r="I641" t="n">
        <v>0</v>
      </c>
      <c r="J641" t="n">
        <v>0</v>
      </c>
      <c r="K641" t="n">
        <v>0</v>
      </c>
      <c r="L641" t="n">
        <v>0</v>
      </c>
      <c r="M641" t="n">
        <v>0</v>
      </c>
      <c r="N641" t="n">
        <v>0</v>
      </c>
      <c r="O641" t="n">
        <v>0</v>
      </c>
      <c r="P641" t="n">
        <v>0</v>
      </c>
      <c r="Q641" t="n">
        <v>0</v>
      </c>
      <c r="R641" s="2" t="inlineStr"/>
    </row>
    <row r="642" ht="15" customHeight="1">
      <c r="A642" t="inlineStr">
        <is>
          <t>A 38245-2025</t>
        </is>
      </c>
      <c r="B642" s="1" t="n">
        <v>45883</v>
      </c>
      <c r="C642" s="1" t="n">
        <v>46193</v>
      </c>
      <c r="D642" t="inlineStr">
        <is>
          <t>JÄMTLANDS LÄN</t>
        </is>
      </c>
      <c r="E642" t="inlineStr">
        <is>
          <t>BRÄCKE</t>
        </is>
      </c>
      <c r="G642" t="n">
        <v>4.8</v>
      </c>
      <c r="H642" t="n">
        <v>0</v>
      </c>
      <c r="I642" t="n">
        <v>0</v>
      </c>
      <c r="J642" t="n">
        <v>0</v>
      </c>
      <c r="K642" t="n">
        <v>0</v>
      </c>
      <c r="L642" t="n">
        <v>0</v>
      </c>
      <c r="M642" t="n">
        <v>0</v>
      </c>
      <c r="N642" t="n">
        <v>0</v>
      </c>
      <c r="O642" t="n">
        <v>0</v>
      </c>
      <c r="P642" t="n">
        <v>0</v>
      </c>
      <c r="Q642" t="n">
        <v>0</v>
      </c>
      <c r="R642" s="2" t="inlineStr"/>
    </row>
    <row r="643" ht="15" customHeight="1">
      <c r="A643" t="inlineStr">
        <is>
          <t>A 4121-2025</t>
        </is>
      </c>
      <c r="B643" s="1" t="n">
        <v>45685</v>
      </c>
      <c r="C643" s="1" t="n">
        <v>46193</v>
      </c>
      <c r="D643" t="inlineStr">
        <is>
          <t>JÄMTLANDS LÄN</t>
        </is>
      </c>
      <c r="E643" t="inlineStr">
        <is>
          <t>BRÄCKE</t>
        </is>
      </c>
      <c r="G643" t="n">
        <v>1.5</v>
      </c>
      <c r="H643" t="n">
        <v>0</v>
      </c>
      <c r="I643" t="n">
        <v>0</v>
      </c>
      <c r="J643" t="n">
        <v>0</v>
      </c>
      <c r="K643" t="n">
        <v>0</v>
      </c>
      <c r="L643" t="n">
        <v>0</v>
      </c>
      <c r="M643" t="n">
        <v>0</v>
      </c>
      <c r="N643" t="n">
        <v>0</v>
      </c>
      <c r="O643" t="n">
        <v>0</v>
      </c>
      <c r="P643" t="n">
        <v>0</v>
      </c>
      <c r="Q643" t="n">
        <v>0</v>
      </c>
      <c r="R643" s="2" t="inlineStr"/>
    </row>
    <row r="644" ht="15" customHeight="1">
      <c r="A644" t="inlineStr">
        <is>
          <t>A 43551-2023</t>
        </is>
      </c>
      <c r="B644" s="1" t="n">
        <v>45181</v>
      </c>
      <c r="C644" s="1" t="n">
        <v>46193</v>
      </c>
      <c r="D644" t="inlineStr">
        <is>
          <t>JÄMTLANDS LÄN</t>
        </is>
      </c>
      <c r="E644" t="inlineStr">
        <is>
          <t>BRÄCKE</t>
        </is>
      </c>
      <c r="G644" t="n">
        <v>1.9</v>
      </c>
      <c r="H644" t="n">
        <v>0</v>
      </c>
      <c r="I644" t="n">
        <v>0</v>
      </c>
      <c r="J644" t="n">
        <v>0</v>
      </c>
      <c r="K644" t="n">
        <v>0</v>
      </c>
      <c r="L644" t="n">
        <v>0</v>
      </c>
      <c r="M644" t="n">
        <v>0</v>
      </c>
      <c r="N644" t="n">
        <v>0</v>
      </c>
      <c r="O644" t="n">
        <v>0</v>
      </c>
      <c r="P644" t="n">
        <v>0</v>
      </c>
      <c r="Q644" t="n">
        <v>0</v>
      </c>
      <c r="R644" s="2" t="inlineStr"/>
    </row>
    <row r="645" ht="15" customHeight="1">
      <c r="A645" t="inlineStr">
        <is>
          <t>A 31843-2022</t>
        </is>
      </c>
      <c r="B645" s="1" t="n">
        <v>44776</v>
      </c>
      <c r="C645" s="1" t="n">
        <v>46193</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31853-2022</t>
        </is>
      </c>
      <c r="B646" s="1" t="n">
        <v>44776</v>
      </c>
      <c r="C646" s="1" t="n">
        <v>46193</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45010-2023</t>
        </is>
      </c>
      <c r="B647" s="1" t="n">
        <v>45190</v>
      </c>
      <c r="C647" s="1" t="n">
        <v>46193</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45013-2023</t>
        </is>
      </c>
      <c r="B648" s="1" t="n">
        <v>45190</v>
      </c>
      <c r="C648" s="1" t="n">
        <v>46193</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57590-2024</t>
        </is>
      </c>
      <c r="B649" s="1" t="n">
        <v>45630</v>
      </c>
      <c r="C649" s="1" t="n">
        <v>46193</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56822-2022</t>
        </is>
      </c>
      <c r="B650" s="1" t="n">
        <v>44894</v>
      </c>
      <c r="C650" s="1" t="n">
        <v>46193</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30685-2023</t>
        </is>
      </c>
      <c r="B651" s="1" t="n">
        <v>45112</v>
      </c>
      <c r="C651" s="1" t="n">
        <v>46193</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31342-2021</t>
        </is>
      </c>
      <c r="B652" s="1" t="n">
        <v>44368</v>
      </c>
      <c r="C652" s="1" t="n">
        <v>46193</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55997-2024</t>
        </is>
      </c>
      <c r="B653" s="1" t="n">
        <v>45623</v>
      </c>
      <c r="C653" s="1" t="n">
        <v>46193</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20003-2024</t>
        </is>
      </c>
      <c r="B654" s="1" t="n">
        <v>45433</v>
      </c>
      <c r="C654" s="1" t="n">
        <v>46193</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39100-2025</t>
        </is>
      </c>
      <c r="B655" s="1" t="n">
        <v>45888</v>
      </c>
      <c r="C655" s="1" t="n">
        <v>46193</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38847-2025</t>
        </is>
      </c>
      <c r="B656" s="1" t="n">
        <v>45887</v>
      </c>
      <c r="C656" s="1" t="n">
        <v>46193</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29941-2023</t>
        </is>
      </c>
      <c r="B657" s="1" t="n">
        <v>45107</v>
      </c>
      <c r="C657" s="1" t="n">
        <v>46193</v>
      </c>
      <c r="D657" t="inlineStr">
        <is>
          <t>JÄMTLANDS LÄN</t>
        </is>
      </c>
      <c r="E657" t="inlineStr">
        <is>
          <t>BRÄCKE</t>
        </is>
      </c>
      <c r="G657" t="n">
        <v>6.1</v>
      </c>
      <c r="H657" t="n">
        <v>0</v>
      </c>
      <c r="I657" t="n">
        <v>0</v>
      </c>
      <c r="J657" t="n">
        <v>0</v>
      </c>
      <c r="K657" t="n">
        <v>0</v>
      </c>
      <c r="L657" t="n">
        <v>0</v>
      </c>
      <c r="M657" t="n">
        <v>0</v>
      </c>
      <c r="N657" t="n">
        <v>0</v>
      </c>
      <c r="O657" t="n">
        <v>0</v>
      </c>
      <c r="P657" t="n">
        <v>0</v>
      </c>
      <c r="Q657" t="n">
        <v>0</v>
      </c>
      <c r="R657" s="2" t="inlineStr"/>
    </row>
    <row r="658" ht="15" customHeight="1">
      <c r="A658" t="inlineStr">
        <is>
          <t>A 45381-2024</t>
        </is>
      </c>
      <c r="B658" s="1" t="n">
        <v>45576</v>
      </c>
      <c r="C658" s="1" t="n">
        <v>46193</v>
      </c>
      <c r="D658" t="inlineStr">
        <is>
          <t>JÄMTLANDS LÄN</t>
        </is>
      </c>
      <c r="E658" t="inlineStr">
        <is>
          <t>BRÄCKE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41311-2024</t>
        </is>
      </c>
      <c r="B659" s="1" t="n">
        <v>45559</v>
      </c>
      <c r="C659" s="1" t="n">
        <v>46193</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57586-2024</t>
        </is>
      </c>
      <c r="B660" s="1" t="n">
        <v>45630</v>
      </c>
      <c r="C660" s="1" t="n">
        <v>46193</v>
      </c>
      <c r="D660" t="inlineStr">
        <is>
          <t>JÄMTLANDS LÄN</t>
        </is>
      </c>
      <c r="E660" t="inlineStr">
        <is>
          <t>BRÄCKE</t>
        </is>
      </c>
      <c r="G660" t="n">
        <v>0.1</v>
      </c>
      <c r="H660" t="n">
        <v>0</v>
      </c>
      <c r="I660" t="n">
        <v>0</v>
      </c>
      <c r="J660" t="n">
        <v>0</v>
      </c>
      <c r="K660" t="n">
        <v>0</v>
      </c>
      <c r="L660" t="n">
        <v>0</v>
      </c>
      <c r="M660" t="n">
        <v>0</v>
      </c>
      <c r="N660" t="n">
        <v>0</v>
      </c>
      <c r="O660" t="n">
        <v>0</v>
      </c>
      <c r="P660" t="n">
        <v>0</v>
      </c>
      <c r="Q660" t="n">
        <v>0</v>
      </c>
      <c r="R660" s="2" t="inlineStr"/>
    </row>
    <row r="661" ht="15" customHeight="1">
      <c r="A661" t="inlineStr">
        <is>
          <t>A 4381-2023</t>
        </is>
      </c>
      <c r="B661" s="1" t="n">
        <v>44955</v>
      </c>
      <c r="C661" s="1" t="n">
        <v>46193</v>
      </c>
      <c r="D661" t="inlineStr">
        <is>
          <t>JÄMTLANDS LÄN</t>
        </is>
      </c>
      <c r="E661" t="inlineStr">
        <is>
          <t>BRÄCKE</t>
        </is>
      </c>
      <c r="G661" t="n">
        <v>2.1</v>
      </c>
      <c r="H661" t="n">
        <v>0</v>
      </c>
      <c r="I661" t="n">
        <v>0</v>
      </c>
      <c r="J661" t="n">
        <v>0</v>
      </c>
      <c r="K661" t="n">
        <v>0</v>
      </c>
      <c r="L661" t="n">
        <v>0</v>
      </c>
      <c r="M661" t="n">
        <v>0</v>
      </c>
      <c r="N661" t="n">
        <v>0</v>
      </c>
      <c r="O661" t="n">
        <v>0</v>
      </c>
      <c r="P661" t="n">
        <v>0</v>
      </c>
      <c r="Q661" t="n">
        <v>0</v>
      </c>
      <c r="R661" s="2" t="inlineStr"/>
    </row>
    <row r="662" ht="15" customHeight="1">
      <c r="A662" t="inlineStr">
        <is>
          <t>A 14290-2025</t>
        </is>
      </c>
      <c r="B662" s="1" t="n">
        <v>45740</v>
      </c>
      <c r="C662" s="1" t="n">
        <v>46193</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13244-2023</t>
        </is>
      </c>
      <c r="B663" s="1" t="n">
        <v>45002</v>
      </c>
      <c r="C663" s="1" t="n">
        <v>46193</v>
      </c>
      <c r="D663" t="inlineStr">
        <is>
          <t>JÄMTLANDS LÄN</t>
        </is>
      </c>
      <c r="E663" t="inlineStr">
        <is>
          <t>BRÄCKE</t>
        </is>
      </c>
      <c r="G663" t="n">
        <v>1.1</v>
      </c>
      <c r="H663" t="n">
        <v>0</v>
      </c>
      <c r="I663" t="n">
        <v>0</v>
      </c>
      <c r="J663" t="n">
        <v>0</v>
      </c>
      <c r="K663" t="n">
        <v>0</v>
      </c>
      <c r="L663" t="n">
        <v>0</v>
      </c>
      <c r="M663" t="n">
        <v>0</v>
      </c>
      <c r="N663" t="n">
        <v>0</v>
      </c>
      <c r="O663" t="n">
        <v>0</v>
      </c>
      <c r="P663" t="n">
        <v>0</v>
      </c>
      <c r="Q663" t="n">
        <v>0</v>
      </c>
      <c r="R663" s="2" t="inlineStr"/>
    </row>
    <row r="664" ht="15" customHeight="1">
      <c r="A664" t="inlineStr">
        <is>
          <t>A 35903-2024</t>
        </is>
      </c>
      <c r="B664" s="1" t="n">
        <v>45533</v>
      </c>
      <c r="C664" s="1" t="n">
        <v>46193</v>
      </c>
      <c r="D664" t="inlineStr">
        <is>
          <t>JÄMTLANDS LÄN</t>
        </is>
      </c>
      <c r="E664" t="inlineStr">
        <is>
          <t>BRÄCKE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20157-2025</t>
        </is>
      </c>
      <c r="B665" s="1" t="n">
        <v>45772</v>
      </c>
      <c r="C665" s="1" t="n">
        <v>46193</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34315-2022</t>
        </is>
      </c>
      <c r="B666" s="1" t="n">
        <v>44792</v>
      </c>
      <c r="C666" s="1" t="n">
        <v>46193</v>
      </c>
      <c r="D666" t="inlineStr">
        <is>
          <t>JÄMTLANDS LÄN</t>
        </is>
      </c>
      <c r="E666" t="inlineStr">
        <is>
          <t>BRÄCKE</t>
        </is>
      </c>
      <c r="G666" t="n">
        <v>4.9</v>
      </c>
      <c r="H666" t="n">
        <v>0</v>
      </c>
      <c r="I666" t="n">
        <v>0</v>
      </c>
      <c r="J666" t="n">
        <v>0</v>
      </c>
      <c r="K666" t="n">
        <v>0</v>
      </c>
      <c r="L666" t="n">
        <v>0</v>
      </c>
      <c r="M666" t="n">
        <v>0</v>
      </c>
      <c r="N666" t="n">
        <v>0</v>
      </c>
      <c r="O666" t="n">
        <v>0</v>
      </c>
      <c r="P666" t="n">
        <v>0</v>
      </c>
      <c r="Q666" t="n">
        <v>0</v>
      </c>
      <c r="R666" s="2" t="inlineStr"/>
    </row>
    <row r="667" ht="15" customHeight="1">
      <c r="A667" t="inlineStr">
        <is>
          <t>A 57942-2023</t>
        </is>
      </c>
      <c r="B667" s="1" t="n">
        <v>45244</v>
      </c>
      <c r="C667" s="1" t="n">
        <v>46193</v>
      </c>
      <c r="D667" t="inlineStr">
        <is>
          <t>JÄMTLANDS LÄN</t>
        </is>
      </c>
      <c r="E667" t="inlineStr">
        <is>
          <t>BRÄCKE</t>
        </is>
      </c>
      <c r="G667" t="n">
        <v>3.9</v>
      </c>
      <c r="H667" t="n">
        <v>0</v>
      </c>
      <c r="I667" t="n">
        <v>0</v>
      </c>
      <c r="J667" t="n">
        <v>0</v>
      </c>
      <c r="K667" t="n">
        <v>0</v>
      </c>
      <c r="L667" t="n">
        <v>0</v>
      </c>
      <c r="M667" t="n">
        <v>0</v>
      </c>
      <c r="N667" t="n">
        <v>0</v>
      </c>
      <c r="O667" t="n">
        <v>0</v>
      </c>
      <c r="P667" t="n">
        <v>0</v>
      </c>
      <c r="Q667" t="n">
        <v>0</v>
      </c>
      <c r="R667" s="2" t="inlineStr"/>
    </row>
    <row r="668" ht="15" customHeight="1">
      <c r="A668" t="inlineStr">
        <is>
          <t>A 31567-2024</t>
        </is>
      </c>
      <c r="B668" s="1" t="n">
        <v>45505</v>
      </c>
      <c r="C668" s="1" t="n">
        <v>46193</v>
      </c>
      <c r="D668" t="inlineStr">
        <is>
          <t>JÄMTLANDS LÄN</t>
        </is>
      </c>
      <c r="E668" t="inlineStr">
        <is>
          <t>BRÄCKE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4893-2025</t>
        </is>
      </c>
      <c r="B669" s="1" t="n">
        <v>45688</v>
      </c>
      <c r="C669" s="1" t="n">
        <v>46193</v>
      </c>
      <c r="D669" t="inlineStr">
        <is>
          <t>JÄMTLANDS LÄN</t>
        </is>
      </c>
      <c r="E669" t="inlineStr">
        <is>
          <t>BRÄCKE</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44324-2023</t>
        </is>
      </c>
      <c r="B670" s="1" t="n">
        <v>45188</v>
      </c>
      <c r="C670" s="1" t="n">
        <v>46193</v>
      </c>
      <c r="D670" t="inlineStr">
        <is>
          <t>JÄMTLANDS LÄN</t>
        </is>
      </c>
      <c r="E670" t="inlineStr">
        <is>
          <t>BRÄCKE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29189-2024</t>
        </is>
      </c>
      <c r="B671" s="1" t="n">
        <v>45482</v>
      </c>
      <c r="C671" s="1" t="n">
        <v>46193</v>
      </c>
      <c r="D671" t="inlineStr">
        <is>
          <t>JÄMTLANDS LÄN</t>
        </is>
      </c>
      <c r="E671" t="inlineStr">
        <is>
          <t>BRÄCKE</t>
        </is>
      </c>
      <c r="F671" t="inlineStr">
        <is>
          <t>Övriga Aktiebolag</t>
        </is>
      </c>
      <c r="G671" t="n">
        <v>6.6</v>
      </c>
      <c r="H671" t="n">
        <v>0</v>
      </c>
      <c r="I671" t="n">
        <v>0</v>
      </c>
      <c r="J671" t="n">
        <v>0</v>
      </c>
      <c r="K671" t="n">
        <v>0</v>
      </c>
      <c r="L671" t="n">
        <v>0</v>
      </c>
      <c r="M671" t="n">
        <v>0</v>
      </c>
      <c r="N671" t="n">
        <v>0</v>
      </c>
      <c r="O671" t="n">
        <v>0</v>
      </c>
      <c r="P671" t="n">
        <v>0</v>
      </c>
      <c r="Q671" t="n">
        <v>0</v>
      </c>
      <c r="R671" s="2" t="inlineStr"/>
    </row>
    <row r="672" ht="15" customHeight="1">
      <c r="A672" t="inlineStr">
        <is>
          <t>A 2954-2023</t>
        </is>
      </c>
      <c r="B672" s="1" t="n">
        <v>44945</v>
      </c>
      <c r="C672" s="1" t="n">
        <v>46193</v>
      </c>
      <c r="D672" t="inlineStr">
        <is>
          <t>JÄMTLANDS LÄN</t>
        </is>
      </c>
      <c r="E672" t="inlineStr">
        <is>
          <t>BRÄCKE</t>
        </is>
      </c>
      <c r="F672" t="inlineStr">
        <is>
          <t>Övriga Aktiebolag</t>
        </is>
      </c>
      <c r="G672" t="n">
        <v>5.7</v>
      </c>
      <c r="H672" t="n">
        <v>0</v>
      </c>
      <c r="I672" t="n">
        <v>0</v>
      </c>
      <c r="J672" t="n">
        <v>0</v>
      </c>
      <c r="K672" t="n">
        <v>0</v>
      </c>
      <c r="L672" t="n">
        <v>0</v>
      </c>
      <c r="M672" t="n">
        <v>0</v>
      </c>
      <c r="N672" t="n">
        <v>0</v>
      </c>
      <c r="O672" t="n">
        <v>0</v>
      </c>
      <c r="P672" t="n">
        <v>0</v>
      </c>
      <c r="Q672" t="n">
        <v>0</v>
      </c>
      <c r="R672" s="2" t="inlineStr"/>
    </row>
    <row r="673" ht="15" customHeight="1">
      <c r="A673" t="inlineStr">
        <is>
          <t>A 8891-2025</t>
        </is>
      </c>
      <c r="B673" s="1" t="n">
        <v>45713</v>
      </c>
      <c r="C673" s="1" t="n">
        <v>46193</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45974-2024</t>
        </is>
      </c>
      <c r="B674" s="1" t="n">
        <v>45580</v>
      </c>
      <c r="C674" s="1" t="n">
        <v>46193</v>
      </c>
      <c r="D674" t="inlineStr">
        <is>
          <t>JÄMTLANDS LÄN</t>
        </is>
      </c>
      <c r="E674" t="inlineStr">
        <is>
          <t>BRÄCKE</t>
        </is>
      </c>
      <c r="F674" t="inlineStr">
        <is>
          <t>Naturvårdsverket</t>
        </is>
      </c>
      <c r="G674" t="n">
        <v>0.3</v>
      </c>
      <c r="H674" t="n">
        <v>0</v>
      </c>
      <c r="I674" t="n">
        <v>0</v>
      </c>
      <c r="J674" t="n">
        <v>0</v>
      </c>
      <c r="K674" t="n">
        <v>0</v>
      </c>
      <c r="L674" t="n">
        <v>0</v>
      </c>
      <c r="M674" t="n">
        <v>0</v>
      </c>
      <c r="N674" t="n">
        <v>0</v>
      </c>
      <c r="O674" t="n">
        <v>0</v>
      </c>
      <c r="P674" t="n">
        <v>0</v>
      </c>
      <c r="Q674" t="n">
        <v>0</v>
      </c>
      <c r="R674" s="2" t="inlineStr"/>
    </row>
    <row r="675" ht="15" customHeight="1">
      <c r="A675" t="inlineStr">
        <is>
          <t>A 58740-2023</t>
        </is>
      </c>
      <c r="B675" s="1" t="n">
        <v>45251</v>
      </c>
      <c r="C675" s="1" t="n">
        <v>46193</v>
      </c>
      <c r="D675" t="inlineStr">
        <is>
          <t>JÄMTLANDS LÄN</t>
        </is>
      </c>
      <c r="E675" t="inlineStr">
        <is>
          <t>BRÄCKE</t>
        </is>
      </c>
      <c r="G675" t="n">
        <v>1.4</v>
      </c>
      <c r="H675" t="n">
        <v>0</v>
      </c>
      <c r="I675" t="n">
        <v>0</v>
      </c>
      <c r="J675" t="n">
        <v>0</v>
      </c>
      <c r="K675" t="n">
        <v>0</v>
      </c>
      <c r="L675" t="n">
        <v>0</v>
      </c>
      <c r="M675" t="n">
        <v>0</v>
      </c>
      <c r="N675" t="n">
        <v>0</v>
      </c>
      <c r="O675" t="n">
        <v>0</v>
      </c>
      <c r="P675" t="n">
        <v>0</v>
      </c>
      <c r="Q675" t="n">
        <v>0</v>
      </c>
      <c r="R675" s="2" t="inlineStr"/>
    </row>
    <row r="676" ht="15" customHeight="1">
      <c r="A676" t="inlineStr">
        <is>
          <t>A 26444-2022</t>
        </is>
      </c>
      <c r="B676" s="1" t="n">
        <v>44738</v>
      </c>
      <c r="C676" s="1" t="n">
        <v>46193</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21086-2024</t>
        </is>
      </c>
      <c r="B677" s="1" t="n">
        <v>45439</v>
      </c>
      <c r="C677" s="1" t="n">
        <v>46193</v>
      </c>
      <c r="D677" t="inlineStr">
        <is>
          <t>JÄMTLANDS LÄN</t>
        </is>
      </c>
      <c r="E677" t="inlineStr">
        <is>
          <t>BRÄCKE</t>
        </is>
      </c>
      <c r="G677" t="n">
        <v>1.5</v>
      </c>
      <c r="H677" t="n">
        <v>0</v>
      </c>
      <c r="I677" t="n">
        <v>0</v>
      </c>
      <c r="J677" t="n">
        <v>0</v>
      </c>
      <c r="K677" t="n">
        <v>0</v>
      </c>
      <c r="L677" t="n">
        <v>0</v>
      </c>
      <c r="M677" t="n">
        <v>0</v>
      </c>
      <c r="N677" t="n">
        <v>0</v>
      </c>
      <c r="O677" t="n">
        <v>0</v>
      </c>
      <c r="P677" t="n">
        <v>0</v>
      </c>
      <c r="Q677" t="n">
        <v>0</v>
      </c>
      <c r="R677" s="2" t="inlineStr"/>
    </row>
    <row r="678" ht="15" customHeight="1">
      <c r="A678" t="inlineStr">
        <is>
          <t>A 2064-2024</t>
        </is>
      </c>
      <c r="B678" s="1" t="n">
        <v>45308</v>
      </c>
      <c r="C678" s="1" t="n">
        <v>46193</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8052-2022</t>
        </is>
      </c>
      <c r="B679" s="1" t="n">
        <v>44609</v>
      </c>
      <c r="C679" s="1" t="n">
        <v>46193</v>
      </c>
      <c r="D679" t="inlineStr">
        <is>
          <t>JÄMTLANDS LÄN</t>
        </is>
      </c>
      <c r="E679" t="inlineStr">
        <is>
          <t>BRÄCKE</t>
        </is>
      </c>
      <c r="G679" t="n">
        <v>0.6</v>
      </c>
      <c r="H679" t="n">
        <v>0</v>
      </c>
      <c r="I679" t="n">
        <v>0</v>
      </c>
      <c r="J679" t="n">
        <v>0</v>
      </c>
      <c r="K679" t="n">
        <v>0</v>
      </c>
      <c r="L679" t="n">
        <v>0</v>
      </c>
      <c r="M679" t="n">
        <v>0</v>
      </c>
      <c r="N679" t="n">
        <v>0</v>
      </c>
      <c r="O679" t="n">
        <v>0</v>
      </c>
      <c r="P679" t="n">
        <v>0</v>
      </c>
      <c r="Q679" t="n">
        <v>0</v>
      </c>
      <c r="R679" s="2" t="inlineStr"/>
    </row>
    <row r="680" ht="15" customHeight="1">
      <c r="A680" t="inlineStr">
        <is>
          <t>A 38811-2025</t>
        </is>
      </c>
      <c r="B680" s="1" t="n">
        <v>45887</v>
      </c>
      <c r="C680" s="1" t="n">
        <v>46193</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38812-2025</t>
        </is>
      </c>
      <c r="B681" s="1" t="n">
        <v>45887</v>
      </c>
      <c r="C681" s="1" t="n">
        <v>46193</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38835-2025</t>
        </is>
      </c>
      <c r="B682" s="1" t="n">
        <v>45887</v>
      </c>
      <c r="C682" s="1" t="n">
        <v>46193</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50151-2023</t>
        </is>
      </c>
      <c r="B683" s="1" t="n">
        <v>45208</v>
      </c>
      <c r="C683" s="1" t="n">
        <v>46193</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18982-2022</t>
        </is>
      </c>
      <c r="B684" s="1" t="n">
        <v>44690</v>
      </c>
      <c r="C684" s="1" t="n">
        <v>46193</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23491-2025</t>
        </is>
      </c>
      <c r="B685" s="1" t="n">
        <v>45792</v>
      </c>
      <c r="C685" s="1" t="n">
        <v>46193</v>
      </c>
      <c r="D685" t="inlineStr">
        <is>
          <t>JÄMTLANDS LÄN</t>
        </is>
      </c>
      <c r="E685" t="inlineStr">
        <is>
          <t>BRÄCKE</t>
        </is>
      </c>
      <c r="F685" t="inlineStr">
        <is>
          <t>SCA</t>
        </is>
      </c>
      <c r="G685" t="n">
        <v>11.8</v>
      </c>
      <c r="H685" t="n">
        <v>0</v>
      </c>
      <c r="I685" t="n">
        <v>0</v>
      </c>
      <c r="J685" t="n">
        <v>0</v>
      </c>
      <c r="K685" t="n">
        <v>0</v>
      </c>
      <c r="L685" t="n">
        <v>0</v>
      </c>
      <c r="M685" t="n">
        <v>0</v>
      </c>
      <c r="N685" t="n">
        <v>0</v>
      </c>
      <c r="O685" t="n">
        <v>0</v>
      </c>
      <c r="P685" t="n">
        <v>0</v>
      </c>
      <c r="Q685" t="n">
        <v>0</v>
      </c>
      <c r="R685" s="2" t="inlineStr"/>
    </row>
    <row r="686" ht="15" customHeight="1">
      <c r="A686" t="inlineStr">
        <is>
          <t>A 12889-2024</t>
        </is>
      </c>
      <c r="B686" s="1" t="n">
        <v>45385</v>
      </c>
      <c r="C686" s="1" t="n">
        <v>46193</v>
      </c>
      <c r="D686" t="inlineStr">
        <is>
          <t>JÄMTLANDS LÄN</t>
        </is>
      </c>
      <c r="E686" t="inlineStr">
        <is>
          <t>BRÄCKE</t>
        </is>
      </c>
      <c r="F686" t="inlineStr">
        <is>
          <t>Kyrkan</t>
        </is>
      </c>
      <c r="G686" t="n">
        <v>12.1</v>
      </c>
      <c r="H686" t="n">
        <v>0</v>
      </c>
      <c r="I686" t="n">
        <v>0</v>
      </c>
      <c r="J686" t="n">
        <v>0</v>
      </c>
      <c r="K686" t="n">
        <v>0</v>
      </c>
      <c r="L686" t="n">
        <v>0</v>
      </c>
      <c r="M686" t="n">
        <v>0</v>
      </c>
      <c r="N686" t="n">
        <v>0</v>
      </c>
      <c r="O686" t="n">
        <v>0</v>
      </c>
      <c r="P686" t="n">
        <v>0</v>
      </c>
      <c r="Q686" t="n">
        <v>0</v>
      </c>
      <c r="R686" s="2" t="inlineStr"/>
    </row>
    <row r="687" ht="15" customHeight="1">
      <c r="A687" t="inlineStr">
        <is>
          <t>A 22116-2024</t>
        </is>
      </c>
      <c r="B687" s="1" t="n">
        <v>45443</v>
      </c>
      <c r="C687" s="1" t="n">
        <v>46193</v>
      </c>
      <c r="D687" t="inlineStr">
        <is>
          <t>JÄMTLANDS LÄN</t>
        </is>
      </c>
      <c r="E687" t="inlineStr">
        <is>
          <t>BRÄCKE</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29751-2023</t>
        </is>
      </c>
      <c r="B688" s="1" t="n">
        <v>45107</v>
      </c>
      <c r="C688" s="1" t="n">
        <v>46193</v>
      </c>
      <c r="D688" t="inlineStr">
        <is>
          <t>JÄMTLANDS LÄN</t>
        </is>
      </c>
      <c r="E688" t="inlineStr">
        <is>
          <t>BRÄCKE</t>
        </is>
      </c>
      <c r="G688" t="n">
        <v>1</v>
      </c>
      <c r="H688" t="n">
        <v>0</v>
      </c>
      <c r="I688" t="n">
        <v>0</v>
      </c>
      <c r="J688" t="n">
        <v>0</v>
      </c>
      <c r="K688" t="n">
        <v>0</v>
      </c>
      <c r="L688" t="n">
        <v>0</v>
      </c>
      <c r="M688" t="n">
        <v>0</v>
      </c>
      <c r="N688" t="n">
        <v>0</v>
      </c>
      <c r="O688" t="n">
        <v>0</v>
      </c>
      <c r="P688" t="n">
        <v>0</v>
      </c>
      <c r="Q688" t="n">
        <v>0</v>
      </c>
      <c r="R688" s="2" t="inlineStr"/>
    </row>
    <row r="689" ht="15" customHeight="1">
      <c r="A689" t="inlineStr">
        <is>
          <t>A 42480-2024</t>
        </is>
      </c>
      <c r="B689" s="1" t="n">
        <v>45565</v>
      </c>
      <c r="C689" s="1" t="n">
        <v>46193</v>
      </c>
      <c r="D689" t="inlineStr">
        <is>
          <t>JÄMTLANDS LÄN</t>
        </is>
      </c>
      <c r="E689" t="inlineStr">
        <is>
          <t>BRÄCKE</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54274-2022</t>
        </is>
      </c>
      <c r="B690" s="1" t="n">
        <v>44879</v>
      </c>
      <c r="C690" s="1" t="n">
        <v>46193</v>
      </c>
      <c r="D690" t="inlineStr">
        <is>
          <t>JÄMTLANDS LÄN</t>
        </is>
      </c>
      <c r="E690" t="inlineStr">
        <is>
          <t>BRÄCKE</t>
        </is>
      </c>
      <c r="G690" t="n">
        <v>1.1</v>
      </c>
      <c r="H690" t="n">
        <v>0</v>
      </c>
      <c r="I690" t="n">
        <v>0</v>
      </c>
      <c r="J690" t="n">
        <v>0</v>
      </c>
      <c r="K690" t="n">
        <v>0</v>
      </c>
      <c r="L690" t="n">
        <v>0</v>
      </c>
      <c r="M690" t="n">
        <v>0</v>
      </c>
      <c r="N690" t="n">
        <v>0</v>
      </c>
      <c r="O690" t="n">
        <v>0</v>
      </c>
      <c r="P690" t="n">
        <v>0</v>
      </c>
      <c r="Q690" t="n">
        <v>0</v>
      </c>
      <c r="R690" s="2" t="inlineStr"/>
    </row>
    <row r="691" ht="15" customHeight="1">
      <c r="A691" t="inlineStr">
        <is>
          <t>A 53260-2024</t>
        </is>
      </c>
      <c r="B691" s="1" t="n">
        <v>45614</v>
      </c>
      <c r="C691" s="1" t="n">
        <v>46193</v>
      </c>
      <c r="D691" t="inlineStr">
        <is>
          <t>JÄMTLANDS LÄN</t>
        </is>
      </c>
      <c r="E691" t="inlineStr">
        <is>
          <t>BRÄCKE</t>
        </is>
      </c>
      <c r="F691" t="inlineStr">
        <is>
          <t>SCA</t>
        </is>
      </c>
      <c r="G691" t="n">
        <v>9</v>
      </c>
      <c r="H691" t="n">
        <v>0</v>
      </c>
      <c r="I691" t="n">
        <v>0</v>
      </c>
      <c r="J691" t="n">
        <v>0</v>
      </c>
      <c r="K691" t="n">
        <v>0</v>
      </c>
      <c r="L691" t="n">
        <v>0</v>
      </c>
      <c r="M691" t="n">
        <v>0</v>
      </c>
      <c r="N691" t="n">
        <v>0</v>
      </c>
      <c r="O691" t="n">
        <v>0</v>
      </c>
      <c r="P691" t="n">
        <v>0</v>
      </c>
      <c r="Q691" t="n">
        <v>0</v>
      </c>
      <c r="R691" s="2" t="inlineStr"/>
    </row>
    <row r="692" ht="15" customHeight="1">
      <c r="A692" t="inlineStr">
        <is>
          <t>A 56432-2024</t>
        </is>
      </c>
      <c r="B692" s="1" t="n">
        <v>45625</v>
      </c>
      <c r="C692" s="1" t="n">
        <v>46193</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39086-2025</t>
        </is>
      </c>
      <c r="B693" s="1" t="n">
        <v>45888</v>
      </c>
      <c r="C693" s="1" t="n">
        <v>46193</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38775-2025</t>
        </is>
      </c>
      <c r="B694" s="1" t="n">
        <v>45887</v>
      </c>
      <c r="C694" s="1" t="n">
        <v>46193</v>
      </c>
      <c r="D694" t="inlineStr">
        <is>
          <t>JÄMTLANDS LÄN</t>
        </is>
      </c>
      <c r="E694" t="inlineStr">
        <is>
          <t>BRÄCKE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48816-2022</t>
        </is>
      </c>
      <c r="B695" s="1" t="n">
        <v>44859</v>
      </c>
      <c r="C695" s="1" t="n">
        <v>46193</v>
      </c>
      <c r="D695" t="inlineStr">
        <is>
          <t>JÄMTLANDS LÄN</t>
        </is>
      </c>
      <c r="E695" t="inlineStr">
        <is>
          <t>BRÄCKE</t>
        </is>
      </c>
      <c r="G695" t="n">
        <v>13.3</v>
      </c>
      <c r="H695" t="n">
        <v>0</v>
      </c>
      <c r="I695" t="n">
        <v>0</v>
      </c>
      <c r="J695" t="n">
        <v>0</v>
      </c>
      <c r="K695" t="n">
        <v>0</v>
      </c>
      <c r="L695" t="n">
        <v>0</v>
      </c>
      <c r="M695" t="n">
        <v>0</v>
      </c>
      <c r="N695" t="n">
        <v>0</v>
      </c>
      <c r="O695" t="n">
        <v>0</v>
      </c>
      <c r="P695" t="n">
        <v>0</v>
      </c>
      <c r="Q695" t="n">
        <v>0</v>
      </c>
      <c r="R695" s="2" t="inlineStr"/>
    </row>
    <row r="696" ht="15" customHeight="1">
      <c r="A696" t="inlineStr">
        <is>
          <t>A 23534-2024</t>
        </is>
      </c>
      <c r="B696" s="1" t="n">
        <v>45453</v>
      </c>
      <c r="C696" s="1" t="n">
        <v>46193</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38842-2025</t>
        </is>
      </c>
      <c r="B697" s="1" t="n">
        <v>45887</v>
      </c>
      <c r="C697" s="1" t="n">
        <v>46193</v>
      </c>
      <c r="D697" t="inlineStr">
        <is>
          <t>JÄMTLANDS LÄN</t>
        </is>
      </c>
      <c r="E697" t="inlineStr">
        <is>
          <t>BRÄCKE</t>
        </is>
      </c>
      <c r="G697" t="n">
        <v>6.3</v>
      </c>
      <c r="H697" t="n">
        <v>0</v>
      </c>
      <c r="I697" t="n">
        <v>0</v>
      </c>
      <c r="J697" t="n">
        <v>0</v>
      </c>
      <c r="K697" t="n">
        <v>0</v>
      </c>
      <c r="L697" t="n">
        <v>0</v>
      </c>
      <c r="M697" t="n">
        <v>0</v>
      </c>
      <c r="N697" t="n">
        <v>0</v>
      </c>
      <c r="O697" t="n">
        <v>0</v>
      </c>
      <c r="P697" t="n">
        <v>0</v>
      </c>
      <c r="Q697" t="n">
        <v>0</v>
      </c>
      <c r="R697" s="2" t="inlineStr"/>
    </row>
    <row r="698" ht="15" customHeight="1">
      <c r="A698" t="inlineStr">
        <is>
          <t>A 26025-2024</t>
        </is>
      </c>
      <c r="B698" s="1" t="n">
        <v>45467</v>
      </c>
      <c r="C698" s="1" t="n">
        <v>46193</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39088-2025</t>
        </is>
      </c>
      <c r="B699" s="1" t="n">
        <v>45888</v>
      </c>
      <c r="C699" s="1" t="n">
        <v>46193</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39117-2025</t>
        </is>
      </c>
      <c r="B700" s="1" t="n">
        <v>45888</v>
      </c>
      <c r="C700" s="1" t="n">
        <v>46193</v>
      </c>
      <c r="D700" t="inlineStr">
        <is>
          <t>JÄMTLANDS LÄN</t>
        </is>
      </c>
      <c r="E700" t="inlineStr">
        <is>
          <t>BRÄCKE</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56687-2023</t>
        </is>
      </c>
      <c r="B701" s="1" t="n">
        <v>45243</v>
      </c>
      <c r="C701" s="1" t="n">
        <v>46193</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56688-2023</t>
        </is>
      </c>
      <c r="B702" s="1" t="n">
        <v>45243</v>
      </c>
      <c r="C702" s="1" t="n">
        <v>46193</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16512-2024</t>
        </is>
      </c>
      <c r="B703" s="1" t="n">
        <v>45408</v>
      </c>
      <c r="C703" s="1" t="n">
        <v>46193</v>
      </c>
      <c r="D703" t="inlineStr">
        <is>
          <t>JÄMTLANDS LÄN</t>
        </is>
      </c>
      <c r="E703" t="inlineStr">
        <is>
          <t>BRÄCKE</t>
        </is>
      </c>
      <c r="G703" t="n">
        <v>3.2</v>
      </c>
      <c r="H703" t="n">
        <v>0</v>
      </c>
      <c r="I703" t="n">
        <v>0</v>
      </c>
      <c r="J703" t="n">
        <v>0</v>
      </c>
      <c r="K703" t="n">
        <v>0</v>
      </c>
      <c r="L703" t="n">
        <v>0</v>
      </c>
      <c r="M703" t="n">
        <v>0</v>
      </c>
      <c r="N703" t="n">
        <v>0</v>
      </c>
      <c r="O703" t="n">
        <v>0</v>
      </c>
      <c r="P703" t="n">
        <v>0</v>
      </c>
      <c r="Q703" t="n">
        <v>0</v>
      </c>
      <c r="R703" s="2" t="inlineStr"/>
    </row>
    <row r="704" ht="15" customHeight="1">
      <c r="A704" t="inlineStr">
        <is>
          <t>A 1863-2022</t>
        </is>
      </c>
      <c r="B704" s="1" t="n">
        <v>44574</v>
      </c>
      <c r="C704" s="1" t="n">
        <v>46193</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21380-2024</t>
        </is>
      </c>
      <c r="B705" s="1" t="n">
        <v>45440</v>
      </c>
      <c r="C705" s="1" t="n">
        <v>46193</v>
      </c>
      <c r="D705" t="inlineStr">
        <is>
          <t>JÄMTLANDS LÄN</t>
        </is>
      </c>
      <c r="E705" t="inlineStr">
        <is>
          <t>BRÄCKE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21381-2024</t>
        </is>
      </c>
      <c r="B706" s="1" t="n">
        <v>45440</v>
      </c>
      <c r="C706" s="1" t="n">
        <v>46193</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60417-2022</t>
        </is>
      </c>
      <c r="B707" s="1" t="n">
        <v>44910</v>
      </c>
      <c r="C707" s="1" t="n">
        <v>46193</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3528-2024</t>
        </is>
      </c>
      <c r="B708" s="1" t="n">
        <v>45320</v>
      </c>
      <c r="C708" s="1" t="n">
        <v>46193</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62074-2023</t>
        </is>
      </c>
      <c r="B709" s="1" t="n">
        <v>45266</v>
      </c>
      <c r="C709" s="1" t="n">
        <v>46193</v>
      </c>
      <c r="D709" t="inlineStr">
        <is>
          <t>JÄMTLANDS LÄN</t>
        </is>
      </c>
      <c r="E709" t="inlineStr">
        <is>
          <t>BRÄCKE</t>
        </is>
      </c>
      <c r="G709" t="n">
        <v>1.3</v>
      </c>
      <c r="H709" t="n">
        <v>0</v>
      </c>
      <c r="I709" t="n">
        <v>0</v>
      </c>
      <c r="J709" t="n">
        <v>0</v>
      </c>
      <c r="K709" t="n">
        <v>0</v>
      </c>
      <c r="L709" t="n">
        <v>0</v>
      </c>
      <c r="M709" t="n">
        <v>0</v>
      </c>
      <c r="N709" t="n">
        <v>0</v>
      </c>
      <c r="O709" t="n">
        <v>0</v>
      </c>
      <c r="P709" t="n">
        <v>0</v>
      </c>
      <c r="Q709" t="n">
        <v>0</v>
      </c>
      <c r="R709" s="2" t="inlineStr"/>
    </row>
    <row r="710" ht="15" customHeight="1">
      <c r="A710" t="inlineStr">
        <is>
          <t>A 44445-2022</t>
        </is>
      </c>
      <c r="B710" s="1" t="n">
        <v>44839</v>
      </c>
      <c r="C710" s="1" t="n">
        <v>46193</v>
      </c>
      <c r="D710" t="inlineStr">
        <is>
          <t>JÄMTLANDS LÄN</t>
        </is>
      </c>
      <c r="E710" t="inlineStr">
        <is>
          <t>BRÄCKE</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39344-2025</t>
        </is>
      </c>
      <c r="B711" s="1" t="n">
        <v>45889</v>
      </c>
      <c r="C711" s="1" t="n">
        <v>46193</v>
      </c>
      <c r="D711" t="inlineStr">
        <is>
          <t>JÄMTLANDS LÄN</t>
        </is>
      </c>
      <c r="E711" t="inlineStr">
        <is>
          <t>BRÄCKE</t>
        </is>
      </c>
      <c r="F711" t="inlineStr">
        <is>
          <t>SCA</t>
        </is>
      </c>
      <c r="G711" t="n">
        <v>9.6</v>
      </c>
      <c r="H711" t="n">
        <v>0</v>
      </c>
      <c r="I711" t="n">
        <v>0</v>
      </c>
      <c r="J711" t="n">
        <v>0</v>
      </c>
      <c r="K711" t="n">
        <v>0</v>
      </c>
      <c r="L711" t="n">
        <v>0</v>
      </c>
      <c r="M711" t="n">
        <v>0</v>
      </c>
      <c r="N711" t="n">
        <v>0</v>
      </c>
      <c r="O711" t="n">
        <v>0</v>
      </c>
      <c r="P711" t="n">
        <v>0</v>
      </c>
      <c r="Q711" t="n">
        <v>0</v>
      </c>
      <c r="R711" s="2" t="inlineStr"/>
    </row>
    <row r="712" ht="15" customHeight="1">
      <c r="A712" t="inlineStr">
        <is>
          <t>A 20624-2023</t>
        </is>
      </c>
      <c r="B712" s="1" t="n">
        <v>45057</v>
      </c>
      <c r="C712" s="1" t="n">
        <v>46193</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24214-2023</t>
        </is>
      </c>
      <c r="B713" s="1" t="n">
        <v>45079</v>
      </c>
      <c r="C713" s="1" t="n">
        <v>46193</v>
      </c>
      <c r="D713" t="inlineStr">
        <is>
          <t>JÄMTLANDS LÄN</t>
        </is>
      </c>
      <c r="E713" t="inlineStr">
        <is>
          <t>BRÄCKE</t>
        </is>
      </c>
      <c r="G713" t="n">
        <v>5.6</v>
      </c>
      <c r="H713" t="n">
        <v>0</v>
      </c>
      <c r="I713" t="n">
        <v>0</v>
      </c>
      <c r="J713" t="n">
        <v>0</v>
      </c>
      <c r="K713" t="n">
        <v>0</v>
      </c>
      <c r="L713" t="n">
        <v>0</v>
      </c>
      <c r="M713" t="n">
        <v>0</v>
      </c>
      <c r="N713" t="n">
        <v>0</v>
      </c>
      <c r="O713" t="n">
        <v>0</v>
      </c>
      <c r="P713" t="n">
        <v>0</v>
      </c>
      <c r="Q713" t="n">
        <v>0</v>
      </c>
      <c r="R713" s="2" t="inlineStr"/>
      <c r="U713">
        <f>HYPERLINK("https://klasma.github.io/Logging_2305/knärot/A 24214-2023 karta knärot.png", "A 24214-2023")</f>
        <v/>
      </c>
      <c r="V713">
        <f>HYPERLINK("https://klasma.github.io/Logging_2305/klagomål/A 24214-2023 FSC-klagomål.docx", "A 24214-2023")</f>
        <v/>
      </c>
      <c r="W713">
        <f>HYPERLINK("https://klasma.github.io/Logging_2305/klagomålsmail/A 24214-2023 FSC-klagomål mail.docx", "A 24214-2023")</f>
        <v/>
      </c>
      <c r="X713">
        <f>HYPERLINK("https://klasma.github.io/Logging_2305/tillsyn/A 24214-2023 tillsynsbegäran.docx", "A 24214-2023")</f>
        <v/>
      </c>
      <c r="Y713">
        <f>HYPERLINK("https://klasma.github.io/Logging_2305/tillsynsmail/A 24214-2023 tillsynsbegäran mail.docx", "A 24214-2023")</f>
        <v/>
      </c>
    </row>
    <row r="714" ht="15" customHeight="1">
      <c r="A714" t="inlineStr">
        <is>
          <t>A 6622-2025</t>
        </is>
      </c>
      <c r="B714" s="1" t="n">
        <v>45700</v>
      </c>
      <c r="C714" s="1" t="n">
        <v>46193</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37238-2021</t>
        </is>
      </c>
      <c r="B715" s="1" t="n">
        <v>44396</v>
      </c>
      <c r="C715" s="1" t="n">
        <v>46193</v>
      </c>
      <c r="D715" t="inlineStr">
        <is>
          <t>JÄMTLANDS LÄN</t>
        </is>
      </c>
      <c r="E715" t="inlineStr">
        <is>
          <t>BRÄCKE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48480-2023</t>
        </is>
      </c>
      <c r="B716" s="1" t="n">
        <v>45206</v>
      </c>
      <c r="C716" s="1" t="n">
        <v>46193</v>
      </c>
      <c r="D716" t="inlineStr">
        <is>
          <t>JÄMTLANDS LÄN</t>
        </is>
      </c>
      <c r="E716" t="inlineStr">
        <is>
          <t>BRÄCKE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37375-2021</t>
        </is>
      </c>
      <c r="B717" s="1" t="n">
        <v>44397</v>
      </c>
      <c r="C717" s="1" t="n">
        <v>46193</v>
      </c>
      <c r="D717" t="inlineStr">
        <is>
          <t>JÄMTLANDS LÄN</t>
        </is>
      </c>
      <c r="E717" t="inlineStr">
        <is>
          <t>BRÄCKE</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24026-2024</t>
        </is>
      </c>
      <c r="B718" s="1" t="n">
        <v>45456</v>
      </c>
      <c r="C718" s="1" t="n">
        <v>46193</v>
      </c>
      <c r="D718" t="inlineStr">
        <is>
          <t>JÄMTLANDS LÄN</t>
        </is>
      </c>
      <c r="E718" t="inlineStr">
        <is>
          <t>BRÄCKE</t>
        </is>
      </c>
      <c r="F718" t="inlineStr">
        <is>
          <t>Övriga Aktiebolag</t>
        </is>
      </c>
      <c r="G718" t="n">
        <v>23.7</v>
      </c>
      <c r="H718" t="n">
        <v>0</v>
      </c>
      <c r="I718" t="n">
        <v>0</v>
      </c>
      <c r="J718" t="n">
        <v>0</v>
      </c>
      <c r="K718" t="n">
        <v>0</v>
      </c>
      <c r="L718" t="n">
        <v>0</v>
      </c>
      <c r="M718" t="n">
        <v>0</v>
      </c>
      <c r="N718" t="n">
        <v>0</v>
      </c>
      <c r="O718" t="n">
        <v>0</v>
      </c>
      <c r="P718" t="n">
        <v>0</v>
      </c>
      <c r="Q718" t="n">
        <v>0</v>
      </c>
      <c r="R718" s="2" t="inlineStr"/>
    </row>
    <row r="719" ht="15" customHeight="1">
      <c r="A719" t="inlineStr">
        <is>
          <t>A 39532-2025</t>
        </is>
      </c>
      <c r="B719" s="1" t="n">
        <v>45890</v>
      </c>
      <c r="C719" s="1" t="n">
        <v>46193</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39376-2025</t>
        </is>
      </c>
      <c r="B720" s="1" t="n">
        <v>45889</v>
      </c>
      <c r="C720" s="1" t="n">
        <v>46193</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10088-2025</t>
        </is>
      </c>
      <c r="B721" s="1" t="n">
        <v>45719</v>
      </c>
      <c r="C721" s="1" t="n">
        <v>46193</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10106-2025</t>
        </is>
      </c>
      <c r="B722" s="1" t="n">
        <v>45719</v>
      </c>
      <c r="C722" s="1" t="n">
        <v>46193</v>
      </c>
      <c r="D722" t="inlineStr">
        <is>
          <t>JÄMTLANDS LÄN</t>
        </is>
      </c>
      <c r="E722" t="inlineStr">
        <is>
          <t>BRÄCKE</t>
        </is>
      </c>
      <c r="G722" t="n">
        <v>4</v>
      </c>
      <c r="H722" t="n">
        <v>0</v>
      </c>
      <c r="I722" t="n">
        <v>0</v>
      </c>
      <c r="J722" t="n">
        <v>0</v>
      </c>
      <c r="K722" t="n">
        <v>0</v>
      </c>
      <c r="L722" t="n">
        <v>0</v>
      </c>
      <c r="M722" t="n">
        <v>0</v>
      </c>
      <c r="N722" t="n">
        <v>0</v>
      </c>
      <c r="O722" t="n">
        <v>0</v>
      </c>
      <c r="P722" t="n">
        <v>0</v>
      </c>
      <c r="Q722" t="n">
        <v>0</v>
      </c>
      <c r="R722" s="2" t="inlineStr"/>
    </row>
    <row r="723" ht="15" customHeight="1">
      <c r="A723" t="inlineStr">
        <is>
          <t>A 39487-2025</t>
        </is>
      </c>
      <c r="B723" s="1" t="n">
        <v>45890</v>
      </c>
      <c r="C723" s="1" t="n">
        <v>46193</v>
      </c>
      <c r="D723" t="inlineStr">
        <is>
          <t>JÄMTLANDS LÄN</t>
        </is>
      </c>
      <c r="E723" t="inlineStr">
        <is>
          <t>BRÄCKE</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58758-2023</t>
        </is>
      </c>
      <c r="B724" s="1" t="n">
        <v>45251</v>
      </c>
      <c r="C724" s="1" t="n">
        <v>46193</v>
      </c>
      <c r="D724" t="inlineStr">
        <is>
          <t>JÄMTLANDS LÄN</t>
        </is>
      </c>
      <c r="E724" t="inlineStr">
        <is>
          <t>BRÄCKE</t>
        </is>
      </c>
      <c r="G724" t="n">
        <v>1.4</v>
      </c>
      <c r="H724" t="n">
        <v>0</v>
      </c>
      <c r="I724" t="n">
        <v>0</v>
      </c>
      <c r="J724" t="n">
        <v>0</v>
      </c>
      <c r="K724" t="n">
        <v>0</v>
      </c>
      <c r="L724" t="n">
        <v>0</v>
      </c>
      <c r="M724" t="n">
        <v>0</v>
      </c>
      <c r="N724" t="n">
        <v>0</v>
      </c>
      <c r="O724" t="n">
        <v>0</v>
      </c>
      <c r="P724" t="n">
        <v>0</v>
      </c>
      <c r="Q724" t="n">
        <v>0</v>
      </c>
      <c r="R724" s="2" t="inlineStr"/>
    </row>
    <row r="725" ht="15" customHeight="1">
      <c r="A725" t="inlineStr">
        <is>
          <t>A 47186-2023</t>
        </is>
      </c>
      <c r="B725" s="1" t="n">
        <v>45201</v>
      </c>
      <c r="C725" s="1" t="n">
        <v>46193</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41183-2023</t>
        </is>
      </c>
      <c r="B726" s="1" t="n">
        <v>45170</v>
      </c>
      <c r="C726" s="1" t="n">
        <v>46193</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39506-2025</t>
        </is>
      </c>
      <c r="B727" s="1" t="n">
        <v>45890</v>
      </c>
      <c r="C727" s="1" t="n">
        <v>46193</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15261-2025</t>
        </is>
      </c>
      <c r="B728" s="1" t="n">
        <v>45744</v>
      </c>
      <c r="C728" s="1" t="n">
        <v>46193</v>
      </c>
      <c r="D728" t="inlineStr">
        <is>
          <t>JÄMTLANDS LÄN</t>
        </is>
      </c>
      <c r="E728" t="inlineStr">
        <is>
          <t>BRÄCKE</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26029-2024</t>
        </is>
      </c>
      <c r="B729" s="1" t="n">
        <v>45467</v>
      </c>
      <c r="C729" s="1" t="n">
        <v>46193</v>
      </c>
      <c r="D729" t="inlineStr">
        <is>
          <t>JÄMTLANDS LÄN</t>
        </is>
      </c>
      <c r="E729" t="inlineStr">
        <is>
          <t>BRÄCKE</t>
        </is>
      </c>
      <c r="F729" t="inlineStr">
        <is>
          <t>SCA</t>
        </is>
      </c>
      <c r="G729" t="n">
        <v>40.9</v>
      </c>
      <c r="H729" t="n">
        <v>0</v>
      </c>
      <c r="I729" t="n">
        <v>0</v>
      </c>
      <c r="J729" t="n">
        <v>0</v>
      </c>
      <c r="K729" t="n">
        <v>0</v>
      </c>
      <c r="L729" t="n">
        <v>0</v>
      </c>
      <c r="M729" t="n">
        <v>0</v>
      </c>
      <c r="N729" t="n">
        <v>0</v>
      </c>
      <c r="O729" t="n">
        <v>0</v>
      </c>
      <c r="P729" t="n">
        <v>0</v>
      </c>
      <c r="Q729" t="n">
        <v>0</v>
      </c>
      <c r="R729" s="2" t="inlineStr"/>
      <c r="U729">
        <f>HYPERLINK("https://klasma.github.io/Logging_2305/knärot/A 26029-2024 karta knärot.png", "A 26029-2024")</f>
        <v/>
      </c>
      <c r="V729">
        <f>HYPERLINK("https://klasma.github.io/Logging_2305/klagomål/A 26029-2024 FSC-klagomål.docx", "A 26029-2024")</f>
        <v/>
      </c>
      <c r="W729">
        <f>HYPERLINK("https://klasma.github.io/Logging_2305/klagomålsmail/A 26029-2024 FSC-klagomål mail.docx", "A 26029-2024")</f>
        <v/>
      </c>
      <c r="X729">
        <f>HYPERLINK("https://klasma.github.io/Logging_2305/tillsyn/A 26029-2024 tillsynsbegäran.docx", "A 26029-2024")</f>
        <v/>
      </c>
      <c r="Y729">
        <f>HYPERLINK("https://klasma.github.io/Logging_2305/tillsynsmail/A 26029-2024 tillsynsbegäran mail.docx", "A 26029-2024")</f>
        <v/>
      </c>
    </row>
    <row r="730" ht="15" customHeight="1">
      <c r="A730" t="inlineStr">
        <is>
          <t>A 26278-2024</t>
        </is>
      </c>
      <c r="B730" s="1" t="n">
        <v>45468</v>
      </c>
      <c r="C730" s="1" t="n">
        <v>46193</v>
      </c>
      <c r="D730" t="inlineStr">
        <is>
          <t>JÄMTLANDS LÄN</t>
        </is>
      </c>
      <c r="E730" t="inlineStr">
        <is>
          <t>BRÄCKE</t>
        </is>
      </c>
      <c r="G730" t="n">
        <v>1.7</v>
      </c>
      <c r="H730" t="n">
        <v>0</v>
      </c>
      <c r="I730" t="n">
        <v>0</v>
      </c>
      <c r="J730" t="n">
        <v>0</v>
      </c>
      <c r="K730" t="n">
        <v>0</v>
      </c>
      <c r="L730" t="n">
        <v>0</v>
      </c>
      <c r="M730" t="n">
        <v>0</v>
      </c>
      <c r="N730" t="n">
        <v>0</v>
      </c>
      <c r="O730" t="n">
        <v>0</v>
      </c>
      <c r="P730" t="n">
        <v>0</v>
      </c>
      <c r="Q730" t="n">
        <v>0</v>
      </c>
      <c r="R730" s="2" t="inlineStr"/>
    </row>
    <row r="731" ht="15" customHeight="1">
      <c r="A731" t="inlineStr">
        <is>
          <t>A 24974-2024</t>
        </is>
      </c>
      <c r="B731" s="1" t="n">
        <v>45461</v>
      </c>
      <c r="C731" s="1" t="n">
        <v>46193</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49591-2024</t>
        </is>
      </c>
      <c r="B732" s="1" t="n">
        <v>45596</v>
      </c>
      <c r="C732" s="1" t="n">
        <v>46193</v>
      </c>
      <c r="D732" t="inlineStr">
        <is>
          <t>JÄMTLANDS LÄN</t>
        </is>
      </c>
      <c r="E732" t="inlineStr">
        <is>
          <t>BRÄCKE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26350-2023</t>
        </is>
      </c>
      <c r="B733" s="1" t="n">
        <v>45091</v>
      </c>
      <c r="C733" s="1" t="n">
        <v>46193</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57011-2022</t>
        </is>
      </c>
      <c r="B734" s="1" t="n">
        <v>44894</v>
      </c>
      <c r="C734" s="1" t="n">
        <v>46193</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35501-2022</t>
        </is>
      </c>
      <c r="B735" s="1" t="n">
        <v>44798</v>
      </c>
      <c r="C735" s="1" t="n">
        <v>46193</v>
      </c>
      <c r="D735" t="inlineStr">
        <is>
          <t>JÄMTLANDS LÄN</t>
        </is>
      </c>
      <c r="E735" t="inlineStr">
        <is>
          <t>BRÄCKE</t>
        </is>
      </c>
      <c r="F735" t="inlineStr">
        <is>
          <t>SCA</t>
        </is>
      </c>
      <c r="G735" t="n">
        <v>5.5</v>
      </c>
      <c r="H735" t="n">
        <v>0</v>
      </c>
      <c r="I735" t="n">
        <v>0</v>
      </c>
      <c r="J735" t="n">
        <v>0</v>
      </c>
      <c r="K735" t="n">
        <v>0</v>
      </c>
      <c r="L735" t="n">
        <v>0</v>
      </c>
      <c r="M735" t="n">
        <v>0</v>
      </c>
      <c r="N735" t="n">
        <v>0</v>
      </c>
      <c r="O735" t="n">
        <v>0</v>
      </c>
      <c r="P735" t="n">
        <v>0</v>
      </c>
      <c r="Q735" t="n">
        <v>0</v>
      </c>
      <c r="R735" s="2" t="inlineStr"/>
    </row>
    <row r="736" ht="15" customHeight="1">
      <c r="A736" t="inlineStr">
        <is>
          <t>A 63534-2023</t>
        </is>
      </c>
      <c r="B736" s="1" t="n">
        <v>45274</v>
      </c>
      <c r="C736" s="1" t="n">
        <v>46193</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3239-2022</t>
        </is>
      </c>
      <c r="B737" s="1" t="n">
        <v>44582</v>
      </c>
      <c r="C737" s="1" t="n">
        <v>46193</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33998-2023</t>
        </is>
      </c>
      <c r="B738" s="1" t="n">
        <v>45134</v>
      </c>
      <c r="C738" s="1" t="n">
        <v>46193</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23444-2022</t>
        </is>
      </c>
      <c r="B739" s="1" t="n">
        <v>44720</v>
      </c>
      <c r="C739" s="1" t="n">
        <v>46193</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57088-2024</t>
        </is>
      </c>
      <c r="B740" s="1" t="n">
        <v>45629</v>
      </c>
      <c r="C740" s="1" t="n">
        <v>46193</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17568-2023</t>
        </is>
      </c>
      <c r="B741" s="1" t="n">
        <v>45036</v>
      </c>
      <c r="C741" s="1" t="n">
        <v>46193</v>
      </c>
      <c r="D741" t="inlineStr">
        <is>
          <t>JÄMTLANDS LÄN</t>
        </is>
      </c>
      <c r="E741" t="inlineStr">
        <is>
          <t>BRÄCKE</t>
        </is>
      </c>
      <c r="G741" t="n">
        <v>5</v>
      </c>
      <c r="H741" t="n">
        <v>0</v>
      </c>
      <c r="I741" t="n">
        <v>0</v>
      </c>
      <c r="J741" t="n">
        <v>0</v>
      </c>
      <c r="K741" t="n">
        <v>0</v>
      </c>
      <c r="L741" t="n">
        <v>0</v>
      </c>
      <c r="M741" t="n">
        <v>0</v>
      </c>
      <c r="N741" t="n">
        <v>0</v>
      </c>
      <c r="O741" t="n">
        <v>0</v>
      </c>
      <c r="P741" t="n">
        <v>0</v>
      </c>
      <c r="Q741" t="n">
        <v>0</v>
      </c>
      <c r="R741" s="2" t="inlineStr"/>
    </row>
    <row r="742" ht="15" customHeight="1">
      <c r="A742" t="inlineStr">
        <is>
          <t>A 23640-2024</t>
        </is>
      </c>
      <c r="B742" s="1" t="n">
        <v>45454</v>
      </c>
      <c r="C742" s="1" t="n">
        <v>46193</v>
      </c>
      <c r="D742" t="inlineStr">
        <is>
          <t>JÄMTLANDS LÄN</t>
        </is>
      </c>
      <c r="E742" t="inlineStr">
        <is>
          <t>BRÄCKE</t>
        </is>
      </c>
      <c r="G742" t="n">
        <v>19.4</v>
      </c>
      <c r="H742" t="n">
        <v>0</v>
      </c>
      <c r="I742" t="n">
        <v>0</v>
      </c>
      <c r="J742" t="n">
        <v>0</v>
      </c>
      <c r="K742" t="n">
        <v>0</v>
      </c>
      <c r="L742" t="n">
        <v>0</v>
      </c>
      <c r="M742" t="n">
        <v>0</v>
      </c>
      <c r="N742" t="n">
        <v>0</v>
      </c>
      <c r="O742" t="n">
        <v>0</v>
      </c>
      <c r="P742" t="n">
        <v>0</v>
      </c>
      <c r="Q742" t="n">
        <v>0</v>
      </c>
      <c r="R742" s="2" t="inlineStr"/>
    </row>
    <row r="743" ht="15" customHeight="1">
      <c r="A743" t="inlineStr">
        <is>
          <t>A 64643-2023</t>
        </is>
      </c>
      <c r="B743" s="1" t="n">
        <v>45281</v>
      </c>
      <c r="C743" s="1" t="n">
        <v>46193</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26302-2024</t>
        </is>
      </c>
      <c r="B744" s="1" t="n">
        <v>45468</v>
      </c>
      <c r="C744" s="1" t="n">
        <v>46193</v>
      </c>
      <c r="D744" t="inlineStr">
        <is>
          <t>JÄMTLANDS LÄN</t>
        </is>
      </c>
      <c r="E744" t="inlineStr">
        <is>
          <t>BRÄCKE</t>
        </is>
      </c>
      <c r="G744" t="n">
        <v>0.5</v>
      </c>
      <c r="H744" t="n">
        <v>0</v>
      </c>
      <c r="I744" t="n">
        <v>0</v>
      </c>
      <c r="J744" t="n">
        <v>0</v>
      </c>
      <c r="K744" t="n">
        <v>0</v>
      </c>
      <c r="L744" t="n">
        <v>0</v>
      </c>
      <c r="M744" t="n">
        <v>0</v>
      </c>
      <c r="N744" t="n">
        <v>0</v>
      </c>
      <c r="O744" t="n">
        <v>0</v>
      </c>
      <c r="P744" t="n">
        <v>0</v>
      </c>
      <c r="Q744" t="n">
        <v>0</v>
      </c>
      <c r="R744" s="2" t="inlineStr"/>
    </row>
    <row r="745" ht="15" customHeight="1">
      <c r="A745" t="inlineStr">
        <is>
          <t>A 64037-2023</t>
        </is>
      </c>
      <c r="B745" s="1" t="n">
        <v>45278</v>
      </c>
      <c r="C745" s="1" t="n">
        <v>46193</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54568-2022</t>
        </is>
      </c>
      <c r="B746" s="1" t="n">
        <v>44882</v>
      </c>
      <c r="C746" s="1" t="n">
        <v>46193</v>
      </c>
      <c r="D746" t="inlineStr">
        <is>
          <t>JÄMTLANDS LÄN</t>
        </is>
      </c>
      <c r="E746" t="inlineStr">
        <is>
          <t>BRÄCKE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47746-2024</t>
        </is>
      </c>
      <c r="B747" s="1" t="n">
        <v>45588</v>
      </c>
      <c r="C747" s="1" t="n">
        <v>46193</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40094-2023</t>
        </is>
      </c>
      <c r="B748" s="1" t="n">
        <v>45168</v>
      </c>
      <c r="C748" s="1" t="n">
        <v>46193</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5536-2025</t>
        </is>
      </c>
      <c r="B749" s="1" t="n">
        <v>45693</v>
      </c>
      <c r="C749" s="1" t="n">
        <v>46193</v>
      </c>
      <c r="D749" t="inlineStr">
        <is>
          <t>JÄMTLANDS LÄN</t>
        </is>
      </c>
      <c r="E749" t="inlineStr">
        <is>
          <t>BRÄCKE</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48284-2021</t>
        </is>
      </c>
      <c r="B750" s="1" t="n">
        <v>44449</v>
      </c>
      <c r="C750" s="1" t="n">
        <v>46193</v>
      </c>
      <c r="D750" t="inlineStr">
        <is>
          <t>JÄMTLANDS LÄN</t>
        </is>
      </c>
      <c r="E750" t="inlineStr">
        <is>
          <t>BRÄCKE</t>
        </is>
      </c>
      <c r="G750" t="n">
        <v>12.9</v>
      </c>
      <c r="H750" t="n">
        <v>0</v>
      </c>
      <c r="I750" t="n">
        <v>0</v>
      </c>
      <c r="J750" t="n">
        <v>0</v>
      </c>
      <c r="K750" t="n">
        <v>0</v>
      </c>
      <c r="L750" t="n">
        <v>0</v>
      </c>
      <c r="M750" t="n">
        <v>0</v>
      </c>
      <c r="N750" t="n">
        <v>0</v>
      </c>
      <c r="O750" t="n">
        <v>0</v>
      </c>
      <c r="P750" t="n">
        <v>0</v>
      </c>
      <c r="Q750" t="n">
        <v>0</v>
      </c>
      <c r="R750" s="2" t="inlineStr"/>
    </row>
    <row r="751" ht="15" customHeight="1">
      <c r="A751" t="inlineStr">
        <is>
          <t>A 61149-2023</t>
        </is>
      </c>
      <c r="B751" s="1" t="n">
        <v>45261</v>
      </c>
      <c r="C751" s="1" t="n">
        <v>46193</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10309-2023</t>
        </is>
      </c>
      <c r="B752" s="1" t="n">
        <v>44986</v>
      </c>
      <c r="C752" s="1" t="n">
        <v>46193</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39509-2023</t>
        </is>
      </c>
      <c r="B753" s="1" t="n">
        <v>45166</v>
      </c>
      <c r="C753" s="1" t="n">
        <v>46193</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63716-2023</t>
        </is>
      </c>
      <c r="B754" s="1" t="n">
        <v>45275</v>
      </c>
      <c r="C754" s="1" t="n">
        <v>46193</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39535-2025</t>
        </is>
      </c>
      <c r="B755" s="1" t="n">
        <v>45890</v>
      </c>
      <c r="C755" s="1" t="n">
        <v>46193</v>
      </c>
      <c r="D755" t="inlineStr">
        <is>
          <t>JÄMTLANDS LÄN</t>
        </is>
      </c>
      <c r="E755" t="inlineStr">
        <is>
          <t>BRÄCKE</t>
        </is>
      </c>
      <c r="G755" t="n">
        <v>6.4</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46193</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30569-2024</t>
        </is>
      </c>
      <c r="B757" s="1" t="n">
        <v>45492</v>
      </c>
      <c r="C757" s="1" t="n">
        <v>46193</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49189-2024</t>
        </is>
      </c>
      <c r="B758" s="1" t="n">
        <v>45595</v>
      </c>
      <c r="C758" s="1" t="n">
        <v>46193</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12891-2024</t>
        </is>
      </c>
      <c r="B759" s="1" t="n">
        <v>45385</v>
      </c>
      <c r="C759" s="1" t="n">
        <v>46193</v>
      </c>
      <c r="D759" t="inlineStr">
        <is>
          <t>JÄMTLANDS LÄN</t>
        </is>
      </c>
      <c r="E759" t="inlineStr">
        <is>
          <t>BRÄCKE</t>
        </is>
      </c>
      <c r="F759" t="inlineStr">
        <is>
          <t>Kyrkan</t>
        </is>
      </c>
      <c r="G759" t="n">
        <v>0.4</v>
      </c>
      <c r="H759" t="n">
        <v>0</v>
      </c>
      <c r="I759" t="n">
        <v>0</v>
      </c>
      <c r="J759" t="n">
        <v>0</v>
      </c>
      <c r="K759" t="n">
        <v>0</v>
      </c>
      <c r="L759" t="n">
        <v>0</v>
      </c>
      <c r="M759" t="n">
        <v>0</v>
      </c>
      <c r="N759" t="n">
        <v>0</v>
      </c>
      <c r="O759" t="n">
        <v>0</v>
      </c>
      <c r="P759" t="n">
        <v>0</v>
      </c>
      <c r="Q759" t="n">
        <v>0</v>
      </c>
      <c r="R759" s="2" t="inlineStr"/>
    </row>
    <row r="760" ht="15" customHeight="1">
      <c r="A760" t="inlineStr">
        <is>
          <t>A 39680-2025</t>
        </is>
      </c>
      <c r="B760" s="1" t="n">
        <v>45890</v>
      </c>
      <c r="C760" s="1" t="n">
        <v>46193</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39377-2025</t>
        </is>
      </c>
      <c r="B761" s="1" t="n">
        <v>45889</v>
      </c>
      <c r="C761" s="1" t="n">
        <v>46193</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22459-2024</t>
        </is>
      </c>
      <c r="B762" s="1" t="n">
        <v>45446</v>
      </c>
      <c r="C762" s="1" t="n">
        <v>46193</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172-2025</t>
        </is>
      </c>
      <c r="B763" s="1" t="n">
        <v>45659</v>
      </c>
      <c r="C763" s="1" t="n">
        <v>46193</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39996-2024</t>
        </is>
      </c>
      <c r="B764" s="1" t="n">
        <v>45553</v>
      </c>
      <c r="C764" s="1" t="n">
        <v>46193</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40693-2024</t>
        </is>
      </c>
      <c r="B765" s="1" t="n">
        <v>45558</v>
      </c>
      <c r="C765" s="1" t="n">
        <v>46193</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61787-2023</t>
        </is>
      </c>
      <c r="B766" s="1" t="n">
        <v>45265</v>
      </c>
      <c r="C766" s="1" t="n">
        <v>46193</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55663-2023</t>
        </is>
      </c>
      <c r="B767" s="1" t="n">
        <v>45238</v>
      </c>
      <c r="C767" s="1" t="n">
        <v>46193</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39273-2025</t>
        </is>
      </c>
      <c r="B768" s="1" t="n">
        <v>45889</v>
      </c>
      <c r="C768" s="1" t="n">
        <v>46193</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39385-2025</t>
        </is>
      </c>
      <c r="B769" s="1" t="n">
        <v>45889</v>
      </c>
      <c r="C769" s="1" t="n">
        <v>46193</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52610-2024</t>
        </is>
      </c>
      <c r="B770" s="1" t="n">
        <v>45609</v>
      </c>
      <c r="C770" s="1" t="n">
        <v>46193</v>
      </c>
      <c r="D770" t="inlineStr">
        <is>
          <t>JÄMTLANDS LÄN</t>
        </is>
      </c>
      <c r="E770" t="inlineStr">
        <is>
          <t>BRÄCKE</t>
        </is>
      </c>
      <c r="G770" t="n">
        <v>16.7</v>
      </c>
      <c r="H770" t="n">
        <v>0</v>
      </c>
      <c r="I770" t="n">
        <v>0</v>
      </c>
      <c r="J770" t="n">
        <v>0</v>
      </c>
      <c r="K770" t="n">
        <v>0</v>
      </c>
      <c r="L770" t="n">
        <v>0</v>
      </c>
      <c r="M770" t="n">
        <v>0</v>
      </c>
      <c r="N770" t="n">
        <v>0</v>
      </c>
      <c r="O770" t="n">
        <v>0</v>
      </c>
      <c r="P770" t="n">
        <v>0</v>
      </c>
      <c r="Q770" t="n">
        <v>0</v>
      </c>
      <c r="R770" s="2" t="inlineStr"/>
    </row>
    <row r="771" ht="15" customHeight="1">
      <c r="A771" t="inlineStr">
        <is>
          <t>A 39355-2025</t>
        </is>
      </c>
      <c r="B771" s="1" t="n">
        <v>45889</v>
      </c>
      <c r="C771" s="1" t="n">
        <v>46193</v>
      </c>
      <c r="D771" t="inlineStr">
        <is>
          <t>JÄMTLANDS LÄN</t>
        </is>
      </c>
      <c r="E771" t="inlineStr">
        <is>
          <t>BRÄCKE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26437-2022</t>
        </is>
      </c>
      <c r="B772" s="1" t="n">
        <v>44736</v>
      </c>
      <c r="C772" s="1" t="n">
        <v>46193</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13033-2023</t>
        </is>
      </c>
      <c r="B773" s="1" t="n">
        <v>45001</v>
      </c>
      <c r="C773" s="1" t="n">
        <v>46193</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783-2025</t>
        </is>
      </c>
      <c r="B774" s="1" t="n">
        <v>45665</v>
      </c>
      <c r="C774" s="1" t="n">
        <v>46193</v>
      </c>
      <c r="D774" t="inlineStr">
        <is>
          <t>JÄMTLANDS LÄN</t>
        </is>
      </c>
      <c r="E774" t="inlineStr">
        <is>
          <t>BRÄCKE</t>
        </is>
      </c>
      <c r="G774" t="n">
        <v>4</v>
      </c>
      <c r="H774" t="n">
        <v>0</v>
      </c>
      <c r="I774" t="n">
        <v>0</v>
      </c>
      <c r="J774" t="n">
        <v>0</v>
      </c>
      <c r="K774" t="n">
        <v>0</v>
      </c>
      <c r="L774" t="n">
        <v>0</v>
      </c>
      <c r="M774" t="n">
        <v>0</v>
      </c>
      <c r="N774" t="n">
        <v>0</v>
      </c>
      <c r="O774" t="n">
        <v>0</v>
      </c>
      <c r="P774" t="n">
        <v>0</v>
      </c>
      <c r="Q774" t="n">
        <v>0</v>
      </c>
      <c r="R774" s="2" t="inlineStr"/>
    </row>
    <row r="775" ht="15" customHeight="1">
      <c r="A775" t="inlineStr">
        <is>
          <t>A 39505-2025</t>
        </is>
      </c>
      <c r="B775" s="1" t="n">
        <v>45890</v>
      </c>
      <c r="C775" s="1" t="n">
        <v>46193</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3179-2024</t>
        </is>
      </c>
      <c r="B776" s="1" t="n">
        <v>45316</v>
      </c>
      <c r="C776" s="1" t="n">
        <v>46193</v>
      </c>
      <c r="D776" t="inlineStr">
        <is>
          <t>JÄMTLANDS LÄN</t>
        </is>
      </c>
      <c r="E776" t="inlineStr">
        <is>
          <t>BRÄCKE</t>
        </is>
      </c>
      <c r="G776" t="n">
        <v>1.5</v>
      </c>
      <c r="H776" t="n">
        <v>0</v>
      </c>
      <c r="I776" t="n">
        <v>0</v>
      </c>
      <c r="J776" t="n">
        <v>0</v>
      </c>
      <c r="K776" t="n">
        <v>0</v>
      </c>
      <c r="L776" t="n">
        <v>0</v>
      </c>
      <c r="M776" t="n">
        <v>0</v>
      </c>
      <c r="N776" t="n">
        <v>0</v>
      </c>
      <c r="O776" t="n">
        <v>0</v>
      </c>
      <c r="P776" t="n">
        <v>0</v>
      </c>
      <c r="Q776" t="n">
        <v>0</v>
      </c>
      <c r="R776" s="2" t="inlineStr"/>
    </row>
    <row r="777" ht="15" customHeight="1">
      <c r="A777" t="inlineStr">
        <is>
          <t>A 61079-2024</t>
        </is>
      </c>
      <c r="B777" s="1" t="n">
        <v>45645</v>
      </c>
      <c r="C777" s="1" t="n">
        <v>46193</v>
      </c>
      <c r="D777" t="inlineStr">
        <is>
          <t>JÄMTLANDS LÄN</t>
        </is>
      </c>
      <c r="E777" t="inlineStr">
        <is>
          <t>BRÄCKE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5052-2024</t>
        </is>
      </c>
      <c r="B778" s="1" t="n">
        <v>45329</v>
      </c>
      <c r="C778" s="1" t="n">
        <v>46193</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5053-2024</t>
        </is>
      </c>
      <c r="B779" s="1" t="n">
        <v>45329</v>
      </c>
      <c r="C779" s="1" t="n">
        <v>46193</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2179-2025</t>
        </is>
      </c>
      <c r="B780" s="1" t="n">
        <v>45673</v>
      </c>
      <c r="C780" s="1" t="n">
        <v>46193</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2197-2025</t>
        </is>
      </c>
      <c r="B781" s="1" t="n">
        <v>45673</v>
      </c>
      <c r="C781" s="1" t="n">
        <v>46193</v>
      </c>
      <c r="D781" t="inlineStr">
        <is>
          <t>JÄMTLANDS LÄN</t>
        </is>
      </c>
      <c r="E781" t="inlineStr">
        <is>
          <t>BRÄCKE</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2581-2025</t>
        </is>
      </c>
      <c r="B782" s="1" t="n">
        <v>45674</v>
      </c>
      <c r="C782" s="1" t="n">
        <v>46193</v>
      </c>
      <c r="D782" t="inlineStr">
        <is>
          <t>JÄMTLANDS LÄN</t>
        </is>
      </c>
      <c r="E782" t="inlineStr">
        <is>
          <t>BRÄCKE</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51441-2023</t>
        </is>
      </c>
      <c r="B783" s="1" t="n">
        <v>45219</v>
      </c>
      <c r="C783" s="1" t="n">
        <v>46193</v>
      </c>
      <c r="D783" t="inlineStr">
        <is>
          <t>JÄMTLANDS LÄN</t>
        </is>
      </c>
      <c r="E783" t="inlineStr">
        <is>
          <t>BRÄCKE</t>
        </is>
      </c>
      <c r="G783" t="n">
        <v>1.2</v>
      </c>
      <c r="H783" t="n">
        <v>0</v>
      </c>
      <c r="I783" t="n">
        <v>0</v>
      </c>
      <c r="J783" t="n">
        <v>0</v>
      </c>
      <c r="K783" t="n">
        <v>0</v>
      </c>
      <c r="L783" t="n">
        <v>0</v>
      </c>
      <c r="M783" t="n">
        <v>0</v>
      </c>
      <c r="N783" t="n">
        <v>0</v>
      </c>
      <c r="O783" t="n">
        <v>0</v>
      </c>
      <c r="P783" t="n">
        <v>0</v>
      </c>
      <c r="Q783" t="n">
        <v>0</v>
      </c>
      <c r="R783" s="2" t="inlineStr"/>
    </row>
    <row r="784" ht="15" customHeight="1">
      <c r="A784" t="inlineStr">
        <is>
          <t>A 52713-2022</t>
        </is>
      </c>
      <c r="B784" s="1" t="n">
        <v>44874</v>
      </c>
      <c r="C784" s="1" t="n">
        <v>46193</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46597-2022</t>
        </is>
      </c>
      <c r="B785" s="1" t="n">
        <v>44848</v>
      </c>
      <c r="C785" s="1" t="n">
        <v>46193</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3787-2025</t>
        </is>
      </c>
      <c r="B786" s="1" t="n">
        <v>45681</v>
      </c>
      <c r="C786" s="1" t="n">
        <v>46193</v>
      </c>
      <c r="D786" t="inlineStr">
        <is>
          <t>JÄMTLANDS LÄN</t>
        </is>
      </c>
      <c r="E786" t="inlineStr">
        <is>
          <t>BRÄCKE</t>
        </is>
      </c>
      <c r="F786" t="inlineStr">
        <is>
          <t>SCA</t>
        </is>
      </c>
      <c r="G786" t="n">
        <v>6.8</v>
      </c>
      <c r="H786" t="n">
        <v>0</v>
      </c>
      <c r="I786" t="n">
        <v>0</v>
      </c>
      <c r="J786" t="n">
        <v>0</v>
      </c>
      <c r="K786" t="n">
        <v>0</v>
      </c>
      <c r="L786" t="n">
        <v>0</v>
      </c>
      <c r="M786" t="n">
        <v>0</v>
      </c>
      <c r="N786" t="n">
        <v>0</v>
      </c>
      <c r="O786" t="n">
        <v>0</v>
      </c>
      <c r="P786" t="n">
        <v>0</v>
      </c>
      <c r="Q786" t="n">
        <v>0</v>
      </c>
      <c r="R786" s="2" t="inlineStr"/>
    </row>
    <row r="787" ht="15" customHeight="1">
      <c r="A787" t="inlineStr">
        <is>
          <t>A 39933-2025</t>
        </is>
      </c>
      <c r="B787" s="1" t="n">
        <v>45891</v>
      </c>
      <c r="C787" s="1" t="n">
        <v>46193</v>
      </c>
      <c r="D787" t="inlineStr">
        <is>
          <t>JÄMTLANDS LÄN</t>
        </is>
      </c>
      <c r="E787" t="inlineStr">
        <is>
          <t>BRÄCKE</t>
        </is>
      </c>
      <c r="G787" t="n">
        <v>15.1</v>
      </c>
      <c r="H787" t="n">
        <v>0</v>
      </c>
      <c r="I787" t="n">
        <v>0</v>
      </c>
      <c r="J787" t="n">
        <v>0</v>
      </c>
      <c r="K787" t="n">
        <v>0</v>
      </c>
      <c r="L787" t="n">
        <v>0</v>
      </c>
      <c r="M787" t="n">
        <v>0</v>
      </c>
      <c r="N787" t="n">
        <v>0</v>
      </c>
      <c r="O787" t="n">
        <v>0</v>
      </c>
      <c r="P787" t="n">
        <v>0</v>
      </c>
      <c r="Q787" t="n">
        <v>0</v>
      </c>
      <c r="R787" s="2" t="inlineStr"/>
    </row>
    <row r="788" ht="15" customHeight="1">
      <c r="A788" t="inlineStr">
        <is>
          <t>A 40765-2023</t>
        </is>
      </c>
      <c r="B788" s="1" t="n">
        <v>45170</v>
      </c>
      <c r="C788" s="1" t="n">
        <v>46193</v>
      </c>
      <c r="D788" t="inlineStr">
        <is>
          <t>JÄMTLANDS LÄN</t>
        </is>
      </c>
      <c r="E788" t="inlineStr">
        <is>
          <t>BRÄCKE</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50220-2023</t>
        </is>
      </c>
      <c r="B789" s="1" t="n">
        <v>45215</v>
      </c>
      <c r="C789" s="1" t="n">
        <v>46193</v>
      </c>
      <c r="D789" t="inlineStr">
        <is>
          <t>JÄMTLANDS LÄN</t>
        </is>
      </c>
      <c r="E789" t="inlineStr">
        <is>
          <t>BRÄCKE</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41049-2025</t>
        </is>
      </c>
      <c r="B790" s="1" t="n">
        <v>45898</v>
      </c>
      <c r="C790" s="1" t="n">
        <v>46193</v>
      </c>
      <c r="D790" t="inlineStr">
        <is>
          <t>JÄMTLANDS LÄN</t>
        </is>
      </c>
      <c r="E790" t="inlineStr">
        <is>
          <t>BRÄCKE</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41060-2025</t>
        </is>
      </c>
      <c r="B791" s="1" t="n">
        <v>45898</v>
      </c>
      <c r="C791" s="1" t="n">
        <v>46193</v>
      </c>
      <c r="D791" t="inlineStr">
        <is>
          <t>JÄMTLANDS LÄN</t>
        </is>
      </c>
      <c r="E791" t="inlineStr">
        <is>
          <t>BRÄCKE</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35896-2023</t>
        </is>
      </c>
      <c r="B792" s="1" t="n">
        <v>45148</v>
      </c>
      <c r="C792" s="1" t="n">
        <v>46193</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3031-2023</t>
        </is>
      </c>
      <c r="B793" s="1" t="n">
        <v>44945</v>
      </c>
      <c r="C793" s="1" t="n">
        <v>46193</v>
      </c>
      <c r="D793" t="inlineStr">
        <is>
          <t>JÄMTLANDS LÄN</t>
        </is>
      </c>
      <c r="E793" t="inlineStr">
        <is>
          <t>BRÄCKE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3033-2023</t>
        </is>
      </c>
      <c r="B794" s="1" t="n">
        <v>44945</v>
      </c>
      <c r="C794" s="1" t="n">
        <v>46193</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3036-2023</t>
        </is>
      </c>
      <c r="B795" s="1" t="n">
        <v>44945</v>
      </c>
      <c r="C795" s="1" t="n">
        <v>46193</v>
      </c>
      <c r="D795" t="inlineStr">
        <is>
          <t>JÄMTLANDS LÄN</t>
        </is>
      </c>
      <c r="E795" t="inlineStr">
        <is>
          <t>BRÄCKE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39767-2025</t>
        </is>
      </c>
      <c r="B796" s="1" t="n">
        <v>45891</v>
      </c>
      <c r="C796" s="1" t="n">
        <v>46193</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40832-2025</t>
        </is>
      </c>
      <c r="B797" s="1" t="n">
        <v>45897</v>
      </c>
      <c r="C797" s="1" t="n">
        <v>46193</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41094-2025</t>
        </is>
      </c>
      <c r="B798" s="1" t="n">
        <v>45898</v>
      </c>
      <c r="C798" s="1" t="n">
        <v>46193</v>
      </c>
      <c r="D798" t="inlineStr">
        <is>
          <t>JÄMTLANDS LÄN</t>
        </is>
      </c>
      <c r="E798" t="inlineStr">
        <is>
          <t>BRÄCKE</t>
        </is>
      </c>
      <c r="F798" t="inlineStr">
        <is>
          <t>Övriga Aktiebolag</t>
        </is>
      </c>
      <c r="G798" t="n">
        <v>1</v>
      </c>
      <c r="H798" t="n">
        <v>0</v>
      </c>
      <c r="I798" t="n">
        <v>0</v>
      </c>
      <c r="J798" t="n">
        <v>0</v>
      </c>
      <c r="K798" t="n">
        <v>0</v>
      </c>
      <c r="L798" t="n">
        <v>0</v>
      </c>
      <c r="M798" t="n">
        <v>0</v>
      </c>
      <c r="N798" t="n">
        <v>0</v>
      </c>
      <c r="O798" t="n">
        <v>0</v>
      </c>
      <c r="P798" t="n">
        <v>0</v>
      </c>
      <c r="Q798" t="n">
        <v>0</v>
      </c>
      <c r="R798" s="2" t="inlineStr"/>
    </row>
    <row r="799" ht="15" customHeight="1">
      <c r="A799" t="inlineStr">
        <is>
          <t>A 8422-2022</t>
        </is>
      </c>
      <c r="B799" s="1" t="n">
        <v>44610</v>
      </c>
      <c r="C799" s="1" t="n">
        <v>46193</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41026-2025</t>
        </is>
      </c>
      <c r="B800" s="1" t="n">
        <v>45898</v>
      </c>
      <c r="C800" s="1" t="n">
        <v>46193</v>
      </c>
      <c r="D800" t="inlineStr">
        <is>
          <t>JÄMTLANDS LÄN</t>
        </is>
      </c>
      <c r="E800" t="inlineStr">
        <is>
          <t>BRÄCKE</t>
        </is>
      </c>
      <c r="F800" t="inlineStr">
        <is>
          <t>Övriga Aktiebolag</t>
        </is>
      </c>
      <c r="G800" t="n">
        <v>10.3</v>
      </c>
      <c r="H800" t="n">
        <v>0</v>
      </c>
      <c r="I800" t="n">
        <v>0</v>
      </c>
      <c r="J800" t="n">
        <v>0</v>
      </c>
      <c r="K800" t="n">
        <v>0</v>
      </c>
      <c r="L800" t="n">
        <v>0</v>
      </c>
      <c r="M800" t="n">
        <v>0</v>
      </c>
      <c r="N800" t="n">
        <v>0</v>
      </c>
      <c r="O800" t="n">
        <v>0</v>
      </c>
      <c r="P800" t="n">
        <v>0</v>
      </c>
      <c r="Q800" t="n">
        <v>0</v>
      </c>
      <c r="R800" s="2" t="inlineStr"/>
    </row>
    <row r="801" ht="15" customHeight="1">
      <c r="A801" t="inlineStr">
        <is>
          <t>A 39745-2025</t>
        </is>
      </c>
      <c r="B801" s="1" t="n">
        <v>45891</v>
      </c>
      <c r="C801" s="1" t="n">
        <v>46193</v>
      </c>
      <c r="D801" t="inlineStr">
        <is>
          <t>JÄMTLANDS LÄN</t>
        </is>
      </c>
      <c r="E801" t="inlineStr">
        <is>
          <t>BRÄCKE</t>
        </is>
      </c>
      <c r="G801" t="n">
        <v>3.4</v>
      </c>
      <c r="H801" t="n">
        <v>0</v>
      </c>
      <c r="I801" t="n">
        <v>0</v>
      </c>
      <c r="J801" t="n">
        <v>0</v>
      </c>
      <c r="K801" t="n">
        <v>0</v>
      </c>
      <c r="L801" t="n">
        <v>0</v>
      </c>
      <c r="M801" t="n">
        <v>0</v>
      </c>
      <c r="N801" t="n">
        <v>0</v>
      </c>
      <c r="O801" t="n">
        <v>0</v>
      </c>
      <c r="P801" t="n">
        <v>0</v>
      </c>
      <c r="Q801" t="n">
        <v>0</v>
      </c>
      <c r="R801" s="2" t="inlineStr"/>
    </row>
    <row r="802" ht="15" customHeight="1">
      <c r="A802" t="inlineStr">
        <is>
          <t>A 40748-2025</t>
        </is>
      </c>
      <c r="B802" s="1" t="n">
        <v>45897</v>
      </c>
      <c r="C802" s="1" t="n">
        <v>46193</v>
      </c>
      <c r="D802" t="inlineStr">
        <is>
          <t>JÄMTLANDS LÄN</t>
        </is>
      </c>
      <c r="E802" t="inlineStr">
        <is>
          <t>BRÄCKE</t>
        </is>
      </c>
      <c r="G802" t="n">
        <v>2</v>
      </c>
      <c r="H802" t="n">
        <v>0</v>
      </c>
      <c r="I802" t="n">
        <v>0</v>
      </c>
      <c r="J802" t="n">
        <v>0</v>
      </c>
      <c r="K802" t="n">
        <v>0</v>
      </c>
      <c r="L802" t="n">
        <v>0</v>
      </c>
      <c r="M802" t="n">
        <v>0</v>
      </c>
      <c r="N802" t="n">
        <v>0</v>
      </c>
      <c r="O802" t="n">
        <v>0</v>
      </c>
      <c r="P802" t="n">
        <v>0</v>
      </c>
      <c r="Q802" t="n">
        <v>0</v>
      </c>
      <c r="R802" s="2" t="inlineStr"/>
    </row>
    <row r="803" ht="15" customHeight="1">
      <c r="A803" t="inlineStr">
        <is>
          <t>A 9996-2025</t>
        </is>
      </c>
      <c r="B803" s="1" t="n">
        <v>45719</v>
      </c>
      <c r="C803" s="1" t="n">
        <v>46193</v>
      </c>
      <c r="D803" t="inlineStr">
        <is>
          <t>JÄMTLANDS LÄN</t>
        </is>
      </c>
      <c r="E803" t="inlineStr">
        <is>
          <t>BRÄCKE</t>
        </is>
      </c>
      <c r="G803" t="n">
        <v>4.5</v>
      </c>
      <c r="H803" t="n">
        <v>0</v>
      </c>
      <c r="I803" t="n">
        <v>0</v>
      </c>
      <c r="J803" t="n">
        <v>0</v>
      </c>
      <c r="K803" t="n">
        <v>0</v>
      </c>
      <c r="L803" t="n">
        <v>0</v>
      </c>
      <c r="M803" t="n">
        <v>0</v>
      </c>
      <c r="N803" t="n">
        <v>0</v>
      </c>
      <c r="O803" t="n">
        <v>0</v>
      </c>
      <c r="P803" t="n">
        <v>0</v>
      </c>
      <c r="Q803" t="n">
        <v>0</v>
      </c>
      <c r="R803" s="2" t="inlineStr"/>
    </row>
    <row r="804" ht="15" customHeight="1">
      <c r="A804" t="inlineStr">
        <is>
          <t>A 40607-2025</t>
        </is>
      </c>
      <c r="B804" s="1" t="n">
        <v>45896</v>
      </c>
      <c r="C804" s="1" t="n">
        <v>46193</v>
      </c>
      <c r="D804" t="inlineStr">
        <is>
          <t>JÄMTLANDS LÄN</t>
        </is>
      </c>
      <c r="E804" t="inlineStr">
        <is>
          <t>BRÄCKE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41510-2025</t>
        </is>
      </c>
      <c r="B805" s="1" t="n">
        <v>45901</v>
      </c>
      <c r="C805" s="1" t="n">
        <v>46193</v>
      </c>
      <c r="D805" t="inlineStr">
        <is>
          <t>JÄMTLANDS LÄN</t>
        </is>
      </c>
      <c r="E805" t="inlineStr">
        <is>
          <t>BRÄCKE</t>
        </is>
      </c>
      <c r="F805" t="inlineStr">
        <is>
          <t>Övriga Aktiebolag</t>
        </is>
      </c>
      <c r="G805" t="n">
        <v>2.2</v>
      </c>
      <c r="H805" t="n">
        <v>0</v>
      </c>
      <c r="I805" t="n">
        <v>0</v>
      </c>
      <c r="J805" t="n">
        <v>0</v>
      </c>
      <c r="K805" t="n">
        <v>0</v>
      </c>
      <c r="L805" t="n">
        <v>0</v>
      </c>
      <c r="M805" t="n">
        <v>0</v>
      </c>
      <c r="N805" t="n">
        <v>0</v>
      </c>
      <c r="O805" t="n">
        <v>0</v>
      </c>
      <c r="P805" t="n">
        <v>0</v>
      </c>
      <c r="Q805" t="n">
        <v>0</v>
      </c>
      <c r="R805" s="2" t="inlineStr"/>
    </row>
    <row r="806" ht="15" customHeight="1">
      <c r="A806" t="inlineStr">
        <is>
          <t>A 41503-2025</t>
        </is>
      </c>
      <c r="B806" s="1" t="n">
        <v>45901</v>
      </c>
      <c r="C806" s="1" t="n">
        <v>46193</v>
      </c>
      <c r="D806" t="inlineStr">
        <is>
          <t>JÄMTLANDS LÄN</t>
        </is>
      </c>
      <c r="E806" t="inlineStr">
        <is>
          <t>BRÄCKE</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41285-2025</t>
        </is>
      </c>
      <c r="B807" s="1" t="n">
        <v>45898</v>
      </c>
      <c r="C807" s="1" t="n">
        <v>46193</v>
      </c>
      <c r="D807" t="inlineStr">
        <is>
          <t>JÄMTLANDS LÄN</t>
        </is>
      </c>
      <c r="E807" t="inlineStr">
        <is>
          <t>BRÄCKE</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40749-2025</t>
        </is>
      </c>
      <c r="B808" s="1" t="n">
        <v>45897</v>
      </c>
      <c r="C808" s="1" t="n">
        <v>46193</v>
      </c>
      <c r="D808" t="inlineStr">
        <is>
          <t>JÄMTLANDS LÄN</t>
        </is>
      </c>
      <c r="E808" t="inlineStr">
        <is>
          <t>BRÄCKE</t>
        </is>
      </c>
      <c r="G808" t="n">
        <v>4.1</v>
      </c>
      <c r="H808" t="n">
        <v>0</v>
      </c>
      <c r="I808" t="n">
        <v>0</v>
      </c>
      <c r="J808" t="n">
        <v>0</v>
      </c>
      <c r="K808" t="n">
        <v>0</v>
      </c>
      <c r="L808" t="n">
        <v>0</v>
      </c>
      <c r="M808" t="n">
        <v>0</v>
      </c>
      <c r="N808" t="n">
        <v>0</v>
      </c>
      <c r="O808" t="n">
        <v>0</v>
      </c>
      <c r="P808" t="n">
        <v>0</v>
      </c>
      <c r="Q808" t="n">
        <v>0</v>
      </c>
      <c r="R808" s="2" t="inlineStr"/>
    </row>
    <row r="809" ht="15" customHeight="1">
      <c r="A809" t="inlineStr">
        <is>
          <t>A 41344-2025</t>
        </is>
      </c>
      <c r="B809" s="1" t="n">
        <v>45899</v>
      </c>
      <c r="C809" s="1" t="n">
        <v>46193</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41297-2025</t>
        </is>
      </c>
      <c r="B810" s="1" t="n">
        <v>45898</v>
      </c>
      <c r="C810" s="1" t="n">
        <v>46193</v>
      </c>
      <c r="D810" t="inlineStr">
        <is>
          <t>JÄMTLANDS LÄN</t>
        </is>
      </c>
      <c r="E810" t="inlineStr">
        <is>
          <t>BRÄCKE</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40793-2025</t>
        </is>
      </c>
      <c r="B811" s="1" t="n">
        <v>45897</v>
      </c>
      <c r="C811" s="1" t="n">
        <v>46193</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40868-2025</t>
        </is>
      </c>
      <c r="B812" s="1" t="n">
        <v>45897</v>
      </c>
      <c r="C812" s="1" t="n">
        <v>46193</v>
      </c>
      <c r="D812" t="inlineStr">
        <is>
          <t>JÄMTLANDS LÄN</t>
        </is>
      </c>
      <c r="E812" t="inlineStr">
        <is>
          <t>BRÄCKE</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40809-2025</t>
        </is>
      </c>
      <c r="B813" s="1" t="n">
        <v>45897</v>
      </c>
      <c r="C813" s="1" t="n">
        <v>46193</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40834-2025</t>
        </is>
      </c>
      <c r="B814" s="1" t="n">
        <v>45897</v>
      </c>
      <c r="C814" s="1" t="n">
        <v>46193</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40843-2025</t>
        </is>
      </c>
      <c r="B815" s="1" t="n">
        <v>45897</v>
      </c>
      <c r="C815" s="1" t="n">
        <v>46193</v>
      </c>
      <c r="D815" t="inlineStr">
        <is>
          <t>JÄMTLANDS LÄN</t>
        </is>
      </c>
      <c r="E815" t="inlineStr">
        <is>
          <t>BRÄCKE</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41345-2025</t>
        </is>
      </c>
      <c r="B816" s="1" t="n">
        <v>45899</v>
      </c>
      <c r="C816" s="1" t="n">
        <v>46193</v>
      </c>
      <c r="D816" t="inlineStr">
        <is>
          <t>JÄMTLANDS LÄN</t>
        </is>
      </c>
      <c r="E816" t="inlineStr">
        <is>
          <t>BRÄCKE</t>
        </is>
      </c>
      <c r="G816" t="n">
        <v>7.5</v>
      </c>
      <c r="H816" t="n">
        <v>0</v>
      </c>
      <c r="I816" t="n">
        <v>0</v>
      </c>
      <c r="J816" t="n">
        <v>0</v>
      </c>
      <c r="K816" t="n">
        <v>0</v>
      </c>
      <c r="L816" t="n">
        <v>0</v>
      </c>
      <c r="M816" t="n">
        <v>0</v>
      </c>
      <c r="N816" t="n">
        <v>0</v>
      </c>
      <c r="O816" t="n">
        <v>0</v>
      </c>
      <c r="P816" t="n">
        <v>0</v>
      </c>
      <c r="Q816" t="n">
        <v>0</v>
      </c>
      <c r="R816" s="2" t="inlineStr"/>
    </row>
    <row r="817" ht="15" customHeight="1">
      <c r="A817" t="inlineStr">
        <is>
          <t>A 41526-2025</t>
        </is>
      </c>
      <c r="B817" s="1" t="n">
        <v>45901</v>
      </c>
      <c r="C817" s="1" t="n">
        <v>46193</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40900-2025</t>
        </is>
      </c>
      <c r="B818" s="1" t="n">
        <v>45897</v>
      </c>
      <c r="C818" s="1" t="n">
        <v>46193</v>
      </c>
      <c r="D818" t="inlineStr">
        <is>
          <t>JÄMTLANDS LÄN</t>
        </is>
      </c>
      <c r="E818" t="inlineStr">
        <is>
          <t>BRÄCKE</t>
        </is>
      </c>
      <c r="G818" t="n">
        <v>4.8</v>
      </c>
      <c r="H818" t="n">
        <v>0</v>
      </c>
      <c r="I818" t="n">
        <v>0</v>
      </c>
      <c r="J818" t="n">
        <v>0</v>
      </c>
      <c r="K818" t="n">
        <v>0</v>
      </c>
      <c r="L818" t="n">
        <v>0</v>
      </c>
      <c r="M818" t="n">
        <v>0</v>
      </c>
      <c r="N818" t="n">
        <v>0</v>
      </c>
      <c r="O818" t="n">
        <v>0</v>
      </c>
      <c r="P818" t="n">
        <v>0</v>
      </c>
      <c r="Q818" t="n">
        <v>0</v>
      </c>
      <c r="R818" s="2" t="inlineStr"/>
    </row>
    <row r="819" ht="15" customHeight="1">
      <c r="A819" t="inlineStr">
        <is>
          <t>A 42131-2025</t>
        </is>
      </c>
      <c r="B819" s="1" t="n">
        <v>45904</v>
      </c>
      <c r="C819" s="1" t="n">
        <v>46193</v>
      </c>
      <c r="D819" t="inlineStr">
        <is>
          <t>JÄMTLANDS LÄN</t>
        </is>
      </c>
      <c r="E819" t="inlineStr">
        <is>
          <t>BRÄCKE</t>
        </is>
      </c>
      <c r="G819" t="n">
        <v>3.3</v>
      </c>
      <c r="H819" t="n">
        <v>0</v>
      </c>
      <c r="I819" t="n">
        <v>0</v>
      </c>
      <c r="J819" t="n">
        <v>0</v>
      </c>
      <c r="K819" t="n">
        <v>0</v>
      </c>
      <c r="L819" t="n">
        <v>0</v>
      </c>
      <c r="M819" t="n">
        <v>0</v>
      </c>
      <c r="N819" t="n">
        <v>0</v>
      </c>
      <c r="O819" t="n">
        <v>0</v>
      </c>
      <c r="P819" t="n">
        <v>0</v>
      </c>
      <c r="Q819" t="n">
        <v>0</v>
      </c>
      <c r="R819" s="2" t="inlineStr"/>
    </row>
    <row r="820" ht="15" customHeight="1">
      <c r="A820" t="inlineStr">
        <is>
          <t>A 42123-2025</t>
        </is>
      </c>
      <c r="B820" s="1" t="n">
        <v>45904</v>
      </c>
      <c r="C820" s="1" t="n">
        <v>46193</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42128-2025</t>
        </is>
      </c>
      <c r="B821" s="1" t="n">
        <v>45904</v>
      </c>
      <c r="C821" s="1" t="n">
        <v>46193</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42130-2025</t>
        </is>
      </c>
      <c r="B822" s="1" t="n">
        <v>45904</v>
      </c>
      <c r="C822" s="1" t="n">
        <v>46193</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36209-2023</t>
        </is>
      </c>
      <c r="B823" s="1" t="n">
        <v>45149</v>
      </c>
      <c r="C823" s="1" t="n">
        <v>46193</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42132-2025</t>
        </is>
      </c>
      <c r="B824" s="1" t="n">
        <v>45904</v>
      </c>
      <c r="C824" s="1" t="n">
        <v>46193</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41547-2025</t>
        </is>
      </c>
      <c r="B825" s="1" t="n">
        <v>45901</v>
      </c>
      <c r="C825" s="1" t="n">
        <v>46193</v>
      </c>
      <c r="D825" t="inlineStr">
        <is>
          <t>JÄMTLANDS LÄN</t>
        </is>
      </c>
      <c r="E825" t="inlineStr">
        <is>
          <t>BRÄCKE</t>
        </is>
      </c>
      <c r="G825" t="n">
        <v>5.1</v>
      </c>
      <c r="H825" t="n">
        <v>0</v>
      </c>
      <c r="I825" t="n">
        <v>0</v>
      </c>
      <c r="J825" t="n">
        <v>0</v>
      </c>
      <c r="K825" t="n">
        <v>0</v>
      </c>
      <c r="L825" t="n">
        <v>0</v>
      </c>
      <c r="M825" t="n">
        <v>0</v>
      </c>
      <c r="N825" t="n">
        <v>0</v>
      </c>
      <c r="O825" t="n">
        <v>0</v>
      </c>
      <c r="P825" t="n">
        <v>0</v>
      </c>
      <c r="Q825" t="n">
        <v>0</v>
      </c>
      <c r="R825" s="2" t="inlineStr"/>
    </row>
    <row r="826" ht="15" customHeight="1">
      <c r="A826" t="inlineStr">
        <is>
          <t>A 62102-2024</t>
        </is>
      </c>
      <c r="B826" s="1" t="n">
        <v>45656</v>
      </c>
      <c r="C826" s="1" t="n">
        <v>46193</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41757-2025</t>
        </is>
      </c>
      <c r="B827" s="1" t="n">
        <v>45902</v>
      </c>
      <c r="C827" s="1" t="n">
        <v>46193</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41981-2025</t>
        </is>
      </c>
      <c r="B828" s="1" t="n">
        <v>45903</v>
      </c>
      <c r="C828" s="1" t="n">
        <v>46193</v>
      </c>
      <c r="D828" t="inlineStr">
        <is>
          <t>JÄMTLANDS LÄN</t>
        </is>
      </c>
      <c r="E828" t="inlineStr">
        <is>
          <t>BRÄCKE</t>
        </is>
      </c>
      <c r="G828" t="n">
        <v>6.2</v>
      </c>
      <c r="H828" t="n">
        <v>0</v>
      </c>
      <c r="I828" t="n">
        <v>0</v>
      </c>
      <c r="J828" t="n">
        <v>0</v>
      </c>
      <c r="K828" t="n">
        <v>0</v>
      </c>
      <c r="L828" t="n">
        <v>0</v>
      </c>
      <c r="M828" t="n">
        <v>0</v>
      </c>
      <c r="N828" t="n">
        <v>0</v>
      </c>
      <c r="O828" t="n">
        <v>0</v>
      </c>
      <c r="P828" t="n">
        <v>0</v>
      </c>
      <c r="Q828" t="n">
        <v>0</v>
      </c>
      <c r="R828" s="2" t="inlineStr"/>
    </row>
    <row r="829" ht="15" customHeight="1">
      <c r="A829" t="inlineStr">
        <is>
          <t>A 29572-2024</t>
        </is>
      </c>
      <c r="B829" s="1" t="n">
        <v>45484</v>
      </c>
      <c r="C829" s="1" t="n">
        <v>46193</v>
      </c>
      <c r="D829" t="inlineStr">
        <is>
          <t>JÄMTLANDS LÄN</t>
        </is>
      </c>
      <c r="E829" t="inlineStr">
        <is>
          <t>BRÄCKE</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44403-2023</t>
        </is>
      </c>
      <c r="B830" s="1" t="n">
        <v>45188</v>
      </c>
      <c r="C830" s="1" t="n">
        <v>46193</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1080-2025</t>
        </is>
      </c>
      <c r="B831" s="1" t="n">
        <v>45666</v>
      </c>
      <c r="C831" s="1" t="n">
        <v>46193</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42380-2025</t>
        </is>
      </c>
      <c r="B832" s="1" t="n">
        <v>45905</v>
      </c>
      <c r="C832" s="1" t="n">
        <v>46193</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53270-2025</t>
        </is>
      </c>
      <c r="B833" s="1" t="n">
        <v>45958</v>
      </c>
      <c r="C833" s="1" t="n">
        <v>46193</v>
      </c>
      <c r="D833" t="inlineStr">
        <is>
          <t>JÄMTLANDS LÄN</t>
        </is>
      </c>
      <c r="E833" t="inlineStr">
        <is>
          <t>BRÄCKE</t>
        </is>
      </c>
      <c r="G833" t="n">
        <v>9.9</v>
      </c>
      <c r="H833" t="n">
        <v>0</v>
      </c>
      <c r="I833" t="n">
        <v>0</v>
      </c>
      <c r="J833" t="n">
        <v>0</v>
      </c>
      <c r="K833" t="n">
        <v>0</v>
      </c>
      <c r="L833" t="n">
        <v>0</v>
      </c>
      <c r="M833" t="n">
        <v>0</v>
      </c>
      <c r="N833" t="n">
        <v>0</v>
      </c>
      <c r="O833" t="n">
        <v>0</v>
      </c>
      <c r="P833" t="n">
        <v>0</v>
      </c>
      <c r="Q833" t="n">
        <v>0</v>
      </c>
      <c r="R833" s="2" t="inlineStr"/>
    </row>
    <row r="834" ht="15" customHeight="1">
      <c r="A834" t="inlineStr">
        <is>
          <t>A 42507-2025</t>
        </is>
      </c>
      <c r="B834" s="1" t="n">
        <v>45905</v>
      </c>
      <c r="C834" s="1" t="n">
        <v>46193</v>
      </c>
      <c r="D834" t="inlineStr">
        <is>
          <t>JÄMTLANDS LÄN</t>
        </is>
      </c>
      <c r="E834" t="inlineStr">
        <is>
          <t>BRÄCKE</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42435-2025</t>
        </is>
      </c>
      <c r="B835" s="1" t="n">
        <v>45905</v>
      </c>
      <c r="C835" s="1" t="n">
        <v>46193</v>
      </c>
      <c r="D835" t="inlineStr">
        <is>
          <t>JÄMTLANDS LÄN</t>
        </is>
      </c>
      <c r="E835" t="inlineStr">
        <is>
          <t>BRÄCKE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49291-2024</t>
        </is>
      </c>
      <c r="B836" s="1" t="n">
        <v>45595</v>
      </c>
      <c r="C836" s="1" t="n">
        <v>46193</v>
      </c>
      <c r="D836" t="inlineStr">
        <is>
          <t>JÄMTLANDS LÄN</t>
        </is>
      </c>
      <c r="E836" t="inlineStr">
        <is>
          <t>BRÄCKE</t>
        </is>
      </c>
      <c r="G836" t="n">
        <v>4.6</v>
      </c>
      <c r="H836" t="n">
        <v>0</v>
      </c>
      <c r="I836" t="n">
        <v>0</v>
      </c>
      <c r="J836" t="n">
        <v>0</v>
      </c>
      <c r="K836" t="n">
        <v>0</v>
      </c>
      <c r="L836" t="n">
        <v>0</v>
      </c>
      <c r="M836" t="n">
        <v>0</v>
      </c>
      <c r="N836" t="n">
        <v>0</v>
      </c>
      <c r="O836" t="n">
        <v>0</v>
      </c>
      <c r="P836" t="n">
        <v>0</v>
      </c>
      <c r="Q836" t="n">
        <v>0</v>
      </c>
      <c r="R836" s="2" t="inlineStr"/>
    </row>
    <row r="837" ht="15" customHeight="1">
      <c r="A837" t="inlineStr">
        <is>
          <t>A 42659-2025</t>
        </is>
      </c>
      <c r="B837" s="1" t="n">
        <v>45907</v>
      </c>
      <c r="C837" s="1" t="n">
        <v>46193</v>
      </c>
      <c r="D837" t="inlineStr">
        <is>
          <t>JÄMTLANDS LÄN</t>
        </is>
      </c>
      <c r="E837" t="inlineStr">
        <is>
          <t>BRÄCKE</t>
        </is>
      </c>
      <c r="G837" t="n">
        <v>3.2</v>
      </c>
      <c r="H837" t="n">
        <v>0</v>
      </c>
      <c r="I837" t="n">
        <v>0</v>
      </c>
      <c r="J837" t="n">
        <v>0</v>
      </c>
      <c r="K837" t="n">
        <v>0</v>
      </c>
      <c r="L837" t="n">
        <v>0</v>
      </c>
      <c r="M837" t="n">
        <v>0</v>
      </c>
      <c r="N837" t="n">
        <v>0</v>
      </c>
      <c r="O837" t="n">
        <v>0</v>
      </c>
      <c r="P837" t="n">
        <v>0</v>
      </c>
      <c r="Q837" t="n">
        <v>0</v>
      </c>
      <c r="R837" s="2" t="inlineStr"/>
    </row>
    <row r="838" ht="15" customHeight="1">
      <c r="A838" t="inlineStr">
        <is>
          <t>A 42379-2025</t>
        </is>
      </c>
      <c r="B838" s="1" t="n">
        <v>45905</v>
      </c>
      <c r="C838" s="1" t="n">
        <v>46193</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30479-2022</t>
        </is>
      </c>
      <c r="B839" s="1" t="n">
        <v>44761</v>
      </c>
      <c r="C839" s="1" t="n">
        <v>46193</v>
      </c>
      <c r="D839" t="inlineStr">
        <is>
          <t>JÄMTLANDS LÄN</t>
        </is>
      </c>
      <c r="E839" t="inlineStr">
        <is>
          <t>BRÄCKE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37957-2021</t>
        </is>
      </c>
      <c r="B840" s="1" t="n">
        <v>44403</v>
      </c>
      <c r="C840" s="1" t="n">
        <v>46193</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43254-2025</t>
        </is>
      </c>
      <c r="B841" s="1" t="n">
        <v>45910</v>
      </c>
      <c r="C841" s="1" t="n">
        <v>46193</v>
      </c>
      <c r="D841" t="inlineStr">
        <is>
          <t>JÄMTLANDS LÄN</t>
        </is>
      </c>
      <c r="E841" t="inlineStr">
        <is>
          <t>BRÄCKE</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31467-2023</t>
        </is>
      </c>
      <c r="B842" s="1" t="n">
        <v>45104</v>
      </c>
      <c r="C842" s="1" t="n">
        <v>46193</v>
      </c>
      <c r="D842" t="inlineStr">
        <is>
          <t>JÄMTLANDS LÄN</t>
        </is>
      </c>
      <c r="E842" t="inlineStr">
        <is>
          <t>BRÄCKE</t>
        </is>
      </c>
      <c r="G842" t="n">
        <v>5.2</v>
      </c>
      <c r="H842" t="n">
        <v>0</v>
      </c>
      <c r="I842" t="n">
        <v>0</v>
      </c>
      <c r="J842" t="n">
        <v>0</v>
      </c>
      <c r="K842" t="n">
        <v>0</v>
      </c>
      <c r="L842" t="n">
        <v>0</v>
      </c>
      <c r="M842" t="n">
        <v>0</v>
      </c>
      <c r="N842" t="n">
        <v>0</v>
      </c>
      <c r="O842" t="n">
        <v>0</v>
      </c>
      <c r="P842" t="n">
        <v>0</v>
      </c>
      <c r="Q842" t="n">
        <v>0</v>
      </c>
      <c r="R842" s="2" t="inlineStr"/>
    </row>
    <row r="843" ht="15" customHeight="1">
      <c r="A843" t="inlineStr">
        <is>
          <t>A 31471-2023</t>
        </is>
      </c>
      <c r="B843" s="1" t="n">
        <v>45104</v>
      </c>
      <c r="C843" s="1" t="n">
        <v>46193</v>
      </c>
      <c r="D843" t="inlineStr">
        <is>
          <t>JÄMTLANDS LÄN</t>
        </is>
      </c>
      <c r="E843" t="inlineStr">
        <is>
          <t>BRÄCKE</t>
        </is>
      </c>
      <c r="G843" t="n">
        <v>0.3</v>
      </c>
      <c r="H843" t="n">
        <v>0</v>
      </c>
      <c r="I843" t="n">
        <v>0</v>
      </c>
      <c r="J843" t="n">
        <v>0</v>
      </c>
      <c r="K843" t="n">
        <v>0</v>
      </c>
      <c r="L843" t="n">
        <v>0</v>
      </c>
      <c r="M843" t="n">
        <v>0</v>
      </c>
      <c r="N843" t="n">
        <v>0</v>
      </c>
      <c r="O843" t="n">
        <v>0</v>
      </c>
      <c r="P843" t="n">
        <v>0</v>
      </c>
      <c r="Q843" t="n">
        <v>0</v>
      </c>
      <c r="R843" s="2" t="inlineStr"/>
    </row>
    <row r="844" ht="15" customHeight="1">
      <c r="A844" t="inlineStr">
        <is>
          <t>A 29821-2022</t>
        </is>
      </c>
      <c r="B844" s="1" t="n">
        <v>44755</v>
      </c>
      <c r="C844" s="1" t="n">
        <v>46193</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53522-2023</t>
        </is>
      </c>
      <c r="B845" s="1" t="n">
        <v>45223</v>
      </c>
      <c r="C845" s="1" t="n">
        <v>46193</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20593-2026</t>
        </is>
      </c>
      <c r="B846" s="1" t="n">
        <v>46140</v>
      </c>
      <c r="C846" s="1" t="n">
        <v>46193</v>
      </c>
      <c r="D846" t="inlineStr">
        <is>
          <t>JÄMTLANDS LÄN</t>
        </is>
      </c>
      <c r="E846" t="inlineStr">
        <is>
          <t>BRÄCKE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6788-2025</t>
        </is>
      </c>
      <c r="B847" s="1" t="n">
        <v>45700</v>
      </c>
      <c r="C847" s="1" t="n">
        <v>46193</v>
      </c>
      <c r="D847" t="inlineStr">
        <is>
          <t>JÄMTLANDS LÄN</t>
        </is>
      </c>
      <c r="E847" t="inlineStr">
        <is>
          <t>BRÄCKE</t>
        </is>
      </c>
      <c r="F847" t="inlineStr">
        <is>
          <t>SCA</t>
        </is>
      </c>
      <c r="G847" t="n">
        <v>6.8</v>
      </c>
      <c r="H847" t="n">
        <v>0</v>
      </c>
      <c r="I847" t="n">
        <v>0</v>
      </c>
      <c r="J847" t="n">
        <v>0</v>
      </c>
      <c r="K847" t="n">
        <v>0</v>
      </c>
      <c r="L847" t="n">
        <v>0</v>
      </c>
      <c r="M847" t="n">
        <v>0</v>
      </c>
      <c r="N847" t="n">
        <v>0</v>
      </c>
      <c r="O847" t="n">
        <v>0</v>
      </c>
      <c r="P847" t="n">
        <v>0</v>
      </c>
      <c r="Q847" t="n">
        <v>0</v>
      </c>
      <c r="R847" s="2" t="inlineStr"/>
    </row>
    <row r="848" ht="15" customHeight="1">
      <c r="A848" t="inlineStr">
        <is>
          <t>A 60666-2024</t>
        </is>
      </c>
      <c r="B848" s="1" t="n">
        <v>45644</v>
      </c>
      <c r="C848" s="1" t="n">
        <v>46193</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43180-2025</t>
        </is>
      </c>
      <c r="B849" s="1" t="n">
        <v>45910</v>
      </c>
      <c r="C849" s="1" t="n">
        <v>46193</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32149-2025</t>
        </is>
      </c>
      <c r="B850" s="1" t="n">
        <v>45835</v>
      </c>
      <c r="C850" s="1" t="n">
        <v>46193</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58491-2024</t>
        </is>
      </c>
      <c r="B851" s="1" t="n">
        <v>45635</v>
      </c>
      <c r="C851" s="1" t="n">
        <v>46193</v>
      </c>
      <c r="D851" t="inlineStr">
        <is>
          <t>JÄMTLANDS LÄN</t>
        </is>
      </c>
      <c r="E851" t="inlineStr">
        <is>
          <t>BRÄCKE</t>
        </is>
      </c>
      <c r="G851" t="n">
        <v>0.6</v>
      </c>
      <c r="H851" t="n">
        <v>0</v>
      </c>
      <c r="I851" t="n">
        <v>0</v>
      </c>
      <c r="J851" t="n">
        <v>0</v>
      </c>
      <c r="K851" t="n">
        <v>0</v>
      </c>
      <c r="L851" t="n">
        <v>0</v>
      </c>
      <c r="M851" t="n">
        <v>0</v>
      </c>
      <c r="N851" t="n">
        <v>0</v>
      </c>
      <c r="O851" t="n">
        <v>0</v>
      </c>
      <c r="P851" t="n">
        <v>0</v>
      </c>
      <c r="Q851" t="n">
        <v>0</v>
      </c>
      <c r="R851" s="2" t="inlineStr"/>
    </row>
    <row r="852" ht="15" customHeight="1">
      <c r="A852" t="inlineStr">
        <is>
          <t>A 17907-2025</t>
        </is>
      </c>
      <c r="B852" s="1" t="n">
        <v>45758</v>
      </c>
      <c r="C852" s="1" t="n">
        <v>46193</v>
      </c>
      <c r="D852" t="inlineStr">
        <is>
          <t>JÄMTLANDS LÄN</t>
        </is>
      </c>
      <c r="E852" t="inlineStr">
        <is>
          <t>BRÄCKE</t>
        </is>
      </c>
      <c r="G852" t="n">
        <v>3</v>
      </c>
      <c r="H852" t="n">
        <v>0</v>
      </c>
      <c r="I852" t="n">
        <v>0</v>
      </c>
      <c r="J852" t="n">
        <v>0</v>
      </c>
      <c r="K852" t="n">
        <v>0</v>
      </c>
      <c r="L852" t="n">
        <v>0</v>
      </c>
      <c r="M852" t="n">
        <v>0</v>
      </c>
      <c r="N852" t="n">
        <v>0</v>
      </c>
      <c r="O852" t="n">
        <v>0</v>
      </c>
      <c r="P852" t="n">
        <v>0</v>
      </c>
      <c r="Q852" t="n">
        <v>0</v>
      </c>
      <c r="R852" s="2" t="inlineStr"/>
    </row>
    <row r="853" ht="15" customHeight="1">
      <c r="A853" t="inlineStr">
        <is>
          <t>A 32471-2021</t>
        </is>
      </c>
      <c r="B853" s="1" t="n">
        <v>44371</v>
      </c>
      <c r="C853" s="1" t="n">
        <v>46193</v>
      </c>
      <c r="D853" t="inlineStr">
        <is>
          <t>JÄMTLANDS LÄN</t>
        </is>
      </c>
      <c r="E853" t="inlineStr">
        <is>
          <t>BRÄCKE</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43723-2025</t>
        </is>
      </c>
      <c r="B854" s="1" t="n">
        <v>45912</v>
      </c>
      <c r="C854" s="1" t="n">
        <v>46193</v>
      </c>
      <c r="D854" t="inlineStr">
        <is>
          <t>JÄMTLANDS LÄN</t>
        </is>
      </c>
      <c r="E854" t="inlineStr">
        <is>
          <t>BRÄCKE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53138-2025</t>
        </is>
      </c>
      <c r="B855" s="1" t="n">
        <v>45958</v>
      </c>
      <c r="C855" s="1" t="n">
        <v>46193</v>
      </c>
      <c r="D855" t="inlineStr">
        <is>
          <t>JÄMTLANDS LÄN</t>
        </is>
      </c>
      <c r="E855" t="inlineStr">
        <is>
          <t>BRÄCKE</t>
        </is>
      </c>
      <c r="F855" t="inlineStr">
        <is>
          <t>Övriga Aktiebolag</t>
        </is>
      </c>
      <c r="G855" t="n">
        <v>1.2</v>
      </c>
      <c r="H855" t="n">
        <v>0</v>
      </c>
      <c r="I855" t="n">
        <v>0</v>
      </c>
      <c r="J855" t="n">
        <v>0</v>
      </c>
      <c r="K855" t="n">
        <v>0</v>
      </c>
      <c r="L855" t="n">
        <v>0</v>
      </c>
      <c r="M855" t="n">
        <v>0</v>
      </c>
      <c r="N855" t="n">
        <v>0</v>
      </c>
      <c r="O855" t="n">
        <v>0</v>
      </c>
      <c r="P855" t="n">
        <v>0</v>
      </c>
      <c r="Q855" t="n">
        <v>0</v>
      </c>
      <c r="R855" s="2" t="inlineStr"/>
    </row>
    <row r="856" ht="15" customHeight="1">
      <c r="A856" t="inlineStr">
        <is>
          <t>A 43387-2025</t>
        </is>
      </c>
      <c r="B856" s="1" t="n">
        <v>45911</v>
      </c>
      <c r="C856" s="1" t="n">
        <v>46193</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16466-2024</t>
        </is>
      </c>
      <c r="B857" s="1" t="n">
        <v>45408</v>
      </c>
      <c r="C857" s="1" t="n">
        <v>46193</v>
      </c>
      <c r="D857" t="inlineStr">
        <is>
          <t>JÄMTLANDS LÄN</t>
        </is>
      </c>
      <c r="E857" t="inlineStr">
        <is>
          <t>BRÄCKE</t>
        </is>
      </c>
      <c r="G857" t="n">
        <v>1.8</v>
      </c>
      <c r="H857" t="n">
        <v>0</v>
      </c>
      <c r="I857" t="n">
        <v>0</v>
      </c>
      <c r="J857" t="n">
        <v>0</v>
      </c>
      <c r="K857" t="n">
        <v>0</v>
      </c>
      <c r="L857" t="n">
        <v>0</v>
      </c>
      <c r="M857" t="n">
        <v>0</v>
      </c>
      <c r="N857" t="n">
        <v>0</v>
      </c>
      <c r="O857" t="n">
        <v>0</v>
      </c>
      <c r="P857" t="n">
        <v>0</v>
      </c>
      <c r="Q857" t="n">
        <v>0</v>
      </c>
      <c r="R857" s="2" t="inlineStr"/>
    </row>
    <row r="858" ht="15" customHeight="1">
      <c r="A858" t="inlineStr">
        <is>
          <t>A 61973-2024</t>
        </is>
      </c>
      <c r="B858" s="1" t="n">
        <v>45653</v>
      </c>
      <c r="C858" s="1" t="n">
        <v>46193</v>
      </c>
      <c r="D858" t="inlineStr">
        <is>
          <t>JÄMTLANDS LÄN</t>
        </is>
      </c>
      <c r="E858" t="inlineStr">
        <is>
          <t>BRÄCKE</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57412-2023</t>
        </is>
      </c>
      <c r="B859" s="1" t="n">
        <v>45245</v>
      </c>
      <c r="C859" s="1" t="n">
        <v>46193</v>
      </c>
      <c r="D859" t="inlineStr">
        <is>
          <t>JÄMTLANDS LÄN</t>
        </is>
      </c>
      <c r="E859" t="inlineStr">
        <is>
          <t>BRÄCKE</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57419-2023</t>
        </is>
      </c>
      <c r="B860" s="1" t="n">
        <v>45245</v>
      </c>
      <c r="C860" s="1" t="n">
        <v>46193</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43736-2025</t>
        </is>
      </c>
      <c r="B861" s="1" t="n">
        <v>45912</v>
      </c>
      <c r="C861" s="1" t="n">
        <v>46193</v>
      </c>
      <c r="D861" t="inlineStr">
        <is>
          <t>JÄMTLANDS LÄN</t>
        </is>
      </c>
      <c r="E861" t="inlineStr">
        <is>
          <t>BRÄCKE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43618-2025</t>
        </is>
      </c>
      <c r="B862" s="1" t="n">
        <v>45911</v>
      </c>
      <c r="C862" s="1" t="n">
        <v>46193</v>
      </c>
      <c r="D862" t="inlineStr">
        <is>
          <t>JÄMTLANDS LÄN</t>
        </is>
      </c>
      <c r="E862" t="inlineStr">
        <is>
          <t>BRÄCKE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35244-2021</t>
        </is>
      </c>
      <c r="B863" s="1" t="n">
        <v>44384</v>
      </c>
      <c r="C863" s="1" t="n">
        <v>46193</v>
      </c>
      <c r="D863" t="inlineStr">
        <is>
          <t>JÄMTLANDS LÄN</t>
        </is>
      </c>
      <c r="E863" t="inlineStr">
        <is>
          <t>BRÄCKE</t>
        </is>
      </c>
      <c r="G863" t="n">
        <v>0.5</v>
      </c>
      <c r="H863" t="n">
        <v>0</v>
      </c>
      <c r="I863" t="n">
        <v>0</v>
      </c>
      <c r="J863" t="n">
        <v>0</v>
      </c>
      <c r="K863" t="n">
        <v>0</v>
      </c>
      <c r="L863" t="n">
        <v>0</v>
      </c>
      <c r="M863" t="n">
        <v>0</v>
      </c>
      <c r="N863" t="n">
        <v>0</v>
      </c>
      <c r="O863" t="n">
        <v>0</v>
      </c>
      <c r="P863" t="n">
        <v>0</v>
      </c>
      <c r="Q863" t="n">
        <v>0</v>
      </c>
      <c r="R863" s="2" t="inlineStr"/>
    </row>
    <row r="864" ht="15" customHeight="1">
      <c r="A864" t="inlineStr">
        <is>
          <t>A 4887-2025</t>
        </is>
      </c>
      <c r="B864" s="1" t="n">
        <v>45688</v>
      </c>
      <c r="C864" s="1" t="n">
        <v>46193</v>
      </c>
      <c r="D864" t="inlineStr">
        <is>
          <t>JÄMTLANDS LÄN</t>
        </is>
      </c>
      <c r="E864" t="inlineStr">
        <is>
          <t>BRÄCKE</t>
        </is>
      </c>
      <c r="F864" t="inlineStr">
        <is>
          <t>SCA</t>
        </is>
      </c>
      <c r="G864" t="n">
        <v>9.4</v>
      </c>
      <c r="H864" t="n">
        <v>0</v>
      </c>
      <c r="I864" t="n">
        <v>0</v>
      </c>
      <c r="J864" t="n">
        <v>0</v>
      </c>
      <c r="K864" t="n">
        <v>0</v>
      </c>
      <c r="L864" t="n">
        <v>0</v>
      </c>
      <c r="M864" t="n">
        <v>0</v>
      </c>
      <c r="N864" t="n">
        <v>0</v>
      </c>
      <c r="O864" t="n">
        <v>0</v>
      </c>
      <c r="P864" t="n">
        <v>0</v>
      </c>
      <c r="Q864" t="n">
        <v>0</v>
      </c>
      <c r="R864" s="2" t="inlineStr"/>
    </row>
    <row r="865" ht="15" customHeight="1">
      <c r="A865" t="inlineStr">
        <is>
          <t>A 58082-2023</t>
        </is>
      </c>
      <c r="B865" s="1" t="n">
        <v>45247</v>
      </c>
      <c r="C865" s="1" t="n">
        <v>46193</v>
      </c>
      <c r="D865" t="inlineStr">
        <is>
          <t>JÄMTLANDS LÄN</t>
        </is>
      </c>
      <c r="E865" t="inlineStr">
        <is>
          <t>BRÄCKE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41401-2023</t>
        </is>
      </c>
      <c r="B866" s="1" t="n">
        <v>45174</v>
      </c>
      <c r="C866" s="1" t="n">
        <v>46193</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22001-2024</t>
        </is>
      </c>
      <c r="B867" s="1" t="n">
        <v>45443</v>
      </c>
      <c r="C867" s="1" t="n">
        <v>46193</v>
      </c>
      <c r="D867" t="inlineStr">
        <is>
          <t>JÄMTLANDS LÄN</t>
        </is>
      </c>
      <c r="E867" t="inlineStr">
        <is>
          <t>BRÄCKE</t>
        </is>
      </c>
      <c r="F867" t="inlineStr">
        <is>
          <t>Övriga Aktiebolag</t>
        </is>
      </c>
      <c r="G867" t="n">
        <v>9</v>
      </c>
      <c r="H867" t="n">
        <v>0</v>
      </c>
      <c r="I867" t="n">
        <v>0</v>
      </c>
      <c r="J867" t="n">
        <v>0</v>
      </c>
      <c r="K867" t="n">
        <v>0</v>
      </c>
      <c r="L867" t="n">
        <v>0</v>
      </c>
      <c r="M867" t="n">
        <v>0</v>
      </c>
      <c r="N867" t="n">
        <v>0</v>
      </c>
      <c r="O867" t="n">
        <v>0</v>
      </c>
      <c r="P867" t="n">
        <v>0</v>
      </c>
      <c r="Q867" t="n">
        <v>0</v>
      </c>
      <c r="R867" s="2" t="inlineStr"/>
    </row>
    <row r="868" ht="15" customHeight="1">
      <c r="A868" t="inlineStr">
        <is>
          <t>A 43591-2025</t>
        </is>
      </c>
      <c r="B868" s="1" t="n">
        <v>45911</v>
      </c>
      <c r="C868" s="1" t="n">
        <v>46193</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14601-2025</t>
        </is>
      </c>
      <c r="B869" s="1" t="n">
        <v>45742</v>
      </c>
      <c r="C869" s="1" t="n">
        <v>46193</v>
      </c>
      <c r="D869" t="inlineStr">
        <is>
          <t>JÄMTLANDS LÄN</t>
        </is>
      </c>
      <c r="E869" t="inlineStr">
        <is>
          <t>BRÄCKE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45577-2023</t>
        </is>
      </c>
      <c r="B870" s="1" t="n">
        <v>45194</v>
      </c>
      <c r="C870" s="1" t="n">
        <v>46193</v>
      </c>
      <c r="D870" t="inlineStr">
        <is>
          <t>JÄMTLANDS LÄN</t>
        </is>
      </c>
      <c r="E870" t="inlineStr">
        <is>
          <t>BRÄCKE</t>
        </is>
      </c>
      <c r="G870" t="n">
        <v>2.6</v>
      </c>
      <c r="H870" t="n">
        <v>0</v>
      </c>
      <c r="I870" t="n">
        <v>0</v>
      </c>
      <c r="J870" t="n">
        <v>0</v>
      </c>
      <c r="K870" t="n">
        <v>0</v>
      </c>
      <c r="L870" t="n">
        <v>0</v>
      </c>
      <c r="M870" t="n">
        <v>0</v>
      </c>
      <c r="N870" t="n">
        <v>0</v>
      </c>
      <c r="O870" t="n">
        <v>0</v>
      </c>
      <c r="P870" t="n">
        <v>0</v>
      </c>
      <c r="Q870" t="n">
        <v>0</v>
      </c>
      <c r="R870" s="2" t="inlineStr"/>
    </row>
    <row r="871" ht="15" customHeight="1">
      <c r="A871" t="inlineStr">
        <is>
          <t>A 22121-2024</t>
        </is>
      </c>
      <c r="B871" s="1" t="n">
        <v>45443</v>
      </c>
      <c r="C871" s="1" t="n">
        <v>46193</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14266-2025</t>
        </is>
      </c>
      <c r="B872" s="1" t="n">
        <v>45740</v>
      </c>
      <c r="C872" s="1" t="n">
        <v>46193</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3248-2025</t>
        </is>
      </c>
      <c r="B873" s="1" t="n">
        <v>45679</v>
      </c>
      <c r="C873" s="1" t="n">
        <v>46193</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4915-2025</t>
        </is>
      </c>
      <c r="B874" s="1" t="n">
        <v>45688</v>
      </c>
      <c r="C874" s="1" t="n">
        <v>46193</v>
      </c>
      <c r="D874" t="inlineStr">
        <is>
          <t>JÄMTLANDS LÄN</t>
        </is>
      </c>
      <c r="E874" t="inlineStr">
        <is>
          <t>BRÄCKE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44035-2025</t>
        </is>
      </c>
      <c r="B875" s="1" t="n">
        <v>45915</v>
      </c>
      <c r="C875" s="1" t="n">
        <v>46193</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44030-2025</t>
        </is>
      </c>
      <c r="B876" s="1" t="n">
        <v>45915</v>
      </c>
      <c r="C876" s="1" t="n">
        <v>46193</v>
      </c>
      <c r="D876" t="inlineStr">
        <is>
          <t>JÄMTLANDS LÄN</t>
        </is>
      </c>
      <c r="E876" t="inlineStr">
        <is>
          <t>BRÄCKE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60654-2024</t>
        </is>
      </c>
      <c r="B877" s="1" t="n">
        <v>45644</v>
      </c>
      <c r="C877" s="1" t="n">
        <v>46193</v>
      </c>
      <c r="D877" t="inlineStr">
        <is>
          <t>JÄMTLANDS LÄN</t>
        </is>
      </c>
      <c r="E877" t="inlineStr">
        <is>
          <t>BRÄCKE</t>
        </is>
      </c>
      <c r="G877" t="n">
        <v>1.9</v>
      </c>
      <c r="H877" t="n">
        <v>0</v>
      </c>
      <c r="I877" t="n">
        <v>0</v>
      </c>
      <c r="J877" t="n">
        <v>0</v>
      </c>
      <c r="K877" t="n">
        <v>0</v>
      </c>
      <c r="L877" t="n">
        <v>0</v>
      </c>
      <c r="M877" t="n">
        <v>0</v>
      </c>
      <c r="N877" t="n">
        <v>0</v>
      </c>
      <c r="O877" t="n">
        <v>0</v>
      </c>
      <c r="P877" t="n">
        <v>0</v>
      </c>
      <c r="Q877" t="n">
        <v>0</v>
      </c>
      <c r="R877" s="2" t="inlineStr"/>
    </row>
    <row r="878" ht="15" customHeight="1">
      <c r="A878" t="inlineStr">
        <is>
          <t>A 51416-2024</t>
        </is>
      </c>
      <c r="B878" s="1" t="n">
        <v>45604</v>
      </c>
      <c r="C878" s="1" t="n">
        <v>46193</v>
      </c>
      <c r="D878" t="inlineStr">
        <is>
          <t>JÄMTLANDS LÄN</t>
        </is>
      </c>
      <c r="E878" t="inlineStr">
        <is>
          <t>BRÄCKE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58848-2024</t>
        </is>
      </c>
      <c r="B879" s="1" t="n">
        <v>45636</v>
      </c>
      <c r="C879" s="1" t="n">
        <v>46193</v>
      </c>
      <c r="D879" t="inlineStr">
        <is>
          <t>JÄMTLANDS LÄN</t>
        </is>
      </c>
      <c r="E879" t="inlineStr">
        <is>
          <t>BRÄCKE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34873-2021</t>
        </is>
      </c>
      <c r="B880" s="1" t="n">
        <v>44382</v>
      </c>
      <c r="C880" s="1" t="n">
        <v>46193</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44216-2025</t>
        </is>
      </c>
      <c r="B881" s="1" t="n">
        <v>45915</v>
      </c>
      <c r="C881" s="1" t="n">
        <v>46193</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v>
      </c>
      <c r="C882" s="1" t="n">
        <v>46193</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25056-2023</t>
        </is>
      </c>
      <c r="B883" s="1" t="n">
        <v>45085</v>
      </c>
      <c r="C883" s="1" t="n">
        <v>46193</v>
      </c>
      <c r="D883" t="inlineStr">
        <is>
          <t>JÄMTLANDS LÄN</t>
        </is>
      </c>
      <c r="E883" t="inlineStr">
        <is>
          <t>BRÄCKE</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44831-2025</t>
        </is>
      </c>
      <c r="B884" s="1" t="n">
        <v>45918</v>
      </c>
      <c r="C884" s="1" t="n">
        <v>46193</v>
      </c>
      <c r="D884" t="inlineStr">
        <is>
          <t>JÄMTLANDS LÄN</t>
        </is>
      </c>
      <c r="E884" t="inlineStr">
        <is>
          <t>BRÄCKE</t>
        </is>
      </c>
      <c r="F884" t="inlineStr">
        <is>
          <t>Naturvårdsverket</t>
        </is>
      </c>
      <c r="G884" t="n">
        <v>6.9</v>
      </c>
      <c r="H884" t="n">
        <v>0</v>
      </c>
      <c r="I884" t="n">
        <v>0</v>
      </c>
      <c r="J884" t="n">
        <v>0</v>
      </c>
      <c r="K884" t="n">
        <v>0</v>
      </c>
      <c r="L884" t="n">
        <v>0</v>
      </c>
      <c r="M884" t="n">
        <v>0</v>
      </c>
      <c r="N884" t="n">
        <v>0</v>
      </c>
      <c r="O884" t="n">
        <v>0</v>
      </c>
      <c r="P884" t="n">
        <v>0</v>
      </c>
      <c r="Q884" t="n">
        <v>0</v>
      </c>
      <c r="R884" s="2" t="inlineStr"/>
    </row>
    <row r="885" ht="15" customHeight="1">
      <c r="A885" t="inlineStr">
        <is>
          <t>A 44840-2025</t>
        </is>
      </c>
      <c r="B885" s="1" t="n">
        <v>45918</v>
      </c>
      <c r="C885" s="1" t="n">
        <v>46193</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41175-2023</t>
        </is>
      </c>
      <c r="B886" s="1" t="n">
        <v>45170</v>
      </c>
      <c r="C886" s="1" t="n">
        <v>46193</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44847-2025</t>
        </is>
      </c>
      <c r="B887" s="1" t="n">
        <v>45918</v>
      </c>
      <c r="C887" s="1" t="n">
        <v>46193</v>
      </c>
      <c r="D887" t="inlineStr">
        <is>
          <t>JÄMTLANDS LÄN</t>
        </is>
      </c>
      <c r="E887" t="inlineStr">
        <is>
          <t>BRÄCKE</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54243-2022</t>
        </is>
      </c>
      <c r="B888" s="1" t="n">
        <v>44881</v>
      </c>
      <c r="C888" s="1" t="n">
        <v>46193</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44843-2025</t>
        </is>
      </c>
      <c r="B889" s="1" t="n">
        <v>45918</v>
      </c>
      <c r="C889" s="1" t="n">
        <v>46193</v>
      </c>
      <c r="D889" t="inlineStr">
        <is>
          <t>JÄMTLANDS LÄN</t>
        </is>
      </c>
      <c r="E889" t="inlineStr">
        <is>
          <t>BRÄCKE</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44854-2025</t>
        </is>
      </c>
      <c r="B890" s="1" t="n">
        <v>45918</v>
      </c>
      <c r="C890" s="1" t="n">
        <v>46193</v>
      </c>
      <c r="D890" t="inlineStr">
        <is>
          <t>JÄMTLANDS LÄN</t>
        </is>
      </c>
      <c r="E890" t="inlineStr">
        <is>
          <t>BRÄCKE</t>
        </is>
      </c>
      <c r="G890" t="n">
        <v>5.4</v>
      </c>
      <c r="H890" t="n">
        <v>0</v>
      </c>
      <c r="I890" t="n">
        <v>0</v>
      </c>
      <c r="J890" t="n">
        <v>0</v>
      </c>
      <c r="K890" t="n">
        <v>0</v>
      </c>
      <c r="L890" t="n">
        <v>0</v>
      </c>
      <c r="M890" t="n">
        <v>0</v>
      </c>
      <c r="N890" t="n">
        <v>0</v>
      </c>
      <c r="O890" t="n">
        <v>0</v>
      </c>
      <c r="P890" t="n">
        <v>0</v>
      </c>
      <c r="Q890" t="n">
        <v>0</v>
      </c>
      <c r="R890" s="2" t="inlineStr"/>
    </row>
    <row r="891" ht="15" customHeight="1">
      <c r="A891" t="inlineStr">
        <is>
          <t>A 44957-2025</t>
        </is>
      </c>
      <c r="B891" s="1" t="n">
        <v>45918</v>
      </c>
      <c r="C891" s="1" t="n">
        <v>46193</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55436-2024</t>
        </is>
      </c>
      <c r="B892" s="1" t="n">
        <v>45622</v>
      </c>
      <c r="C892" s="1" t="n">
        <v>46193</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26359-2026</t>
        </is>
      </c>
      <c r="B893" s="1" t="n">
        <v>46182</v>
      </c>
      <c r="C893" s="1" t="n">
        <v>46193</v>
      </c>
      <c r="D893" t="inlineStr">
        <is>
          <t>JÄMTLANDS LÄN</t>
        </is>
      </c>
      <c r="E893" t="inlineStr">
        <is>
          <t>BRÄCKE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35564-2021</t>
        </is>
      </c>
      <c r="B894" s="1" t="n">
        <v>44385</v>
      </c>
      <c r="C894" s="1" t="n">
        <v>46193</v>
      </c>
      <c r="D894" t="inlineStr">
        <is>
          <t>JÄMTLANDS LÄN</t>
        </is>
      </c>
      <c r="E894" t="inlineStr">
        <is>
          <t>BRÄCKE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12452-2025</t>
        </is>
      </c>
      <c r="B895" s="1" t="n">
        <v>45730</v>
      </c>
      <c r="C895" s="1" t="n">
        <v>46193</v>
      </c>
      <c r="D895" t="inlineStr">
        <is>
          <t>JÄMTLANDS LÄN</t>
        </is>
      </c>
      <c r="E895" t="inlineStr">
        <is>
          <t>BRÄCKE</t>
        </is>
      </c>
      <c r="G895" t="n">
        <v>2.5</v>
      </c>
      <c r="H895" t="n">
        <v>0</v>
      </c>
      <c r="I895" t="n">
        <v>0</v>
      </c>
      <c r="J895" t="n">
        <v>0</v>
      </c>
      <c r="K895" t="n">
        <v>0</v>
      </c>
      <c r="L895" t="n">
        <v>0</v>
      </c>
      <c r="M895" t="n">
        <v>0</v>
      </c>
      <c r="N895" t="n">
        <v>0</v>
      </c>
      <c r="O895" t="n">
        <v>0</v>
      </c>
      <c r="P895" t="n">
        <v>0</v>
      </c>
      <c r="Q895" t="n">
        <v>0</v>
      </c>
      <c r="R895" s="2" t="inlineStr"/>
    </row>
    <row r="896" ht="15" customHeight="1">
      <c r="A896" t="inlineStr">
        <is>
          <t>A 3996-2026</t>
        </is>
      </c>
      <c r="B896" s="1" t="n">
        <v>46044</v>
      </c>
      <c r="C896" s="1" t="n">
        <v>46193</v>
      </c>
      <c r="D896" t="inlineStr">
        <is>
          <t>JÄMTLANDS LÄN</t>
        </is>
      </c>
      <c r="E896" t="inlineStr">
        <is>
          <t>BRÄCKE</t>
        </is>
      </c>
      <c r="G896" t="n">
        <v>1.6</v>
      </c>
      <c r="H896" t="n">
        <v>0</v>
      </c>
      <c r="I896" t="n">
        <v>0</v>
      </c>
      <c r="J896" t="n">
        <v>0</v>
      </c>
      <c r="K896" t="n">
        <v>0</v>
      </c>
      <c r="L896" t="n">
        <v>0</v>
      </c>
      <c r="M896" t="n">
        <v>0</v>
      </c>
      <c r="N896" t="n">
        <v>0</v>
      </c>
      <c r="O896" t="n">
        <v>0</v>
      </c>
      <c r="P896" t="n">
        <v>0</v>
      </c>
      <c r="Q896" t="n">
        <v>0</v>
      </c>
      <c r="R896" s="2" t="inlineStr"/>
    </row>
    <row r="897" ht="15" customHeight="1">
      <c r="A897" t="inlineStr">
        <is>
          <t>A 46017-2025</t>
        </is>
      </c>
      <c r="B897" s="1" t="n">
        <v>45924</v>
      </c>
      <c r="C897" s="1" t="n">
        <v>46193</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45797-2025</t>
        </is>
      </c>
      <c r="B898" s="1" t="n">
        <v>45923</v>
      </c>
      <c r="C898" s="1" t="n">
        <v>46193</v>
      </c>
      <c r="D898" t="inlineStr">
        <is>
          <t>JÄMTLANDS LÄN</t>
        </is>
      </c>
      <c r="E898" t="inlineStr">
        <is>
          <t>BRÄCKE</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52771-2025</t>
        </is>
      </c>
      <c r="B899" s="1" t="n">
        <v>45957</v>
      </c>
      <c r="C899" s="1" t="n">
        <v>46193</v>
      </c>
      <c r="D899" t="inlineStr">
        <is>
          <t>JÄMTLANDS LÄN</t>
        </is>
      </c>
      <c r="E899" t="inlineStr">
        <is>
          <t>BRÄCKE</t>
        </is>
      </c>
      <c r="G899" t="n">
        <v>4.5</v>
      </c>
      <c r="H899" t="n">
        <v>0</v>
      </c>
      <c r="I899" t="n">
        <v>0</v>
      </c>
      <c r="J899" t="n">
        <v>0</v>
      </c>
      <c r="K899" t="n">
        <v>0</v>
      </c>
      <c r="L899" t="n">
        <v>0</v>
      </c>
      <c r="M899" t="n">
        <v>0</v>
      </c>
      <c r="N899" t="n">
        <v>0</v>
      </c>
      <c r="O899" t="n">
        <v>0</v>
      </c>
      <c r="P899" t="n">
        <v>0</v>
      </c>
      <c r="Q899" t="n">
        <v>0</v>
      </c>
      <c r="R899" s="2" t="inlineStr"/>
    </row>
    <row r="900" ht="15" customHeight="1">
      <c r="A900" t="inlineStr">
        <is>
          <t>A 21305-2025</t>
        </is>
      </c>
      <c r="B900" s="1" t="n">
        <v>45781</v>
      </c>
      <c r="C900" s="1" t="n">
        <v>46193</v>
      </c>
      <c r="D900" t="inlineStr">
        <is>
          <t>JÄMTLANDS LÄN</t>
        </is>
      </c>
      <c r="E900" t="inlineStr">
        <is>
          <t>BRÄCKE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65096-2023</t>
        </is>
      </c>
      <c r="B901" s="1" t="n">
        <v>45288</v>
      </c>
      <c r="C901" s="1" t="n">
        <v>46193</v>
      </c>
      <c r="D901" t="inlineStr">
        <is>
          <t>JÄMTLANDS LÄN</t>
        </is>
      </c>
      <c r="E901" t="inlineStr">
        <is>
          <t>BRÄCKE</t>
        </is>
      </c>
      <c r="G901" t="n">
        <v>0.9</v>
      </c>
      <c r="H901" t="n">
        <v>0</v>
      </c>
      <c r="I901" t="n">
        <v>0</v>
      </c>
      <c r="J901" t="n">
        <v>0</v>
      </c>
      <c r="K901" t="n">
        <v>0</v>
      </c>
      <c r="L901" t="n">
        <v>0</v>
      </c>
      <c r="M901" t="n">
        <v>0</v>
      </c>
      <c r="N901" t="n">
        <v>0</v>
      </c>
      <c r="O901" t="n">
        <v>0</v>
      </c>
      <c r="P901" t="n">
        <v>0</v>
      </c>
      <c r="Q901" t="n">
        <v>0</v>
      </c>
      <c r="R901" s="2" t="inlineStr"/>
    </row>
    <row r="902" ht="15" customHeight="1">
      <c r="A902" t="inlineStr">
        <is>
          <t>A 46131-2025</t>
        </is>
      </c>
      <c r="B902" s="1" t="n">
        <v>45924</v>
      </c>
      <c r="C902" s="1" t="n">
        <v>46193</v>
      </c>
      <c r="D902" t="inlineStr">
        <is>
          <t>JÄMTLANDS LÄN</t>
        </is>
      </c>
      <c r="E902" t="inlineStr">
        <is>
          <t>BRÄCKE</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34646-2024</t>
        </is>
      </c>
      <c r="B903" s="1" t="n">
        <v>45526</v>
      </c>
      <c r="C903" s="1" t="n">
        <v>46193</v>
      </c>
      <c r="D903" t="inlineStr">
        <is>
          <t>JÄMTLANDS LÄN</t>
        </is>
      </c>
      <c r="E903" t="inlineStr">
        <is>
          <t>BRÄCKE</t>
        </is>
      </c>
      <c r="G903" t="n">
        <v>0.8</v>
      </c>
      <c r="H903" t="n">
        <v>0</v>
      </c>
      <c r="I903" t="n">
        <v>0</v>
      </c>
      <c r="J903" t="n">
        <v>0</v>
      </c>
      <c r="K903" t="n">
        <v>0</v>
      </c>
      <c r="L903" t="n">
        <v>0</v>
      </c>
      <c r="M903" t="n">
        <v>0</v>
      </c>
      <c r="N903" t="n">
        <v>0</v>
      </c>
      <c r="O903" t="n">
        <v>0</v>
      </c>
      <c r="P903" t="n">
        <v>0</v>
      </c>
      <c r="Q903" t="n">
        <v>0</v>
      </c>
      <c r="R903" s="2" t="inlineStr"/>
    </row>
    <row r="904" ht="15" customHeight="1">
      <c r="A904" t="inlineStr">
        <is>
          <t>A 29409-2024</t>
        </is>
      </c>
      <c r="B904" s="1" t="n">
        <v>45483</v>
      </c>
      <c r="C904" s="1" t="n">
        <v>46193</v>
      </c>
      <c r="D904" t="inlineStr">
        <is>
          <t>JÄMTLANDS LÄN</t>
        </is>
      </c>
      <c r="E904" t="inlineStr">
        <is>
          <t>BRÄCKE</t>
        </is>
      </c>
      <c r="G904" t="n">
        <v>9.6</v>
      </c>
      <c r="H904" t="n">
        <v>0</v>
      </c>
      <c r="I904" t="n">
        <v>0</v>
      </c>
      <c r="J904" t="n">
        <v>0</v>
      </c>
      <c r="K904" t="n">
        <v>0</v>
      </c>
      <c r="L904" t="n">
        <v>0</v>
      </c>
      <c r="M904" t="n">
        <v>0</v>
      </c>
      <c r="N904" t="n">
        <v>0</v>
      </c>
      <c r="O904" t="n">
        <v>0</v>
      </c>
      <c r="P904" t="n">
        <v>0</v>
      </c>
      <c r="Q904" t="n">
        <v>0</v>
      </c>
      <c r="R904" s="2" t="inlineStr"/>
    </row>
    <row r="905" ht="15" customHeight="1">
      <c r="A905" t="inlineStr">
        <is>
          <t>A 24154-2025</t>
        </is>
      </c>
      <c r="B905" s="1" t="n">
        <v>45796</v>
      </c>
      <c r="C905" s="1" t="n">
        <v>46193</v>
      </c>
      <c r="D905" t="inlineStr">
        <is>
          <t>JÄMTLANDS LÄN</t>
        </is>
      </c>
      <c r="E905" t="inlineStr">
        <is>
          <t>BRÄCKE</t>
        </is>
      </c>
      <c r="F905" t="inlineStr">
        <is>
          <t>SCA</t>
        </is>
      </c>
      <c r="G905" t="n">
        <v>7.4</v>
      </c>
      <c r="H905" t="n">
        <v>0</v>
      </c>
      <c r="I905" t="n">
        <v>0</v>
      </c>
      <c r="J905" t="n">
        <v>0</v>
      </c>
      <c r="K905" t="n">
        <v>0</v>
      </c>
      <c r="L905" t="n">
        <v>0</v>
      </c>
      <c r="M905" t="n">
        <v>0</v>
      </c>
      <c r="N905" t="n">
        <v>0</v>
      </c>
      <c r="O905" t="n">
        <v>0</v>
      </c>
      <c r="P905" t="n">
        <v>0</v>
      </c>
      <c r="Q905" t="n">
        <v>0</v>
      </c>
      <c r="R905" s="2" t="inlineStr"/>
    </row>
    <row r="906" ht="15" customHeight="1">
      <c r="A906" t="inlineStr">
        <is>
          <t>A 46070-2025</t>
        </is>
      </c>
      <c r="B906" s="1" t="n">
        <v>45924</v>
      </c>
      <c r="C906" s="1" t="n">
        <v>46193</v>
      </c>
      <c r="D906" t="inlineStr">
        <is>
          <t>JÄMTLANDS LÄN</t>
        </is>
      </c>
      <c r="E906" t="inlineStr">
        <is>
          <t>BRÄCKE</t>
        </is>
      </c>
      <c r="F906" t="inlineStr">
        <is>
          <t>SCA</t>
        </is>
      </c>
      <c r="G906" t="n">
        <v>8.6</v>
      </c>
      <c r="H906" t="n">
        <v>0</v>
      </c>
      <c r="I906" t="n">
        <v>0</v>
      </c>
      <c r="J906" t="n">
        <v>0</v>
      </c>
      <c r="K906" t="n">
        <v>0</v>
      </c>
      <c r="L906" t="n">
        <v>0</v>
      </c>
      <c r="M906" t="n">
        <v>0</v>
      </c>
      <c r="N906" t="n">
        <v>0</v>
      </c>
      <c r="O906" t="n">
        <v>0</v>
      </c>
      <c r="P906" t="n">
        <v>0</v>
      </c>
      <c r="Q906" t="n">
        <v>0</v>
      </c>
      <c r="R906" s="2" t="inlineStr"/>
    </row>
    <row r="907" ht="15" customHeight="1">
      <c r="A907" t="inlineStr">
        <is>
          <t>A 57607-2025</t>
        </is>
      </c>
      <c r="B907" s="1" t="n">
        <v>45981</v>
      </c>
      <c r="C907" s="1" t="n">
        <v>46193</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21549-2025</t>
        </is>
      </c>
      <c r="B908" s="1" t="n">
        <v>45782</v>
      </c>
      <c r="C908" s="1" t="n">
        <v>46193</v>
      </c>
      <c r="D908" t="inlineStr">
        <is>
          <t>JÄMTLANDS LÄN</t>
        </is>
      </c>
      <c r="E908" t="inlineStr">
        <is>
          <t>BRÄCKE</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52023-2022</t>
        </is>
      </c>
      <c r="B909" s="1" t="n">
        <v>44872</v>
      </c>
      <c r="C909" s="1" t="n">
        <v>46193</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21486-2025</t>
        </is>
      </c>
      <c r="B910" s="1" t="n">
        <v>45782</v>
      </c>
      <c r="C910" s="1" t="n">
        <v>46193</v>
      </c>
      <c r="D910" t="inlineStr">
        <is>
          <t>JÄMTLANDS LÄN</t>
        </is>
      </c>
      <c r="E910" t="inlineStr">
        <is>
          <t>BRÄCKE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46180-2025</t>
        </is>
      </c>
      <c r="B911" s="1" t="n">
        <v>45924</v>
      </c>
      <c r="C911" s="1" t="n">
        <v>46193</v>
      </c>
      <c r="D911" t="inlineStr">
        <is>
          <t>JÄMTLANDS LÄN</t>
        </is>
      </c>
      <c r="E911" t="inlineStr">
        <is>
          <t>BRÄCKE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45698-2025</t>
        </is>
      </c>
      <c r="B912" s="1" t="n">
        <v>45923</v>
      </c>
      <c r="C912" s="1" t="n">
        <v>46193</v>
      </c>
      <c r="D912" t="inlineStr">
        <is>
          <t>JÄMTLANDS LÄN</t>
        </is>
      </c>
      <c r="E912" t="inlineStr">
        <is>
          <t>BRÄCKE</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3697-2025</t>
        </is>
      </c>
      <c r="B913" s="1" t="n">
        <v>45681</v>
      </c>
      <c r="C913" s="1" t="n">
        <v>46193</v>
      </c>
      <c r="D913" t="inlineStr">
        <is>
          <t>JÄMTLANDS LÄN</t>
        </is>
      </c>
      <c r="E913" t="inlineStr">
        <is>
          <t>BRÄCKE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3862-2025</t>
        </is>
      </c>
      <c r="B914" s="1" t="n">
        <v>45684</v>
      </c>
      <c r="C914" s="1" t="n">
        <v>46193</v>
      </c>
      <c r="D914" t="inlineStr">
        <is>
          <t>JÄMTLANDS LÄN</t>
        </is>
      </c>
      <c r="E914" t="inlineStr">
        <is>
          <t>BRÄCKE</t>
        </is>
      </c>
      <c r="G914" t="n">
        <v>7</v>
      </c>
      <c r="H914" t="n">
        <v>0</v>
      </c>
      <c r="I914" t="n">
        <v>0</v>
      </c>
      <c r="J914" t="n">
        <v>0</v>
      </c>
      <c r="K914" t="n">
        <v>0</v>
      </c>
      <c r="L914" t="n">
        <v>0</v>
      </c>
      <c r="M914" t="n">
        <v>0</v>
      </c>
      <c r="N914" t="n">
        <v>0</v>
      </c>
      <c r="O914" t="n">
        <v>0</v>
      </c>
      <c r="P914" t="n">
        <v>0</v>
      </c>
      <c r="Q914" t="n">
        <v>0</v>
      </c>
      <c r="R914" s="2" t="inlineStr"/>
    </row>
    <row r="915" ht="15" customHeight="1">
      <c r="A915" t="inlineStr">
        <is>
          <t>A 63713-2023</t>
        </is>
      </c>
      <c r="B915" s="1" t="n">
        <v>45275</v>
      </c>
      <c r="C915" s="1" t="n">
        <v>46193</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45741-2025</t>
        </is>
      </c>
      <c r="B916" s="1" t="n">
        <v>45923</v>
      </c>
      <c r="C916" s="1" t="n">
        <v>46193</v>
      </c>
      <c r="D916" t="inlineStr">
        <is>
          <t>JÄMTLANDS LÄN</t>
        </is>
      </c>
      <c r="E916" t="inlineStr">
        <is>
          <t>BRÄCKE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26919-2024</t>
        </is>
      </c>
      <c r="B917" s="1" t="n">
        <v>45470</v>
      </c>
      <c r="C917" s="1" t="n">
        <v>46193</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34410-2021</t>
        </is>
      </c>
      <c r="B918" s="1" t="n">
        <v>44379</v>
      </c>
      <c r="C918" s="1" t="n">
        <v>46193</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34102-2025</t>
        </is>
      </c>
      <c r="B919" s="1" t="n">
        <v>45845</v>
      </c>
      <c r="C919" s="1" t="n">
        <v>46193</v>
      </c>
      <c r="D919" t="inlineStr">
        <is>
          <t>JÄMTLANDS LÄN</t>
        </is>
      </c>
      <c r="E919" t="inlineStr">
        <is>
          <t>BRÄCKE</t>
        </is>
      </c>
      <c r="G919" t="n">
        <v>4.7</v>
      </c>
      <c r="H919" t="n">
        <v>0</v>
      </c>
      <c r="I919" t="n">
        <v>0</v>
      </c>
      <c r="J919" t="n">
        <v>0</v>
      </c>
      <c r="K919" t="n">
        <v>0</v>
      </c>
      <c r="L919" t="n">
        <v>0</v>
      </c>
      <c r="M919" t="n">
        <v>0</v>
      </c>
      <c r="N919" t="n">
        <v>0</v>
      </c>
      <c r="O919" t="n">
        <v>0</v>
      </c>
      <c r="P919" t="n">
        <v>0</v>
      </c>
      <c r="Q919" t="n">
        <v>0</v>
      </c>
      <c r="R919" s="2" t="inlineStr"/>
    </row>
    <row r="920" ht="15" customHeight="1">
      <c r="A920" t="inlineStr">
        <is>
          <t>A 45740-2025</t>
        </is>
      </c>
      <c r="B920" s="1" t="n">
        <v>45923</v>
      </c>
      <c r="C920" s="1" t="n">
        <v>46193</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34647-2024</t>
        </is>
      </c>
      <c r="B921" s="1" t="n">
        <v>45526</v>
      </c>
      <c r="C921" s="1" t="n">
        <v>46193</v>
      </c>
      <c r="D921" t="inlineStr">
        <is>
          <t>JÄMTLANDS LÄN</t>
        </is>
      </c>
      <c r="E921" t="inlineStr">
        <is>
          <t>BRÄCKE</t>
        </is>
      </c>
      <c r="G921" t="n">
        <v>2.7</v>
      </c>
      <c r="H921" t="n">
        <v>0</v>
      </c>
      <c r="I921" t="n">
        <v>0</v>
      </c>
      <c r="J921" t="n">
        <v>0</v>
      </c>
      <c r="K921" t="n">
        <v>0</v>
      </c>
      <c r="L921" t="n">
        <v>0</v>
      </c>
      <c r="M921" t="n">
        <v>0</v>
      </c>
      <c r="N921" t="n">
        <v>0</v>
      </c>
      <c r="O921" t="n">
        <v>0</v>
      </c>
      <c r="P921" t="n">
        <v>0</v>
      </c>
      <c r="Q921" t="n">
        <v>0</v>
      </c>
      <c r="R921" s="2" t="inlineStr"/>
    </row>
    <row r="922" ht="15" customHeight="1">
      <c r="A922" t="inlineStr">
        <is>
          <t>A 20506-2026</t>
        </is>
      </c>
      <c r="B922" s="1" t="n">
        <v>46140</v>
      </c>
      <c r="C922" s="1" t="n">
        <v>46193</v>
      </c>
      <c r="D922" t="inlineStr">
        <is>
          <t>JÄMTLANDS LÄN</t>
        </is>
      </c>
      <c r="E922" t="inlineStr">
        <is>
          <t>BRÄCKE</t>
        </is>
      </c>
      <c r="F922" t="inlineStr">
        <is>
          <t>SCA</t>
        </is>
      </c>
      <c r="G922" t="n">
        <v>14.2</v>
      </c>
      <c r="H922" t="n">
        <v>0</v>
      </c>
      <c r="I922" t="n">
        <v>0</v>
      </c>
      <c r="J922" t="n">
        <v>0</v>
      </c>
      <c r="K922" t="n">
        <v>0</v>
      </c>
      <c r="L922" t="n">
        <v>0</v>
      </c>
      <c r="M922" t="n">
        <v>0</v>
      </c>
      <c r="N922" t="n">
        <v>0</v>
      </c>
      <c r="O922" t="n">
        <v>0</v>
      </c>
      <c r="P922" t="n">
        <v>0</v>
      </c>
      <c r="Q922" t="n">
        <v>0</v>
      </c>
      <c r="R922" s="2" t="inlineStr"/>
    </row>
    <row r="923" ht="15" customHeight="1">
      <c r="A923" t="inlineStr">
        <is>
          <t>A 46625-2025</t>
        </is>
      </c>
      <c r="B923" s="1" t="n">
        <v>45926</v>
      </c>
      <c r="C923" s="1" t="n">
        <v>46193</v>
      </c>
      <c r="D923" t="inlineStr">
        <is>
          <t>JÄMTLANDS LÄN</t>
        </is>
      </c>
      <c r="E923" t="inlineStr">
        <is>
          <t>BRÄCKE</t>
        </is>
      </c>
      <c r="G923" t="n">
        <v>4</v>
      </c>
      <c r="H923" t="n">
        <v>0</v>
      </c>
      <c r="I923" t="n">
        <v>0</v>
      </c>
      <c r="J923" t="n">
        <v>0</v>
      </c>
      <c r="K923" t="n">
        <v>0</v>
      </c>
      <c r="L923" t="n">
        <v>0</v>
      </c>
      <c r="M923" t="n">
        <v>0</v>
      </c>
      <c r="N923" t="n">
        <v>0</v>
      </c>
      <c r="O923" t="n">
        <v>0</v>
      </c>
      <c r="P923" t="n">
        <v>0</v>
      </c>
      <c r="Q923" t="n">
        <v>0</v>
      </c>
      <c r="R923" s="2" t="inlineStr"/>
    </row>
    <row r="924" ht="15" customHeight="1">
      <c r="A924" t="inlineStr">
        <is>
          <t>A 45342-2023</t>
        </is>
      </c>
      <c r="B924" s="1" t="n">
        <v>45191</v>
      </c>
      <c r="C924" s="1" t="n">
        <v>46193</v>
      </c>
      <c r="D924" t="inlineStr">
        <is>
          <t>JÄMTLANDS LÄN</t>
        </is>
      </c>
      <c r="E924" t="inlineStr">
        <is>
          <t>BRÄCKE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22000-2025</t>
        </is>
      </c>
      <c r="B925" s="1" t="n">
        <v>45784</v>
      </c>
      <c r="C925" s="1" t="n">
        <v>46193</v>
      </c>
      <c r="D925" t="inlineStr">
        <is>
          <t>JÄMTLANDS LÄN</t>
        </is>
      </c>
      <c r="E925" t="inlineStr">
        <is>
          <t>BRÄCKE</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22936-2024</t>
        </is>
      </c>
      <c r="B926" s="1" t="n">
        <v>45448</v>
      </c>
      <c r="C926" s="1" t="n">
        <v>46193</v>
      </c>
      <c r="D926" t="inlineStr">
        <is>
          <t>JÄMTLANDS LÄN</t>
        </is>
      </c>
      <c r="E926" t="inlineStr">
        <is>
          <t>BRÄCKE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v>
      </c>
      <c r="C927" s="1" t="n">
        <v>46193</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v>
      </c>
      <c r="C928" s="1" t="n">
        <v>46193</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46216-2025</t>
        </is>
      </c>
      <c r="B929" s="1" t="n">
        <v>45924</v>
      </c>
      <c r="C929" s="1" t="n">
        <v>46193</v>
      </c>
      <c r="D929" t="inlineStr">
        <is>
          <t>JÄMTLANDS LÄN</t>
        </is>
      </c>
      <c r="E929" t="inlineStr">
        <is>
          <t>BRÄCKE</t>
        </is>
      </c>
      <c r="G929" t="n">
        <v>2.8</v>
      </c>
      <c r="H929" t="n">
        <v>0</v>
      </c>
      <c r="I929" t="n">
        <v>0</v>
      </c>
      <c r="J929" t="n">
        <v>0</v>
      </c>
      <c r="K929" t="n">
        <v>0</v>
      </c>
      <c r="L929" t="n">
        <v>0</v>
      </c>
      <c r="M929" t="n">
        <v>0</v>
      </c>
      <c r="N929" t="n">
        <v>0</v>
      </c>
      <c r="O929" t="n">
        <v>0</v>
      </c>
      <c r="P929" t="n">
        <v>0</v>
      </c>
      <c r="Q929" t="n">
        <v>0</v>
      </c>
      <c r="R929" s="2" t="inlineStr"/>
    </row>
    <row r="930" ht="15" customHeight="1">
      <c r="A930" t="inlineStr">
        <is>
          <t>A 46217-2025</t>
        </is>
      </c>
      <c r="B930" s="1" t="n">
        <v>45924</v>
      </c>
      <c r="C930" s="1" t="n">
        <v>46193</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v>
      </c>
      <c r="C931" s="1" t="n">
        <v>46193</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46218-2025</t>
        </is>
      </c>
      <c r="B932" s="1" t="n">
        <v>45924</v>
      </c>
      <c r="C932" s="1" t="n">
        <v>46193</v>
      </c>
      <c r="D932" t="inlineStr">
        <is>
          <t>JÄMTLANDS LÄN</t>
        </is>
      </c>
      <c r="E932" t="inlineStr">
        <is>
          <t>BRÄCKE</t>
        </is>
      </c>
      <c r="G932" t="n">
        <v>0.8</v>
      </c>
      <c r="H932" t="n">
        <v>0</v>
      </c>
      <c r="I932" t="n">
        <v>0</v>
      </c>
      <c r="J932" t="n">
        <v>0</v>
      </c>
      <c r="K932" t="n">
        <v>0</v>
      </c>
      <c r="L932" t="n">
        <v>0</v>
      </c>
      <c r="M932" t="n">
        <v>0</v>
      </c>
      <c r="N932" t="n">
        <v>0</v>
      </c>
      <c r="O932" t="n">
        <v>0</v>
      </c>
      <c r="P932" t="n">
        <v>0</v>
      </c>
      <c r="Q932" t="n">
        <v>0</v>
      </c>
      <c r="R932" s="2" t="inlineStr"/>
    </row>
    <row r="933" ht="15" customHeight="1">
      <c r="A933" t="inlineStr">
        <is>
          <t>A 56491-2024</t>
        </is>
      </c>
      <c r="B933" s="1" t="n">
        <v>45625</v>
      </c>
      <c r="C933" s="1" t="n">
        <v>46193</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32963-2022</t>
        </is>
      </c>
      <c r="B934" s="1" t="n">
        <v>44784</v>
      </c>
      <c r="C934" s="1" t="n">
        <v>46193</v>
      </c>
      <c r="D934" t="inlineStr">
        <is>
          <t>JÄMTLANDS LÄN</t>
        </is>
      </c>
      <c r="E934" t="inlineStr">
        <is>
          <t>BRÄCKE</t>
        </is>
      </c>
      <c r="G934" t="n">
        <v>5.2</v>
      </c>
      <c r="H934" t="n">
        <v>0</v>
      </c>
      <c r="I934" t="n">
        <v>0</v>
      </c>
      <c r="J934" t="n">
        <v>0</v>
      </c>
      <c r="K934" t="n">
        <v>0</v>
      </c>
      <c r="L934" t="n">
        <v>0</v>
      </c>
      <c r="M934" t="n">
        <v>0</v>
      </c>
      <c r="N934" t="n">
        <v>0</v>
      </c>
      <c r="O934" t="n">
        <v>0</v>
      </c>
      <c r="P934" t="n">
        <v>0</v>
      </c>
      <c r="Q934" t="n">
        <v>0</v>
      </c>
      <c r="R934" s="2" t="inlineStr"/>
    </row>
    <row r="935" ht="15" customHeight="1">
      <c r="A935" t="inlineStr">
        <is>
          <t>A 21634-2025</t>
        </is>
      </c>
      <c r="B935" s="1" t="n">
        <v>45783</v>
      </c>
      <c r="C935" s="1" t="n">
        <v>46193</v>
      </c>
      <c r="D935" t="inlineStr">
        <is>
          <t>JÄMTLANDS LÄN</t>
        </is>
      </c>
      <c r="E935" t="inlineStr">
        <is>
          <t>BRÄCKE</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45436-2022</t>
        </is>
      </c>
      <c r="B936" s="1" t="n">
        <v>44844</v>
      </c>
      <c r="C936" s="1" t="n">
        <v>46193</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v>
      </c>
      <c r="C937" s="1" t="n">
        <v>46193</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9438-2025</t>
        </is>
      </c>
      <c r="B938" s="1" t="n">
        <v>45715</v>
      </c>
      <c r="C938" s="1" t="n">
        <v>46193</v>
      </c>
      <c r="D938" t="inlineStr">
        <is>
          <t>JÄMTLANDS LÄN</t>
        </is>
      </c>
      <c r="E938" t="inlineStr">
        <is>
          <t>BRÄCKE</t>
        </is>
      </c>
      <c r="G938" t="n">
        <v>6.9</v>
      </c>
      <c r="H938" t="n">
        <v>0</v>
      </c>
      <c r="I938" t="n">
        <v>0</v>
      </c>
      <c r="J938" t="n">
        <v>0</v>
      </c>
      <c r="K938" t="n">
        <v>0</v>
      </c>
      <c r="L938" t="n">
        <v>0</v>
      </c>
      <c r="M938" t="n">
        <v>0</v>
      </c>
      <c r="N938" t="n">
        <v>0</v>
      </c>
      <c r="O938" t="n">
        <v>0</v>
      </c>
      <c r="P938" t="n">
        <v>0</v>
      </c>
      <c r="Q938" t="n">
        <v>0</v>
      </c>
      <c r="R938" s="2" t="inlineStr"/>
    </row>
    <row r="939" ht="15" customHeight="1">
      <c r="A939" t="inlineStr">
        <is>
          <t>A 11371-2025</t>
        </is>
      </c>
      <c r="B939" s="1" t="n">
        <v>45726</v>
      </c>
      <c r="C939" s="1" t="n">
        <v>46193</v>
      </c>
      <c r="D939" t="inlineStr">
        <is>
          <t>JÄMTLANDS LÄN</t>
        </is>
      </c>
      <c r="E939" t="inlineStr">
        <is>
          <t>BRÄCKE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20794-2026</t>
        </is>
      </c>
      <c r="B940" s="1" t="n">
        <v>46141</v>
      </c>
      <c r="C940" s="1" t="n">
        <v>46193</v>
      </c>
      <c r="D940" t="inlineStr">
        <is>
          <t>JÄMTLANDS LÄN</t>
        </is>
      </c>
      <c r="E940" t="inlineStr">
        <is>
          <t>BRÄCKE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47070-2025</t>
        </is>
      </c>
      <c r="B941" s="1" t="n">
        <v>45929</v>
      </c>
      <c r="C941" s="1" t="n">
        <v>46193</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47120-2025</t>
        </is>
      </c>
      <c r="B942" s="1" t="n">
        <v>45929</v>
      </c>
      <c r="C942" s="1" t="n">
        <v>46193</v>
      </c>
      <c r="D942" t="inlineStr">
        <is>
          <t>JÄMTLANDS LÄN</t>
        </is>
      </c>
      <c r="E942" t="inlineStr">
        <is>
          <t>BRÄCKE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22164-2025</t>
        </is>
      </c>
      <c r="B943" s="1" t="n">
        <v>45785</v>
      </c>
      <c r="C943" s="1" t="n">
        <v>46193</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22167-2025</t>
        </is>
      </c>
      <c r="B944" s="1" t="n">
        <v>45785</v>
      </c>
      <c r="C944" s="1" t="n">
        <v>46193</v>
      </c>
      <c r="D944" t="inlineStr">
        <is>
          <t>JÄMTLANDS LÄN</t>
        </is>
      </c>
      <c r="E944" t="inlineStr">
        <is>
          <t>BRÄCKE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50591-2024</t>
        </is>
      </c>
      <c r="B945" s="1" t="n">
        <v>45601</v>
      </c>
      <c r="C945" s="1" t="n">
        <v>46193</v>
      </c>
      <c r="D945" t="inlineStr">
        <is>
          <t>JÄMTLANDS LÄN</t>
        </is>
      </c>
      <c r="E945" t="inlineStr">
        <is>
          <t>BRÄCKE</t>
        </is>
      </c>
      <c r="G945" t="n">
        <v>17</v>
      </c>
      <c r="H945" t="n">
        <v>0</v>
      </c>
      <c r="I945" t="n">
        <v>0</v>
      </c>
      <c r="J945" t="n">
        <v>0</v>
      </c>
      <c r="K945" t="n">
        <v>0</v>
      </c>
      <c r="L945" t="n">
        <v>0</v>
      </c>
      <c r="M945" t="n">
        <v>0</v>
      </c>
      <c r="N945" t="n">
        <v>0</v>
      </c>
      <c r="O945" t="n">
        <v>0</v>
      </c>
      <c r="P945" t="n">
        <v>0</v>
      </c>
      <c r="Q945" t="n">
        <v>0</v>
      </c>
      <c r="R945" s="2" t="inlineStr"/>
    </row>
    <row r="946" ht="15" customHeight="1">
      <c r="A946" t="inlineStr">
        <is>
          <t>A 47474-2025</t>
        </is>
      </c>
      <c r="B946" s="1" t="n">
        <v>45930</v>
      </c>
      <c r="C946" s="1" t="n">
        <v>46193</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6291-2025</t>
        </is>
      </c>
      <c r="B947" s="1" t="n">
        <v>45698</v>
      </c>
      <c r="C947" s="1" t="n">
        <v>46193</v>
      </c>
      <c r="D947" t="inlineStr">
        <is>
          <t>JÄMTLANDS LÄN</t>
        </is>
      </c>
      <c r="E947" t="inlineStr">
        <is>
          <t>BRÄCKE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48482-2023</t>
        </is>
      </c>
      <c r="B948" s="1" t="n">
        <v>45206</v>
      </c>
      <c r="C948" s="1" t="n">
        <v>46193</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18065-2025</t>
        </is>
      </c>
      <c r="B949" s="1" t="n">
        <v>45761</v>
      </c>
      <c r="C949" s="1" t="n">
        <v>46193</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33774-2024</t>
        </is>
      </c>
      <c r="B950" s="1" t="n">
        <v>45520</v>
      </c>
      <c r="C950" s="1" t="n">
        <v>46193</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47318-2025</t>
        </is>
      </c>
      <c r="B951" s="1" t="n">
        <v>45930</v>
      </c>
      <c r="C951" s="1" t="n">
        <v>46193</v>
      </c>
      <c r="D951" t="inlineStr">
        <is>
          <t>JÄMTLANDS LÄN</t>
        </is>
      </c>
      <c r="E951" t="inlineStr">
        <is>
          <t>BRÄCKE</t>
        </is>
      </c>
      <c r="G951" t="n">
        <v>0.4</v>
      </c>
      <c r="H951" t="n">
        <v>0</v>
      </c>
      <c r="I951" t="n">
        <v>0</v>
      </c>
      <c r="J951" t="n">
        <v>0</v>
      </c>
      <c r="K951" t="n">
        <v>0</v>
      </c>
      <c r="L951" t="n">
        <v>0</v>
      </c>
      <c r="M951" t="n">
        <v>0</v>
      </c>
      <c r="N951" t="n">
        <v>0</v>
      </c>
      <c r="O951" t="n">
        <v>0</v>
      </c>
      <c r="P951" t="n">
        <v>0</v>
      </c>
      <c r="Q951" t="n">
        <v>0</v>
      </c>
      <c r="R951" s="2" t="inlineStr"/>
    </row>
    <row r="952" ht="15" customHeight="1">
      <c r="A952" t="inlineStr">
        <is>
          <t>A 46875-2025</t>
        </is>
      </c>
      <c r="B952" s="1" t="n">
        <v>45929</v>
      </c>
      <c r="C952" s="1" t="n">
        <v>46193</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47117-2025</t>
        </is>
      </c>
      <c r="B953" s="1" t="n">
        <v>45929</v>
      </c>
      <c r="C953" s="1" t="n">
        <v>46193</v>
      </c>
      <c r="D953" t="inlineStr">
        <is>
          <t>JÄMTLANDS LÄN</t>
        </is>
      </c>
      <c r="E953" t="inlineStr">
        <is>
          <t>BRÄCKE</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8739-2025</t>
        </is>
      </c>
      <c r="B954" s="1" t="n">
        <v>45712</v>
      </c>
      <c r="C954" s="1" t="n">
        <v>46193</v>
      </c>
      <c r="D954" t="inlineStr">
        <is>
          <t>JÄMTLANDS LÄN</t>
        </is>
      </c>
      <c r="E954" t="inlineStr">
        <is>
          <t>BRÄCKE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31558-2024</t>
        </is>
      </c>
      <c r="B955" s="1" t="n">
        <v>45505</v>
      </c>
      <c r="C955" s="1" t="n">
        <v>46193</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47714-2025</t>
        </is>
      </c>
      <c r="B956" s="1" t="n">
        <v>45931</v>
      </c>
      <c r="C956" s="1" t="n">
        <v>46193</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4491-2024</t>
        </is>
      </c>
      <c r="B957" s="1" t="n">
        <v>45327</v>
      </c>
      <c r="C957" s="1" t="n">
        <v>46193</v>
      </c>
      <c r="D957" t="inlineStr">
        <is>
          <t>JÄMTLANDS LÄN</t>
        </is>
      </c>
      <c r="E957" t="inlineStr">
        <is>
          <t>BRÄCKE</t>
        </is>
      </c>
      <c r="G957" t="n">
        <v>1.1</v>
      </c>
      <c r="H957" t="n">
        <v>0</v>
      </c>
      <c r="I957" t="n">
        <v>0</v>
      </c>
      <c r="J957" t="n">
        <v>0</v>
      </c>
      <c r="K957" t="n">
        <v>0</v>
      </c>
      <c r="L957" t="n">
        <v>0</v>
      </c>
      <c r="M957" t="n">
        <v>0</v>
      </c>
      <c r="N957" t="n">
        <v>0</v>
      </c>
      <c r="O957" t="n">
        <v>0</v>
      </c>
      <c r="P957" t="n">
        <v>0</v>
      </c>
      <c r="Q957" t="n">
        <v>0</v>
      </c>
      <c r="R957" s="2" t="inlineStr"/>
    </row>
    <row r="958" ht="15" customHeight="1">
      <c r="A958" t="inlineStr">
        <is>
          <t>A 47873-2025</t>
        </is>
      </c>
      <c r="B958" s="1" t="n">
        <v>45932</v>
      </c>
      <c r="C958" s="1" t="n">
        <v>46193</v>
      </c>
      <c r="D958" t="inlineStr">
        <is>
          <t>JÄMTLANDS LÄN</t>
        </is>
      </c>
      <c r="E958" t="inlineStr">
        <is>
          <t>BRÄCKE</t>
        </is>
      </c>
      <c r="F958" t="inlineStr">
        <is>
          <t>Kyrkan</t>
        </is>
      </c>
      <c r="G958" t="n">
        <v>12</v>
      </c>
      <c r="H958" t="n">
        <v>0</v>
      </c>
      <c r="I958" t="n">
        <v>0</v>
      </c>
      <c r="J958" t="n">
        <v>0</v>
      </c>
      <c r="K958" t="n">
        <v>0</v>
      </c>
      <c r="L958" t="n">
        <v>0</v>
      </c>
      <c r="M958" t="n">
        <v>0</v>
      </c>
      <c r="N958" t="n">
        <v>0</v>
      </c>
      <c r="O958" t="n">
        <v>0</v>
      </c>
      <c r="P958" t="n">
        <v>0</v>
      </c>
      <c r="Q958" t="n">
        <v>0</v>
      </c>
      <c r="R958" s="2" t="inlineStr"/>
    </row>
    <row r="959" ht="15" customHeight="1">
      <c r="A959" t="inlineStr">
        <is>
          <t>A 2245-2025</t>
        </is>
      </c>
      <c r="B959" s="1" t="n">
        <v>45673</v>
      </c>
      <c r="C959" s="1" t="n">
        <v>46193</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2774-2025</t>
        </is>
      </c>
      <c r="B960" s="1" t="n">
        <v>45677</v>
      </c>
      <c r="C960" s="1" t="n">
        <v>46193</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c r="U960">
        <f>HYPERLINK("https://klasma.github.io/Logging_2305/knärot/A 2774-2025 karta knärot.png", "A 2774-2025")</f>
        <v/>
      </c>
      <c r="V960">
        <f>HYPERLINK("https://klasma.github.io/Logging_2305/klagomål/A 2774-2025 FSC-klagomål.docx", "A 2774-2025")</f>
        <v/>
      </c>
      <c r="W960">
        <f>HYPERLINK("https://klasma.github.io/Logging_2305/klagomålsmail/A 2774-2025 FSC-klagomål mail.docx", "A 2774-2025")</f>
        <v/>
      </c>
      <c r="X960">
        <f>HYPERLINK("https://klasma.github.io/Logging_2305/tillsyn/A 2774-2025 tillsynsbegäran.docx", "A 2774-2025")</f>
        <v/>
      </c>
      <c r="Y960">
        <f>HYPERLINK("https://klasma.github.io/Logging_2305/tillsynsmail/A 2774-2025 tillsynsbegäran mail.docx", "A 2774-2025")</f>
        <v/>
      </c>
    </row>
    <row r="961" ht="15" customHeight="1">
      <c r="A961" t="inlineStr">
        <is>
          <t>A 54986-2023</t>
        </is>
      </c>
      <c r="B961" s="1" t="n">
        <v>45236</v>
      </c>
      <c r="C961" s="1" t="n">
        <v>46193</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31526-2024</t>
        </is>
      </c>
      <c r="B962" s="1" t="n">
        <v>45505</v>
      </c>
      <c r="C962" s="1" t="n">
        <v>46193</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44444-2022</t>
        </is>
      </c>
      <c r="B963" s="1" t="n">
        <v>44839</v>
      </c>
      <c r="C963" s="1" t="n">
        <v>46193</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45691-2022</t>
        </is>
      </c>
      <c r="B964" s="1" t="n">
        <v>44845</v>
      </c>
      <c r="C964" s="1" t="n">
        <v>46193</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46623-2022</t>
        </is>
      </c>
      <c r="B965" s="1" t="n">
        <v>44848</v>
      </c>
      <c r="C965" s="1" t="n">
        <v>46193</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48067-2025</t>
        </is>
      </c>
      <c r="B966" s="1" t="n">
        <v>45932</v>
      </c>
      <c r="C966" s="1" t="n">
        <v>46193</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9970-2025</t>
        </is>
      </c>
      <c r="B967" s="1" t="n">
        <v>45719</v>
      </c>
      <c r="C967" s="1" t="n">
        <v>46193</v>
      </c>
      <c r="D967" t="inlineStr">
        <is>
          <t>JÄMTLANDS LÄN</t>
        </is>
      </c>
      <c r="E967" t="inlineStr">
        <is>
          <t>BRÄCKE</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24588-2025</t>
        </is>
      </c>
      <c r="B968" s="1" t="n">
        <v>45798</v>
      </c>
      <c r="C968" s="1" t="n">
        <v>46193</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27197-2025</t>
        </is>
      </c>
      <c r="B969" s="1" t="n">
        <v>45812</v>
      </c>
      <c r="C969" s="1" t="n">
        <v>46193</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47868-2025</t>
        </is>
      </c>
      <c r="B970" s="1" t="n">
        <v>45932</v>
      </c>
      <c r="C970" s="1" t="n">
        <v>46193</v>
      </c>
      <c r="D970" t="inlineStr">
        <is>
          <t>JÄMTLANDS LÄN</t>
        </is>
      </c>
      <c r="E970" t="inlineStr">
        <is>
          <t>BRÄCKE</t>
        </is>
      </c>
      <c r="F970" t="inlineStr">
        <is>
          <t>Kyrkan</t>
        </is>
      </c>
      <c r="G970" t="n">
        <v>5.9</v>
      </c>
      <c r="H970" t="n">
        <v>0</v>
      </c>
      <c r="I970" t="n">
        <v>0</v>
      </c>
      <c r="J970" t="n">
        <v>0</v>
      </c>
      <c r="K970" t="n">
        <v>0</v>
      </c>
      <c r="L970" t="n">
        <v>0</v>
      </c>
      <c r="M970" t="n">
        <v>0</v>
      </c>
      <c r="N970" t="n">
        <v>0</v>
      </c>
      <c r="O970" t="n">
        <v>0</v>
      </c>
      <c r="P970" t="n">
        <v>0</v>
      </c>
      <c r="Q970" t="n">
        <v>0</v>
      </c>
      <c r="R970" s="2" t="inlineStr"/>
    </row>
    <row r="971" ht="15" customHeight="1">
      <c r="A971" t="inlineStr">
        <is>
          <t>A 42959-2024</t>
        </is>
      </c>
      <c r="B971" s="1" t="n">
        <v>45567</v>
      </c>
      <c r="C971" s="1" t="n">
        <v>46193</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57420-2023</t>
        </is>
      </c>
      <c r="B972" s="1" t="n">
        <v>45245</v>
      </c>
      <c r="C972" s="1" t="n">
        <v>46193</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63292-2023</t>
        </is>
      </c>
      <c r="B973" s="1" t="n">
        <v>45273</v>
      </c>
      <c r="C973" s="1" t="n">
        <v>46193</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48562-2025</t>
        </is>
      </c>
      <c r="B974" s="1" t="n">
        <v>45936</v>
      </c>
      <c r="C974" s="1" t="n">
        <v>46193</v>
      </c>
      <c r="D974" t="inlineStr">
        <is>
          <t>JÄMTLANDS LÄN</t>
        </is>
      </c>
      <c r="E974" t="inlineStr">
        <is>
          <t>BRÄCKE</t>
        </is>
      </c>
      <c r="F974" t="inlineStr">
        <is>
          <t>Övriga Aktiebolag</t>
        </is>
      </c>
      <c r="G974" t="n">
        <v>6.6</v>
      </c>
      <c r="H974" t="n">
        <v>0</v>
      </c>
      <c r="I974" t="n">
        <v>0</v>
      </c>
      <c r="J974" t="n">
        <v>0</v>
      </c>
      <c r="K974" t="n">
        <v>0</v>
      </c>
      <c r="L974" t="n">
        <v>0</v>
      </c>
      <c r="M974" t="n">
        <v>0</v>
      </c>
      <c r="N974" t="n">
        <v>0</v>
      </c>
      <c r="O974" t="n">
        <v>0</v>
      </c>
      <c r="P974" t="n">
        <v>0</v>
      </c>
      <c r="Q974" t="n">
        <v>0</v>
      </c>
      <c r="R974" s="2" t="inlineStr"/>
    </row>
    <row r="975" ht="15" customHeight="1">
      <c r="A975" t="inlineStr">
        <is>
          <t>A 22958-2025</t>
        </is>
      </c>
      <c r="B975" s="1" t="n">
        <v>45790</v>
      </c>
      <c r="C975" s="1" t="n">
        <v>46193</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22772-2025</t>
        </is>
      </c>
      <c r="B976" s="1" t="n">
        <v>45789</v>
      </c>
      <c r="C976" s="1" t="n">
        <v>46193</v>
      </c>
      <c r="D976" t="inlineStr">
        <is>
          <t>JÄMTLANDS LÄN</t>
        </is>
      </c>
      <c r="E976" t="inlineStr">
        <is>
          <t>BRÄCKE</t>
        </is>
      </c>
      <c r="G976" t="n">
        <v>0.7</v>
      </c>
      <c r="H976" t="n">
        <v>0</v>
      </c>
      <c r="I976" t="n">
        <v>0</v>
      </c>
      <c r="J976" t="n">
        <v>0</v>
      </c>
      <c r="K976" t="n">
        <v>0</v>
      </c>
      <c r="L976" t="n">
        <v>0</v>
      </c>
      <c r="M976" t="n">
        <v>0</v>
      </c>
      <c r="N976" t="n">
        <v>0</v>
      </c>
      <c r="O976" t="n">
        <v>0</v>
      </c>
      <c r="P976" t="n">
        <v>0</v>
      </c>
      <c r="Q976" t="n">
        <v>0</v>
      </c>
      <c r="R976" s="2" t="inlineStr"/>
    </row>
    <row r="977" ht="15" customHeight="1">
      <c r="A977" t="inlineStr">
        <is>
          <t>A 50840-2023</t>
        </is>
      </c>
      <c r="B977" s="1" t="n">
        <v>45217</v>
      </c>
      <c r="C977" s="1" t="n">
        <v>46193</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22652-2025</t>
        </is>
      </c>
      <c r="B978" s="1" t="n">
        <v>45789</v>
      </c>
      <c r="C978" s="1" t="n">
        <v>46193</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v>
      </c>
      <c r="C979" s="1" t="n">
        <v>46193</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46793-2021</t>
        </is>
      </c>
      <c r="B980" s="1" t="n">
        <v>44445</v>
      </c>
      <c r="C980" s="1" t="n">
        <v>46193</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20276-2023</t>
        </is>
      </c>
      <c r="B981" s="1" t="n">
        <v>45055</v>
      </c>
      <c r="C981" s="1" t="n">
        <v>46193</v>
      </c>
      <c r="D981" t="inlineStr">
        <is>
          <t>JÄMTLANDS LÄN</t>
        </is>
      </c>
      <c r="E981" t="inlineStr">
        <is>
          <t>BRÄCKE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22816-2025</t>
        </is>
      </c>
      <c r="B982" s="1" t="n">
        <v>45789</v>
      </c>
      <c r="C982" s="1" t="n">
        <v>46193</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23344-2025</t>
        </is>
      </c>
      <c r="B983" s="1" t="n">
        <v>45791</v>
      </c>
      <c r="C983" s="1" t="n">
        <v>46193</v>
      </c>
      <c r="D983" t="inlineStr">
        <is>
          <t>JÄMTLANDS LÄN</t>
        </is>
      </c>
      <c r="E983" t="inlineStr">
        <is>
          <t>BRÄCKE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11093-2022</t>
        </is>
      </c>
      <c r="B984" s="1" t="n">
        <v>44628</v>
      </c>
      <c r="C984" s="1" t="n">
        <v>46193</v>
      </c>
      <c r="D984" t="inlineStr">
        <is>
          <t>JÄMTLANDS LÄN</t>
        </is>
      </c>
      <c r="E984" t="inlineStr">
        <is>
          <t>BRÄCKE</t>
        </is>
      </c>
      <c r="G984" t="n">
        <v>16.4</v>
      </c>
      <c r="H984" t="n">
        <v>0</v>
      </c>
      <c r="I984" t="n">
        <v>0</v>
      </c>
      <c r="J984" t="n">
        <v>0</v>
      </c>
      <c r="K984" t="n">
        <v>0</v>
      </c>
      <c r="L984" t="n">
        <v>0</v>
      </c>
      <c r="M984" t="n">
        <v>0</v>
      </c>
      <c r="N984" t="n">
        <v>0</v>
      </c>
      <c r="O984" t="n">
        <v>0</v>
      </c>
      <c r="P984" t="n">
        <v>0</v>
      </c>
      <c r="Q984" t="n">
        <v>0</v>
      </c>
      <c r="R984" s="2" t="inlineStr"/>
    </row>
    <row r="985" ht="15" customHeight="1">
      <c r="A985" t="inlineStr">
        <is>
          <t>A 48851-2025</t>
        </is>
      </c>
      <c r="B985" s="1" t="n">
        <v>45937</v>
      </c>
      <c r="C985" s="1" t="n">
        <v>46193</v>
      </c>
      <c r="D985" t="inlineStr">
        <is>
          <t>JÄMTLANDS LÄN</t>
        </is>
      </c>
      <c r="E985" t="inlineStr">
        <is>
          <t>BRÄCKE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22841-2025</t>
        </is>
      </c>
      <c r="B986" s="1" t="n">
        <v>45789</v>
      </c>
      <c r="C986" s="1" t="n">
        <v>46193</v>
      </c>
      <c r="D986" t="inlineStr">
        <is>
          <t>JÄMTLANDS LÄN</t>
        </is>
      </c>
      <c r="E986" t="inlineStr">
        <is>
          <t>BRÄCKE</t>
        </is>
      </c>
      <c r="G986" t="n">
        <v>3.4</v>
      </c>
      <c r="H986" t="n">
        <v>0</v>
      </c>
      <c r="I986" t="n">
        <v>0</v>
      </c>
      <c r="J986" t="n">
        <v>0</v>
      </c>
      <c r="K986" t="n">
        <v>0</v>
      </c>
      <c r="L986" t="n">
        <v>0</v>
      </c>
      <c r="M986" t="n">
        <v>0</v>
      </c>
      <c r="N986" t="n">
        <v>0</v>
      </c>
      <c r="O986" t="n">
        <v>0</v>
      </c>
      <c r="P986" t="n">
        <v>0</v>
      </c>
      <c r="Q986" t="n">
        <v>0</v>
      </c>
      <c r="R986" s="2" t="inlineStr"/>
    </row>
    <row r="987" ht="15" customHeight="1">
      <c r="A987" t="inlineStr">
        <is>
          <t>A 48435-2023</t>
        </is>
      </c>
      <c r="B987" s="1" t="n">
        <v>45205</v>
      </c>
      <c r="C987" s="1" t="n">
        <v>46193</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49046-2025</t>
        </is>
      </c>
      <c r="B988" s="1" t="n">
        <v>45937</v>
      </c>
      <c r="C988" s="1" t="n">
        <v>46193</v>
      </c>
      <c r="D988" t="inlineStr">
        <is>
          <t>JÄMTLANDS LÄN</t>
        </is>
      </c>
      <c r="E988" t="inlineStr">
        <is>
          <t>BRÄCKE</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23583-2025</t>
        </is>
      </c>
      <c r="B989" s="1" t="n">
        <v>45792</v>
      </c>
      <c r="C989" s="1" t="n">
        <v>46193</v>
      </c>
      <c r="D989" t="inlineStr">
        <is>
          <t>JÄMTLANDS LÄN</t>
        </is>
      </c>
      <c r="E989" t="inlineStr">
        <is>
          <t>BRÄCKE</t>
        </is>
      </c>
      <c r="G989" t="n">
        <v>3</v>
      </c>
      <c r="H989" t="n">
        <v>0</v>
      </c>
      <c r="I989" t="n">
        <v>0</v>
      </c>
      <c r="J989" t="n">
        <v>0</v>
      </c>
      <c r="K989" t="n">
        <v>0</v>
      </c>
      <c r="L989" t="n">
        <v>0</v>
      </c>
      <c r="M989" t="n">
        <v>0</v>
      </c>
      <c r="N989" t="n">
        <v>0</v>
      </c>
      <c r="O989" t="n">
        <v>0</v>
      </c>
      <c r="P989" t="n">
        <v>0</v>
      </c>
      <c r="Q989" t="n">
        <v>0</v>
      </c>
      <c r="R989" s="2" t="inlineStr"/>
    </row>
    <row r="990" ht="15" customHeight="1">
      <c r="A990" t="inlineStr">
        <is>
          <t>A 49292-2025</t>
        </is>
      </c>
      <c r="B990" s="1" t="n">
        <v>45938</v>
      </c>
      <c r="C990" s="1" t="n">
        <v>46193</v>
      </c>
      <c r="D990" t="inlineStr">
        <is>
          <t>JÄMTLANDS LÄN</t>
        </is>
      </c>
      <c r="E990" t="inlineStr">
        <is>
          <t>BRÄCKE</t>
        </is>
      </c>
      <c r="G990" t="n">
        <v>4.4</v>
      </c>
      <c r="H990" t="n">
        <v>0</v>
      </c>
      <c r="I990" t="n">
        <v>0</v>
      </c>
      <c r="J990" t="n">
        <v>0</v>
      </c>
      <c r="K990" t="n">
        <v>0</v>
      </c>
      <c r="L990" t="n">
        <v>0</v>
      </c>
      <c r="M990" t="n">
        <v>0</v>
      </c>
      <c r="N990" t="n">
        <v>0</v>
      </c>
      <c r="O990" t="n">
        <v>0</v>
      </c>
      <c r="P990" t="n">
        <v>0</v>
      </c>
      <c r="Q990" t="n">
        <v>0</v>
      </c>
      <c r="R990" s="2" t="inlineStr"/>
    </row>
    <row r="991" ht="15" customHeight="1">
      <c r="A991" t="inlineStr">
        <is>
          <t>A 49255-2025</t>
        </is>
      </c>
      <c r="B991" s="1" t="n">
        <v>45938</v>
      </c>
      <c r="C991" s="1" t="n">
        <v>46193</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52249-2023</t>
        </is>
      </c>
      <c r="B992" s="1" t="n">
        <v>45217</v>
      </c>
      <c r="C992" s="1" t="n">
        <v>46193</v>
      </c>
      <c r="D992" t="inlineStr">
        <is>
          <t>JÄMTLANDS LÄN</t>
        </is>
      </c>
      <c r="E992" t="inlineStr">
        <is>
          <t>BRÄCKE</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48982-2025</t>
        </is>
      </c>
      <c r="B993" s="1" t="n">
        <v>45937</v>
      </c>
      <c r="C993" s="1" t="n">
        <v>46193</v>
      </c>
      <c r="D993" t="inlineStr">
        <is>
          <t>JÄMTLANDS LÄN</t>
        </is>
      </c>
      <c r="E993" t="inlineStr">
        <is>
          <t>BRÄCKE</t>
        </is>
      </c>
      <c r="F993" t="inlineStr">
        <is>
          <t>SCA</t>
        </is>
      </c>
      <c r="G993" t="n">
        <v>5.8</v>
      </c>
      <c r="H993" t="n">
        <v>0</v>
      </c>
      <c r="I993" t="n">
        <v>0</v>
      </c>
      <c r="J993" t="n">
        <v>0</v>
      </c>
      <c r="K993" t="n">
        <v>0</v>
      </c>
      <c r="L993" t="n">
        <v>0</v>
      </c>
      <c r="M993" t="n">
        <v>0</v>
      </c>
      <c r="N993" t="n">
        <v>0</v>
      </c>
      <c r="O993" t="n">
        <v>0</v>
      </c>
      <c r="P993" t="n">
        <v>0</v>
      </c>
      <c r="Q993" t="n">
        <v>0</v>
      </c>
      <c r="R993" s="2" t="inlineStr"/>
    </row>
    <row r="994" ht="15" customHeight="1">
      <c r="A994" t="inlineStr">
        <is>
          <t>A 49826-2025</t>
        </is>
      </c>
      <c r="B994" s="1" t="n">
        <v>45940</v>
      </c>
      <c r="C994" s="1" t="n">
        <v>46193</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32671-2024</t>
        </is>
      </c>
      <c r="B995" s="1" t="n">
        <v>45514</v>
      </c>
      <c r="C995" s="1" t="n">
        <v>46193</v>
      </c>
      <c r="D995" t="inlineStr">
        <is>
          <t>JÄMTLANDS LÄN</t>
        </is>
      </c>
      <c r="E995" t="inlineStr">
        <is>
          <t>BRÄCKE</t>
        </is>
      </c>
      <c r="G995" t="n">
        <v>1.6</v>
      </c>
      <c r="H995" t="n">
        <v>0</v>
      </c>
      <c r="I995" t="n">
        <v>0</v>
      </c>
      <c r="J995" t="n">
        <v>0</v>
      </c>
      <c r="K995" t="n">
        <v>0</v>
      </c>
      <c r="L995" t="n">
        <v>0</v>
      </c>
      <c r="M995" t="n">
        <v>0</v>
      </c>
      <c r="N995" t="n">
        <v>0</v>
      </c>
      <c r="O995" t="n">
        <v>0</v>
      </c>
      <c r="P995" t="n">
        <v>0</v>
      </c>
      <c r="Q995" t="n">
        <v>0</v>
      </c>
      <c r="R995" s="2" t="inlineStr"/>
    </row>
    <row r="996" ht="15" customHeight="1">
      <c r="A996" t="inlineStr">
        <is>
          <t>A 23767-2023</t>
        </is>
      </c>
      <c r="B996" s="1" t="n">
        <v>45077</v>
      </c>
      <c r="C996" s="1" t="n">
        <v>46193</v>
      </c>
      <c r="D996" t="inlineStr">
        <is>
          <t>JÄMTLANDS LÄN</t>
        </is>
      </c>
      <c r="E996" t="inlineStr">
        <is>
          <t>BRÄCKE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23773-2023</t>
        </is>
      </c>
      <c r="B997" s="1" t="n">
        <v>45077</v>
      </c>
      <c r="C997" s="1" t="n">
        <v>46193</v>
      </c>
      <c r="D997" t="inlineStr">
        <is>
          <t>JÄMTLANDS LÄN</t>
        </is>
      </c>
      <c r="E997" t="inlineStr">
        <is>
          <t>BRÄCKE</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13762-2024</t>
        </is>
      </c>
      <c r="B998" s="1" t="n">
        <v>45390</v>
      </c>
      <c r="C998" s="1" t="n">
        <v>46193</v>
      </c>
      <c r="D998" t="inlineStr">
        <is>
          <t>JÄMTLANDS LÄN</t>
        </is>
      </c>
      <c r="E998" t="inlineStr">
        <is>
          <t>BRÄCKE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56686-2023</t>
        </is>
      </c>
      <c r="B999" s="1" t="n">
        <v>45243</v>
      </c>
      <c r="C999" s="1" t="n">
        <v>46193</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26719-2026</t>
        </is>
      </c>
      <c r="B1000" s="1" t="n">
        <v>46184</v>
      </c>
      <c r="C1000" s="1" t="n">
        <v>46193</v>
      </c>
      <c r="D1000" t="inlineStr">
        <is>
          <t>JÄMTLANDS LÄN</t>
        </is>
      </c>
      <c r="E1000" t="inlineStr">
        <is>
          <t>BRÄCKE</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23303-2025</t>
        </is>
      </c>
      <c r="B1001" s="1" t="n">
        <v>45791</v>
      </c>
      <c r="C1001" s="1" t="n">
        <v>46193</v>
      </c>
      <c r="D1001" t="inlineStr">
        <is>
          <t>JÄMTLANDS LÄN</t>
        </is>
      </c>
      <c r="E1001" t="inlineStr">
        <is>
          <t>BRÄCKE</t>
        </is>
      </c>
      <c r="G1001" t="n">
        <v>22.2</v>
      </c>
      <c r="H1001" t="n">
        <v>0</v>
      </c>
      <c r="I1001" t="n">
        <v>0</v>
      </c>
      <c r="J1001" t="n">
        <v>0</v>
      </c>
      <c r="K1001" t="n">
        <v>0</v>
      </c>
      <c r="L1001" t="n">
        <v>0</v>
      </c>
      <c r="M1001" t="n">
        <v>0</v>
      </c>
      <c r="N1001" t="n">
        <v>0</v>
      </c>
      <c r="O1001" t="n">
        <v>0</v>
      </c>
      <c r="P1001" t="n">
        <v>0</v>
      </c>
      <c r="Q1001" t="n">
        <v>0</v>
      </c>
      <c r="R1001" s="2" t="inlineStr"/>
    </row>
    <row r="1002" ht="15" customHeight="1">
      <c r="A1002" t="inlineStr">
        <is>
          <t>A 9434-2025</t>
        </is>
      </c>
      <c r="B1002" s="1" t="n">
        <v>45715</v>
      </c>
      <c r="C1002" s="1" t="n">
        <v>46193</v>
      </c>
      <c r="D1002" t="inlineStr">
        <is>
          <t>JÄMTLANDS LÄN</t>
        </is>
      </c>
      <c r="E1002" t="inlineStr">
        <is>
          <t>BRÄCKE</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27455-2024</t>
        </is>
      </c>
      <c r="B1003" s="1" t="n">
        <v>45474</v>
      </c>
      <c r="C1003" s="1" t="n">
        <v>46193</v>
      </c>
      <c r="D1003" t="inlineStr">
        <is>
          <t>JÄMTLANDS LÄN</t>
        </is>
      </c>
      <c r="E1003" t="inlineStr">
        <is>
          <t>BRÄCKE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49707-2024</t>
        </is>
      </c>
      <c r="B1004" s="1" t="n">
        <v>45596</v>
      </c>
      <c r="C1004" s="1" t="n">
        <v>46193</v>
      </c>
      <c r="D1004" t="inlineStr">
        <is>
          <t>JÄMTLANDS LÄN</t>
        </is>
      </c>
      <c r="E1004" t="inlineStr">
        <is>
          <t>BRÄCKE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50016-2025</t>
        </is>
      </c>
      <c r="B1005" s="1" t="n">
        <v>45943</v>
      </c>
      <c r="C1005" s="1" t="n">
        <v>46193</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50079-2025</t>
        </is>
      </c>
      <c r="B1006" s="1" t="n">
        <v>45943</v>
      </c>
      <c r="C1006" s="1" t="n">
        <v>46193</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50272-2025</t>
        </is>
      </c>
      <c r="B1007" s="1" t="n">
        <v>45944</v>
      </c>
      <c r="C1007" s="1" t="n">
        <v>46193</v>
      </c>
      <c r="D1007" t="inlineStr">
        <is>
          <t>JÄMTLANDS LÄN</t>
        </is>
      </c>
      <c r="E1007" t="inlineStr">
        <is>
          <t>BRÄCKE</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50216-2025</t>
        </is>
      </c>
      <c r="B1008" s="1" t="n">
        <v>45943</v>
      </c>
      <c r="C1008" s="1" t="n">
        <v>46193</v>
      </c>
      <c r="D1008" t="inlineStr">
        <is>
          <t>JÄMTLANDS LÄN</t>
        </is>
      </c>
      <c r="E1008" t="inlineStr">
        <is>
          <t>BRÄCKE</t>
        </is>
      </c>
      <c r="F1008" t="inlineStr">
        <is>
          <t>SCA</t>
        </is>
      </c>
      <c r="G1008" t="n">
        <v>15.7</v>
      </c>
      <c r="H1008" t="n">
        <v>0</v>
      </c>
      <c r="I1008" t="n">
        <v>0</v>
      </c>
      <c r="J1008" t="n">
        <v>0</v>
      </c>
      <c r="K1008" t="n">
        <v>0</v>
      </c>
      <c r="L1008" t="n">
        <v>0</v>
      </c>
      <c r="M1008" t="n">
        <v>0</v>
      </c>
      <c r="N1008" t="n">
        <v>0</v>
      </c>
      <c r="O1008" t="n">
        <v>0</v>
      </c>
      <c r="P1008" t="n">
        <v>0</v>
      </c>
      <c r="Q1008" t="n">
        <v>0</v>
      </c>
      <c r="R1008" s="2" t="inlineStr"/>
    </row>
    <row r="1009" ht="15" customHeight="1">
      <c r="A1009" t="inlineStr">
        <is>
          <t>A 29873-2024</t>
        </is>
      </c>
      <c r="B1009" s="1" t="n">
        <v>45485</v>
      </c>
      <c r="C1009" s="1" t="n">
        <v>46193</v>
      </c>
      <c r="D1009" t="inlineStr">
        <is>
          <t>JÄMTLANDS LÄN</t>
        </is>
      </c>
      <c r="E1009" t="inlineStr">
        <is>
          <t>BRÄCKE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33870-2023</t>
        </is>
      </c>
      <c r="B1010" s="1" t="n">
        <v>45133</v>
      </c>
      <c r="C1010" s="1" t="n">
        <v>46193</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50262-2025</t>
        </is>
      </c>
      <c r="B1011" s="1" t="n">
        <v>45944</v>
      </c>
      <c r="C1011" s="1" t="n">
        <v>46193</v>
      </c>
      <c r="D1011" t="inlineStr">
        <is>
          <t>JÄMTLANDS LÄN</t>
        </is>
      </c>
      <c r="E1011" t="inlineStr">
        <is>
          <t>BRÄCKE</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23539-2025</t>
        </is>
      </c>
      <c r="B1012" s="1" t="n">
        <v>45792</v>
      </c>
      <c r="C1012" s="1" t="n">
        <v>46193</v>
      </c>
      <c r="D1012" t="inlineStr">
        <is>
          <t>JÄMTLANDS LÄN</t>
        </is>
      </c>
      <c r="E1012" t="inlineStr">
        <is>
          <t>BRÄCKE</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1174-2025</t>
        </is>
      </c>
      <c r="B1013" s="1" t="n">
        <v>45667</v>
      </c>
      <c r="C1013" s="1" t="n">
        <v>46193</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20093-2023</t>
        </is>
      </c>
      <c r="B1014" s="1" t="n">
        <v>45054</v>
      </c>
      <c r="C1014" s="1" t="n">
        <v>46193</v>
      </c>
      <c r="D1014" t="inlineStr">
        <is>
          <t>JÄMTLANDS LÄN</t>
        </is>
      </c>
      <c r="E1014" t="inlineStr">
        <is>
          <t>BRÄCKE</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20843-2026</t>
        </is>
      </c>
      <c r="B1015" s="1" t="n">
        <v>46142</v>
      </c>
      <c r="C1015" s="1" t="n">
        <v>46193</v>
      </c>
      <c r="D1015" t="inlineStr">
        <is>
          <t>JÄMTLANDS LÄN</t>
        </is>
      </c>
      <c r="E1015" t="inlineStr">
        <is>
          <t>BRÄCKE</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24236-2025</t>
        </is>
      </c>
      <c r="B1016" s="1" t="n">
        <v>45797</v>
      </c>
      <c r="C1016" s="1" t="n">
        <v>46193</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24502-2025</t>
        </is>
      </c>
      <c r="B1017" s="1" t="n">
        <v>45798</v>
      </c>
      <c r="C1017" s="1" t="n">
        <v>46193</v>
      </c>
      <c r="D1017" t="inlineStr">
        <is>
          <t>JÄMTLANDS LÄN</t>
        </is>
      </c>
      <c r="E1017" t="inlineStr">
        <is>
          <t>BRÄCKE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50669-2025</t>
        </is>
      </c>
      <c r="B1018" s="1" t="n">
        <v>45945</v>
      </c>
      <c r="C1018" s="1" t="n">
        <v>46193</v>
      </c>
      <c r="D1018" t="inlineStr">
        <is>
          <t>JÄMTLANDS LÄN</t>
        </is>
      </c>
      <c r="E1018" t="inlineStr">
        <is>
          <t>BRÄCKE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24647-2025</t>
        </is>
      </c>
      <c r="B1019" s="1" t="n">
        <v>45798</v>
      </c>
      <c r="C1019" s="1" t="n">
        <v>46193</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26718-2026</t>
        </is>
      </c>
      <c r="B1020" s="1" t="n">
        <v>46184</v>
      </c>
      <c r="C1020" s="1" t="n">
        <v>46193</v>
      </c>
      <c r="D1020" t="inlineStr">
        <is>
          <t>JÄMTLANDS LÄN</t>
        </is>
      </c>
      <c r="E1020" t="inlineStr">
        <is>
          <t>BRÄCKE</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24427-2025</t>
        </is>
      </c>
      <c r="B1021" s="1" t="n">
        <v>45797</v>
      </c>
      <c r="C1021" s="1" t="n">
        <v>46193</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24550-2025</t>
        </is>
      </c>
      <c r="B1022" s="1" t="n">
        <v>45798</v>
      </c>
      <c r="C1022" s="1" t="n">
        <v>46193</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58741-2023</t>
        </is>
      </c>
      <c r="B1023" s="1" t="n">
        <v>45251</v>
      </c>
      <c r="C1023" s="1" t="n">
        <v>46193</v>
      </c>
      <c r="D1023" t="inlineStr">
        <is>
          <t>JÄMTLANDS LÄN</t>
        </is>
      </c>
      <c r="E1023" t="inlineStr">
        <is>
          <t>BRÄCKE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35400-2024</t>
        </is>
      </c>
      <c r="B1024" s="1" t="n">
        <v>45531</v>
      </c>
      <c r="C1024" s="1" t="n">
        <v>46193</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24604-2025</t>
        </is>
      </c>
      <c r="B1025" s="1" t="n">
        <v>45798</v>
      </c>
      <c r="C1025" s="1" t="n">
        <v>46193</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51452-2025</t>
        </is>
      </c>
      <c r="B1026" s="1" t="n">
        <v>45950</v>
      </c>
      <c r="C1026" s="1" t="n">
        <v>46193</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22986-2023</t>
        </is>
      </c>
      <c r="B1027" s="1" t="n">
        <v>45072</v>
      </c>
      <c r="C1027" s="1" t="n">
        <v>46193</v>
      </c>
      <c r="D1027" t="inlineStr">
        <is>
          <t>JÄMTLANDS LÄN</t>
        </is>
      </c>
      <c r="E1027" t="inlineStr">
        <is>
          <t>BRÄCKE</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3833-2026</t>
        </is>
      </c>
      <c r="B1028" s="1" t="n">
        <v>46043</v>
      </c>
      <c r="C1028" s="1" t="n">
        <v>46193</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26351-2023</t>
        </is>
      </c>
      <c r="B1029" s="1" t="n">
        <v>45091</v>
      </c>
      <c r="C1029" s="1" t="n">
        <v>46193</v>
      </c>
      <c r="D1029" t="inlineStr">
        <is>
          <t>JÄMTLANDS LÄN</t>
        </is>
      </c>
      <c r="E1029" t="inlineStr">
        <is>
          <t>BRÄCKE</t>
        </is>
      </c>
      <c r="F1029" t="inlineStr">
        <is>
          <t>SCA</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24195-2023</t>
        </is>
      </c>
      <c r="B1030" s="1" t="n">
        <v>45079</v>
      </c>
      <c r="C1030" s="1" t="n">
        <v>46193</v>
      </c>
      <c r="D1030" t="inlineStr">
        <is>
          <t>JÄMTLANDS LÄN</t>
        </is>
      </c>
      <c r="E1030" t="inlineStr">
        <is>
          <t>BRÄCKE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24784-2025</t>
        </is>
      </c>
      <c r="B1031" s="1" t="n">
        <v>45799</v>
      </c>
      <c r="C1031" s="1" t="n">
        <v>46193</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46952-2021</t>
        </is>
      </c>
      <c r="B1032" s="1" t="n">
        <v>44446</v>
      </c>
      <c r="C1032" s="1" t="n">
        <v>46193</v>
      </c>
      <c r="D1032" t="inlineStr">
        <is>
          <t>JÄMTLANDS LÄN</t>
        </is>
      </c>
      <c r="E1032" t="inlineStr">
        <is>
          <t>BRÄCKE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16059-2024</t>
        </is>
      </c>
      <c r="B1033" s="1" t="n">
        <v>45406</v>
      </c>
      <c r="C1033" s="1" t="n">
        <v>46193</v>
      </c>
      <c r="D1033" t="inlineStr">
        <is>
          <t>JÄMTLANDS LÄN</t>
        </is>
      </c>
      <c r="E1033" t="inlineStr">
        <is>
          <t>BRÄCKE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51625-2025</t>
        </is>
      </c>
      <c r="B1034" s="1" t="n">
        <v>45951</v>
      </c>
      <c r="C1034" s="1" t="n">
        <v>46193</v>
      </c>
      <c r="D1034" t="inlineStr">
        <is>
          <t>JÄMTLANDS LÄN</t>
        </is>
      </c>
      <c r="E1034" t="inlineStr">
        <is>
          <t>BRÄCKE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22444-2026</t>
        </is>
      </c>
      <c r="B1035" s="1" t="n">
        <v>46155</v>
      </c>
      <c r="C1035" s="1" t="n">
        <v>46193</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25159-2025</t>
        </is>
      </c>
      <c r="B1036" s="1" t="n">
        <v>45800</v>
      </c>
      <c r="C1036" s="1" t="n">
        <v>46193</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25883-2024</t>
        </is>
      </c>
      <c r="B1037" s="1" t="n">
        <v>45467</v>
      </c>
      <c r="C1037" s="1" t="n">
        <v>46193</v>
      </c>
      <c r="D1037" t="inlineStr">
        <is>
          <t>JÄMTLANDS LÄN</t>
        </is>
      </c>
      <c r="E1037" t="inlineStr">
        <is>
          <t>BRÄCKE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4365-2023</t>
        </is>
      </c>
      <c r="B1038" s="1" t="n">
        <v>44954</v>
      </c>
      <c r="C1038" s="1" t="n">
        <v>46193</v>
      </c>
      <c r="D1038" t="inlineStr">
        <is>
          <t>JÄMTLANDS LÄN</t>
        </is>
      </c>
      <c r="E1038" t="inlineStr">
        <is>
          <t>BRÄCKE</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20879-2023</t>
        </is>
      </c>
      <c r="B1039" s="1" t="n">
        <v>45058</v>
      </c>
      <c r="C1039" s="1" t="n">
        <v>46193</v>
      </c>
      <c r="D1039" t="inlineStr">
        <is>
          <t>JÄMTLANDS LÄN</t>
        </is>
      </c>
      <c r="E1039" t="inlineStr">
        <is>
          <t>BRÄCKE</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26353-2023</t>
        </is>
      </c>
      <c r="B1040" s="1" t="n">
        <v>45091</v>
      </c>
      <c r="C1040" s="1" t="n">
        <v>46193</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27354-2023</t>
        </is>
      </c>
      <c r="B1041" s="1" t="n">
        <v>45096</v>
      </c>
      <c r="C1041" s="1" t="n">
        <v>46193</v>
      </c>
      <c r="D1041" t="inlineStr">
        <is>
          <t>JÄMTLANDS LÄN</t>
        </is>
      </c>
      <c r="E1041" t="inlineStr">
        <is>
          <t>BRÄCKE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47983-2021</t>
        </is>
      </c>
      <c r="B1042" s="1" t="n">
        <v>44448</v>
      </c>
      <c r="C1042" s="1" t="n">
        <v>46193</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51964-2025</t>
        </is>
      </c>
      <c r="B1043" s="1" t="n">
        <v>45952</v>
      </c>
      <c r="C1043" s="1" t="n">
        <v>46193</v>
      </c>
      <c r="D1043" t="inlineStr">
        <is>
          <t>JÄMTLANDS LÄN</t>
        </is>
      </c>
      <c r="E1043" t="inlineStr">
        <is>
          <t>BRÄCKE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51965-2025</t>
        </is>
      </c>
      <c r="B1044" s="1" t="n">
        <v>45952</v>
      </c>
      <c r="C1044" s="1" t="n">
        <v>46193</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49721-2024</t>
        </is>
      </c>
      <c r="B1045" s="1" t="n">
        <v>45596</v>
      </c>
      <c r="C1045" s="1" t="n">
        <v>46193</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37394-2025</t>
        </is>
      </c>
      <c r="B1046" s="1" t="n">
        <v>45877</v>
      </c>
      <c r="C1046" s="1" t="n">
        <v>46193</v>
      </c>
      <c r="D1046" t="inlineStr">
        <is>
          <t>JÄMTLANDS LÄN</t>
        </is>
      </c>
      <c r="E1046" t="inlineStr">
        <is>
          <t>BRÄCKE</t>
        </is>
      </c>
      <c r="F1046" t="inlineStr">
        <is>
          <t>SCA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56640-2021</t>
        </is>
      </c>
      <c r="B1047" s="1" t="n">
        <v>44480</v>
      </c>
      <c r="C1047" s="1" t="n">
        <v>46193</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2065-2024</t>
        </is>
      </c>
      <c r="B1048" s="1" t="n">
        <v>45308</v>
      </c>
      <c r="C1048" s="1" t="n">
        <v>46193</v>
      </c>
      <c r="D1048" t="inlineStr">
        <is>
          <t>JÄMTLANDS LÄN</t>
        </is>
      </c>
      <c r="E1048" t="inlineStr">
        <is>
          <t>BRÄCKE</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20895-2026</t>
        </is>
      </c>
      <c r="B1049" s="1" t="n">
        <v>46142</v>
      </c>
      <c r="C1049" s="1" t="n">
        <v>46193</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51574-2025</t>
        </is>
      </c>
      <c r="B1050" s="1" t="n">
        <v>45951</v>
      </c>
      <c r="C1050" s="1" t="n">
        <v>46193</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51839-2025</t>
        </is>
      </c>
      <c r="B1051" s="1" t="n">
        <v>45952</v>
      </c>
      <c r="C1051" s="1" t="n">
        <v>46193</v>
      </c>
      <c r="D1051" t="inlineStr">
        <is>
          <t>JÄMTLANDS LÄN</t>
        </is>
      </c>
      <c r="E1051" t="inlineStr">
        <is>
          <t>BRÄCKE</t>
        </is>
      </c>
      <c r="F1051" t="inlineStr">
        <is>
          <t>SCA</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25734-2025</t>
        </is>
      </c>
      <c r="B1052" s="1" t="n">
        <v>45803</v>
      </c>
      <c r="C1052" s="1" t="n">
        <v>46193</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52342-2025</t>
        </is>
      </c>
      <c r="B1053" s="1" t="n">
        <v>45953</v>
      </c>
      <c r="C1053" s="1" t="n">
        <v>46193</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52343-2025</t>
        </is>
      </c>
      <c r="B1054" s="1" t="n">
        <v>45953</v>
      </c>
      <c r="C1054" s="1" t="n">
        <v>46193</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52345-2025</t>
        </is>
      </c>
      <c r="B1055" s="1" t="n">
        <v>45953</v>
      </c>
      <c r="C1055" s="1" t="n">
        <v>46193</v>
      </c>
      <c r="D1055" t="inlineStr">
        <is>
          <t>JÄMTLANDS LÄN</t>
        </is>
      </c>
      <c r="E1055" t="inlineStr">
        <is>
          <t>BRÄCKE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52346-2025</t>
        </is>
      </c>
      <c r="B1056" s="1" t="n">
        <v>45953</v>
      </c>
      <c r="C1056" s="1" t="n">
        <v>46193</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52468-2025</t>
        </is>
      </c>
      <c r="B1057" s="1" t="n">
        <v>45954</v>
      </c>
      <c r="C1057" s="1" t="n">
        <v>46193</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20844-2026</t>
        </is>
      </c>
      <c r="B1058" s="1" t="n">
        <v>46142</v>
      </c>
      <c r="C1058" s="1" t="n">
        <v>46193</v>
      </c>
      <c r="D1058" t="inlineStr">
        <is>
          <t>JÄMTLANDS LÄN</t>
        </is>
      </c>
      <c r="E1058" t="inlineStr">
        <is>
          <t>BRÄCKE</t>
        </is>
      </c>
      <c r="F1058" t="inlineStr">
        <is>
          <t>SCA</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20862-2026</t>
        </is>
      </c>
      <c r="B1059" s="1" t="n">
        <v>46142</v>
      </c>
      <c r="C1059" s="1" t="n">
        <v>46193</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53724-2024</t>
        </is>
      </c>
      <c r="B1060" s="1" t="n">
        <v>45615</v>
      </c>
      <c r="C1060" s="1" t="n">
        <v>46193</v>
      </c>
      <c r="D1060" t="inlineStr">
        <is>
          <t>JÄMTLANDS LÄN</t>
        </is>
      </c>
      <c r="E1060" t="inlineStr">
        <is>
          <t>BRÄCKE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20875-2026</t>
        </is>
      </c>
      <c r="B1061" s="1" t="n">
        <v>46142</v>
      </c>
      <c r="C1061" s="1" t="n">
        <v>46193</v>
      </c>
      <c r="D1061" t="inlineStr">
        <is>
          <t>JÄMTLANDS LÄN</t>
        </is>
      </c>
      <c r="E1061" t="inlineStr">
        <is>
          <t>BRÄCKE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26379-2025</t>
        </is>
      </c>
      <c r="B1062" s="1" t="n">
        <v>45806</v>
      </c>
      <c r="C1062" s="1" t="n">
        <v>46193</v>
      </c>
      <c r="D1062" t="inlineStr">
        <is>
          <t>JÄMTLANDS LÄN</t>
        </is>
      </c>
      <c r="E1062" t="inlineStr">
        <is>
          <t>BRÄCKE</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52344-2025</t>
        </is>
      </c>
      <c r="B1063" s="1" t="n">
        <v>45953</v>
      </c>
      <c r="C1063" s="1" t="n">
        <v>46193</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51042-2023</t>
        </is>
      </c>
      <c r="B1064" s="1" t="n">
        <v>45218</v>
      </c>
      <c r="C1064" s="1" t="n">
        <v>46193</v>
      </c>
      <c r="D1064" t="inlineStr">
        <is>
          <t>JÄMTLANDS LÄN</t>
        </is>
      </c>
      <c r="E1064" t="inlineStr">
        <is>
          <t>BRÄCKE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26298-2025</t>
        </is>
      </c>
      <c r="B1065" s="1" t="n">
        <v>45805</v>
      </c>
      <c r="C1065" s="1" t="n">
        <v>46193</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18265-2025</t>
        </is>
      </c>
      <c r="B1066" s="1" t="n">
        <v>45762</v>
      </c>
      <c r="C1066" s="1" t="n">
        <v>46193</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4132-2025</t>
        </is>
      </c>
      <c r="B1067" s="1" t="n">
        <v>45685</v>
      </c>
      <c r="C1067" s="1" t="n">
        <v>46193</v>
      </c>
      <c r="D1067" t="inlineStr">
        <is>
          <t>JÄMTLANDS LÄN</t>
        </is>
      </c>
      <c r="E1067" t="inlineStr">
        <is>
          <t>BRÄCKE</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41552-2024</t>
        </is>
      </c>
      <c r="B1068" s="1" t="n">
        <v>45560</v>
      </c>
      <c r="C1068" s="1" t="n">
        <v>46193</v>
      </c>
      <c r="D1068" t="inlineStr">
        <is>
          <t>JÄMTLANDS LÄN</t>
        </is>
      </c>
      <c r="E1068" t="inlineStr">
        <is>
          <t>BRÄCKE</t>
        </is>
      </c>
      <c r="F1068" t="inlineStr">
        <is>
          <t>Övriga Aktiebolag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41936-2023</t>
        </is>
      </c>
      <c r="B1069" s="1" t="n">
        <v>45176</v>
      </c>
      <c r="C1069" s="1" t="n">
        <v>46193</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52476-2025</t>
        </is>
      </c>
      <c r="B1070" s="1" t="n">
        <v>45954</v>
      </c>
      <c r="C1070" s="1" t="n">
        <v>46193</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53168-2025</t>
        </is>
      </c>
      <c r="B1071" s="1" t="n">
        <v>45958</v>
      </c>
      <c r="C1071" s="1" t="n">
        <v>46193</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53197-2025</t>
        </is>
      </c>
      <c r="B1072" s="1" t="n">
        <v>45958</v>
      </c>
      <c r="C1072" s="1" t="n">
        <v>46193</v>
      </c>
      <c r="D1072" t="inlineStr">
        <is>
          <t>JÄMTLANDS LÄN</t>
        </is>
      </c>
      <c r="E1072" t="inlineStr">
        <is>
          <t>BRÄCKE</t>
        </is>
      </c>
      <c r="F1072" t="inlineStr">
        <is>
          <t>SCA</t>
        </is>
      </c>
      <c r="G1072" t="n">
        <v>43.4</v>
      </c>
      <c r="H1072" t="n">
        <v>0</v>
      </c>
      <c r="I1072" t="n">
        <v>0</v>
      </c>
      <c r="J1072" t="n">
        <v>0</v>
      </c>
      <c r="K1072" t="n">
        <v>0</v>
      </c>
      <c r="L1072" t="n">
        <v>0</v>
      </c>
      <c r="M1072" t="n">
        <v>0</v>
      </c>
      <c r="N1072" t="n">
        <v>0</v>
      </c>
      <c r="O1072" t="n">
        <v>0</v>
      </c>
      <c r="P1072" t="n">
        <v>0</v>
      </c>
      <c r="Q1072" t="n">
        <v>0</v>
      </c>
      <c r="R1072" s="2" t="inlineStr"/>
    </row>
    <row r="1073" ht="15" customHeight="1">
      <c r="A1073" t="inlineStr">
        <is>
          <t>A 53169-2025</t>
        </is>
      </c>
      <c r="B1073" s="1" t="n">
        <v>45958</v>
      </c>
      <c r="C1073" s="1" t="n">
        <v>46193</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53210-2025</t>
        </is>
      </c>
      <c r="B1074" s="1" t="n">
        <v>45958</v>
      </c>
      <c r="C1074" s="1" t="n">
        <v>46193</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11548-2023</t>
        </is>
      </c>
      <c r="B1075" s="1" t="n">
        <v>44993</v>
      </c>
      <c r="C1075" s="1" t="n">
        <v>46193</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52991-2025</t>
        </is>
      </c>
      <c r="B1076" s="1" t="n">
        <v>45957</v>
      </c>
      <c r="C1076" s="1" t="n">
        <v>46193</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38302-2024</t>
        </is>
      </c>
      <c r="B1077" s="1" t="n">
        <v>45545</v>
      </c>
      <c r="C1077" s="1" t="n">
        <v>46193</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13019-2023</t>
        </is>
      </c>
      <c r="B1078" s="1" t="n">
        <v>45001</v>
      </c>
      <c r="C1078" s="1" t="n">
        <v>46193</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53352-2025</t>
        </is>
      </c>
      <c r="B1079" s="1" t="n">
        <v>45959</v>
      </c>
      <c r="C1079" s="1" t="n">
        <v>46193</v>
      </c>
      <c r="D1079" t="inlineStr">
        <is>
          <t>JÄMTLANDS LÄN</t>
        </is>
      </c>
      <c r="E1079" t="inlineStr">
        <is>
          <t>BRÄCKE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62674-2021</t>
        </is>
      </c>
      <c r="B1080" s="1" t="n">
        <v>44503</v>
      </c>
      <c r="C1080" s="1" t="n">
        <v>46193</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27278-2026</t>
        </is>
      </c>
      <c r="B1081" s="1" t="n">
        <v>46188</v>
      </c>
      <c r="C1081" s="1" t="n">
        <v>46193</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54010-2025</t>
        </is>
      </c>
      <c r="B1082" s="1" t="n">
        <v>45961</v>
      </c>
      <c r="C1082" s="1" t="n">
        <v>46193</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54011-2025</t>
        </is>
      </c>
      <c r="B1083" s="1" t="n">
        <v>45961</v>
      </c>
      <c r="C1083" s="1" t="n">
        <v>46193</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54160-2025</t>
        </is>
      </c>
      <c r="B1084" s="1" t="n">
        <v>45964</v>
      </c>
      <c r="C1084" s="1" t="n">
        <v>46193</v>
      </c>
      <c r="D1084" t="inlineStr">
        <is>
          <t>JÄMTLANDS LÄN</t>
        </is>
      </c>
      <c r="E1084" t="inlineStr">
        <is>
          <t>BRÄCKE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59245-2024</t>
        </is>
      </c>
      <c r="B1085" s="1" t="n">
        <v>45637</v>
      </c>
      <c r="C1085" s="1" t="n">
        <v>46193</v>
      </c>
      <c r="D1085" t="inlineStr">
        <is>
          <t>JÄMTLANDS LÄN</t>
        </is>
      </c>
      <c r="E1085" t="inlineStr">
        <is>
          <t>BRÄCKE</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53943-2025</t>
        </is>
      </c>
      <c r="B1086" s="1" t="n">
        <v>45961</v>
      </c>
      <c r="C1086" s="1" t="n">
        <v>46193</v>
      </c>
      <c r="D1086" t="inlineStr">
        <is>
          <t>JÄMTLANDS LÄN</t>
        </is>
      </c>
      <c r="E1086" t="inlineStr">
        <is>
          <t>BRÄCKE</t>
        </is>
      </c>
      <c r="F1086" t="inlineStr">
        <is>
          <t>SCA</t>
        </is>
      </c>
      <c r="G1086" t="n">
        <v>14.2</v>
      </c>
      <c r="H1086" t="n">
        <v>0</v>
      </c>
      <c r="I1086" t="n">
        <v>0</v>
      </c>
      <c r="J1086" t="n">
        <v>0</v>
      </c>
      <c r="K1086" t="n">
        <v>0</v>
      </c>
      <c r="L1086" t="n">
        <v>0</v>
      </c>
      <c r="M1086" t="n">
        <v>0</v>
      </c>
      <c r="N1086" t="n">
        <v>0</v>
      </c>
      <c r="O1086" t="n">
        <v>0</v>
      </c>
      <c r="P1086" t="n">
        <v>0</v>
      </c>
      <c r="Q1086" t="n">
        <v>0</v>
      </c>
      <c r="R1086" s="2" t="inlineStr"/>
    </row>
    <row r="1087" ht="15" customHeight="1">
      <c r="A1087" t="inlineStr">
        <is>
          <t>A 24489-2025</t>
        </is>
      </c>
      <c r="B1087" s="1" t="n">
        <v>45798</v>
      </c>
      <c r="C1087" s="1" t="n">
        <v>46193</v>
      </c>
      <c r="D1087" t="inlineStr">
        <is>
          <t>JÄMTLANDS LÄN</t>
        </is>
      </c>
      <c r="E1087" t="inlineStr">
        <is>
          <t>BRÄCKE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58039-2021</t>
        </is>
      </c>
      <c r="B1088" s="1" t="n">
        <v>44487</v>
      </c>
      <c r="C1088" s="1" t="n">
        <v>46193</v>
      </c>
      <c r="D1088" t="inlineStr">
        <is>
          <t>JÄMTLANDS LÄN</t>
        </is>
      </c>
      <c r="E1088" t="inlineStr">
        <is>
          <t>BRÄCKE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54158-2025</t>
        </is>
      </c>
      <c r="B1089" s="1" t="n">
        <v>45964</v>
      </c>
      <c r="C1089" s="1" t="n">
        <v>46193</v>
      </c>
      <c r="D1089" t="inlineStr">
        <is>
          <t>JÄMTLANDS LÄN</t>
        </is>
      </c>
      <c r="E1089" t="inlineStr">
        <is>
          <t>BRÄCKE</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17313-2025</t>
        </is>
      </c>
      <c r="B1090" s="1" t="n">
        <v>45756</v>
      </c>
      <c r="C1090" s="1" t="n">
        <v>46193</v>
      </c>
      <c r="D1090" t="inlineStr">
        <is>
          <t>JÄMTLANDS LÄN</t>
        </is>
      </c>
      <c r="E1090" t="inlineStr">
        <is>
          <t>BRÄCKE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54257-2025</t>
        </is>
      </c>
      <c r="B1091" s="1" t="n">
        <v>45964</v>
      </c>
      <c r="C1091" s="1" t="n">
        <v>46193</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7301-2025</t>
        </is>
      </c>
      <c r="B1092" s="1" t="n">
        <v>45702</v>
      </c>
      <c r="C1092" s="1" t="n">
        <v>46193</v>
      </c>
      <c r="D1092" t="inlineStr">
        <is>
          <t>JÄMTLANDS LÄN</t>
        </is>
      </c>
      <c r="E1092" t="inlineStr">
        <is>
          <t>BRÄCKE</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53829-2025</t>
        </is>
      </c>
      <c r="B1093" s="1" t="n">
        <v>45961</v>
      </c>
      <c r="C1093" s="1" t="n">
        <v>46193</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58498-2022</t>
        </is>
      </c>
      <c r="B1094" s="1" t="n">
        <v>44902</v>
      </c>
      <c r="C1094" s="1" t="n">
        <v>46193</v>
      </c>
      <c r="D1094" t="inlineStr">
        <is>
          <t>JÄMTLANDS LÄN</t>
        </is>
      </c>
      <c r="E1094" t="inlineStr">
        <is>
          <t>BRÄCKE</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54681-2025</t>
        </is>
      </c>
      <c r="B1095" s="1" t="n">
        <v>45966</v>
      </c>
      <c r="C1095" s="1" t="n">
        <v>46193</v>
      </c>
      <c r="D1095" t="inlineStr">
        <is>
          <t>JÄMTLANDS LÄN</t>
        </is>
      </c>
      <c r="E1095" t="inlineStr">
        <is>
          <t>BRÄCKE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54372-2025</t>
        </is>
      </c>
      <c r="B1096" s="1" t="n">
        <v>45965</v>
      </c>
      <c r="C1096" s="1" t="n">
        <v>46193</v>
      </c>
      <c r="D1096" t="inlineStr">
        <is>
          <t>JÄMTLANDS LÄN</t>
        </is>
      </c>
      <c r="E1096" t="inlineStr">
        <is>
          <t>BRÄCKE</t>
        </is>
      </c>
      <c r="F1096" t="inlineStr">
        <is>
          <t>Övriga Aktiebolag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52229-2024</t>
        </is>
      </c>
      <c r="B1097" s="1" t="n">
        <v>45608</v>
      </c>
      <c r="C1097" s="1" t="n">
        <v>46193</v>
      </c>
      <c r="D1097" t="inlineStr">
        <is>
          <t>JÄMTLANDS LÄN</t>
        </is>
      </c>
      <c r="E1097" t="inlineStr">
        <is>
          <t>BRÄCKE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54775-2025</t>
        </is>
      </c>
      <c r="B1098" s="1" t="n">
        <v>45966</v>
      </c>
      <c r="C1098" s="1" t="n">
        <v>46193</v>
      </c>
      <c r="D1098" t="inlineStr">
        <is>
          <t>JÄMTLANDS LÄN</t>
        </is>
      </c>
      <c r="E1098" t="inlineStr">
        <is>
          <t>BRÄCKE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27516-2025</t>
        </is>
      </c>
      <c r="B1099" s="1" t="n">
        <v>45813</v>
      </c>
      <c r="C1099" s="1" t="n">
        <v>46193</v>
      </c>
      <c r="D1099" t="inlineStr">
        <is>
          <t>JÄMTLANDS LÄN</t>
        </is>
      </c>
      <c r="E1099" t="inlineStr">
        <is>
          <t>BRÄCKE</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54793-2025</t>
        </is>
      </c>
      <c r="B1100" s="1" t="n">
        <v>45966</v>
      </c>
      <c r="C1100" s="1" t="n">
        <v>46193</v>
      </c>
      <c r="D1100" t="inlineStr">
        <is>
          <t>JÄMTLANDS LÄN</t>
        </is>
      </c>
      <c r="E1100" t="inlineStr">
        <is>
          <t>BRÄCKE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27511-2025</t>
        </is>
      </c>
      <c r="B1101" s="1" t="n">
        <v>45813</v>
      </c>
      <c r="C1101" s="1" t="n">
        <v>46193</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54422-2025</t>
        </is>
      </c>
      <c r="B1102" s="1" t="n">
        <v>45965</v>
      </c>
      <c r="C1102" s="1" t="n">
        <v>46193</v>
      </c>
      <c r="D1102" t="inlineStr">
        <is>
          <t>JÄMTLANDS LÄN</t>
        </is>
      </c>
      <c r="E1102" t="inlineStr">
        <is>
          <t>BRÄCKE</t>
        </is>
      </c>
      <c r="F1102" t="inlineStr">
        <is>
          <t>Övriga Aktiebolag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52529-2024</t>
        </is>
      </c>
      <c r="B1103" s="1" t="n">
        <v>45609</v>
      </c>
      <c r="C1103" s="1" t="n">
        <v>46193</v>
      </c>
      <c r="D1103" t="inlineStr">
        <is>
          <t>JÄMTLANDS LÄN</t>
        </is>
      </c>
      <c r="E1103" t="inlineStr">
        <is>
          <t>BRÄCKE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3390-2024</t>
        </is>
      </c>
      <c r="B1104" s="1" t="n">
        <v>45317</v>
      </c>
      <c r="C1104" s="1" t="n">
        <v>46193</v>
      </c>
      <c r="D1104" t="inlineStr">
        <is>
          <t>JÄMTLANDS LÄN</t>
        </is>
      </c>
      <c r="E1104" t="inlineStr">
        <is>
          <t>BRÄCKE</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54316-2025</t>
        </is>
      </c>
      <c r="B1105" s="1" t="n">
        <v>45965</v>
      </c>
      <c r="C1105" s="1" t="n">
        <v>46193</v>
      </c>
      <c r="D1105" t="inlineStr">
        <is>
          <t>JÄMTLANDS LÄN</t>
        </is>
      </c>
      <c r="E1105" t="inlineStr">
        <is>
          <t>BRÄCKE</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28198-2025</t>
        </is>
      </c>
      <c r="B1106" s="1" t="n">
        <v>45818</v>
      </c>
      <c r="C1106" s="1" t="n">
        <v>46193</v>
      </c>
      <c r="D1106" t="inlineStr">
        <is>
          <t>JÄMTLANDS LÄN</t>
        </is>
      </c>
      <c r="E1106" t="inlineStr">
        <is>
          <t>BRÄCKE</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55512-2022</t>
        </is>
      </c>
      <c r="B1107" s="1" t="n">
        <v>44887</v>
      </c>
      <c r="C1107" s="1" t="n">
        <v>46193</v>
      </c>
      <c r="D1107" t="inlineStr">
        <is>
          <t>JÄMTLANDS LÄN</t>
        </is>
      </c>
      <c r="E1107" t="inlineStr">
        <is>
          <t>BRÄCKE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54315-2025</t>
        </is>
      </c>
      <c r="B1108" s="1" t="n">
        <v>45965</v>
      </c>
      <c r="C1108" s="1" t="n">
        <v>46193</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54323-2025</t>
        </is>
      </c>
      <c r="B1109" s="1" t="n">
        <v>45965</v>
      </c>
      <c r="C1109" s="1" t="n">
        <v>46193</v>
      </c>
      <c r="D1109" t="inlineStr">
        <is>
          <t>JÄMTLANDS LÄN</t>
        </is>
      </c>
      <c r="E1109" t="inlineStr">
        <is>
          <t>BRÄCKE</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24492-2025</t>
        </is>
      </c>
      <c r="B1110" s="1" t="n">
        <v>45798</v>
      </c>
      <c r="C1110" s="1" t="n">
        <v>46193</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55520-2022</t>
        </is>
      </c>
      <c r="B1111" s="1" t="n">
        <v>44887</v>
      </c>
      <c r="C1111" s="1" t="n">
        <v>46193</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54741-2025</t>
        </is>
      </c>
      <c r="B1112" s="1" t="n">
        <v>45966</v>
      </c>
      <c r="C1112" s="1" t="n">
        <v>46193</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36551-2024</t>
        </is>
      </c>
      <c r="B1113" s="1" t="n">
        <v>45537</v>
      </c>
      <c r="C1113" s="1" t="n">
        <v>46193</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55028-2025</t>
        </is>
      </c>
      <c r="B1114" s="1" t="n">
        <v>45967</v>
      </c>
      <c r="C1114" s="1" t="n">
        <v>46193</v>
      </c>
      <c r="D1114" t="inlineStr">
        <is>
          <t>JÄMTLANDS LÄN</t>
        </is>
      </c>
      <c r="E1114" t="inlineStr">
        <is>
          <t>BRÄCKE</t>
        </is>
      </c>
      <c r="F1114" t="inlineStr">
        <is>
          <t>SCA</t>
        </is>
      </c>
      <c r="G1114" t="n">
        <v>16.4</v>
      </c>
      <c r="H1114" t="n">
        <v>0</v>
      </c>
      <c r="I1114" t="n">
        <v>0</v>
      </c>
      <c r="J1114" t="n">
        <v>0</v>
      </c>
      <c r="K1114" t="n">
        <v>0</v>
      </c>
      <c r="L1114" t="n">
        <v>0</v>
      </c>
      <c r="M1114" t="n">
        <v>0</v>
      </c>
      <c r="N1114" t="n">
        <v>0</v>
      </c>
      <c r="O1114" t="n">
        <v>0</v>
      </c>
      <c r="P1114" t="n">
        <v>0</v>
      </c>
      <c r="Q1114" t="n">
        <v>0</v>
      </c>
      <c r="R1114" s="2" t="inlineStr"/>
    </row>
    <row r="1115" ht="15" customHeight="1">
      <c r="A1115" t="inlineStr">
        <is>
          <t>A 55069-2025</t>
        </is>
      </c>
      <c r="B1115" s="1" t="n">
        <v>45967</v>
      </c>
      <c r="C1115" s="1" t="n">
        <v>46193</v>
      </c>
      <c r="D1115" t="inlineStr">
        <is>
          <t>JÄMTLANDS LÄN</t>
        </is>
      </c>
      <c r="E1115" t="inlineStr">
        <is>
          <t>BRÄCKE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10369-2025</t>
        </is>
      </c>
      <c r="B1116" s="1" t="n">
        <v>45720</v>
      </c>
      <c r="C1116" s="1" t="n">
        <v>46193</v>
      </c>
      <c r="D1116" t="inlineStr">
        <is>
          <t>JÄMTLANDS LÄN</t>
        </is>
      </c>
      <c r="E1116" t="inlineStr">
        <is>
          <t>BRÄCKE</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21151-2026</t>
        </is>
      </c>
      <c r="B1117" s="1" t="n">
        <v>46146</v>
      </c>
      <c r="C1117" s="1" t="n">
        <v>46193</v>
      </c>
      <c r="D1117" t="inlineStr">
        <is>
          <t>JÄMTLANDS LÄN</t>
        </is>
      </c>
      <c r="E1117" t="inlineStr">
        <is>
          <t>BRÄCKE</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28173-2025</t>
        </is>
      </c>
      <c r="B1118" s="1" t="n">
        <v>45818</v>
      </c>
      <c r="C1118" s="1" t="n">
        <v>46193</v>
      </c>
      <c r="D1118" t="inlineStr">
        <is>
          <t>JÄMTLANDS LÄN</t>
        </is>
      </c>
      <c r="E1118" t="inlineStr">
        <is>
          <t>BRÄCKE</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28210-2025</t>
        </is>
      </c>
      <c r="B1119" s="1" t="n">
        <v>45818</v>
      </c>
      <c r="C1119" s="1" t="n">
        <v>46193</v>
      </c>
      <c r="D1119" t="inlineStr">
        <is>
          <t>JÄMTLANDS LÄN</t>
        </is>
      </c>
      <c r="E1119" t="inlineStr">
        <is>
          <t>BRÄCKE</t>
        </is>
      </c>
      <c r="F1119" t="inlineStr">
        <is>
          <t>Övriga Aktiebolag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24490-2025</t>
        </is>
      </c>
      <c r="B1120" s="1" t="n">
        <v>45798</v>
      </c>
      <c r="C1120" s="1" t="n">
        <v>46193</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59419-2023</t>
        </is>
      </c>
      <c r="B1121" s="1" t="n">
        <v>45253</v>
      </c>
      <c r="C1121" s="1" t="n">
        <v>46193</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28675-2025</t>
        </is>
      </c>
      <c r="B1122" s="1" t="n">
        <v>45819</v>
      </c>
      <c r="C1122" s="1" t="n">
        <v>46193</v>
      </c>
      <c r="D1122" t="inlineStr">
        <is>
          <t>JÄMTLANDS LÄN</t>
        </is>
      </c>
      <c r="E1122" t="inlineStr">
        <is>
          <t>BRÄCKE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54888-2025</t>
        </is>
      </c>
      <c r="B1123" s="1" t="n">
        <v>45967</v>
      </c>
      <c r="C1123" s="1" t="n">
        <v>46193</v>
      </c>
      <c r="D1123" t="inlineStr">
        <is>
          <t>JÄMTLANDS LÄN</t>
        </is>
      </c>
      <c r="E1123" t="inlineStr">
        <is>
          <t>BRÄCKE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24432-2024</t>
        </is>
      </c>
      <c r="B1124" s="1" t="n">
        <v>45457</v>
      </c>
      <c r="C1124" s="1" t="n">
        <v>46193</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55382-2025</t>
        </is>
      </c>
      <c r="B1125" s="1" t="n">
        <v>45971</v>
      </c>
      <c r="C1125" s="1" t="n">
        <v>46193</v>
      </c>
      <c r="D1125" t="inlineStr">
        <is>
          <t>JÄMTLANDS LÄN</t>
        </is>
      </c>
      <c r="E1125" t="inlineStr">
        <is>
          <t>BRÄCKE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28656-2025</t>
        </is>
      </c>
      <c r="B1126" s="1" t="n">
        <v>45819</v>
      </c>
      <c r="C1126" s="1" t="n">
        <v>46193</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55654-2025</t>
        </is>
      </c>
      <c r="B1127" s="1" t="n">
        <v>45972</v>
      </c>
      <c r="C1127" s="1" t="n">
        <v>46193</v>
      </c>
      <c r="D1127" t="inlineStr">
        <is>
          <t>JÄMTLANDS LÄN</t>
        </is>
      </c>
      <c r="E1127" t="inlineStr">
        <is>
          <t>BRÄCKE</t>
        </is>
      </c>
      <c r="F1127" t="inlineStr">
        <is>
          <t>SCA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25934-2024</t>
        </is>
      </c>
      <c r="B1128" s="1" t="n">
        <v>45467</v>
      </c>
      <c r="C1128" s="1" t="n">
        <v>46193</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55733-2025</t>
        </is>
      </c>
      <c r="B1129" s="1" t="n">
        <v>45972</v>
      </c>
      <c r="C1129" s="1" t="n">
        <v>46193</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36497-2023</t>
        </is>
      </c>
      <c r="B1130" s="1" t="n">
        <v>45152</v>
      </c>
      <c r="C1130" s="1" t="n">
        <v>46193</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55388-2025</t>
        </is>
      </c>
      <c r="B1131" s="1" t="n">
        <v>45971</v>
      </c>
      <c r="C1131" s="1" t="n">
        <v>46193</v>
      </c>
      <c r="D1131" t="inlineStr">
        <is>
          <t>JÄMTLANDS LÄN</t>
        </is>
      </c>
      <c r="E1131" t="inlineStr">
        <is>
          <t>BRÄCKE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29038-2025</t>
        </is>
      </c>
      <c r="B1132" s="1" t="n">
        <v>45821</v>
      </c>
      <c r="C1132" s="1" t="n">
        <v>46193</v>
      </c>
      <c r="D1132" t="inlineStr">
        <is>
          <t>JÄMTLANDS LÄN</t>
        </is>
      </c>
      <c r="E1132" t="inlineStr">
        <is>
          <t>BRÄCKE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55524-2025</t>
        </is>
      </c>
      <c r="B1133" s="1" t="n">
        <v>45971</v>
      </c>
      <c r="C1133" s="1" t="n">
        <v>46193</v>
      </c>
      <c r="D1133" t="inlineStr">
        <is>
          <t>JÄMTLANDS LÄN</t>
        </is>
      </c>
      <c r="E1133" t="inlineStr">
        <is>
          <t>BRÄCKE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29431-2025</t>
        </is>
      </c>
      <c r="B1134" s="1" t="n">
        <v>45824</v>
      </c>
      <c r="C1134" s="1" t="n">
        <v>46193</v>
      </c>
      <c r="D1134" t="inlineStr">
        <is>
          <t>JÄMTLANDS LÄN</t>
        </is>
      </c>
      <c r="E1134" t="inlineStr">
        <is>
          <t>BRÄCKE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55636-2025</t>
        </is>
      </c>
      <c r="B1135" s="1" t="n">
        <v>45972</v>
      </c>
      <c r="C1135" s="1" t="n">
        <v>46193</v>
      </c>
      <c r="D1135" t="inlineStr">
        <is>
          <t>JÄMTLANDS LÄN</t>
        </is>
      </c>
      <c r="E1135" t="inlineStr">
        <is>
          <t>BRÄCKE</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29909-2025</t>
        </is>
      </c>
      <c r="B1136" s="1" t="n">
        <v>45826</v>
      </c>
      <c r="C1136" s="1" t="n">
        <v>46193</v>
      </c>
      <c r="D1136" t="inlineStr">
        <is>
          <t>JÄMTLANDS LÄN</t>
        </is>
      </c>
      <c r="E1136" t="inlineStr">
        <is>
          <t>BRÄCKE</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29763-2025</t>
        </is>
      </c>
      <c r="B1137" s="1" t="n">
        <v>45825</v>
      </c>
      <c r="C1137" s="1" t="n">
        <v>46193</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55485-2025</t>
        </is>
      </c>
      <c r="B1138" s="1" t="n">
        <v>45971</v>
      </c>
      <c r="C1138" s="1" t="n">
        <v>46193</v>
      </c>
      <c r="D1138" t="inlineStr">
        <is>
          <t>JÄMTLANDS LÄN</t>
        </is>
      </c>
      <c r="E1138" t="inlineStr">
        <is>
          <t>BRÄCKE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55367-2025</t>
        </is>
      </c>
      <c r="B1139" s="1" t="n">
        <v>45971</v>
      </c>
      <c r="C1139" s="1" t="n">
        <v>46193</v>
      </c>
      <c r="D1139" t="inlineStr">
        <is>
          <t>JÄMTLANDS LÄN</t>
        </is>
      </c>
      <c r="E1139" t="inlineStr">
        <is>
          <t>BRÄCKE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26910-2024</t>
        </is>
      </c>
      <c r="B1140" s="1" t="n">
        <v>45470</v>
      </c>
      <c r="C1140" s="1" t="n">
        <v>46193</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51378-2024</t>
        </is>
      </c>
      <c r="B1141" s="1" t="n">
        <v>45604</v>
      </c>
      <c r="C1141" s="1" t="n">
        <v>46193</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8253-2024</t>
        </is>
      </c>
      <c r="B1142" s="1" t="n">
        <v>45350</v>
      </c>
      <c r="C1142" s="1" t="n">
        <v>46193</v>
      </c>
      <c r="D1142" t="inlineStr">
        <is>
          <t>JÄMTLANDS LÄN</t>
        </is>
      </c>
      <c r="E1142" t="inlineStr">
        <is>
          <t>BRÄCKE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23771-2023</t>
        </is>
      </c>
      <c r="B1143" s="1" t="n">
        <v>45077</v>
      </c>
      <c r="C1143" s="1" t="n">
        <v>46193</v>
      </c>
      <c r="D1143" t="inlineStr">
        <is>
          <t>JÄMTLANDS LÄN</t>
        </is>
      </c>
      <c r="E1143" t="inlineStr">
        <is>
          <t>BRÄCKE</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30317-2025</t>
        </is>
      </c>
      <c r="B1144" s="1" t="n">
        <v>45827</v>
      </c>
      <c r="C1144" s="1" t="n">
        <v>46193</v>
      </c>
      <c r="D1144" t="inlineStr">
        <is>
          <t>JÄMTLANDS LÄN</t>
        </is>
      </c>
      <c r="E1144" t="inlineStr">
        <is>
          <t>BRÄCKE</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25413-2024</t>
        </is>
      </c>
      <c r="B1145" s="1" t="n">
        <v>45462</v>
      </c>
      <c r="C1145" s="1" t="n">
        <v>46193</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55880-2025</t>
        </is>
      </c>
      <c r="B1146" s="1" t="n">
        <v>45973</v>
      </c>
      <c r="C1146" s="1" t="n">
        <v>46193</v>
      </c>
      <c r="D1146" t="inlineStr">
        <is>
          <t>JÄMTLANDS LÄN</t>
        </is>
      </c>
      <c r="E1146" t="inlineStr">
        <is>
          <t>BRÄCKE</t>
        </is>
      </c>
      <c r="F1146" t="inlineStr">
        <is>
          <t>SCA</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73106-2021</t>
        </is>
      </c>
      <c r="B1147" s="1" t="n">
        <v>44550</v>
      </c>
      <c r="C1147" s="1" t="n">
        <v>46193</v>
      </c>
      <c r="D1147" t="inlineStr">
        <is>
          <t>JÄMTLANDS LÄN</t>
        </is>
      </c>
      <c r="E1147" t="inlineStr">
        <is>
          <t>BRÄCKE</t>
        </is>
      </c>
      <c r="F1147" t="inlineStr">
        <is>
          <t>Sveaskog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30424-2025</t>
        </is>
      </c>
      <c r="B1148" s="1" t="n">
        <v>45827</v>
      </c>
      <c r="C1148" s="1" t="n">
        <v>46193</v>
      </c>
      <c r="D1148" t="inlineStr">
        <is>
          <t>JÄMTLANDS LÄN</t>
        </is>
      </c>
      <c r="E1148" t="inlineStr">
        <is>
          <t>BRÄCKE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56309-2025</t>
        </is>
      </c>
      <c r="B1149" s="1" t="n">
        <v>45974</v>
      </c>
      <c r="C1149" s="1" t="n">
        <v>46193</v>
      </c>
      <c r="D1149" t="inlineStr">
        <is>
          <t>JÄMTLANDS LÄN</t>
        </is>
      </c>
      <c r="E1149" t="inlineStr">
        <is>
          <t>BRÄCKE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v>
      </c>
      <c r="C1150" s="1" t="n">
        <v>46193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30392-2025</t>
        </is>
      </c>
      <c r="B1151" s="1" t="n">
        <v>45827</v>
      </c>
      <c r="C1151" s="1" t="n">
        <v>46193</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55905-2025</t>
        </is>
      </c>
      <c r="B1152" s="1" t="n">
        <v>45973</v>
      </c>
      <c r="C1152" s="1" t="n">
        <v>46193</v>
      </c>
      <c r="D1152" t="inlineStr">
        <is>
          <t>JÄMTLANDS LÄN</t>
        </is>
      </c>
      <c r="E1152" t="inlineStr">
        <is>
          <t>BRÄCKE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62249-2021</t>
        </is>
      </c>
      <c r="B1153" s="1" t="n">
        <v>44503</v>
      </c>
      <c r="C1153" s="1" t="n">
        <v>46193</v>
      </c>
      <c r="D1153" t="inlineStr">
        <is>
          <t>JÄMTLANDS LÄN</t>
        </is>
      </c>
      <c r="E1153" t="inlineStr">
        <is>
          <t>BRÄCKE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20100-2023</t>
        </is>
      </c>
      <c r="B1154" s="1" t="n">
        <v>45054</v>
      </c>
      <c r="C1154" s="1" t="n">
        <v>46193</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20101-2023</t>
        </is>
      </c>
      <c r="B1155" s="1" t="n">
        <v>45054</v>
      </c>
      <c r="C1155" s="1" t="n">
        <v>46193</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37173-2024</t>
        </is>
      </c>
      <c r="B1156" s="1" t="n">
        <v>45539</v>
      </c>
      <c r="C1156" s="1" t="n">
        <v>46193</v>
      </c>
      <c r="D1156" t="inlineStr">
        <is>
          <t>JÄMTLANDS LÄN</t>
        </is>
      </c>
      <c r="E1156" t="inlineStr">
        <is>
          <t>BRÄCKE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41418-2024</t>
        </is>
      </c>
      <c r="B1157" s="1" t="n">
        <v>45560</v>
      </c>
      <c r="C1157" s="1" t="n">
        <v>46193</v>
      </c>
      <c r="D1157" t="inlineStr">
        <is>
          <t>JÄMTLANDS LÄN</t>
        </is>
      </c>
      <c r="E1157" t="inlineStr">
        <is>
          <t>BRÄCKE</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41419-2024</t>
        </is>
      </c>
      <c r="B1158" s="1" t="n">
        <v>45560</v>
      </c>
      <c r="C1158" s="1" t="n">
        <v>46193</v>
      </c>
      <c r="D1158" t="inlineStr">
        <is>
          <t>JÄMTLANDS LÄN</t>
        </is>
      </c>
      <c r="E1158" t="inlineStr">
        <is>
          <t>BRÄCKE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56431-2025</t>
        </is>
      </c>
      <c r="B1159" s="1" t="n">
        <v>45975</v>
      </c>
      <c r="C1159" s="1" t="n">
        <v>46193</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46193</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30714-2025</t>
        </is>
      </c>
      <c r="B1161" s="1" t="n">
        <v>45831</v>
      </c>
      <c r="C1161" s="1" t="n">
        <v>46193</v>
      </c>
      <c r="D1161" t="inlineStr">
        <is>
          <t>JÄMTLANDS LÄN</t>
        </is>
      </c>
      <c r="E1161" t="inlineStr">
        <is>
          <t>BRÄCKE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56807-2025</t>
        </is>
      </c>
      <c r="B1162" s="1" t="n">
        <v>45978</v>
      </c>
      <c r="C1162" s="1" t="n">
        <v>46193</v>
      </c>
      <c r="D1162" t="inlineStr">
        <is>
          <t>JÄMTLANDS LÄN</t>
        </is>
      </c>
      <c r="E1162" t="inlineStr">
        <is>
          <t>BRÄCKE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14373-2024</t>
        </is>
      </c>
      <c r="B1163" s="1" t="n">
        <v>45393</v>
      </c>
      <c r="C1163" s="1" t="n">
        <v>46193</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31806-2025</t>
        </is>
      </c>
      <c r="B1164" s="1" t="n">
        <v>45834</v>
      </c>
      <c r="C1164" s="1" t="n">
        <v>46193</v>
      </c>
      <c r="D1164" t="inlineStr">
        <is>
          <t>JÄMTLANDS LÄN</t>
        </is>
      </c>
      <c r="E1164" t="inlineStr">
        <is>
          <t>BRÄCKE</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31425-2025</t>
        </is>
      </c>
      <c r="B1165" s="1" t="n">
        <v>45833</v>
      </c>
      <c r="C1165" s="1" t="n">
        <v>46193</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31482-2025</t>
        </is>
      </c>
      <c r="B1166" s="1" t="n">
        <v>45833</v>
      </c>
      <c r="C1166" s="1" t="n">
        <v>46193</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56535-2025</t>
        </is>
      </c>
      <c r="B1167" s="1" t="n">
        <v>45975</v>
      </c>
      <c r="C1167" s="1" t="n">
        <v>46193</v>
      </c>
      <c r="D1167" t="inlineStr">
        <is>
          <t>JÄMTLANDS LÄN</t>
        </is>
      </c>
      <c r="E1167" t="inlineStr">
        <is>
          <t>BRÄCKE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31794-2025</t>
        </is>
      </c>
      <c r="B1168" s="1" t="n">
        <v>45834</v>
      </c>
      <c r="C1168" s="1" t="n">
        <v>46193</v>
      </c>
      <c r="D1168" t="inlineStr">
        <is>
          <t>JÄMTLANDS LÄN</t>
        </is>
      </c>
      <c r="E1168" t="inlineStr">
        <is>
          <t>BRÄCKE</t>
        </is>
      </c>
      <c r="F1168" t="inlineStr">
        <is>
          <t>Övriga Aktiebolag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31819-2025</t>
        </is>
      </c>
      <c r="B1169" s="1" t="n">
        <v>45834</v>
      </c>
      <c r="C1169" s="1" t="n">
        <v>46193</v>
      </c>
      <c r="D1169" t="inlineStr">
        <is>
          <t>JÄMTLANDS LÄN</t>
        </is>
      </c>
      <c r="E1169" t="inlineStr">
        <is>
          <t>BRÄCKE</t>
        </is>
      </c>
      <c r="F1169" t="inlineStr">
        <is>
          <t>Övriga Aktiebolag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31832-2025</t>
        </is>
      </c>
      <c r="B1170" s="1" t="n">
        <v>45834</v>
      </c>
      <c r="C1170" s="1" t="n">
        <v>46193</v>
      </c>
      <c r="D1170" t="inlineStr">
        <is>
          <t>JÄMTLANDS LÄN</t>
        </is>
      </c>
      <c r="E1170" t="inlineStr">
        <is>
          <t>BRÄCKE</t>
        </is>
      </c>
      <c r="F1170" t="inlineStr">
        <is>
          <t>Övriga Aktiebolag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31274-2025</t>
        </is>
      </c>
      <c r="B1171" s="1" t="n">
        <v>45833</v>
      </c>
      <c r="C1171" s="1" t="n">
        <v>46193</v>
      </c>
      <c r="D1171" t="inlineStr">
        <is>
          <t>JÄMTLANDS LÄN</t>
        </is>
      </c>
      <c r="E1171" t="inlineStr">
        <is>
          <t>BRÄCKE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18206-2023</t>
        </is>
      </c>
      <c r="B1172" s="1" t="n">
        <v>45041</v>
      </c>
      <c r="C1172" s="1" t="n">
        <v>46193</v>
      </c>
      <c r="D1172" t="inlineStr">
        <is>
          <t>JÄMTLANDS LÄN</t>
        </is>
      </c>
      <c r="E1172" t="inlineStr">
        <is>
          <t>BRÄCKE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16904-2026</t>
        </is>
      </c>
      <c r="B1173" s="1" t="n">
        <v>46113</v>
      </c>
      <c r="C1173" s="1" t="n">
        <v>46193</v>
      </c>
      <c r="D1173" t="inlineStr">
        <is>
          <t>JÄMTLANDS LÄN</t>
        </is>
      </c>
      <c r="E1173" t="inlineStr">
        <is>
          <t>BRÄCKE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31728-2025</t>
        </is>
      </c>
      <c r="B1174" s="1" t="n">
        <v>45834</v>
      </c>
      <c r="C1174" s="1" t="n">
        <v>46193</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56738-2025</t>
        </is>
      </c>
      <c r="B1175" s="1" t="n">
        <v>45978</v>
      </c>
      <c r="C1175" s="1" t="n">
        <v>46193</v>
      </c>
      <c r="D1175" t="inlineStr">
        <is>
          <t>JÄMTLANDS LÄN</t>
        </is>
      </c>
      <c r="E1175" t="inlineStr">
        <is>
          <t>BRÄCKE</t>
        </is>
      </c>
      <c r="F1175" t="inlineStr">
        <is>
          <t>SCA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56739-2025</t>
        </is>
      </c>
      <c r="B1176" s="1" t="n">
        <v>45978</v>
      </c>
      <c r="C1176" s="1" t="n">
        <v>46193</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57038-2025</t>
        </is>
      </c>
      <c r="B1177" s="1" t="n">
        <v>45979</v>
      </c>
      <c r="C1177" s="1" t="n">
        <v>46193</v>
      </c>
      <c r="D1177" t="inlineStr">
        <is>
          <t>JÄMTLANDS LÄN</t>
        </is>
      </c>
      <c r="E1177" t="inlineStr">
        <is>
          <t>BRÄCKE</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31749-2025</t>
        </is>
      </c>
      <c r="B1178" s="1" t="n">
        <v>45834</v>
      </c>
      <c r="C1178" s="1" t="n">
        <v>46193</v>
      </c>
      <c r="D1178" t="inlineStr">
        <is>
          <t>JÄMTLANDS LÄN</t>
        </is>
      </c>
      <c r="E1178" t="inlineStr">
        <is>
          <t>BRÄCKE</t>
        </is>
      </c>
      <c r="F1178" t="inlineStr">
        <is>
          <t>Övriga Aktiebolag</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31962-2025</t>
        </is>
      </c>
      <c r="B1179" s="1" t="n">
        <v>45835</v>
      </c>
      <c r="C1179" s="1" t="n">
        <v>46193</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57139-2025</t>
        </is>
      </c>
      <c r="B1180" s="1" t="n">
        <v>45979</v>
      </c>
      <c r="C1180" s="1" t="n">
        <v>46193</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50514-2023</t>
        </is>
      </c>
      <c r="B1181" s="1" t="n">
        <v>45216</v>
      </c>
      <c r="C1181" s="1" t="n">
        <v>46193</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48784-2024</t>
        </is>
      </c>
      <c r="B1182" s="1" t="n">
        <v>45593</v>
      </c>
      <c r="C1182" s="1" t="n">
        <v>46193</v>
      </c>
      <c r="D1182" t="inlineStr">
        <is>
          <t>JÄMTLANDS LÄN</t>
        </is>
      </c>
      <c r="E1182" t="inlineStr">
        <is>
          <t>BRÄCKE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32659-2025</t>
        </is>
      </c>
      <c r="B1183" s="1" t="n">
        <v>45838</v>
      </c>
      <c r="C1183" s="1" t="n">
        <v>46193</v>
      </c>
      <c r="D1183" t="inlineStr">
        <is>
          <t>JÄMTLANDS LÄN</t>
        </is>
      </c>
      <c r="E1183" t="inlineStr">
        <is>
          <t>BRÄCKE</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32146-2025</t>
        </is>
      </c>
      <c r="B1184" s="1" t="n">
        <v>45835</v>
      </c>
      <c r="C1184" s="1" t="n">
        <v>46193</v>
      </c>
      <c r="D1184" t="inlineStr">
        <is>
          <t>JÄMTLANDS LÄN</t>
        </is>
      </c>
      <c r="E1184" t="inlineStr">
        <is>
          <t>BRÄCKE</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32596-2025</t>
        </is>
      </c>
      <c r="B1185" s="1" t="n">
        <v>45838</v>
      </c>
      <c r="C1185" s="1" t="n">
        <v>46193</v>
      </c>
      <c r="D1185" t="inlineStr">
        <is>
          <t>JÄMTLANDS LÄN</t>
        </is>
      </c>
      <c r="E1185" t="inlineStr">
        <is>
          <t>BRÄCKE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32272-2025</t>
        </is>
      </c>
      <c r="B1186" s="1" t="n">
        <v>45835</v>
      </c>
      <c r="C1186" s="1" t="n">
        <v>46193</v>
      </c>
      <c r="D1186" t="inlineStr">
        <is>
          <t>JÄMTLANDS LÄN</t>
        </is>
      </c>
      <c r="E1186" t="inlineStr">
        <is>
          <t>BRÄCKE</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57272-2025</t>
        </is>
      </c>
      <c r="B1187" s="1" t="n">
        <v>45979</v>
      </c>
      <c r="C1187" s="1" t="n">
        <v>46193</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57050-2025</t>
        </is>
      </c>
      <c r="B1188" s="1" t="n">
        <v>45979</v>
      </c>
      <c r="C1188" s="1" t="n">
        <v>46193</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57354-2025</t>
        </is>
      </c>
      <c r="B1189" s="1" t="n">
        <v>45980</v>
      </c>
      <c r="C1189" s="1" t="n">
        <v>46193</v>
      </c>
      <c r="D1189" t="inlineStr">
        <is>
          <t>JÄMTLANDS LÄN</t>
        </is>
      </c>
      <c r="E1189" t="inlineStr">
        <is>
          <t>BRÄCKE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53696-2024</t>
        </is>
      </c>
      <c r="B1190" s="1" t="n">
        <v>45615</v>
      </c>
      <c r="C1190" s="1" t="n">
        <v>46193</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57036-2025</t>
        </is>
      </c>
      <c r="B1191" s="1" t="n">
        <v>45979</v>
      </c>
      <c r="C1191" s="1" t="n">
        <v>46193</v>
      </c>
      <c r="D1191" t="inlineStr">
        <is>
          <t>JÄMTLANDS LÄN</t>
        </is>
      </c>
      <c r="E1191" t="inlineStr">
        <is>
          <t>BRÄCKE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57352-2025</t>
        </is>
      </c>
      <c r="B1192" s="1" t="n">
        <v>45980</v>
      </c>
      <c r="C1192" s="1" t="n">
        <v>46193</v>
      </c>
      <c r="D1192" t="inlineStr">
        <is>
          <t>JÄMTLANDS LÄN</t>
        </is>
      </c>
      <c r="E1192" t="inlineStr">
        <is>
          <t>BRÄCKE</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58776-2023</t>
        </is>
      </c>
      <c r="B1193" s="1" t="n">
        <v>45251</v>
      </c>
      <c r="C1193" s="1" t="n">
        <v>46193</v>
      </c>
      <c r="D1193" t="inlineStr">
        <is>
          <t>JÄMTLANDS LÄN</t>
        </is>
      </c>
      <c r="E1193" t="inlineStr">
        <is>
          <t>BRÄCKE</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50515-2023</t>
        </is>
      </c>
      <c r="B1194" s="1" t="n">
        <v>45216</v>
      </c>
      <c r="C1194" s="1" t="n">
        <v>46193</v>
      </c>
      <c r="D1194" t="inlineStr">
        <is>
          <t>JÄMTLANDS LÄN</t>
        </is>
      </c>
      <c r="E1194" t="inlineStr">
        <is>
          <t>BRÄCKE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32281-2025</t>
        </is>
      </c>
      <c r="B1195" s="1" t="n">
        <v>45835</v>
      </c>
      <c r="C1195" s="1" t="n">
        <v>46193</v>
      </c>
      <c r="D1195" t="inlineStr">
        <is>
          <t>JÄMTLANDS LÄN</t>
        </is>
      </c>
      <c r="E1195" t="inlineStr">
        <is>
          <t>BRÄCKE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32851-2025</t>
        </is>
      </c>
      <c r="B1196" s="1" t="n">
        <v>45839</v>
      </c>
      <c r="C1196" s="1" t="n">
        <v>46193</v>
      </c>
      <c r="D1196" t="inlineStr">
        <is>
          <t>JÄMTLANDS LÄN</t>
        </is>
      </c>
      <c r="E1196" t="inlineStr">
        <is>
          <t>BRÄCKE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49185-2024</t>
        </is>
      </c>
      <c r="B1197" s="1" t="n">
        <v>45595</v>
      </c>
      <c r="C1197" s="1" t="n">
        <v>46193</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33275-2025</t>
        </is>
      </c>
      <c r="B1198" s="1" t="n">
        <v>45840</v>
      </c>
      <c r="C1198" s="1" t="n">
        <v>46193</v>
      </c>
      <c r="D1198" t="inlineStr">
        <is>
          <t>JÄMTLANDS LÄN</t>
        </is>
      </c>
      <c r="E1198" t="inlineStr">
        <is>
          <t>BRÄCKE</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21170-2026</t>
        </is>
      </c>
      <c r="B1199" s="1" t="n">
        <v>46146</v>
      </c>
      <c r="C1199" s="1" t="n">
        <v>46193</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50616-2024</t>
        </is>
      </c>
      <c r="B1200" s="1" t="n">
        <v>45601</v>
      </c>
      <c r="C1200" s="1" t="n">
        <v>46193</v>
      </c>
      <c r="D1200" t="inlineStr">
        <is>
          <t>JÄMTLANDS LÄN</t>
        </is>
      </c>
      <c r="E1200" t="inlineStr">
        <is>
          <t>BRÄCKE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50813-2024</t>
        </is>
      </c>
      <c r="B1201" s="1" t="n">
        <v>45602</v>
      </c>
      <c r="C1201" s="1" t="n">
        <v>46193</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33956-2025</t>
        </is>
      </c>
      <c r="B1202" s="1" t="n">
        <v>45842</v>
      </c>
      <c r="C1202" s="1" t="n">
        <v>46193</v>
      </c>
      <c r="D1202" t="inlineStr">
        <is>
          <t>JÄMTLANDS LÄN</t>
        </is>
      </c>
      <c r="E1202" t="inlineStr">
        <is>
          <t>BRÄCKE</t>
        </is>
      </c>
      <c r="F1202" t="inlineStr">
        <is>
          <t>SCA</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33868-2025</t>
        </is>
      </c>
      <c r="B1203" s="1" t="n">
        <v>45842</v>
      </c>
      <c r="C1203" s="1" t="n">
        <v>46193</v>
      </c>
      <c r="D1203" t="inlineStr">
        <is>
          <t>JÄMTLANDS LÄN</t>
        </is>
      </c>
      <c r="E1203" t="inlineStr">
        <is>
          <t>BRÄCKE</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33937-2025</t>
        </is>
      </c>
      <c r="B1204" s="1" t="n">
        <v>45842</v>
      </c>
      <c r="C1204" s="1" t="n">
        <v>46193</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33902-2025</t>
        </is>
      </c>
      <c r="B1205" s="1" t="n">
        <v>45842</v>
      </c>
      <c r="C1205" s="1" t="n">
        <v>46193</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33776-2025</t>
        </is>
      </c>
      <c r="B1206" s="1" t="n">
        <v>45842</v>
      </c>
      <c r="C1206" s="1" t="n">
        <v>46193</v>
      </c>
      <c r="D1206" t="inlineStr">
        <is>
          <t>JÄMTLANDS LÄN</t>
        </is>
      </c>
      <c r="E1206" t="inlineStr">
        <is>
          <t>BRÄCKE</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53046-2023</t>
        </is>
      </c>
      <c r="B1207" s="1" t="n">
        <v>45226</v>
      </c>
      <c r="C1207" s="1" t="n">
        <v>46193</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33796-2025</t>
        </is>
      </c>
      <c r="B1208" s="1" t="n">
        <v>45842</v>
      </c>
      <c r="C1208" s="1" t="n">
        <v>46193</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57948-2025</t>
        </is>
      </c>
      <c r="B1209" s="1" t="n">
        <v>45982</v>
      </c>
      <c r="C1209" s="1" t="n">
        <v>46193</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33873-2025</t>
        </is>
      </c>
      <c r="B1210" s="1" t="n">
        <v>45842</v>
      </c>
      <c r="C1210" s="1" t="n">
        <v>46193</v>
      </c>
      <c r="D1210" t="inlineStr">
        <is>
          <t>JÄMTLANDS LÄN</t>
        </is>
      </c>
      <c r="E1210" t="inlineStr">
        <is>
          <t>BRÄCKE</t>
        </is>
      </c>
      <c r="F1210" t="inlineStr">
        <is>
          <t>Övriga Aktiebolag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34189-2025</t>
        </is>
      </c>
      <c r="B1211" s="1" t="n">
        <v>45845</v>
      </c>
      <c r="C1211" s="1" t="n">
        <v>46193</v>
      </c>
      <c r="D1211" t="inlineStr">
        <is>
          <t>JÄMTLANDS LÄN</t>
        </is>
      </c>
      <c r="E1211" t="inlineStr">
        <is>
          <t>BRÄCKE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34338-2025</t>
        </is>
      </c>
      <c r="B1212" s="1" t="n">
        <v>45846</v>
      </c>
      <c r="C1212" s="1" t="n">
        <v>46193</v>
      </c>
      <c r="D1212" t="inlineStr">
        <is>
          <t>JÄMTLANDS LÄN</t>
        </is>
      </c>
      <c r="E1212" t="inlineStr">
        <is>
          <t>BRÄCKE</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58351-2025</t>
        </is>
      </c>
      <c r="B1213" s="1" t="n">
        <v>45985</v>
      </c>
      <c r="C1213" s="1" t="n">
        <v>46193</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31470-2023</t>
        </is>
      </c>
      <c r="B1214" s="1" t="n">
        <v>45104</v>
      </c>
      <c r="C1214" s="1" t="n">
        <v>46193</v>
      </c>
      <c r="D1214" t="inlineStr">
        <is>
          <t>JÄMTLANDS LÄN</t>
        </is>
      </c>
      <c r="E1214" t="inlineStr">
        <is>
          <t>BRÄCKE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33033-2023</t>
        </is>
      </c>
      <c r="B1215" s="1" t="n">
        <v>45125</v>
      </c>
      <c r="C1215" s="1" t="n">
        <v>46193</v>
      </c>
      <c r="D1215" t="inlineStr">
        <is>
          <t>JÄMTLANDS LÄN</t>
        </is>
      </c>
      <c r="E1215" t="inlineStr">
        <is>
          <t>BRÄCKE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68763-2021</t>
        </is>
      </c>
      <c r="B1216" s="1" t="n">
        <v>44529</v>
      </c>
      <c r="C1216" s="1" t="n">
        <v>46193</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34294-2025</t>
        </is>
      </c>
      <c r="B1217" s="1" t="n">
        <v>45846</v>
      </c>
      <c r="C1217" s="1" t="n">
        <v>46193</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58618-2025</t>
        </is>
      </c>
      <c r="B1218" s="1" t="n">
        <v>45986</v>
      </c>
      <c r="C1218" s="1" t="n">
        <v>46193</v>
      </c>
      <c r="D1218" t="inlineStr">
        <is>
          <t>JÄMTLANDS LÄN</t>
        </is>
      </c>
      <c r="E1218" t="inlineStr">
        <is>
          <t>BRÄCKE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58495-2025</t>
        </is>
      </c>
      <c r="B1219" s="1" t="n">
        <v>45985</v>
      </c>
      <c r="C1219" s="1" t="n">
        <v>46193</v>
      </c>
      <c r="D1219" t="inlineStr">
        <is>
          <t>JÄMTLANDS LÄN</t>
        </is>
      </c>
      <c r="E1219" t="inlineStr">
        <is>
          <t>BRÄCKE</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34322-2025</t>
        </is>
      </c>
      <c r="B1220" s="1" t="n">
        <v>45846</v>
      </c>
      <c r="C1220" s="1" t="n">
        <v>46193</v>
      </c>
      <c r="D1220" t="inlineStr">
        <is>
          <t>JÄMTLANDS LÄN</t>
        </is>
      </c>
      <c r="E1220" t="inlineStr">
        <is>
          <t>BRÄCKE</t>
        </is>
      </c>
      <c r="F1220" t="inlineStr">
        <is>
          <t>SCA</t>
        </is>
      </c>
      <c r="G1220" t="n">
        <v>32.6</v>
      </c>
      <c r="H1220" t="n">
        <v>0</v>
      </c>
      <c r="I1220" t="n">
        <v>0</v>
      </c>
      <c r="J1220" t="n">
        <v>0</v>
      </c>
      <c r="K1220" t="n">
        <v>0</v>
      </c>
      <c r="L1220" t="n">
        <v>0</v>
      </c>
      <c r="M1220" t="n">
        <v>0</v>
      </c>
      <c r="N1220" t="n">
        <v>0</v>
      </c>
      <c r="O1220" t="n">
        <v>0</v>
      </c>
      <c r="P1220" t="n">
        <v>0</v>
      </c>
      <c r="Q1220" t="n">
        <v>0</v>
      </c>
      <c r="R1220" s="2" t="inlineStr"/>
    </row>
    <row r="1221" ht="15" customHeight="1">
      <c r="A1221" t="inlineStr">
        <is>
          <t>A 29003-2024</t>
        </is>
      </c>
      <c r="B1221" s="1" t="n">
        <v>45481</v>
      </c>
      <c r="C1221" s="1" t="n">
        <v>46193</v>
      </c>
      <c r="D1221" t="inlineStr">
        <is>
          <t>JÄMTLANDS LÄN</t>
        </is>
      </c>
      <c r="E1221" t="inlineStr">
        <is>
          <t>BRÄCKE</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48080-2023</t>
        </is>
      </c>
      <c r="B1222" s="1" t="n">
        <v>45204</v>
      </c>
      <c r="C1222" s="1" t="n">
        <v>46193</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58826-2025</t>
        </is>
      </c>
      <c r="B1223" s="1" t="n">
        <v>45987</v>
      </c>
      <c r="C1223" s="1" t="n">
        <v>46193</v>
      </c>
      <c r="D1223" t="inlineStr">
        <is>
          <t>JÄMTLANDS LÄN</t>
        </is>
      </c>
      <c r="E1223" t="inlineStr">
        <is>
          <t>BRÄCKE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58957-2025</t>
        </is>
      </c>
      <c r="B1224" s="1" t="n">
        <v>45987</v>
      </c>
      <c r="C1224" s="1" t="n">
        <v>46193</v>
      </c>
      <c r="D1224" t="inlineStr">
        <is>
          <t>JÄMTLANDS LÄN</t>
        </is>
      </c>
      <c r="E1224" t="inlineStr">
        <is>
          <t>BRÄCKE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34773-2025</t>
        </is>
      </c>
      <c r="B1225" s="1" t="n">
        <v>45848</v>
      </c>
      <c r="C1225" s="1" t="n">
        <v>46193</v>
      </c>
      <c r="D1225" t="inlineStr">
        <is>
          <t>JÄMTLANDS LÄN</t>
        </is>
      </c>
      <c r="E1225" t="inlineStr">
        <is>
          <t>BRÄCKE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34746-2025</t>
        </is>
      </c>
      <c r="B1226" s="1" t="n">
        <v>45848</v>
      </c>
      <c r="C1226" s="1" t="n">
        <v>46193</v>
      </c>
      <c r="D1226" t="inlineStr">
        <is>
          <t>JÄMTLANDS LÄN</t>
        </is>
      </c>
      <c r="E1226" t="inlineStr">
        <is>
          <t>BRÄCKE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34786-2025</t>
        </is>
      </c>
      <c r="B1227" s="1" t="n">
        <v>45848</v>
      </c>
      <c r="C1227" s="1" t="n">
        <v>46193</v>
      </c>
      <c r="D1227" t="inlineStr">
        <is>
          <t>JÄMTLANDS LÄN</t>
        </is>
      </c>
      <c r="E1227" t="inlineStr">
        <is>
          <t>BRÄCKE</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34518-2025</t>
        </is>
      </c>
      <c r="B1228" s="1" t="n">
        <v>45847</v>
      </c>
      <c r="C1228" s="1" t="n">
        <v>46193</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58972-2025</t>
        </is>
      </c>
      <c r="B1229" s="1" t="n">
        <v>45987</v>
      </c>
      <c r="C1229" s="1" t="n">
        <v>46193</v>
      </c>
      <c r="D1229" t="inlineStr">
        <is>
          <t>JÄMTLANDS LÄN</t>
        </is>
      </c>
      <c r="E1229" t="inlineStr">
        <is>
          <t>BRÄCKE</t>
        </is>
      </c>
      <c r="F1229" t="inlineStr">
        <is>
          <t>SCA</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34783-2025</t>
        </is>
      </c>
      <c r="B1230" s="1" t="n">
        <v>45848</v>
      </c>
      <c r="C1230" s="1" t="n">
        <v>46193</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59545-2025</t>
        </is>
      </c>
      <c r="B1231" s="1" t="n">
        <v>45990</v>
      </c>
      <c r="C1231" s="1" t="n">
        <v>46193</v>
      </c>
      <c r="D1231" t="inlineStr">
        <is>
          <t>JÄMTLANDS LÄN</t>
        </is>
      </c>
      <c r="E1231" t="inlineStr">
        <is>
          <t>BRÄCKE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34469-2025</t>
        </is>
      </c>
      <c r="B1232" s="1" t="n">
        <v>45847</v>
      </c>
      <c r="C1232" s="1" t="n">
        <v>46193</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59543-2025</t>
        </is>
      </c>
      <c r="B1233" s="1" t="n">
        <v>45990</v>
      </c>
      <c r="C1233" s="1" t="n">
        <v>46193</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34912-2025</t>
        </is>
      </c>
      <c r="B1234" s="1" t="n">
        <v>45849</v>
      </c>
      <c r="C1234" s="1" t="n">
        <v>46193</v>
      </c>
      <c r="D1234" t="inlineStr">
        <is>
          <t>JÄMTLANDS LÄN</t>
        </is>
      </c>
      <c r="E1234" t="inlineStr">
        <is>
          <t>BRÄCKE</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44694-2023</t>
        </is>
      </c>
      <c r="B1235" s="1" t="n">
        <v>45189</v>
      </c>
      <c r="C1235" s="1" t="n">
        <v>46193</v>
      </c>
      <c r="D1235" t="inlineStr">
        <is>
          <t>JÄMTLANDS LÄN</t>
        </is>
      </c>
      <c r="E1235" t="inlineStr">
        <is>
          <t>BRÄCKE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59323-2025</t>
        </is>
      </c>
      <c r="B1236" s="1" t="n">
        <v>45989</v>
      </c>
      <c r="C1236" s="1" t="n">
        <v>46193</v>
      </c>
      <c r="D1236" t="inlineStr">
        <is>
          <t>JÄMTLANDS LÄN</t>
        </is>
      </c>
      <c r="E1236" t="inlineStr">
        <is>
          <t>BRÄCKE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45807-2024</t>
        </is>
      </c>
      <c r="B1237" s="1" t="n">
        <v>45579</v>
      </c>
      <c r="C1237" s="1" t="n">
        <v>46193</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7756-2025</t>
        </is>
      </c>
      <c r="B1238" s="1" t="n">
        <v>45706</v>
      </c>
      <c r="C1238" s="1" t="n">
        <v>46193</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7757-2025</t>
        </is>
      </c>
      <c r="B1239" s="1" t="n">
        <v>45706</v>
      </c>
      <c r="C1239" s="1" t="n">
        <v>46193</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34828-2025</t>
        </is>
      </c>
      <c r="B1240" s="1" t="n">
        <v>45849</v>
      </c>
      <c r="C1240" s="1" t="n">
        <v>46193</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59547-2025</t>
        </is>
      </c>
      <c r="B1241" s="1" t="n">
        <v>45990</v>
      </c>
      <c r="C1241" s="1" t="n">
        <v>46193</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30287-2024</t>
        </is>
      </c>
      <c r="B1242" s="1" t="n">
        <v>45490</v>
      </c>
      <c r="C1242" s="1" t="n">
        <v>46193</v>
      </c>
      <c r="D1242" t="inlineStr">
        <is>
          <t>JÄMTLANDS LÄN</t>
        </is>
      </c>
      <c r="E1242" t="inlineStr">
        <is>
          <t>BRÄCKE</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26923-2024</t>
        </is>
      </c>
      <c r="B1243" s="1" t="n">
        <v>45470</v>
      </c>
      <c r="C1243" s="1" t="n">
        <v>46193</v>
      </c>
      <c r="D1243" t="inlineStr">
        <is>
          <t>JÄMTLANDS LÄN</t>
        </is>
      </c>
      <c r="E1243" t="inlineStr">
        <is>
          <t>BRÄCKE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35325-2025</t>
        </is>
      </c>
      <c r="B1244" s="1" t="n">
        <v>45854</v>
      </c>
      <c r="C1244" s="1" t="n">
        <v>46193</v>
      </c>
      <c r="D1244" t="inlineStr">
        <is>
          <t>JÄMTLANDS LÄN</t>
        </is>
      </c>
      <c r="E1244" t="inlineStr">
        <is>
          <t>BRÄCKE</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35324-2025</t>
        </is>
      </c>
      <c r="B1245" s="1" t="n">
        <v>45854</v>
      </c>
      <c r="C1245" s="1" t="n">
        <v>46193</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35326-2025</t>
        </is>
      </c>
      <c r="B1246" s="1" t="n">
        <v>45854</v>
      </c>
      <c r="C1246" s="1" t="n">
        <v>46193</v>
      </c>
      <c r="D1246" t="inlineStr">
        <is>
          <t>JÄMTLANDS LÄN</t>
        </is>
      </c>
      <c r="E1246" t="inlineStr">
        <is>
          <t>BRÄCKE</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35327-2025</t>
        </is>
      </c>
      <c r="B1247" s="1" t="n">
        <v>45854</v>
      </c>
      <c r="C1247" s="1" t="n">
        <v>46193</v>
      </c>
      <c r="D1247" t="inlineStr">
        <is>
          <t>JÄMTLANDS LÄN</t>
        </is>
      </c>
      <c r="E1247" t="inlineStr">
        <is>
          <t>BRÄCKE</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59544-2025</t>
        </is>
      </c>
      <c r="B1248" s="1" t="n">
        <v>45990</v>
      </c>
      <c r="C1248" s="1" t="n">
        <v>46193</v>
      </c>
      <c r="D1248" t="inlineStr">
        <is>
          <t>JÄMTLANDS LÄN</t>
        </is>
      </c>
      <c r="E1248" t="inlineStr">
        <is>
          <t>BRÄCKE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35331-2025</t>
        </is>
      </c>
      <c r="B1249" s="1" t="n">
        <v>45854</v>
      </c>
      <c r="C1249" s="1" t="n">
        <v>46193</v>
      </c>
      <c r="D1249" t="inlineStr">
        <is>
          <t>JÄMTLANDS LÄN</t>
        </is>
      </c>
      <c r="E1249" t="inlineStr">
        <is>
          <t>BRÄCKE</t>
        </is>
      </c>
      <c r="F1249" t="inlineStr">
        <is>
          <t>SCA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35445-2025</t>
        </is>
      </c>
      <c r="B1250" s="1" t="n">
        <v>45855</v>
      </c>
      <c r="C1250" s="1" t="n">
        <v>46193</v>
      </c>
      <c r="D1250" t="inlineStr">
        <is>
          <t>JÄMTLANDS LÄN</t>
        </is>
      </c>
      <c r="E1250" t="inlineStr">
        <is>
          <t>BRÄCKE</t>
        </is>
      </c>
      <c r="F1250" t="inlineStr">
        <is>
          <t>SCA</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36549-2024</t>
        </is>
      </c>
      <c r="B1251" s="1" t="n">
        <v>45537</v>
      </c>
      <c r="C1251" s="1" t="n">
        <v>46193</v>
      </c>
      <c r="D1251" t="inlineStr">
        <is>
          <t>JÄMTLANDS LÄN</t>
        </is>
      </c>
      <c r="E1251" t="inlineStr">
        <is>
          <t>BRÄCKE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60053-2025</t>
        </is>
      </c>
      <c r="B1252" s="1" t="n">
        <v>45993</v>
      </c>
      <c r="C1252" s="1" t="n">
        <v>46193</v>
      </c>
      <c r="D1252" t="inlineStr">
        <is>
          <t>JÄMTLANDS LÄN</t>
        </is>
      </c>
      <c r="E1252" t="inlineStr">
        <is>
          <t>BRÄCKE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60321-2025</t>
        </is>
      </c>
      <c r="B1253" s="1" t="n">
        <v>45994</v>
      </c>
      <c r="C1253" s="1" t="n">
        <v>46193</v>
      </c>
      <c r="D1253" t="inlineStr">
        <is>
          <t>JÄMTLANDS LÄN</t>
        </is>
      </c>
      <c r="E1253" t="inlineStr">
        <is>
          <t>BRÄCKE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60221-2025</t>
        </is>
      </c>
      <c r="B1254" s="1" t="n">
        <v>45994</v>
      </c>
      <c r="C1254" s="1" t="n">
        <v>46193</v>
      </c>
      <c r="D1254" t="inlineStr">
        <is>
          <t>JÄMTLANDS LÄN</t>
        </is>
      </c>
      <c r="E1254" t="inlineStr">
        <is>
          <t>BRÄCKE</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35712-2025</t>
        </is>
      </c>
      <c r="B1255" s="1" t="n">
        <v>45860</v>
      </c>
      <c r="C1255" s="1" t="n">
        <v>46193</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13069-2025</t>
        </is>
      </c>
      <c r="B1256" s="1" t="n">
        <v>45734</v>
      </c>
      <c r="C1256" s="1" t="n">
        <v>46193</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35731-2025</t>
        </is>
      </c>
      <c r="B1257" s="1" t="n">
        <v>45860</v>
      </c>
      <c r="C1257" s="1" t="n">
        <v>46193</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35668-2025</t>
        </is>
      </c>
      <c r="B1258" s="1" t="n">
        <v>45859</v>
      </c>
      <c r="C1258" s="1" t="n">
        <v>46193</v>
      </c>
      <c r="D1258" t="inlineStr">
        <is>
          <t>JÄMTLANDS LÄN</t>
        </is>
      </c>
      <c r="E1258" t="inlineStr">
        <is>
          <t>BRÄCKE</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60248-2025</t>
        </is>
      </c>
      <c r="B1259" s="1" t="n">
        <v>45994</v>
      </c>
      <c r="C1259" s="1" t="n">
        <v>46193</v>
      </c>
      <c r="D1259" t="inlineStr">
        <is>
          <t>JÄMTLANDS LÄN</t>
        </is>
      </c>
      <c r="E1259" t="inlineStr">
        <is>
          <t>BRÄCKE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60132-2025</t>
        </is>
      </c>
      <c r="B1260" s="1" t="n">
        <v>45994</v>
      </c>
      <c r="C1260" s="1" t="n">
        <v>46193</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60295-2025</t>
        </is>
      </c>
      <c r="B1261" s="1" t="n">
        <v>45994</v>
      </c>
      <c r="C1261" s="1" t="n">
        <v>46193</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59976-2025</t>
        </is>
      </c>
      <c r="B1262" s="1" t="n">
        <v>45993</v>
      </c>
      <c r="C1262" s="1" t="n">
        <v>46193</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10606-2025</t>
        </is>
      </c>
      <c r="B1263" s="1" t="n">
        <v>45721</v>
      </c>
      <c r="C1263" s="1" t="n">
        <v>46193</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14492-2024</t>
        </is>
      </c>
      <c r="B1264" s="1" t="n">
        <v>45394</v>
      </c>
      <c r="C1264" s="1" t="n">
        <v>46193</v>
      </c>
      <c r="D1264" t="inlineStr">
        <is>
          <t>JÄMTLANDS LÄN</t>
        </is>
      </c>
      <c r="E1264" t="inlineStr">
        <is>
          <t>BRÄCKE</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35906-2025</t>
        </is>
      </c>
      <c r="B1265" s="1" t="n">
        <v>45862</v>
      </c>
      <c r="C1265" s="1" t="n">
        <v>46193</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39122-2024</t>
        </is>
      </c>
      <c r="B1266" s="1" t="n">
        <v>45548</v>
      </c>
      <c r="C1266" s="1" t="n">
        <v>46193</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60377-2025</t>
        </is>
      </c>
      <c r="B1267" s="1" t="n">
        <v>45995</v>
      </c>
      <c r="C1267" s="1" t="n">
        <v>46193</v>
      </c>
      <c r="D1267" t="inlineStr">
        <is>
          <t>JÄMTLANDS LÄN</t>
        </is>
      </c>
      <c r="E1267" t="inlineStr">
        <is>
          <t>BRÄCKE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278-2025</t>
        </is>
      </c>
      <c r="B1268" s="1" t="n">
        <v>45660</v>
      </c>
      <c r="C1268" s="1" t="n">
        <v>46193</v>
      </c>
      <c r="D1268" t="inlineStr">
        <is>
          <t>JÄMTLANDS LÄN</t>
        </is>
      </c>
      <c r="E1268" t="inlineStr">
        <is>
          <t>BRÄCKE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21394-2026</t>
        </is>
      </c>
      <c r="B1269" s="1" t="n">
        <v>46148</v>
      </c>
      <c r="C1269" s="1" t="n">
        <v>46193</v>
      </c>
      <c r="D1269" t="inlineStr">
        <is>
          <t>JÄMTLANDS LÄN</t>
        </is>
      </c>
      <c r="E1269" t="inlineStr">
        <is>
          <t>BRÄCKE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60220-2025</t>
        </is>
      </c>
      <c r="B1270" s="1" t="n">
        <v>45994</v>
      </c>
      <c r="C1270" s="1" t="n">
        <v>46193</v>
      </c>
      <c r="D1270" t="inlineStr">
        <is>
          <t>JÄMTLANDS LÄN</t>
        </is>
      </c>
      <c r="E1270" t="inlineStr">
        <is>
          <t>BRÄCKE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36169-2025</t>
        </is>
      </c>
      <c r="B1271" s="1" t="n">
        <v>45867</v>
      </c>
      <c r="C1271" s="1" t="n">
        <v>46193</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51809-2023</t>
        </is>
      </c>
      <c r="B1272" s="1" t="n">
        <v>45222</v>
      </c>
      <c r="C1272" s="1" t="n">
        <v>46193</v>
      </c>
      <c r="D1272" t="inlineStr">
        <is>
          <t>JÄMTLANDS LÄN</t>
        </is>
      </c>
      <c r="E1272" t="inlineStr">
        <is>
          <t>BRÄCKE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51832-2023</t>
        </is>
      </c>
      <c r="B1273" s="1" t="n">
        <v>45222</v>
      </c>
      <c r="C1273" s="1" t="n">
        <v>46193</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36311-2025</t>
        </is>
      </c>
      <c r="B1274" s="1" t="n">
        <v>45868</v>
      </c>
      <c r="C1274" s="1" t="n">
        <v>46193</v>
      </c>
      <c r="D1274" t="inlineStr">
        <is>
          <t>JÄMTLANDS LÄN</t>
        </is>
      </c>
      <c r="E1274" t="inlineStr">
        <is>
          <t>BRÄCKE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36223-2025</t>
        </is>
      </c>
      <c r="B1275" s="1" t="n">
        <v>45867</v>
      </c>
      <c r="C1275" s="1" t="n">
        <v>46193</v>
      </c>
      <c r="D1275" t="inlineStr">
        <is>
          <t>JÄMTLANDS LÄN</t>
        </is>
      </c>
      <c r="E1275" t="inlineStr">
        <is>
          <t>BRÄCKE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36222-2025</t>
        </is>
      </c>
      <c r="B1276" s="1" t="n">
        <v>45867</v>
      </c>
      <c r="C1276" s="1" t="n">
        <v>46193</v>
      </c>
      <c r="D1276" t="inlineStr">
        <is>
          <t>JÄMTLANDS LÄN</t>
        </is>
      </c>
      <c r="E1276" t="inlineStr">
        <is>
          <t>BRÄCKE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29456-2024</t>
        </is>
      </c>
      <c r="B1277" s="1" t="n">
        <v>45483</v>
      </c>
      <c r="C1277" s="1" t="n">
        <v>46193</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29460-2024</t>
        </is>
      </c>
      <c r="B1278" s="1" t="n">
        <v>45483</v>
      </c>
      <c r="C1278" s="1" t="n">
        <v>46193</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36386-2025</t>
        </is>
      </c>
      <c r="B1279" s="1" t="n">
        <v>45868</v>
      </c>
      <c r="C1279" s="1" t="n">
        <v>46193</v>
      </c>
      <c r="D1279" t="inlineStr">
        <is>
          <t>JÄMTLANDS LÄN</t>
        </is>
      </c>
      <c r="E1279" t="inlineStr">
        <is>
          <t>BRÄCKE</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60762-2025</t>
        </is>
      </c>
      <c r="B1280" s="1" t="n">
        <v>45999</v>
      </c>
      <c r="C1280" s="1" t="n">
        <v>46193</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60769-2025</t>
        </is>
      </c>
      <c r="B1281" s="1" t="n">
        <v>45999</v>
      </c>
      <c r="C1281" s="1" t="n">
        <v>46193</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57605-2024</t>
        </is>
      </c>
      <c r="B1282" s="1" t="n">
        <v>45630</v>
      </c>
      <c r="C1282" s="1" t="n">
        <v>46193</v>
      </c>
      <c r="D1282" t="inlineStr">
        <is>
          <t>JÄMTLANDS LÄN</t>
        </is>
      </c>
      <c r="E1282" t="inlineStr">
        <is>
          <t>BRÄCKE</t>
        </is>
      </c>
      <c r="F1282" t="inlineStr">
        <is>
          <t>SCA</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57623-2024</t>
        </is>
      </c>
      <c r="B1283" s="1" t="n">
        <v>45630</v>
      </c>
      <c r="C1283" s="1" t="n">
        <v>46193</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45005-2023</t>
        </is>
      </c>
      <c r="B1284" s="1" t="n">
        <v>45190</v>
      </c>
      <c r="C1284" s="1" t="n">
        <v>46193</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61587-2025</t>
        </is>
      </c>
      <c r="B1285" s="1" t="n">
        <v>46002</v>
      </c>
      <c r="C1285" s="1" t="n">
        <v>46193</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10130-2022</t>
        </is>
      </c>
      <c r="B1286" s="1" t="n">
        <v>44621</v>
      </c>
      <c r="C1286" s="1" t="n">
        <v>46193</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782-2025</t>
        </is>
      </c>
      <c r="B1287" s="1" t="n">
        <v>45665</v>
      </c>
      <c r="C1287" s="1" t="n">
        <v>46193</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4635-2022</t>
        </is>
      </c>
      <c r="B1288" s="1" t="n">
        <v>44592</v>
      </c>
      <c r="C1288" s="1" t="n">
        <v>46193</v>
      </c>
      <c r="D1288" t="inlineStr">
        <is>
          <t>JÄMTLANDS LÄN</t>
        </is>
      </c>
      <c r="E1288" t="inlineStr">
        <is>
          <t>BRÄCKE</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46193</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25676-2023</t>
        </is>
      </c>
      <c r="B1290" s="1" t="n">
        <v>45089</v>
      </c>
      <c r="C1290" s="1" t="n">
        <v>46193</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48342-2024</t>
        </is>
      </c>
      <c r="B1291" s="1" t="n">
        <v>45590</v>
      </c>
      <c r="C1291" s="1" t="n">
        <v>46193</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45950-2023</t>
        </is>
      </c>
      <c r="B1292" s="1" t="n">
        <v>45195</v>
      </c>
      <c r="C1292" s="1" t="n">
        <v>46193</v>
      </c>
      <c r="D1292" t="inlineStr">
        <is>
          <t>JÄMTLANDS LÄN</t>
        </is>
      </c>
      <c r="E1292" t="inlineStr">
        <is>
          <t>BRÄCKE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21553-2026</t>
        </is>
      </c>
      <c r="B1293" s="1" t="n">
        <v>46148</v>
      </c>
      <c r="C1293" s="1" t="n">
        <v>46193</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21251-2026</t>
        </is>
      </c>
      <c r="B1294" s="1" t="n">
        <v>46147</v>
      </c>
      <c r="C1294" s="1" t="n">
        <v>46193</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62236-2025</t>
        </is>
      </c>
      <c r="B1295" s="1" t="n">
        <v>46006</v>
      </c>
      <c r="C1295" s="1" t="n">
        <v>46193</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61862-2025</t>
        </is>
      </c>
      <c r="B1296" s="1" t="n">
        <v>46003</v>
      </c>
      <c r="C1296" s="1" t="n">
        <v>46193</v>
      </c>
      <c r="D1296" t="inlineStr">
        <is>
          <t>JÄMTLANDS LÄN</t>
        </is>
      </c>
      <c r="E1296" t="inlineStr">
        <is>
          <t>BRÄCKE</t>
        </is>
      </c>
      <c r="F1296" t="inlineStr">
        <is>
          <t>SCA</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61859-2025</t>
        </is>
      </c>
      <c r="B1297" s="1" t="n">
        <v>46003</v>
      </c>
      <c r="C1297" s="1" t="n">
        <v>46193</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62022-2025</t>
        </is>
      </c>
      <c r="B1298" s="1" t="n">
        <v>46003</v>
      </c>
      <c r="C1298" s="1" t="n">
        <v>46193</v>
      </c>
      <c r="D1298" t="inlineStr">
        <is>
          <t>JÄMTLANDS LÄN</t>
        </is>
      </c>
      <c r="E1298" t="inlineStr">
        <is>
          <t>BRÄCKE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62233-2025</t>
        </is>
      </c>
      <c r="B1299" s="1" t="n">
        <v>46006</v>
      </c>
      <c r="C1299" s="1" t="n">
        <v>46193</v>
      </c>
      <c r="D1299" t="inlineStr">
        <is>
          <t>JÄMTLANDS LÄN</t>
        </is>
      </c>
      <c r="E1299" t="inlineStr">
        <is>
          <t>BRÄCKE</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36970-2025</t>
        </is>
      </c>
      <c r="B1300" s="1" t="n">
        <v>45874</v>
      </c>
      <c r="C1300" s="1" t="n">
        <v>46193</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30480-2024</t>
        </is>
      </c>
      <c r="B1301" s="1" t="n">
        <v>45491</v>
      </c>
      <c r="C1301" s="1" t="n">
        <v>46193</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27697-2026</t>
        </is>
      </c>
      <c r="B1302" s="1" t="n">
        <v>46190</v>
      </c>
      <c r="C1302" s="1" t="n">
        <v>46193</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61827-2025</t>
        </is>
      </c>
      <c r="B1303" s="1" t="n">
        <v>46003</v>
      </c>
      <c r="C1303" s="1" t="n">
        <v>46193</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56493-2024</t>
        </is>
      </c>
      <c r="B1304" s="1" t="n">
        <v>45625</v>
      </c>
      <c r="C1304" s="1" t="n">
        <v>46193</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72025-2021</t>
        </is>
      </c>
      <c r="B1305" s="1" t="n">
        <v>44540</v>
      </c>
      <c r="C1305" s="1" t="n">
        <v>46193</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28765-2024</t>
        </is>
      </c>
      <c r="B1306" s="1" t="n">
        <v>45478</v>
      </c>
      <c r="C1306" s="1" t="n">
        <v>46193</v>
      </c>
      <c r="D1306" t="inlineStr">
        <is>
          <t>JÄMTLANDS LÄN</t>
        </is>
      </c>
      <c r="E1306" t="inlineStr">
        <is>
          <t>BRÄCKE</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58086-2024</t>
        </is>
      </c>
      <c r="B1307" s="1" t="n">
        <v>45632</v>
      </c>
      <c r="C1307" s="1" t="n">
        <v>46193</v>
      </c>
      <c r="D1307" t="inlineStr">
        <is>
          <t>JÄMTLANDS LÄN</t>
        </is>
      </c>
      <c r="E1307" t="inlineStr">
        <is>
          <t>BRÄCKE</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45028-2023</t>
        </is>
      </c>
      <c r="B1308" s="1" t="n">
        <v>45190</v>
      </c>
      <c r="C1308" s="1" t="n">
        <v>46193</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62625-2025</t>
        </is>
      </c>
      <c r="B1309" s="1" t="n">
        <v>46008</v>
      </c>
      <c r="C1309" s="1" t="n">
        <v>46193</v>
      </c>
      <c r="D1309" t="inlineStr">
        <is>
          <t>JÄMTLANDS LÄN</t>
        </is>
      </c>
      <c r="E1309" t="inlineStr">
        <is>
          <t>BRÄCKE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62457-2025</t>
        </is>
      </c>
      <c r="B1310" s="1" t="n">
        <v>46007</v>
      </c>
      <c r="C1310" s="1" t="n">
        <v>46193</v>
      </c>
      <c r="D1310" t="inlineStr">
        <is>
          <t>JÄMTLANDS LÄN</t>
        </is>
      </c>
      <c r="E1310" t="inlineStr">
        <is>
          <t>BRÄCKE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62460-2025</t>
        </is>
      </c>
      <c r="B1311" s="1" t="n">
        <v>46007</v>
      </c>
      <c r="C1311" s="1" t="n">
        <v>46193</v>
      </c>
      <c r="D1311" t="inlineStr">
        <is>
          <t>JÄMTLANDS LÄN</t>
        </is>
      </c>
      <c r="E1311" t="inlineStr">
        <is>
          <t>BRÄCKE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62406-2025</t>
        </is>
      </c>
      <c r="B1312" s="1" t="n">
        <v>46007</v>
      </c>
      <c r="C1312" s="1" t="n">
        <v>46193</v>
      </c>
      <c r="D1312" t="inlineStr">
        <is>
          <t>JÄMTLANDS LÄN</t>
        </is>
      </c>
      <c r="E1312" t="inlineStr">
        <is>
          <t>BRÄCKE</t>
        </is>
      </c>
      <c r="F1312" t="inlineStr">
        <is>
          <t>Övriga Aktiebolag</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62445-2025</t>
        </is>
      </c>
      <c r="B1313" s="1" t="n">
        <v>46007</v>
      </c>
      <c r="C1313" s="1" t="n">
        <v>46193</v>
      </c>
      <c r="D1313" t="inlineStr">
        <is>
          <t>JÄMTLANDS LÄN</t>
        </is>
      </c>
      <c r="E1313" t="inlineStr">
        <is>
          <t>BRÄCKE</t>
        </is>
      </c>
      <c r="F1313" t="inlineStr">
        <is>
          <t>Övriga Aktiebolag</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40394-2023</t>
        </is>
      </c>
      <c r="B1314" s="1" t="n">
        <v>45169</v>
      </c>
      <c r="C1314" s="1" t="n">
        <v>46193</v>
      </c>
      <c r="D1314" t="inlineStr">
        <is>
          <t>JÄMTLANDS LÄN</t>
        </is>
      </c>
      <c r="E1314" t="inlineStr">
        <is>
          <t>BRÄCKE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21335-2026</t>
        </is>
      </c>
      <c r="B1315" s="1" t="n">
        <v>46147</v>
      </c>
      <c r="C1315" s="1" t="n">
        <v>46193</v>
      </c>
      <c r="D1315" t="inlineStr">
        <is>
          <t>JÄMTLANDS LÄN</t>
        </is>
      </c>
      <c r="E1315" t="inlineStr">
        <is>
          <t>BRÄCKE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62499-2025</t>
        </is>
      </c>
      <c r="B1316" s="1" t="n">
        <v>46007</v>
      </c>
      <c r="C1316" s="1" t="n">
        <v>46193</v>
      </c>
      <c r="D1316" t="inlineStr">
        <is>
          <t>JÄMTLANDS LÄN</t>
        </is>
      </c>
      <c r="E1316" t="inlineStr">
        <is>
          <t>BRÄCKE</t>
        </is>
      </c>
      <c r="F1316" t="inlineStr">
        <is>
          <t>Övriga Aktiebolag</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37116-2025</t>
        </is>
      </c>
      <c r="B1317" s="1" t="n">
        <v>45875</v>
      </c>
      <c r="C1317" s="1" t="n">
        <v>46193</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39004-2023</t>
        </is>
      </c>
      <c r="B1318" s="1" t="n">
        <v>45162</v>
      </c>
      <c r="C1318" s="1" t="n">
        <v>46193</v>
      </c>
      <c r="D1318" t="inlineStr">
        <is>
          <t>JÄMTLANDS LÄN</t>
        </is>
      </c>
      <c r="E1318" t="inlineStr">
        <is>
          <t>BRÄCKE</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62466-2025</t>
        </is>
      </c>
      <c r="B1319" s="1" t="n">
        <v>46007</v>
      </c>
      <c r="C1319" s="1" t="n">
        <v>46193</v>
      </c>
      <c r="D1319" t="inlineStr">
        <is>
          <t>JÄMTLANDS LÄN</t>
        </is>
      </c>
      <c r="E1319" t="inlineStr">
        <is>
          <t>BRÄCKE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37241-2025</t>
        </is>
      </c>
      <c r="B1320" s="1" t="n">
        <v>45876</v>
      </c>
      <c r="C1320" s="1" t="n">
        <v>46193</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62464-2025</t>
        </is>
      </c>
      <c r="B1321" s="1" t="n">
        <v>46007</v>
      </c>
      <c r="C1321" s="1" t="n">
        <v>46193</v>
      </c>
      <c r="D1321" t="inlineStr">
        <is>
          <t>JÄMTLANDS LÄN</t>
        </is>
      </c>
      <c r="E1321" t="inlineStr">
        <is>
          <t>BRÄCKE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62389-2025</t>
        </is>
      </c>
      <c r="B1322" s="1" t="n">
        <v>46007</v>
      </c>
      <c r="C1322" s="1" t="n">
        <v>46193</v>
      </c>
      <c r="D1322" t="inlineStr">
        <is>
          <t>JÄMTLANDS LÄN</t>
        </is>
      </c>
      <c r="E1322" t="inlineStr">
        <is>
          <t>BRÄCKE</t>
        </is>
      </c>
      <c r="F1322" t="inlineStr">
        <is>
          <t>Övriga Aktiebolag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37117-2025</t>
        </is>
      </c>
      <c r="B1323" s="1" t="n">
        <v>45875</v>
      </c>
      <c r="C1323" s="1" t="n">
        <v>46193</v>
      </c>
      <c r="D1323" t="inlineStr">
        <is>
          <t>JÄMTLANDS LÄN</t>
        </is>
      </c>
      <c r="E1323" t="inlineStr">
        <is>
          <t>BRÄCKE</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37185-2025</t>
        </is>
      </c>
      <c r="B1324" s="1" t="n">
        <v>45875</v>
      </c>
      <c r="C1324" s="1" t="n">
        <v>46193</v>
      </c>
      <c r="D1324" t="inlineStr">
        <is>
          <t>JÄMTLANDS LÄN</t>
        </is>
      </c>
      <c r="E1324" t="inlineStr">
        <is>
          <t>BRÄCKE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21320-2026</t>
        </is>
      </c>
      <c r="B1325" s="1" t="n">
        <v>46147</v>
      </c>
      <c r="C1325" s="1" t="n">
        <v>46193</v>
      </c>
      <c r="D1325" t="inlineStr">
        <is>
          <t>JÄMTLANDS LÄN</t>
        </is>
      </c>
      <c r="E1325" t="inlineStr">
        <is>
          <t>BRÄCKE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37093-2025</t>
        </is>
      </c>
      <c r="B1326" s="1" t="n">
        <v>45875</v>
      </c>
      <c r="C1326" s="1" t="n">
        <v>46193</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50520-2024</t>
        </is>
      </c>
      <c r="B1327" s="1" t="n">
        <v>45601</v>
      </c>
      <c r="C1327" s="1" t="n">
        <v>46193</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37412-2025</t>
        </is>
      </c>
      <c r="B1328" s="1" t="n">
        <v>45877</v>
      </c>
      <c r="C1328" s="1" t="n">
        <v>46193</v>
      </c>
      <c r="D1328" t="inlineStr">
        <is>
          <t>JÄMTLANDS LÄN</t>
        </is>
      </c>
      <c r="E1328" t="inlineStr">
        <is>
          <t>BRÄCKE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37411-2025</t>
        </is>
      </c>
      <c r="B1329" s="1" t="n">
        <v>45877</v>
      </c>
      <c r="C1329" s="1" t="n">
        <v>46193</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49307-2024</t>
        </is>
      </c>
      <c r="B1330" s="1" t="n">
        <v>45595</v>
      </c>
      <c r="C1330" s="1" t="n">
        <v>46193</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37709-2025</t>
        </is>
      </c>
      <c r="B1331" s="1" t="n">
        <v>45880</v>
      </c>
      <c r="C1331" s="1" t="n">
        <v>46193</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37377-2025</t>
        </is>
      </c>
      <c r="B1332" s="1" t="n">
        <v>45877</v>
      </c>
      <c r="C1332" s="1" t="n">
        <v>46193</v>
      </c>
      <c r="D1332" t="inlineStr">
        <is>
          <t>JÄMTLANDS LÄN</t>
        </is>
      </c>
      <c r="E1332" t="inlineStr">
        <is>
          <t>BRÄCKE</t>
        </is>
      </c>
      <c r="F1332" t="inlineStr">
        <is>
          <t>SCA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1504-2025</t>
        </is>
      </c>
      <c r="B1333" s="1" t="n">
        <v>45670</v>
      </c>
      <c r="C1333" s="1" t="n">
        <v>46193</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63089-2025</t>
        </is>
      </c>
      <c r="B1334" s="1" t="n">
        <v>46009</v>
      </c>
      <c r="C1334" s="1" t="n">
        <v>46193</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62943-2025</t>
        </is>
      </c>
      <c r="B1335" s="1" t="n">
        <v>46009</v>
      </c>
      <c r="C1335" s="1" t="n">
        <v>46193</v>
      </c>
      <c r="D1335" t="inlineStr">
        <is>
          <t>JÄMTLANDS LÄN</t>
        </is>
      </c>
      <c r="E1335" t="inlineStr">
        <is>
          <t>BRÄCKE</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37585-2025</t>
        </is>
      </c>
      <c r="B1336" s="1" t="n">
        <v>45880</v>
      </c>
      <c r="C1336" s="1" t="n">
        <v>46193</v>
      </c>
      <c r="D1336" t="inlineStr">
        <is>
          <t>JÄMTLANDS LÄN</t>
        </is>
      </c>
      <c r="E1336" t="inlineStr">
        <is>
          <t>BRÄCKE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2498-2025</t>
        </is>
      </c>
      <c r="B1337" s="1" t="n">
        <v>45674</v>
      </c>
      <c r="C1337" s="1" t="n">
        <v>46193</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2511-2025</t>
        </is>
      </c>
      <c r="B1338" s="1" t="n">
        <v>45674</v>
      </c>
      <c r="C1338" s="1" t="n">
        <v>46193</v>
      </c>
      <c r="D1338" t="inlineStr">
        <is>
          <t>JÄMTLANDS LÄN</t>
        </is>
      </c>
      <c r="E1338" t="inlineStr">
        <is>
          <t>BRÄCKE</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38025-2025</t>
        </is>
      </c>
      <c r="B1339" s="1" t="n">
        <v>45882</v>
      </c>
      <c r="C1339" s="1" t="n">
        <v>46193</v>
      </c>
      <c r="D1339" t="inlineStr">
        <is>
          <t>JÄMTLANDS LÄN</t>
        </is>
      </c>
      <c r="E1339" t="inlineStr">
        <is>
          <t>BRÄCKE</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53608-2024</t>
        </is>
      </c>
      <c r="B1340" s="1" t="n">
        <v>45614</v>
      </c>
      <c r="C1340" s="1" t="n">
        <v>46193</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20625-2023</t>
        </is>
      </c>
      <c r="B1341" s="1" t="n">
        <v>45057</v>
      </c>
      <c r="C1341" s="1" t="n">
        <v>46193</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11310-2025</t>
        </is>
      </c>
      <c r="B1342" s="1" t="n">
        <v>45726</v>
      </c>
      <c r="C1342" s="1" t="n">
        <v>46193</v>
      </c>
      <c r="D1342" t="inlineStr">
        <is>
          <t>JÄMTLANDS LÄN</t>
        </is>
      </c>
      <c r="E1342" t="inlineStr">
        <is>
          <t>BRÄCKE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38095-2025</t>
        </is>
      </c>
      <c r="B1343" s="1" t="n">
        <v>45882</v>
      </c>
      <c r="C1343" s="1" t="n">
        <v>46193</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1201-2022</t>
        </is>
      </c>
      <c r="B1344" s="1" t="n">
        <v>44572</v>
      </c>
      <c r="C1344" s="1" t="n">
        <v>46193</v>
      </c>
      <c r="D1344" t="inlineStr">
        <is>
          <t>JÄMTLANDS LÄN</t>
        </is>
      </c>
      <c r="E1344" t="inlineStr">
        <is>
          <t>BRÄCKE</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3865-2025</t>
        </is>
      </c>
      <c r="B1345" s="1" t="n">
        <v>45684</v>
      </c>
      <c r="C1345" s="1" t="n">
        <v>46193</v>
      </c>
      <c r="D1345" t="inlineStr">
        <is>
          <t>JÄMTLANDS LÄN</t>
        </is>
      </c>
      <c r="E1345" t="inlineStr">
        <is>
          <t>BRÄCKE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11313-2022</t>
        </is>
      </c>
      <c r="B1346" s="1" t="n">
        <v>44629</v>
      </c>
      <c r="C1346" s="1" t="n">
        <v>46193</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5340-2025</t>
        </is>
      </c>
      <c r="B1347" s="1" t="n">
        <v>45692</v>
      </c>
      <c r="C1347" s="1" t="n">
        <v>46193</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20014-2022</t>
        </is>
      </c>
      <c r="B1348" s="1" t="n">
        <v>44697</v>
      </c>
      <c r="C1348" s="1" t="n">
        <v>46193</v>
      </c>
      <c r="D1348" t="inlineStr">
        <is>
          <t>JÄMTLANDS LÄN</t>
        </is>
      </c>
      <c r="E1348" t="inlineStr">
        <is>
          <t>BRÄCKE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27703-2026</t>
        </is>
      </c>
      <c r="B1349" s="1" t="n">
        <v>46190</v>
      </c>
      <c r="C1349" s="1" t="n">
        <v>46193</v>
      </c>
      <c r="D1349" t="inlineStr">
        <is>
          <t>JÄMTLANDS LÄN</t>
        </is>
      </c>
      <c r="E1349" t="inlineStr">
        <is>
          <t>BRÄCKE</t>
        </is>
      </c>
      <c r="F1349" t="inlineStr">
        <is>
          <t>SCA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58854-2025</t>
        </is>
      </c>
      <c r="B1350" s="1" t="n">
        <v>45987</v>
      </c>
      <c r="C1350" s="1" t="n">
        <v>46193</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63651-2025</t>
        </is>
      </c>
      <c r="B1351" s="1" t="n">
        <v>46014</v>
      </c>
      <c r="C1351" s="1" t="n">
        <v>46193</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60052-2025</t>
        </is>
      </c>
      <c r="B1352" s="1" t="n">
        <v>45993</v>
      </c>
      <c r="C1352" s="1" t="n">
        <v>46193</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11127-2026</t>
        </is>
      </c>
      <c r="B1353" s="1" t="n">
        <v>46079</v>
      </c>
      <c r="C1353" s="1" t="n">
        <v>46193</v>
      </c>
      <c r="D1353" t="inlineStr">
        <is>
          <t>JÄMTLANDS LÄN</t>
        </is>
      </c>
      <c r="E1353" t="inlineStr">
        <is>
          <t>BRÄCKE</t>
        </is>
      </c>
      <c r="F1353" t="inlineStr">
        <is>
          <t>Kyrkan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51777-2025</t>
        </is>
      </c>
      <c r="B1354" s="1" t="n">
        <v>45951</v>
      </c>
      <c r="C1354" s="1" t="n">
        <v>46193</v>
      </c>
      <c r="D1354" t="inlineStr">
        <is>
          <t>JÄMTLANDS LÄN</t>
        </is>
      </c>
      <c r="E1354" t="inlineStr">
        <is>
          <t>BRÄCKE</t>
        </is>
      </c>
      <c r="F1354" t="inlineStr">
        <is>
          <t>SCA</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11309-2025</t>
        </is>
      </c>
      <c r="B1355" s="1" t="n">
        <v>45726</v>
      </c>
      <c r="C1355" s="1" t="n">
        <v>46193</v>
      </c>
      <c r="D1355" t="inlineStr">
        <is>
          <t>JÄMTLANDS LÄN</t>
        </is>
      </c>
      <c r="E1355" t="inlineStr">
        <is>
          <t>BRÄCKE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30478-2022</t>
        </is>
      </c>
      <c r="B1356" s="1" t="n">
        <v>44761</v>
      </c>
      <c r="C1356" s="1" t="n">
        <v>46193</v>
      </c>
      <c r="D1356" t="inlineStr">
        <is>
          <t>JÄMTLANDS LÄN</t>
        </is>
      </c>
      <c r="E1356" t="inlineStr">
        <is>
          <t>BRÄCKE</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30480-2022</t>
        </is>
      </c>
      <c r="B1357" s="1" t="n">
        <v>44761</v>
      </c>
      <c r="C1357" s="1" t="n">
        <v>46193</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58744-2025</t>
        </is>
      </c>
      <c r="B1358" s="1" t="n">
        <v>45986</v>
      </c>
      <c r="C1358" s="1" t="n">
        <v>46193</v>
      </c>
      <c r="D1358" t="inlineStr">
        <is>
          <t>JÄMTLANDS LÄN</t>
        </is>
      </c>
      <c r="E1358" t="inlineStr">
        <is>
          <t>BRÄCKE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49666-2025</t>
        </is>
      </c>
      <c r="B1359" s="1" t="n">
        <v>45939</v>
      </c>
      <c r="C1359" s="1" t="n">
        <v>46193</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58762-2025</t>
        </is>
      </c>
      <c r="B1360" s="1" t="n">
        <v>45986</v>
      </c>
      <c r="C1360" s="1" t="n">
        <v>46193</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55149-2025</t>
        </is>
      </c>
      <c r="B1361" s="1" t="n">
        <v>45968</v>
      </c>
      <c r="C1361" s="1" t="n">
        <v>46193</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55138-2025</t>
        </is>
      </c>
      <c r="B1362" s="1" t="n">
        <v>45968</v>
      </c>
      <c r="C1362" s="1" t="n">
        <v>46193</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21236-2026</t>
        </is>
      </c>
      <c r="B1363" s="1" t="n">
        <v>46147</v>
      </c>
      <c r="C1363" s="1" t="n">
        <v>46193</v>
      </c>
      <c r="D1363" t="inlineStr">
        <is>
          <t>JÄMTLANDS LÄN</t>
        </is>
      </c>
      <c r="E1363" t="inlineStr">
        <is>
          <t>BRÄCKE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27702-2026</t>
        </is>
      </c>
      <c r="B1364" s="1" t="n">
        <v>46190</v>
      </c>
      <c r="C1364" s="1" t="n">
        <v>46193</v>
      </c>
      <c r="D1364" t="inlineStr">
        <is>
          <t>JÄMTLANDS LÄN</t>
        </is>
      </c>
      <c r="E1364" t="inlineStr">
        <is>
          <t>BRÄCKE</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63809-2025</t>
        </is>
      </c>
      <c r="B1365" s="1" t="n">
        <v>46020</v>
      </c>
      <c r="C1365" s="1" t="n">
        <v>46193</v>
      </c>
      <c r="D1365" t="inlineStr">
        <is>
          <t>JÄMTLANDS LÄN</t>
        </is>
      </c>
      <c r="E1365" t="inlineStr">
        <is>
          <t>BRÄCKE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54447-2023</t>
        </is>
      </c>
      <c r="B1366" s="1" t="n">
        <v>45233</v>
      </c>
      <c r="C1366" s="1" t="n">
        <v>46193</v>
      </c>
      <c r="D1366" t="inlineStr">
        <is>
          <t>JÄMTLANDS LÄN</t>
        </is>
      </c>
      <c r="E1366" t="inlineStr">
        <is>
          <t>BRÄCKE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13165-2025</t>
        </is>
      </c>
      <c r="B1367" s="1" t="n">
        <v>45735</v>
      </c>
      <c r="C1367" s="1" t="n">
        <v>46193</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63820-2025</t>
        </is>
      </c>
      <c r="B1368" s="1" t="n">
        <v>46020</v>
      </c>
      <c r="C1368" s="1" t="n">
        <v>46193</v>
      </c>
      <c r="D1368" t="inlineStr">
        <is>
          <t>JÄMTLANDS LÄN</t>
        </is>
      </c>
      <c r="E1368" t="inlineStr">
        <is>
          <t>BRÄCKE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63822-2025</t>
        </is>
      </c>
      <c r="B1369" s="1" t="n">
        <v>46020</v>
      </c>
      <c r="C1369" s="1" t="n">
        <v>46193</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21794-2026</t>
        </is>
      </c>
      <c r="B1370" s="1" t="n">
        <v>46150</v>
      </c>
      <c r="C1370" s="1" t="n">
        <v>46193</v>
      </c>
      <c r="D1370" t="inlineStr">
        <is>
          <t>JÄMTLANDS LÄN</t>
        </is>
      </c>
      <c r="E1370" t="inlineStr">
        <is>
          <t>BRÄCKE</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63803-2025</t>
        </is>
      </c>
      <c r="B1371" s="1" t="n">
        <v>46019</v>
      </c>
      <c r="C1371" s="1" t="n">
        <v>46193</v>
      </c>
      <c r="D1371" t="inlineStr">
        <is>
          <t>JÄMTLANDS LÄN</t>
        </is>
      </c>
      <c r="E1371" t="inlineStr">
        <is>
          <t>BRÄCKE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63821-2025</t>
        </is>
      </c>
      <c r="B1372" s="1" t="n">
        <v>46020</v>
      </c>
      <c r="C1372" s="1" t="n">
        <v>46193</v>
      </c>
      <c r="D1372" t="inlineStr">
        <is>
          <t>JÄMTLANDS LÄN</t>
        </is>
      </c>
      <c r="E1372" t="inlineStr">
        <is>
          <t>BRÄCKE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27781-2026</t>
        </is>
      </c>
      <c r="B1373" s="1" t="n">
        <v>46191</v>
      </c>
      <c r="C1373" s="1" t="n">
        <v>46193</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59846-2024</t>
        </is>
      </c>
      <c r="B1374" s="1" t="n">
        <v>45639</v>
      </c>
      <c r="C1374" s="1" t="n">
        <v>46193</v>
      </c>
      <c r="D1374" t="inlineStr">
        <is>
          <t>JÄMTLANDS LÄN</t>
        </is>
      </c>
      <c r="E1374" t="inlineStr">
        <is>
          <t>BRÄCKE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19485-2023</t>
        </is>
      </c>
      <c r="B1375" s="1" t="n">
        <v>45049</v>
      </c>
      <c r="C1375" s="1" t="n">
        <v>46193</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13249-2025</t>
        </is>
      </c>
      <c r="B1376" s="1" t="n">
        <v>45735</v>
      </c>
      <c r="C1376" s="1" t="n">
        <v>46193</v>
      </c>
      <c r="D1376" t="inlineStr">
        <is>
          <t>JÄMTLANDS LÄN</t>
        </is>
      </c>
      <c r="E1376" t="inlineStr">
        <is>
          <t>BRÄCKE</t>
        </is>
      </c>
      <c r="F1376" t="inlineStr">
        <is>
          <t>SCA</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5167-2025</t>
        </is>
      </c>
      <c r="B1377" s="1" t="n">
        <v>45691</v>
      </c>
      <c r="C1377" s="1" t="n">
        <v>46193</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16317-2025</t>
        </is>
      </c>
      <c r="B1378" s="1" t="n">
        <v>45751</v>
      </c>
      <c r="C1378" s="1" t="n">
        <v>46193</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27856-2026</t>
        </is>
      </c>
      <c r="B1379" s="1" t="n">
        <v>46191</v>
      </c>
      <c r="C1379" s="1" t="n">
        <v>46193</v>
      </c>
      <c r="D1379" t="inlineStr">
        <is>
          <t>JÄMTLANDS LÄN</t>
        </is>
      </c>
      <c r="E1379" t="inlineStr">
        <is>
          <t>BRÄCKE</t>
        </is>
      </c>
      <c r="F1379" t="inlineStr">
        <is>
          <t>SCA</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21589-2026</t>
        </is>
      </c>
      <c r="B1380" s="1" t="n">
        <v>46149</v>
      </c>
      <c r="C1380" s="1" t="n">
        <v>46193</v>
      </c>
      <c r="D1380" t="inlineStr">
        <is>
          <t>JÄMTLANDS LÄN</t>
        </is>
      </c>
      <c r="E1380" t="inlineStr">
        <is>
          <t>BRÄCKE</t>
        </is>
      </c>
      <c r="F1380" t="inlineStr">
        <is>
          <t>SCA</t>
        </is>
      </c>
      <c r="G1380" t="n">
        <v>19.3</v>
      </c>
      <c r="H1380" t="n">
        <v>0</v>
      </c>
      <c r="I1380" t="n">
        <v>0</v>
      </c>
      <c r="J1380" t="n">
        <v>0</v>
      </c>
      <c r="K1380" t="n">
        <v>0</v>
      </c>
      <c r="L1380" t="n">
        <v>0</v>
      </c>
      <c r="M1380" t="n">
        <v>0</v>
      </c>
      <c r="N1380" t="n">
        <v>0</v>
      </c>
      <c r="O1380" t="n">
        <v>0</v>
      </c>
      <c r="P1380" t="n">
        <v>0</v>
      </c>
      <c r="Q1380" t="n">
        <v>0</v>
      </c>
      <c r="R1380" s="2" t="inlineStr"/>
    </row>
    <row r="1381" ht="15" customHeight="1">
      <c r="A1381" t="inlineStr">
        <is>
          <t>A 27943-2026</t>
        </is>
      </c>
      <c r="B1381" s="1" t="n">
        <v>46192</v>
      </c>
      <c r="C1381" s="1" t="n">
        <v>46193</v>
      </c>
      <c r="D1381" t="inlineStr">
        <is>
          <t>JÄMTLANDS LÄN</t>
        </is>
      </c>
      <c r="E1381" t="inlineStr">
        <is>
          <t>BRÄCKE</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27944-2026</t>
        </is>
      </c>
      <c r="B1382" s="1" t="n">
        <v>46192</v>
      </c>
      <c r="C1382" s="1" t="n">
        <v>46193</v>
      </c>
      <c r="D1382" t="inlineStr">
        <is>
          <t>JÄMTLANDS LÄN</t>
        </is>
      </c>
      <c r="E1382" t="inlineStr">
        <is>
          <t>BRÄCKE</t>
        </is>
      </c>
      <c r="F1382" t="inlineStr">
        <is>
          <t>SCA</t>
        </is>
      </c>
      <c r="G1382" t="n">
        <v>27.5</v>
      </c>
      <c r="H1382" t="n">
        <v>0</v>
      </c>
      <c r="I1382" t="n">
        <v>0</v>
      </c>
      <c r="J1382" t="n">
        <v>0</v>
      </c>
      <c r="K1382" t="n">
        <v>0</v>
      </c>
      <c r="L1382" t="n">
        <v>0</v>
      </c>
      <c r="M1382" t="n">
        <v>0</v>
      </c>
      <c r="N1382" t="n">
        <v>0</v>
      </c>
      <c r="O1382" t="n">
        <v>0</v>
      </c>
      <c r="P1382" t="n">
        <v>0</v>
      </c>
      <c r="Q1382" t="n">
        <v>0</v>
      </c>
      <c r="R1382" s="2" t="inlineStr"/>
    </row>
    <row r="1383" ht="15" customHeight="1">
      <c r="A1383" t="inlineStr">
        <is>
          <t>A 51432-2023</t>
        </is>
      </c>
      <c r="B1383" s="1" t="n">
        <v>45219</v>
      </c>
      <c r="C1383" s="1" t="n">
        <v>46193</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16462-2024</t>
        </is>
      </c>
      <c r="B1384" s="1" t="n">
        <v>45408</v>
      </c>
      <c r="C1384" s="1" t="n">
        <v>46193</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276-2026</t>
        </is>
      </c>
      <c r="B1385" s="1" t="n">
        <v>46027</v>
      </c>
      <c r="C1385" s="1" t="n">
        <v>46193</v>
      </c>
      <c r="D1385" t="inlineStr">
        <is>
          <t>JÄMTLANDS LÄN</t>
        </is>
      </c>
      <c r="E1385" t="inlineStr">
        <is>
          <t>BRÄCKE</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17182-2024</t>
        </is>
      </c>
      <c r="B1386" s="1" t="n">
        <v>45412</v>
      </c>
      <c r="C1386" s="1" t="n">
        <v>46193</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277-2026</t>
        </is>
      </c>
      <c r="B1387" s="1" t="n">
        <v>46027</v>
      </c>
      <c r="C1387" s="1" t="n">
        <v>46193</v>
      </c>
      <c r="D1387" t="inlineStr">
        <is>
          <t>JÄMTLANDS LÄN</t>
        </is>
      </c>
      <c r="E1387" t="inlineStr">
        <is>
          <t>BRÄCKE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25883-2022</t>
        </is>
      </c>
      <c r="B1388" s="1" t="n">
        <v>44733</v>
      </c>
      <c r="C1388" s="1" t="n">
        <v>46193</v>
      </c>
      <c r="D1388" t="inlineStr">
        <is>
          <t>JÄMTLANDS LÄN</t>
        </is>
      </c>
      <c r="E1388" t="inlineStr">
        <is>
          <t>BRÄCKE</t>
        </is>
      </c>
      <c r="F1388" t="inlineStr">
        <is>
          <t>Övriga Aktiebolag</t>
        </is>
      </c>
      <c r="G1388" t="n">
        <v>23.4</v>
      </c>
      <c r="H1388" t="n">
        <v>0</v>
      </c>
      <c r="I1388" t="n">
        <v>0</v>
      </c>
      <c r="J1388" t="n">
        <v>0</v>
      </c>
      <c r="K1388" t="n">
        <v>0</v>
      </c>
      <c r="L1388" t="n">
        <v>0</v>
      </c>
      <c r="M1388" t="n">
        <v>0</v>
      </c>
      <c r="N1388" t="n">
        <v>0</v>
      </c>
      <c r="O1388" t="n">
        <v>0</v>
      </c>
      <c r="P1388" t="n">
        <v>0</v>
      </c>
      <c r="Q1388" t="n">
        <v>0</v>
      </c>
      <c r="R1388" s="2" t="inlineStr"/>
    </row>
    <row r="1389" ht="15" customHeight="1">
      <c r="A1389" t="inlineStr">
        <is>
          <t>A 27825-2026</t>
        </is>
      </c>
      <c r="B1389" s="1" t="n">
        <v>46191</v>
      </c>
      <c r="C1389" s="1" t="n">
        <v>46193</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24726-2022</t>
        </is>
      </c>
      <c r="B1390" s="1" t="n">
        <v>44727</v>
      </c>
      <c r="C1390" s="1" t="n">
        <v>46193</v>
      </c>
      <c r="D1390" t="inlineStr">
        <is>
          <t>JÄMTLANDS LÄN</t>
        </is>
      </c>
      <c r="E1390" t="inlineStr">
        <is>
          <t>BRÄCKE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30685-2024</t>
        </is>
      </c>
      <c r="B1391" s="1" t="n">
        <v>45495</v>
      </c>
      <c r="C1391" s="1" t="n">
        <v>46193</v>
      </c>
      <c r="D1391" t="inlineStr">
        <is>
          <t>JÄMTLANDS LÄN</t>
        </is>
      </c>
      <c r="E1391" t="inlineStr">
        <is>
          <t>BRÄCKE</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10476-2022</t>
        </is>
      </c>
      <c r="B1392" s="1" t="n">
        <v>44623</v>
      </c>
      <c r="C1392" s="1" t="n">
        <v>46193</v>
      </c>
      <c r="D1392" t="inlineStr">
        <is>
          <t>JÄMTLANDS LÄN</t>
        </is>
      </c>
      <c r="E1392" t="inlineStr">
        <is>
          <t>BRÄCKE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1080-2026</t>
        </is>
      </c>
      <c r="B1393" s="1" t="n">
        <v>46029</v>
      </c>
      <c r="C1393" s="1" t="n">
        <v>46193</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10542-2022</t>
        </is>
      </c>
      <c r="B1394" s="1" t="n">
        <v>44623</v>
      </c>
      <c r="C1394" s="1" t="n">
        <v>46193</v>
      </c>
      <c r="D1394" t="inlineStr">
        <is>
          <t>JÄMTLANDS LÄN</t>
        </is>
      </c>
      <c r="E1394" t="inlineStr">
        <is>
          <t>BRÄCKE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998-2026</t>
        </is>
      </c>
      <c r="B1395" s="1" t="n">
        <v>46030</v>
      </c>
      <c r="C1395" s="1" t="n">
        <v>46193</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58461-2023</t>
        </is>
      </c>
      <c r="B1396" s="1" t="n">
        <v>45250</v>
      </c>
      <c r="C1396" s="1" t="n">
        <v>46193</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17601-2025</t>
        </is>
      </c>
      <c r="B1397" s="1" t="n">
        <v>45757</v>
      </c>
      <c r="C1397" s="1" t="n">
        <v>46193</v>
      </c>
      <c r="D1397" t="inlineStr">
        <is>
          <t>JÄMTLANDS LÄN</t>
        </is>
      </c>
      <c r="E1397" t="inlineStr">
        <is>
          <t>BRÄCKE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46193</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1226-2026</t>
        </is>
      </c>
      <c r="B1399" s="1" t="n">
        <v>46031</v>
      </c>
      <c r="C1399" s="1" t="n">
        <v>46193</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25895-2023</t>
        </is>
      </c>
      <c r="B1400" s="1" t="n">
        <v>45085</v>
      </c>
      <c r="C1400" s="1" t="n">
        <v>46193</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21686-2026</t>
        </is>
      </c>
      <c r="B1401" s="1" t="n">
        <v>46149</v>
      </c>
      <c r="C1401" s="1" t="n">
        <v>46193</v>
      </c>
      <c r="D1401" t="inlineStr">
        <is>
          <t>JÄMTLANDS LÄN</t>
        </is>
      </c>
      <c r="E1401" t="inlineStr">
        <is>
          <t>BRÄCKE</t>
        </is>
      </c>
      <c r="F1401" t="inlineStr">
        <is>
          <t>SCA</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19996-2024</t>
        </is>
      </c>
      <c r="B1402" s="1" t="n">
        <v>45433</v>
      </c>
      <c r="C1402" s="1" t="n">
        <v>46193</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1227-2026</t>
        </is>
      </c>
      <c r="B1403" s="1" t="n">
        <v>46031</v>
      </c>
      <c r="C1403" s="1" t="n">
        <v>46193</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27911-2026</t>
        </is>
      </c>
      <c r="B1404" s="1" t="n">
        <v>46191</v>
      </c>
      <c r="C1404" s="1" t="n">
        <v>46193</v>
      </c>
      <c r="D1404" t="inlineStr">
        <is>
          <t>JÄMTLANDS LÄN</t>
        </is>
      </c>
      <c r="E1404" t="inlineStr">
        <is>
          <t>BRÄCKE</t>
        </is>
      </c>
      <c r="F1404" t="inlineStr">
        <is>
          <t>SCA</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9467-2025</t>
        </is>
      </c>
      <c r="B1405" s="1" t="n">
        <v>45715</v>
      </c>
      <c r="C1405" s="1" t="n">
        <v>46193</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1878-2026</t>
        </is>
      </c>
      <c r="B1406" s="1" t="n">
        <v>46035</v>
      </c>
      <c r="C1406" s="1" t="n">
        <v>46193</v>
      </c>
      <c r="D1406" t="inlineStr">
        <is>
          <t>JÄMTLANDS LÄN</t>
        </is>
      </c>
      <c r="E1406" t="inlineStr">
        <is>
          <t>BRÄCKE</t>
        </is>
      </c>
      <c r="F1406" t="inlineStr">
        <is>
          <t>SCA</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1941-2026</t>
        </is>
      </c>
      <c r="B1407" s="1" t="n">
        <v>46035</v>
      </c>
      <c r="C1407" s="1" t="n">
        <v>46193</v>
      </c>
      <c r="D1407" t="inlineStr">
        <is>
          <t>JÄMTLANDS LÄN</t>
        </is>
      </c>
      <c r="E1407" t="inlineStr">
        <is>
          <t>BRÄCKE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1998-2026</t>
        </is>
      </c>
      <c r="B1408" s="1" t="n">
        <v>46035</v>
      </c>
      <c r="C1408" s="1" t="n">
        <v>46193</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4857-2025</t>
        </is>
      </c>
      <c r="B1409" s="1" t="n">
        <v>45688</v>
      </c>
      <c r="C1409" s="1" t="n">
        <v>46193</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9386-2025</t>
        </is>
      </c>
      <c r="B1410" s="1" t="n">
        <v>45715</v>
      </c>
      <c r="C1410" s="1" t="n">
        <v>46193</v>
      </c>
      <c r="D1410" t="inlineStr">
        <is>
          <t>JÄMTLANDS LÄN</t>
        </is>
      </c>
      <c r="E1410" t="inlineStr">
        <is>
          <t>BRÄCKE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31517-2024</t>
        </is>
      </c>
      <c r="B1411" s="1" t="n">
        <v>45505</v>
      </c>
      <c r="C1411" s="1" t="n">
        <v>46193</v>
      </c>
      <c r="D1411" t="inlineStr">
        <is>
          <t>JÄMTLANDS LÄN</t>
        </is>
      </c>
      <c r="E1411" t="inlineStr">
        <is>
          <t>BRÄCKE</t>
        </is>
      </c>
      <c r="F1411" t="inlineStr">
        <is>
          <t>SCA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57414-2023</t>
        </is>
      </c>
      <c r="B1412" s="1" t="n">
        <v>45245</v>
      </c>
      <c r="C1412" s="1" t="n">
        <v>46193</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1942-2026</t>
        </is>
      </c>
      <c r="B1413" s="1" t="n">
        <v>46035</v>
      </c>
      <c r="C1413" s="1" t="n">
        <v>46193</v>
      </c>
      <c r="D1413" t="inlineStr">
        <is>
          <t>JÄMTLANDS LÄN</t>
        </is>
      </c>
      <c r="E1413" t="inlineStr">
        <is>
          <t>BRÄCKE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51827-2023</t>
        </is>
      </c>
      <c r="B1414" s="1" t="n">
        <v>45222</v>
      </c>
      <c r="C1414" s="1" t="n">
        <v>46193</v>
      </c>
      <c r="D1414" t="inlineStr">
        <is>
          <t>JÄMTLANDS LÄN</t>
        </is>
      </c>
      <c r="E1414" t="inlineStr">
        <is>
          <t>BRÄCKE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41831-2024</t>
        </is>
      </c>
      <c r="B1415" s="1" t="n">
        <v>45561</v>
      </c>
      <c r="C1415" s="1" t="n">
        <v>46193</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59416-2023</t>
        </is>
      </c>
      <c r="B1416" s="1" t="n">
        <v>45253</v>
      </c>
      <c r="C1416" s="1" t="n">
        <v>46193</v>
      </c>
      <c r="D1416" t="inlineStr">
        <is>
          <t>JÄMTLANDS LÄN</t>
        </is>
      </c>
      <c r="E1416" t="inlineStr">
        <is>
          <t>BRÄCKE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48770-2023</t>
        </is>
      </c>
      <c r="B1417" s="1" t="n">
        <v>45208</v>
      </c>
      <c r="C1417" s="1" t="n">
        <v>46193</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33172-2023</t>
        </is>
      </c>
      <c r="B1418" s="1" t="n">
        <v>45126</v>
      </c>
      <c r="C1418" s="1" t="n">
        <v>46193</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32229-2023</t>
        </is>
      </c>
      <c r="B1419" s="1" t="n">
        <v>45119</v>
      </c>
      <c r="C1419" s="1" t="n">
        <v>46193</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21618-2026</t>
        </is>
      </c>
      <c r="B1420" s="1" t="n">
        <v>46149</v>
      </c>
      <c r="C1420" s="1" t="n">
        <v>46193</v>
      </c>
      <c r="D1420" t="inlineStr">
        <is>
          <t>JÄMTLANDS LÄN</t>
        </is>
      </c>
      <c r="E1420" t="inlineStr">
        <is>
          <t>BRÄCKE</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1672-2025</t>
        </is>
      </c>
      <c r="B1421" s="1" t="n">
        <v>45670</v>
      </c>
      <c r="C1421" s="1" t="n">
        <v>46193</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41923-2023</t>
        </is>
      </c>
      <c r="B1422" s="1" t="n">
        <v>45176</v>
      </c>
      <c r="C1422" s="1" t="n">
        <v>46193</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58467-2023</t>
        </is>
      </c>
      <c r="B1423" s="1" t="n">
        <v>45250</v>
      </c>
      <c r="C1423" s="1" t="n">
        <v>46193</v>
      </c>
      <c r="D1423" t="inlineStr">
        <is>
          <t>JÄMTLANDS LÄN</t>
        </is>
      </c>
      <c r="E1423" t="inlineStr">
        <is>
          <t>BRÄCKE</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35972-2023</t>
        </is>
      </c>
      <c r="B1424" s="1" t="n">
        <v>45148</v>
      </c>
      <c r="C1424" s="1" t="n">
        <v>46193</v>
      </c>
      <c r="D1424" t="inlineStr">
        <is>
          <t>JÄMTLANDS LÄN</t>
        </is>
      </c>
      <c r="E1424" t="inlineStr">
        <is>
          <t>BRÄCKE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30487-2024</t>
        </is>
      </c>
      <c r="B1425" s="1" t="n">
        <v>45491</v>
      </c>
      <c r="C1425" s="1" t="n">
        <v>46193</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2684-2026</t>
        </is>
      </c>
      <c r="B1426" s="1" t="n">
        <v>46037</v>
      </c>
      <c r="C1426" s="1" t="n">
        <v>46193</v>
      </c>
      <c r="D1426" t="inlineStr">
        <is>
          <t>JÄMTLANDS LÄN</t>
        </is>
      </c>
      <c r="E1426" t="inlineStr">
        <is>
          <t>BRÄCKE</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8386-2025</t>
        </is>
      </c>
      <c r="B1427" s="1" t="n">
        <v>45709</v>
      </c>
      <c r="C1427" s="1" t="n">
        <v>46193</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18965-2025</t>
        </is>
      </c>
      <c r="B1428" s="1" t="n">
        <v>45764</v>
      </c>
      <c r="C1428" s="1" t="n">
        <v>46193</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35766-2023</t>
        </is>
      </c>
      <c r="B1429" s="1" t="n">
        <v>45147</v>
      </c>
      <c r="C1429" s="1" t="n">
        <v>46193</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56499-2023</t>
        </is>
      </c>
      <c r="B1430" s="1" t="n">
        <v>45237</v>
      </c>
      <c r="C1430" s="1" t="n">
        <v>46193</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56525-2023</t>
        </is>
      </c>
      <c r="B1431" s="1" t="n">
        <v>45243</v>
      </c>
      <c r="C1431" s="1" t="n">
        <v>46193</v>
      </c>
      <c r="D1431" t="inlineStr">
        <is>
          <t>JÄMTLANDS LÄN</t>
        </is>
      </c>
      <c r="E1431" t="inlineStr">
        <is>
          <t>BRÄCKE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28738-2022</t>
        </is>
      </c>
      <c r="B1432" s="1" t="n">
        <v>44748</v>
      </c>
      <c r="C1432" s="1" t="n">
        <v>46193</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46798-2023</t>
        </is>
      </c>
      <c r="B1433" s="1" t="n">
        <v>45198</v>
      </c>
      <c r="C1433" s="1" t="n">
        <v>46193</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52127-2023</t>
        </is>
      </c>
      <c r="B1434" s="1" t="n">
        <v>45223</v>
      </c>
      <c r="C1434" s="1" t="n">
        <v>46193</v>
      </c>
      <c r="D1434" t="inlineStr">
        <is>
          <t>JÄMTLANDS LÄN</t>
        </is>
      </c>
      <c r="E1434" t="inlineStr">
        <is>
          <t>BRÄCKE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54789-2023</t>
        </is>
      </c>
      <c r="B1435" s="1" t="n">
        <v>45236</v>
      </c>
      <c r="C1435" s="1" t="n">
        <v>46193</v>
      </c>
      <c r="D1435" t="inlineStr">
        <is>
          <t>JÄMTLANDS LÄN</t>
        </is>
      </c>
      <c r="E1435" t="inlineStr">
        <is>
          <t>BRÄCKE</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24531-2022</t>
        </is>
      </c>
      <c r="B1436" s="1" t="n">
        <v>44726</v>
      </c>
      <c r="C1436" s="1" t="n">
        <v>46193</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4122-2025</t>
        </is>
      </c>
      <c r="B1437" s="1" t="n">
        <v>45685</v>
      </c>
      <c r="C1437" s="1" t="n">
        <v>46193</v>
      </c>
      <c r="D1437" t="inlineStr">
        <is>
          <t>JÄMTLANDS LÄN</t>
        </is>
      </c>
      <c r="E1437" t="inlineStr">
        <is>
          <t>BRÄCKE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3190-2026</t>
        </is>
      </c>
      <c r="B1438" s="1" t="n">
        <v>46041</v>
      </c>
      <c r="C1438" s="1" t="n">
        <v>46193</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7943-2025</t>
        </is>
      </c>
      <c r="B1439" s="1" t="n">
        <v>45707</v>
      </c>
      <c r="C1439" s="1" t="n">
        <v>46193</v>
      </c>
      <c r="D1439" t="inlineStr">
        <is>
          <t>JÄMTLANDS LÄN</t>
        </is>
      </c>
      <c r="E1439" t="inlineStr">
        <is>
          <t>BRÄCKE</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4126-2026</t>
        </is>
      </c>
      <c r="B1440" s="1" t="n">
        <v>46044</v>
      </c>
      <c r="C1440" s="1" t="n">
        <v>46193</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4144-2026</t>
        </is>
      </c>
      <c r="B1441" s="1" t="n">
        <v>46044</v>
      </c>
      <c r="C1441" s="1" t="n">
        <v>46193</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4098-2026</t>
        </is>
      </c>
      <c r="B1442" s="1" t="n">
        <v>46044</v>
      </c>
      <c r="C1442" s="1" t="n">
        <v>46193</v>
      </c>
      <c r="D1442" t="inlineStr">
        <is>
          <t>JÄMTLANDS LÄN</t>
        </is>
      </c>
      <c r="E1442" t="inlineStr">
        <is>
          <t>BRÄCKE</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24718-2022</t>
        </is>
      </c>
      <c r="B1443" s="1" t="n">
        <v>44727</v>
      </c>
      <c r="C1443" s="1" t="n">
        <v>46193</v>
      </c>
      <c r="D1443" t="inlineStr">
        <is>
          <t>JÄMTLANDS LÄN</t>
        </is>
      </c>
      <c r="E1443" t="inlineStr">
        <is>
          <t>BRÄCKE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4100-2026</t>
        </is>
      </c>
      <c r="B1444" s="1" t="n">
        <v>46044</v>
      </c>
      <c r="C1444" s="1" t="n">
        <v>46193</v>
      </c>
      <c r="D1444" t="inlineStr">
        <is>
          <t>JÄMTLANDS LÄN</t>
        </is>
      </c>
      <c r="E1444" t="inlineStr">
        <is>
          <t>BRÄCKE</t>
        </is>
      </c>
      <c r="F1444" t="inlineStr">
        <is>
          <t>SCA</t>
        </is>
      </c>
      <c r="G1444" t="n">
        <v>20.5</v>
      </c>
      <c r="H1444" t="n">
        <v>0</v>
      </c>
      <c r="I1444" t="n">
        <v>0</v>
      </c>
      <c r="J1444" t="n">
        <v>0</v>
      </c>
      <c r="K1444" t="n">
        <v>0</v>
      </c>
      <c r="L1444" t="n">
        <v>0</v>
      </c>
      <c r="M1444" t="n">
        <v>0</v>
      </c>
      <c r="N1444" t="n">
        <v>0</v>
      </c>
      <c r="O1444" t="n">
        <v>0</v>
      </c>
      <c r="P1444" t="n">
        <v>0</v>
      </c>
      <c r="Q1444" t="n">
        <v>0</v>
      </c>
      <c r="R1444" s="2" t="inlineStr"/>
    </row>
    <row r="1445" ht="15" customHeight="1">
      <c r="A1445" t="inlineStr">
        <is>
          <t>A 58503-2022</t>
        </is>
      </c>
      <c r="B1445" s="1" t="n">
        <v>44902</v>
      </c>
      <c r="C1445" s="1" t="n">
        <v>46193</v>
      </c>
      <c r="D1445" t="inlineStr">
        <is>
          <t>JÄMTLANDS LÄN</t>
        </is>
      </c>
      <c r="E1445" t="inlineStr">
        <is>
          <t>BRÄCKE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4087-2026</t>
        </is>
      </c>
      <c r="B1446" s="1" t="n">
        <v>46044</v>
      </c>
      <c r="C1446" s="1" t="n">
        <v>46193</v>
      </c>
      <c r="D1446" t="inlineStr">
        <is>
          <t>JÄMTLANDS LÄN</t>
        </is>
      </c>
      <c r="E1446" t="inlineStr">
        <is>
          <t>BRÄCKE</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4124-2026</t>
        </is>
      </c>
      <c r="B1447" s="1" t="n">
        <v>46044</v>
      </c>
      <c r="C1447" s="1" t="n">
        <v>46193</v>
      </c>
      <c r="D1447" t="inlineStr">
        <is>
          <t>JÄMTLANDS LÄN</t>
        </is>
      </c>
      <c r="E1447" t="inlineStr">
        <is>
          <t>BRÄCKE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4123-2026</t>
        </is>
      </c>
      <c r="B1448" s="1" t="n">
        <v>46044</v>
      </c>
      <c r="C1448" s="1" t="n">
        <v>46193</v>
      </c>
      <c r="D1448" t="inlineStr">
        <is>
          <t>JÄMTLANDS LÄN</t>
        </is>
      </c>
      <c r="E1448" t="inlineStr">
        <is>
          <t>BRÄCKE</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4122-2026</t>
        </is>
      </c>
      <c r="B1449" s="1" t="n">
        <v>46044</v>
      </c>
      <c r="C1449" s="1" t="n">
        <v>46193</v>
      </c>
      <c r="D1449" t="inlineStr">
        <is>
          <t>JÄMTLANDS LÄN</t>
        </is>
      </c>
      <c r="E1449" t="inlineStr">
        <is>
          <t>BRÄCKE</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50223-2023</t>
        </is>
      </c>
      <c r="B1450" s="1" t="n">
        <v>45215</v>
      </c>
      <c r="C1450" s="1" t="n">
        <v>46193</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4651-2026</t>
        </is>
      </c>
      <c r="B1451" s="1" t="n">
        <v>46048</v>
      </c>
      <c r="C1451" s="1" t="n">
        <v>46193</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4819-2026</t>
        </is>
      </c>
      <c r="B1452" s="1" t="n">
        <v>46048</v>
      </c>
      <c r="C1452" s="1" t="n">
        <v>46193</v>
      </c>
      <c r="D1452" t="inlineStr">
        <is>
          <t>JÄMTLANDS LÄN</t>
        </is>
      </c>
      <c r="E1452" t="inlineStr">
        <is>
          <t>BRÄCKE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1881-2024</t>
        </is>
      </c>
      <c r="B1453" s="1" t="n">
        <v>45307</v>
      </c>
      <c r="C1453" s="1" t="n">
        <v>46193</v>
      </c>
      <c r="D1453" t="inlineStr">
        <is>
          <t>JÄMTLANDS LÄN</t>
        </is>
      </c>
      <c r="E1453" t="inlineStr">
        <is>
          <t>BRÄCKE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44321-2023</t>
        </is>
      </c>
      <c r="B1454" s="1" t="n">
        <v>45188</v>
      </c>
      <c r="C1454" s="1" t="n">
        <v>46193</v>
      </c>
      <c r="D1454" t="inlineStr">
        <is>
          <t>JÄMTLANDS LÄN</t>
        </is>
      </c>
      <c r="E1454" t="inlineStr">
        <is>
          <t>BRÄCKE</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44328-2023</t>
        </is>
      </c>
      <c r="B1455" s="1" t="n">
        <v>45188</v>
      </c>
      <c r="C1455" s="1" t="n">
        <v>46193</v>
      </c>
      <c r="D1455" t="inlineStr">
        <is>
          <t>JÄMTLANDS LÄN</t>
        </is>
      </c>
      <c r="E1455" t="inlineStr">
        <is>
          <t>BRÄCKE</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4798-2026</t>
        </is>
      </c>
      <c r="B1456" s="1" t="n">
        <v>46048</v>
      </c>
      <c r="C1456" s="1" t="n">
        <v>46193</v>
      </c>
      <c r="D1456" t="inlineStr">
        <is>
          <t>JÄMTLANDS LÄN</t>
        </is>
      </c>
      <c r="E1456" t="inlineStr">
        <is>
          <t>BRÄCKE</t>
        </is>
      </c>
      <c r="F1456" t="inlineStr">
        <is>
          <t>SCA</t>
        </is>
      </c>
      <c r="G1456" t="n">
        <v>15.3</v>
      </c>
      <c r="H1456" t="n">
        <v>0</v>
      </c>
      <c r="I1456" t="n">
        <v>0</v>
      </c>
      <c r="J1456" t="n">
        <v>0</v>
      </c>
      <c r="K1456" t="n">
        <v>0</v>
      </c>
      <c r="L1456" t="n">
        <v>0</v>
      </c>
      <c r="M1456" t="n">
        <v>0</v>
      </c>
      <c r="N1456" t="n">
        <v>0</v>
      </c>
      <c r="O1456" t="n">
        <v>0</v>
      </c>
      <c r="P1456" t="n">
        <v>0</v>
      </c>
      <c r="Q1456" t="n">
        <v>0</v>
      </c>
      <c r="R1456" s="2" t="inlineStr"/>
    </row>
    <row r="1457" ht="15" customHeight="1">
      <c r="A1457" t="inlineStr">
        <is>
          <t>A 54328-2023</t>
        </is>
      </c>
      <c r="B1457" s="1" t="n">
        <v>45232</v>
      </c>
      <c r="C1457" s="1" t="n">
        <v>46193</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59369-2022</t>
        </is>
      </c>
      <c r="B1458" s="1" t="n">
        <v>44904</v>
      </c>
      <c r="C1458" s="1" t="n">
        <v>46193</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23687-2022</t>
        </is>
      </c>
      <c r="B1459" s="1" t="n">
        <v>44721</v>
      </c>
      <c r="C1459" s="1" t="n">
        <v>46193</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19386-2025</t>
        </is>
      </c>
      <c r="B1460" s="1" t="n">
        <v>45769</v>
      </c>
      <c r="C1460" s="1" t="n">
        <v>46193</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54524-2022</t>
        </is>
      </c>
      <c r="B1461" s="1" t="n">
        <v>44882</v>
      </c>
      <c r="C1461" s="1" t="n">
        <v>46193</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54600-2023</t>
        </is>
      </c>
      <c r="B1462" s="1" t="n">
        <v>45233</v>
      </c>
      <c r="C1462" s="1" t="n">
        <v>46193</v>
      </c>
      <c r="D1462" t="inlineStr">
        <is>
          <t>JÄMTLANDS LÄN</t>
        </is>
      </c>
      <c r="E1462" t="inlineStr">
        <is>
          <t>BRÄCKE</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47500-2023</t>
        </is>
      </c>
      <c r="B1463" s="1" t="n">
        <v>45202</v>
      </c>
      <c r="C1463" s="1" t="n">
        <v>46193</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48419-2023</t>
        </is>
      </c>
      <c r="B1464" s="1" t="n">
        <v>45205</v>
      </c>
      <c r="C1464" s="1" t="n">
        <v>46193</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5144-2026</t>
        </is>
      </c>
      <c r="B1465" s="1" t="n">
        <v>46049</v>
      </c>
      <c r="C1465" s="1" t="n">
        <v>46193</v>
      </c>
      <c r="D1465" t="inlineStr">
        <is>
          <t>JÄMTLANDS LÄN</t>
        </is>
      </c>
      <c r="E1465" t="inlineStr">
        <is>
          <t>BRÄCKE</t>
        </is>
      </c>
      <c r="G1465" t="n">
        <v>22.3</v>
      </c>
      <c r="H1465" t="n">
        <v>0</v>
      </c>
      <c r="I1465" t="n">
        <v>0</v>
      </c>
      <c r="J1465" t="n">
        <v>0</v>
      </c>
      <c r="K1465" t="n">
        <v>0</v>
      </c>
      <c r="L1465" t="n">
        <v>0</v>
      </c>
      <c r="M1465" t="n">
        <v>0</v>
      </c>
      <c r="N1465" t="n">
        <v>0</v>
      </c>
      <c r="O1465" t="n">
        <v>0</v>
      </c>
      <c r="P1465" t="n">
        <v>0</v>
      </c>
      <c r="Q1465" t="n">
        <v>0</v>
      </c>
      <c r="R1465" s="2" t="inlineStr"/>
    </row>
    <row r="1466" ht="15" customHeight="1">
      <c r="A1466" t="inlineStr">
        <is>
          <t>A 4822-2026</t>
        </is>
      </c>
      <c r="B1466" s="1" t="n">
        <v>46048</v>
      </c>
      <c r="C1466" s="1" t="n">
        <v>46193</v>
      </c>
      <c r="D1466" t="inlineStr">
        <is>
          <t>JÄMTLANDS LÄN</t>
        </is>
      </c>
      <c r="E1466" t="inlineStr">
        <is>
          <t>BRÄCKE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5980-2026</t>
        </is>
      </c>
      <c r="B1467" s="1" t="n">
        <v>46052</v>
      </c>
      <c r="C1467" s="1" t="n">
        <v>46193</v>
      </c>
      <c r="D1467" t="inlineStr">
        <is>
          <t>JÄMTLANDS LÄN</t>
        </is>
      </c>
      <c r="E1467" t="inlineStr">
        <is>
          <t>BRÄCKE</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47486-2023</t>
        </is>
      </c>
      <c r="B1468" s="1" t="n">
        <v>45202</v>
      </c>
      <c r="C1468" s="1" t="n">
        <v>46193</v>
      </c>
      <c r="D1468" t="inlineStr">
        <is>
          <t>JÄMTLANDS LÄN</t>
        </is>
      </c>
      <c r="E1468" t="inlineStr">
        <is>
          <t>BRÄCKE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47487-2023</t>
        </is>
      </c>
      <c r="B1469" s="1" t="n">
        <v>45202</v>
      </c>
      <c r="C1469" s="1" t="n">
        <v>46193</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6346-2026</t>
        </is>
      </c>
      <c r="B1470" s="1" t="n">
        <v>46055</v>
      </c>
      <c r="C1470" s="1" t="n">
        <v>46193</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55667-2023</t>
        </is>
      </c>
      <c r="B1471" s="1" t="n">
        <v>45238</v>
      </c>
      <c r="C1471" s="1" t="n">
        <v>46193</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55668-2023</t>
        </is>
      </c>
      <c r="B1472" s="1" t="n">
        <v>45238</v>
      </c>
      <c r="C1472" s="1" t="n">
        <v>46193</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64302-2023</t>
        </is>
      </c>
      <c r="B1473" s="1" t="n">
        <v>45280</v>
      </c>
      <c r="C1473" s="1" t="n">
        <v>46193</v>
      </c>
      <c r="D1473" t="inlineStr">
        <is>
          <t>JÄMTLANDS LÄN</t>
        </is>
      </c>
      <c r="E1473" t="inlineStr">
        <is>
          <t>BRÄCKE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59586-2023</t>
        </is>
      </c>
      <c r="B1474" s="1" t="n">
        <v>45254</v>
      </c>
      <c r="C1474" s="1" t="n">
        <v>46193</v>
      </c>
      <c r="D1474" t="inlineStr">
        <is>
          <t>JÄMTLANDS LÄN</t>
        </is>
      </c>
      <c r="E1474" t="inlineStr">
        <is>
          <t>BRÄCKE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56047-2024</t>
        </is>
      </c>
      <c r="B1475" s="1" t="n">
        <v>45624</v>
      </c>
      <c r="C1475" s="1" t="n">
        <v>46193</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6545-2026</t>
        </is>
      </c>
      <c r="B1476" s="1" t="n">
        <v>46056</v>
      </c>
      <c r="C1476" s="1" t="n">
        <v>46193</v>
      </c>
      <c r="D1476" t="inlineStr">
        <is>
          <t>JÄMTLANDS LÄN</t>
        </is>
      </c>
      <c r="E1476" t="inlineStr">
        <is>
          <t>BRÄCKE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6334-2026</t>
        </is>
      </c>
      <c r="B1477" s="1" t="n">
        <v>46055</v>
      </c>
      <c r="C1477" s="1" t="n">
        <v>46193</v>
      </c>
      <c r="D1477" t="inlineStr">
        <is>
          <t>JÄMTLANDS LÄN</t>
        </is>
      </c>
      <c r="E1477" t="inlineStr">
        <is>
          <t>BRÄCKE</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57783-2023</t>
        </is>
      </c>
      <c r="B1478" s="1" t="n">
        <v>45246</v>
      </c>
      <c r="C1478" s="1" t="n">
        <v>46193</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57798-2023</t>
        </is>
      </c>
      <c r="B1479" s="1" t="n">
        <v>45246</v>
      </c>
      <c r="C1479" s="1" t="n">
        <v>46193</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10103-2025</t>
        </is>
      </c>
      <c r="B1480" s="1" t="n">
        <v>45719</v>
      </c>
      <c r="C1480" s="1" t="n">
        <v>46193</v>
      </c>
      <c r="D1480" t="inlineStr">
        <is>
          <t>JÄMTLANDS LÄN</t>
        </is>
      </c>
      <c r="E1480" t="inlineStr">
        <is>
          <t>BRÄCKE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6200-2026</t>
        </is>
      </c>
      <c r="B1481" s="1" t="n">
        <v>46055</v>
      </c>
      <c r="C1481" s="1" t="n">
        <v>46193</v>
      </c>
      <c r="D1481" t="inlineStr">
        <is>
          <t>JÄMTLANDS LÄN</t>
        </is>
      </c>
      <c r="E1481" t="inlineStr">
        <is>
          <t>BRÄCKE</t>
        </is>
      </c>
      <c r="F1481" t="inlineStr">
        <is>
          <t>SCA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43789-2022</t>
        </is>
      </c>
      <c r="B1482" s="1" t="n">
        <v>44837</v>
      </c>
      <c r="C1482" s="1" t="n">
        <v>46193</v>
      </c>
      <c r="D1482" t="inlineStr">
        <is>
          <t>JÄMTLANDS LÄN</t>
        </is>
      </c>
      <c r="E1482" t="inlineStr">
        <is>
          <t>BRÄCKE</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7305-2026</t>
        </is>
      </c>
      <c r="B1483" s="1" t="n">
        <v>46058</v>
      </c>
      <c r="C1483" s="1" t="n">
        <v>46193</v>
      </c>
      <c r="D1483" t="inlineStr">
        <is>
          <t>JÄMTLANDS LÄN</t>
        </is>
      </c>
      <c r="E1483" t="inlineStr">
        <is>
          <t>BRÄCKE</t>
        </is>
      </c>
      <c r="F1483" t="inlineStr">
        <is>
          <t>SCA</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6830-2026</t>
        </is>
      </c>
      <c r="B1484" s="1" t="n">
        <v>46057</v>
      </c>
      <c r="C1484" s="1" t="n">
        <v>46193</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9706-2025</t>
        </is>
      </c>
      <c r="B1485" s="1" t="n">
        <v>45716</v>
      </c>
      <c r="C1485" s="1" t="n">
        <v>46193</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6986-2026</t>
        </is>
      </c>
      <c r="B1486" s="1" t="n">
        <v>46057</v>
      </c>
      <c r="C1486" s="1" t="n">
        <v>46193</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18255-2025</t>
        </is>
      </c>
      <c r="B1487" s="1" t="n">
        <v>45762</v>
      </c>
      <c r="C1487" s="1" t="n">
        <v>46193</v>
      </c>
      <c r="D1487" t="inlineStr">
        <is>
          <t>JÄMTLANDS LÄN</t>
        </is>
      </c>
      <c r="E1487" t="inlineStr">
        <is>
          <t>BRÄCKE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6796-2026</t>
        </is>
      </c>
      <c r="B1488" s="1" t="n">
        <v>46057</v>
      </c>
      <c r="C1488" s="1" t="n">
        <v>46193</v>
      </c>
      <c r="D1488" t="inlineStr">
        <is>
          <t>JÄMTLANDS LÄN</t>
        </is>
      </c>
      <c r="E1488" t="inlineStr">
        <is>
          <t>BRÄCKE</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6980-2026</t>
        </is>
      </c>
      <c r="B1489" s="1" t="n">
        <v>46057</v>
      </c>
      <c r="C1489" s="1" t="n">
        <v>46193</v>
      </c>
      <c r="D1489" t="inlineStr">
        <is>
          <t>JÄMTLANDS LÄN</t>
        </is>
      </c>
      <c r="E1489" t="inlineStr">
        <is>
          <t>BRÄCKE</t>
        </is>
      </c>
      <c r="G1489" t="n">
        <v>22.7</v>
      </c>
      <c r="H1489" t="n">
        <v>0</v>
      </c>
      <c r="I1489" t="n">
        <v>0</v>
      </c>
      <c r="J1489" t="n">
        <v>0</v>
      </c>
      <c r="K1489" t="n">
        <v>0</v>
      </c>
      <c r="L1489" t="n">
        <v>0</v>
      </c>
      <c r="M1489" t="n">
        <v>0</v>
      </c>
      <c r="N1489" t="n">
        <v>0</v>
      </c>
      <c r="O1489" t="n">
        <v>0</v>
      </c>
      <c r="P1489" t="n">
        <v>0</v>
      </c>
      <c r="Q1489" t="n">
        <v>0</v>
      </c>
      <c r="R1489" s="2" t="inlineStr"/>
    </row>
    <row r="1490" ht="15" customHeight="1">
      <c r="A1490" t="inlineStr">
        <is>
          <t>A 52754-2023</t>
        </is>
      </c>
      <c r="B1490" s="1" t="n">
        <v>45225</v>
      </c>
      <c r="C1490" s="1" t="n">
        <v>46193</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7695-2026</t>
        </is>
      </c>
      <c r="B1491" s="1" t="n">
        <v>46062</v>
      </c>
      <c r="C1491" s="1" t="n">
        <v>46193</v>
      </c>
      <c r="D1491" t="inlineStr">
        <is>
          <t>JÄMTLANDS LÄN</t>
        </is>
      </c>
      <c r="E1491" t="inlineStr">
        <is>
          <t>BRÄCKE</t>
        </is>
      </c>
      <c r="F1491" t="inlineStr">
        <is>
          <t>SCA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10857-2024</t>
        </is>
      </c>
      <c r="B1492" s="1" t="n">
        <v>45370</v>
      </c>
      <c r="C1492" s="1" t="n">
        <v>46193</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7527-2026</t>
        </is>
      </c>
      <c r="B1493" s="1" t="n">
        <v>46059</v>
      </c>
      <c r="C1493" s="1" t="n">
        <v>46193</v>
      </c>
      <c r="D1493" t="inlineStr">
        <is>
          <t>JÄMTLANDS LÄN</t>
        </is>
      </c>
      <c r="E1493" t="inlineStr">
        <is>
          <t>BRÄCKE</t>
        </is>
      </c>
      <c r="F1493" t="inlineStr">
        <is>
          <t>SCA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58083-2023</t>
        </is>
      </c>
      <c r="B1494" s="1" t="n">
        <v>45247</v>
      </c>
      <c r="C1494" s="1" t="n">
        <v>46193</v>
      </c>
      <c r="D1494" t="inlineStr">
        <is>
          <t>JÄMTLANDS LÄN</t>
        </is>
      </c>
      <c r="E1494" t="inlineStr">
        <is>
          <t>BRÄCKE</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7693-2026</t>
        </is>
      </c>
      <c r="B1495" s="1" t="n">
        <v>46062</v>
      </c>
      <c r="C1495" s="1" t="n">
        <v>46193</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20514-2024</t>
        </is>
      </c>
      <c r="B1496" s="1" t="n">
        <v>45435</v>
      </c>
      <c r="C1496" s="1" t="n">
        <v>46193</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7922-2026</t>
        </is>
      </c>
      <c r="B1497" s="1" t="n">
        <v>46063</v>
      </c>
      <c r="C1497" s="1" t="n">
        <v>46193</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12524-2025</t>
        </is>
      </c>
      <c r="B1498" s="1" t="n">
        <v>45730</v>
      </c>
      <c r="C1498" s="1" t="n">
        <v>46193</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12553-2025</t>
        </is>
      </c>
      <c r="B1499" s="1" t="n">
        <v>45731</v>
      </c>
      <c r="C1499" s="1" t="n">
        <v>46193</v>
      </c>
      <c r="D1499" t="inlineStr">
        <is>
          <t>JÄMTLANDS LÄN</t>
        </is>
      </c>
      <c r="E1499" t="inlineStr">
        <is>
          <t>BRÄCKE</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8831-2026</t>
        </is>
      </c>
      <c r="B1500" s="1" t="n">
        <v>46066</v>
      </c>
      <c r="C1500" s="1" t="n">
        <v>46193</v>
      </c>
      <c r="D1500" t="inlineStr">
        <is>
          <t>JÄMTLANDS LÄN</t>
        </is>
      </c>
      <c r="E1500" t="inlineStr">
        <is>
          <t>BRÄCKE</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8835-2026</t>
        </is>
      </c>
      <c r="B1501" s="1" t="n">
        <v>46066</v>
      </c>
      <c r="C1501" s="1" t="n">
        <v>46193</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43785-2022</t>
        </is>
      </c>
      <c r="B1502" s="1" t="n">
        <v>44837</v>
      </c>
      <c r="C1502" s="1" t="n">
        <v>46193</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59914-2022</t>
        </is>
      </c>
      <c r="B1503" s="1" t="n">
        <v>44908</v>
      </c>
      <c r="C1503" s="1" t="n">
        <v>46193</v>
      </c>
      <c r="D1503" t="inlineStr">
        <is>
          <t>JÄMTLANDS LÄN</t>
        </is>
      </c>
      <c r="E1503" t="inlineStr">
        <is>
          <t>BRÄCKE</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9100-2026</t>
        </is>
      </c>
      <c r="B1504" s="1" t="n">
        <v>46069</v>
      </c>
      <c r="C1504" s="1" t="n">
        <v>46193</v>
      </c>
      <c r="D1504" t="inlineStr">
        <is>
          <t>JÄMTLANDS LÄN</t>
        </is>
      </c>
      <c r="E1504" t="inlineStr">
        <is>
          <t>BRÄCKE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9111-2026</t>
        </is>
      </c>
      <c r="B1505" s="1" t="n">
        <v>46069</v>
      </c>
      <c r="C1505" s="1" t="n">
        <v>46193</v>
      </c>
      <c r="D1505" t="inlineStr">
        <is>
          <t>JÄMTLANDS LÄN</t>
        </is>
      </c>
      <c r="E1505" t="inlineStr">
        <is>
          <t>BRÄCKE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8980-2026</t>
        </is>
      </c>
      <c r="B1506" s="1" t="n">
        <v>46069</v>
      </c>
      <c r="C1506" s="1" t="n">
        <v>46193</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17577-2022</t>
        </is>
      </c>
      <c r="B1507" s="1" t="n">
        <v>44679</v>
      </c>
      <c r="C1507" s="1" t="n">
        <v>46193</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40791-2024</t>
        </is>
      </c>
      <c r="B1508" s="1" t="n">
        <v>45558</v>
      </c>
      <c r="C1508" s="1" t="n">
        <v>46193</v>
      </c>
      <c r="D1508" t="inlineStr">
        <is>
          <t>JÄMTLANDS LÄN</t>
        </is>
      </c>
      <c r="E1508" t="inlineStr">
        <is>
          <t>BRÄCKE</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9114-2026</t>
        </is>
      </c>
      <c r="B1509" s="1" t="n">
        <v>46069</v>
      </c>
      <c r="C1509" s="1" t="n">
        <v>46193</v>
      </c>
      <c r="D1509" t="inlineStr">
        <is>
          <t>JÄMTLANDS LÄN</t>
        </is>
      </c>
      <c r="E1509" t="inlineStr">
        <is>
          <t>BRÄCKE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64034-2023</t>
        </is>
      </c>
      <c r="B1510" s="1" t="n">
        <v>45278</v>
      </c>
      <c r="C1510" s="1" t="n">
        <v>46193</v>
      </c>
      <c r="D1510" t="inlineStr">
        <is>
          <t>JÄMTLANDS LÄN</t>
        </is>
      </c>
      <c r="E1510" t="inlineStr">
        <is>
          <t>BRÄCKE</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9631-2026</t>
        </is>
      </c>
      <c r="B1511" s="1" t="n">
        <v>46072</v>
      </c>
      <c r="C1511" s="1" t="n">
        <v>46193</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3389-2024</t>
        </is>
      </c>
      <c r="B1512" s="1" t="n">
        <v>45317</v>
      </c>
      <c r="C1512" s="1" t="n">
        <v>46193</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64266-2023</t>
        </is>
      </c>
      <c r="B1513" s="1" t="n">
        <v>45279</v>
      </c>
      <c r="C1513" s="1" t="n">
        <v>46193</v>
      </c>
      <c r="D1513" t="inlineStr">
        <is>
          <t>JÄMTLANDS LÄN</t>
        </is>
      </c>
      <c r="E1513" t="inlineStr">
        <is>
          <t>BRÄCKE</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60435-2023</t>
        </is>
      </c>
      <c r="B1514" s="1" t="n">
        <v>45258</v>
      </c>
      <c r="C1514" s="1" t="n">
        <v>46193</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14630-2025</t>
        </is>
      </c>
      <c r="B1515" s="1" t="n">
        <v>45742</v>
      </c>
      <c r="C1515" s="1" t="n">
        <v>46193</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58079-2023</t>
        </is>
      </c>
      <c r="B1516" s="1" t="n">
        <v>45247</v>
      </c>
      <c r="C1516" s="1" t="n">
        <v>46193</v>
      </c>
      <c r="D1516" t="inlineStr">
        <is>
          <t>JÄMTLANDS LÄN</t>
        </is>
      </c>
      <c r="E1516" t="inlineStr">
        <is>
          <t>BRÄCKE</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9576-2026</t>
        </is>
      </c>
      <c r="B1517" s="1" t="n">
        <v>46071</v>
      </c>
      <c r="C1517" s="1" t="n">
        <v>46193</v>
      </c>
      <c r="D1517" t="inlineStr">
        <is>
          <t>JÄMTLANDS LÄN</t>
        </is>
      </c>
      <c r="E1517" t="inlineStr">
        <is>
          <t>BRÄCKE</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39937-2022</t>
        </is>
      </c>
      <c r="B1518" s="1" t="n">
        <v>44819</v>
      </c>
      <c r="C1518" s="1" t="n">
        <v>46193</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37504-2023</t>
        </is>
      </c>
      <c r="B1519" s="1" t="n">
        <v>45157</v>
      </c>
      <c r="C1519" s="1" t="n">
        <v>46193</v>
      </c>
      <c r="D1519" t="inlineStr">
        <is>
          <t>JÄMTLANDS LÄN</t>
        </is>
      </c>
      <c r="E1519" t="inlineStr">
        <is>
          <t>BRÄCKE</t>
        </is>
      </c>
      <c r="F1519" t="inlineStr">
        <is>
          <t>Sveaskog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46939-2023</t>
        </is>
      </c>
      <c r="B1520" s="1" t="n">
        <v>45195</v>
      </c>
      <c r="C1520" s="1" t="n">
        <v>46193</v>
      </c>
      <c r="D1520" t="inlineStr">
        <is>
          <t>JÄMTLANDS LÄN</t>
        </is>
      </c>
      <c r="E1520" t="inlineStr">
        <is>
          <t>BRÄCKE</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31520-2022</t>
        </is>
      </c>
      <c r="B1521" s="1" t="n">
        <v>44774</v>
      </c>
      <c r="C1521" s="1" t="n">
        <v>46193</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36392-2022</t>
        </is>
      </c>
      <c r="B1522" s="1" t="n">
        <v>44803</v>
      </c>
      <c r="C1522" s="1" t="n">
        <v>46193</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4904-2025</t>
        </is>
      </c>
      <c r="B1523" s="1" t="n">
        <v>45688</v>
      </c>
      <c r="C1523" s="1" t="n">
        <v>46193</v>
      </c>
      <c r="D1523" t="inlineStr">
        <is>
          <t>JÄMTLANDS LÄN</t>
        </is>
      </c>
      <c r="E1523" t="inlineStr">
        <is>
          <t>BRÄCKE</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40313-2021</t>
        </is>
      </c>
      <c r="B1524" s="1" t="n">
        <v>44419</v>
      </c>
      <c r="C1524" s="1" t="n">
        <v>46193</v>
      </c>
      <c r="D1524" t="inlineStr">
        <is>
          <t>JÄMTLANDS LÄN</t>
        </is>
      </c>
      <c r="E1524" t="inlineStr">
        <is>
          <t>BRÄCKE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34138-2023</t>
        </is>
      </c>
      <c r="B1525" s="1" t="n">
        <v>45135</v>
      </c>
      <c r="C1525" s="1" t="n">
        <v>46193</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51270-2022</t>
        </is>
      </c>
      <c r="B1526" s="1" t="n">
        <v>44866</v>
      </c>
      <c r="C1526" s="1" t="n">
        <v>46193</v>
      </c>
      <c r="D1526" t="inlineStr">
        <is>
          <t>JÄMTLANDS LÄN</t>
        </is>
      </c>
      <c r="E1526" t="inlineStr">
        <is>
          <t>BRÄCKE</t>
        </is>
      </c>
      <c r="F1526" t="inlineStr">
        <is>
          <t>Kommuner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10755-2026</t>
        </is>
      </c>
      <c r="B1527" s="1" t="n">
        <v>46078</v>
      </c>
      <c r="C1527" s="1" t="n">
        <v>46193</v>
      </c>
      <c r="D1527" t="inlineStr">
        <is>
          <t>JÄMTLANDS LÄN</t>
        </is>
      </c>
      <c r="E1527" t="inlineStr">
        <is>
          <t>BRÄCKE</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54799-2025</t>
        </is>
      </c>
      <c r="B1528" s="1" t="n">
        <v>45966</v>
      </c>
      <c r="C1528" s="1" t="n">
        <v>46193</v>
      </c>
      <c r="D1528" t="inlineStr">
        <is>
          <t>JÄMTLANDS LÄN</t>
        </is>
      </c>
      <c r="E1528" t="inlineStr">
        <is>
          <t>BRÄCKE</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11155-2026</t>
        </is>
      </c>
      <c r="B1529" s="1" t="n">
        <v>46080</v>
      </c>
      <c r="C1529" s="1" t="n">
        <v>46193</v>
      </c>
      <c r="D1529" t="inlineStr">
        <is>
          <t>JÄMTLANDS LÄN</t>
        </is>
      </c>
      <c r="E1529" t="inlineStr">
        <is>
          <t>BRÄCKE</t>
        </is>
      </c>
      <c r="F1529" t="inlineStr">
        <is>
          <t>Kyrkan</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11161-2026</t>
        </is>
      </c>
      <c r="B1530" s="1" t="n">
        <v>46080</v>
      </c>
      <c r="C1530" s="1" t="n">
        <v>46193</v>
      </c>
      <c r="D1530" t="inlineStr">
        <is>
          <t>JÄMTLANDS LÄN</t>
        </is>
      </c>
      <c r="E1530" t="inlineStr">
        <is>
          <t>BRÄCKE</t>
        </is>
      </c>
      <c r="F1530" t="inlineStr">
        <is>
          <t>SCA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11165-2026</t>
        </is>
      </c>
      <c r="B1531" s="1" t="n">
        <v>46080</v>
      </c>
      <c r="C1531" s="1" t="n">
        <v>46193</v>
      </c>
      <c r="D1531" t="inlineStr">
        <is>
          <t>JÄMTLANDS LÄN</t>
        </is>
      </c>
      <c r="E1531" t="inlineStr">
        <is>
          <t>BRÄCKE</t>
        </is>
      </c>
      <c r="F1531" t="inlineStr">
        <is>
          <t>Kyrkan</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11195-2026</t>
        </is>
      </c>
      <c r="B1532" s="1" t="n">
        <v>46080</v>
      </c>
      <c r="C1532" s="1" t="n">
        <v>46193</v>
      </c>
      <c r="D1532" t="inlineStr">
        <is>
          <t>JÄMTLANDS LÄN</t>
        </is>
      </c>
      <c r="E1532" t="inlineStr">
        <is>
          <t>BRÄCKE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23443-2022</t>
        </is>
      </c>
      <c r="B1533" s="1" t="n">
        <v>44720</v>
      </c>
      <c r="C1533" s="1" t="n">
        <v>46193</v>
      </c>
      <c r="D1533" t="inlineStr">
        <is>
          <t>JÄMTLANDS LÄN</t>
        </is>
      </c>
      <c r="E1533" t="inlineStr">
        <is>
          <t>BRÄCKE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58078-2023</t>
        </is>
      </c>
      <c r="B1534" s="1" t="n">
        <v>45247</v>
      </c>
      <c r="C1534" s="1" t="n">
        <v>46193</v>
      </c>
      <c r="D1534" t="inlineStr">
        <is>
          <t>JÄMTLANDS LÄN</t>
        </is>
      </c>
      <c r="E1534" t="inlineStr">
        <is>
          <t>BRÄCKE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60015-2021</t>
        </is>
      </c>
      <c r="B1535" s="1" t="n">
        <v>44494</v>
      </c>
      <c r="C1535" s="1" t="n">
        <v>46193</v>
      </c>
      <c r="D1535" t="inlineStr">
        <is>
          <t>JÄMTLANDS LÄN</t>
        </is>
      </c>
      <c r="E1535" t="inlineStr">
        <is>
          <t>BRÄCKE</t>
        </is>
      </c>
      <c r="G1535" t="n">
        <v>18.7</v>
      </c>
      <c r="H1535" t="n">
        <v>0</v>
      </c>
      <c r="I1535" t="n">
        <v>0</v>
      </c>
      <c r="J1535" t="n">
        <v>0</v>
      </c>
      <c r="K1535" t="n">
        <v>0</v>
      </c>
      <c r="L1535" t="n">
        <v>0</v>
      </c>
      <c r="M1535" t="n">
        <v>0</v>
      </c>
      <c r="N1535" t="n">
        <v>0</v>
      </c>
      <c r="O1535" t="n">
        <v>0</v>
      </c>
      <c r="P1535" t="n">
        <v>0</v>
      </c>
      <c r="Q1535" t="n">
        <v>0</v>
      </c>
      <c r="R1535" s="2" t="inlineStr"/>
    </row>
    <row r="1536" ht="15" customHeight="1">
      <c r="A1536" t="inlineStr">
        <is>
          <t>A 11441-2026</t>
        </is>
      </c>
      <c r="B1536" s="1" t="n">
        <v>46083</v>
      </c>
      <c r="C1536" s="1" t="n">
        <v>46193</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38862-2024</t>
        </is>
      </c>
      <c r="B1537" s="1" t="n">
        <v>45547</v>
      </c>
      <c r="C1537" s="1" t="n">
        <v>46193</v>
      </c>
      <c r="D1537" t="inlineStr">
        <is>
          <t>JÄMTLANDS LÄN</t>
        </is>
      </c>
      <c r="E1537" t="inlineStr">
        <is>
          <t>BRÄCKE</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44753-2022</t>
        </is>
      </c>
      <c r="B1538" s="1" t="n">
        <v>44840</v>
      </c>
      <c r="C1538" s="1" t="n">
        <v>46193</v>
      </c>
      <c r="D1538" t="inlineStr">
        <is>
          <t>JÄMTLANDS LÄN</t>
        </is>
      </c>
      <c r="E1538" t="inlineStr">
        <is>
          <t>BRÄCKE</t>
        </is>
      </c>
      <c r="F1538" t="inlineStr">
        <is>
          <t>SCA</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11856-2026</t>
        </is>
      </c>
      <c r="B1539" s="1" t="n">
        <v>46085</v>
      </c>
      <c r="C1539" s="1" t="n">
        <v>46193</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11703-2026</t>
        </is>
      </c>
      <c r="B1540" s="1" t="n">
        <v>46084</v>
      </c>
      <c r="C1540" s="1" t="n">
        <v>46193</v>
      </c>
      <c r="D1540" t="inlineStr">
        <is>
          <t>JÄMTLANDS LÄN</t>
        </is>
      </c>
      <c r="E1540" t="inlineStr">
        <is>
          <t>BRÄCKE</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6345-2023</t>
        </is>
      </c>
      <c r="B1541" s="1" t="n">
        <v>44960</v>
      </c>
      <c r="C1541" s="1" t="n">
        <v>46193</v>
      </c>
      <c r="D1541" t="inlineStr">
        <is>
          <t>JÄMTLANDS LÄN</t>
        </is>
      </c>
      <c r="E1541" t="inlineStr">
        <is>
          <t>BRÄCKE</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28077-2024</t>
        </is>
      </c>
      <c r="B1542" s="1" t="n">
        <v>45476</v>
      </c>
      <c r="C1542" s="1" t="n">
        <v>46193</v>
      </c>
      <c r="D1542" t="inlineStr">
        <is>
          <t>JÄMTLANDS LÄN</t>
        </is>
      </c>
      <c r="E1542" t="inlineStr">
        <is>
          <t>BRÄCKE</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29028-2024</t>
        </is>
      </c>
      <c r="B1543" s="1" t="n">
        <v>45481</v>
      </c>
      <c r="C1543" s="1" t="n">
        <v>46193</v>
      </c>
      <c r="D1543" t="inlineStr">
        <is>
          <t>JÄMTLANDS LÄN</t>
        </is>
      </c>
      <c r="E1543" t="inlineStr">
        <is>
          <t>BRÄCKE</t>
        </is>
      </c>
      <c r="F1543" t="inlineStr">
        <is>
          <t>Övriga Aktiebolag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1799-2024</t>
        </is>
      </c>
      <c r="B1544" s="1" t="n">
        <v>45307</v>
      </c>
      <c r="C1544" s="1" t="n">
        <v>46193</v>
      </c>
      <c r="D1544" t="inlineStr">
        <is>
          <t>JÄMTLANDS LÄN</t>
        </is>
      </c>
      <c r="E1544" t="inlineStr">
        <is>
          <t>BRÄCKE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12050-2026</t>
        </is>
      </c>
      <c r="B1545" s="1" t="n">
        <v>46086</v>
      </c>
      <c r="C1545" s="1" t="n">
        <v>46193</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12047-2026</t>
        </is>
      </c>
      <c r="B1546" s="1" t="n">
        <v>46086</v>
      </c>
      <c r="C1546" s="1" t="n">
        <v>46193</v>
      </c>
      <c r="D1546" t="inlineStr">
        <is>
          <t>JÄMTLANDS LÄN</t>
        </is>
      </c>
      <c r="E1546" t="inlineStr">
        <is>
          <t>BRÄCKE</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55976-2024</t>
        </is>
      </c>
      <c r="B1547" s="1" t="n">
        <v>45623</v>
      </c>
      <c r="C1547" s="1" t="n">
        <v>46193</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12046-2026</t>
        </is>
      </c>
      <c r="B1548" s="1" t="n">
        <v>46086</v>
      </c>
      <c r="C1548" s="1" t="n">
        <v>46193</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65433-2021</t>
        </is>
      </c>
      <c r="B1549" s="1" t="n">
        <v>44515</v>
      </c>
      <c r="C1549" s="1" t="n">
        <v>46193</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59910-2022</t>
        </is>
      </c>
      <c r="B1550" s="1" t="n">
        <v>44908</v>
      </c>
      <c r="C1550" s="1" t="n">
        <v>46193</v>
      </c>
      <c r="D1550" t="inlineStr">
        <is>
          <t>JÄMTLANDS LÄN</t>
        </is>
      </c>
      <c r="E1550" t="inlineStr">
        <is>
          <t>BRÄCKE</t>
        </is>
      </c>
      <c r="F1550" t="inlineStr">
        <is>
          <t>SCA</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59915-2022</t>
        </is>
      </c>
      <c r="B1551" s="1" t="n">
        <v>44908</v>
      </c>
      <c r="C1551" s="1" t="n">
        <v>46193</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56641-2022</t>
        </is>
      </c>
      <c r="B1552" s="1" t="n">
        <v>44893</v>
      </c>
      <c r="C1552" s="1" t="n">
        <v>46193</v>
      </c>
      <c r="D1552" t="inlineStr">
        <is>
          <t>JÄMTLANDS LÄN</t>
        </is>
      </c>
      <c r="E1552" t="inlineStr">
        <is>
          <t>BRÄCKE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9553-2024</t>
        </is>
      </c>
      <c r="B1553" s="1" t="n">
        <v>45360</v>
      </c>
      <c r="C1553" s="1" t="n">
        <v>46193</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13192-2026</t>
        </is>
      </c>
      <c r="B1554" s="1" t="n">
        <v>46093</v>
      </c>
      <c r="C1554" s="1" t="n">
        <v>46193</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13128-2026</t>
        </is>
      </c>
      <c r="B1555" s="1" t="n">
        <v>46093</v>
      </c>
      <c r="C1555" s="1" t="n">
        <v>46193</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13214-2026</t>
        </is>
      </c>
      <c r="B1556" s="1" t="n">
        <v>46093</v>
      </c>
      <c r="C1556" s="1" t="n">
        <v>46193</v>
      </c>
      <c r="D1556" t="inlineStr">
        <is>
          <t>JÄMTLANDS LÄN</t>
        </is>
      </c>
      <c r="E1556" t="inlineStr">
        <is>
          <t>BRÄCKE</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10815-2022</t>
        </is>
      </c>
      <c r="B1557" s="1" t="n">
        <v>44627</v>
      </c>
      <c r="C1557" s="1" t="n">
        <v>46193</v>
      </c>
      <c r="D1557" t="inlineStr">
        <is>
          <t>JÄMTLANDS LÄN</t>
        </is>
      </c>
      <c r="E1557" t="inlineStr">
        <is>
          <t>BRÄCKE</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53407-2022</t>
        </is>
      </c>
      <c r="B1558" s="1" t="n">
        <v>44874</v>
      </c>
      <c r="C1558" s="1" t="n">
        <v>46193</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60325-2021</t>
        </is>
      </c>
      <c r="B1559" s="1" t="n">
        <v>44495</v>
      </c>
      <c r="C1559" s="1" t="n">
        <v>46193</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13250-2026</t>
        </is>
      </c>
      <c r="B1560" s="1" t="n">
        <v>46093</v>
      </c>
      <c r="C1560" s="1" t="n">
        <v>46193</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13425-2026</t>
        </is>
      </c>
      <c r="B1561" s="1" t="n">
        <v>46094</v>
      </c>
      <c r="C1561" s="1" t="n">
        <v>46193</v>
      </c>
      <c r="D1561" t="inlineStr">
        <is>
          <t>JÄMTLANDS LÄN</t>
        </is>
      </c>
      <c r="E1561" t="inlineStr">
        <is>
          <t>BRÄCKE</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13783-2026</t>
        </is>
      </c>
      <c r="B1562" s="1" t="n">
        <v>46097</v>
      </c>
      <c r="C1562" s="1" t="n">
        <v>46193</v>
      </c>
      <c r="D1562" t="inlineStr">
        <is>
          <t>JÄMTLANDS LÄN</t>
        </is>
      </c>
      <c r="E1562" t="inlineStr">
        <is>
          <t>BRÄCKE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43910-2023</t>
        </is>
      </c>
      <c r="B1563" s="1" t="n">
        <v>45182</v>
      </c>
      <c r="C1563" s="1" t="n">
        <v>46193</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11830-2024</t>
        </is>
      </c>
      <c r="B1564" s="1" t="n">
        <v>45376</v>
      </c>
      <c r="C1564" s="1" t="n">
        <v>46193</v>
      </c>
      <c r="D1564" t="inlineStr">
        <is>
          <t>JÄMTLANDS LÄN</t>
        </is>
      </c>
      <c r="E1564" t="inlineStr">
        <is>
          <t>BRÄCKE</t>
        </is>
      </c>
      <c r="G1564" t="n">
        <v>18.3</v>
      </c>
      <c r="H1564" t="n">
        <v>0</v>
      </c>
      <c r="I1564" t="n">
        <v>0</v>
      </c>
      <c r="J1564" t="n">
        <v>0</v>
      </c>
      <c r="K1564" t="n">
        <v>0</v>
      </c>
      <c r="L1564" t="n">
        <v>0</v>
      </c>
      <c r="M1564" t="n">
        <v>0</v>
      </c>
      <c r="N1564" t="n">
        <v>0</v>
      </c>
      <c r="O1564" t="n">
        <v>0</v>
      </c>
      <c r="P1564" t="n">
        <v>0</v>
      </c>
      <c r="Q1564" t="n">
        <v>0</v>
      </c>
      <c r="R1564" s="2" t="inlineStr"/>
    </row>
    <row r="1565" ht="15" customHeight="1">
      <c r="A1565" t="inlineStr">
        <is>
          <t>A 26458-2022</t>
        </is>
      </c>
      <c r="B1565" s="1" t="n">
        <v>44739</v>
      </c>
      <c r="C1565" s="1" t="n">
        <v>46193</v>
      </c>
      <c r="D1565" t="inlineStr">
        <is>
          <t>JÄMTLANDS LÄN</t>
        </is>
      </c>
      <c r="E1565" t="inlineStr">
        <is>
          <t>BRÄCKE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41738-2023</t>
        </is>
      </c>
      <c r="B1566" s="1" t="n">
        <v>45176</v>
      </c>
      <c r="C1566" s="1" t="n">
        <v>46193</v>
      </c>
      <c r="D1566" t="inlineStr">
        <is>
          <t>JÄMTLANDS LÄN</t>
        </is>
      </c>
      <c r="E1566" t="inlineStr">
        <is>
          <t>BRÄCKE</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13414-2026</t>
        </is>
      </c>
      <c r="B1567" s="1" t="n">
        <v>46094</v>
      </c>
      <c r="C1567" s="1" t="n">
        <v>46193</v>
      </c>
      <c r="D1567" t="inlineStr">
        <is>
          <t>JÄMTLANDS LÄN</t>
        </is>
      </c>
      <c r="E1567" t="inlineStr">
        <is>
          <t>BRÄCKE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7027-2022</t>
        </is>
      </c>
      <c r="B1568" s="1" t="n">
        <v>44603</v>
      </c>
      <c r="C1568" s="1" t="n">
        <v>46193</v>
      </c>
      <c r="D1568" t="inlineStr">
        <is>
          <t>JÄMTLANDS LÄN</t>
        </is>
      </c>
      <c r="E1568" t="inlineStr">
        <is>
          <t>BRÄCKE</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45414-2024</t>
        </is>
      </c>
      <c r="B1569" s="1" t="n">
        <v>45576</v>
      </c>
      <c r="C1569" s="1" t="n">
        <v>46193</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54451-2023</t>
        </is>
      </c>
      <c r="B1570" s="1" t="n">
        <v>45233</v>
      </c>
      <c r="C1570" s="1" t="n">
        <v>46193</v>
      </c>
      <c r="D1570" t="inlineStr">
        <is>
          <t>JÄMTLANDS LÄN</t>
        </is>
      </c>
      <c r="E1570" t="inlineStr">
        <is>
          <t>BRÄCKE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13542-2026</t>
        </is>
      </c>
      <c r="B1571" s="1" t="n">
        <v>46094</v>
      </c>
      <c r="C1571" s="1" t="n">
        <v>46193</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13970-2026</t>
        </is>
      </c>
      <c r="B1572" s="1" t="n">
        <v>46098</v>
      </c>
      <c r="C1572" s="1" t="n">
        <v>46193</v>
      </c>
      <c r="D1572" t="inlineStr">
        <is>
          <t>JÄMTLANDS LÄN</t>
        </is>
      </c>
      <c r="E1572" t="inlineStr">
        <is>
          <t>BRÄCKE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33538-2021</t>
        </is>
      </c>
      <c r="B1573" s="1" t="n">
        <v>44377</v>
      </c>
      <c r="C1573" s="1" t="n">
        <v>46193</v>
      </c>
      <c r="D1573" t="inlineStr">
        <is>
          <t>JÄMTLANDS LÄN</t>
        </is>
      </c>
      <c r="E1573" t="inlineStr">
        <is>
          <t>BRÄCKE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13835-2026</t>
        </is>
      </c>
      <c r="B1574" s="1" t="n">
        <v>46098</v>
      </c>
      <c r="C1574" s="1" t="n">
        <v>46193</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20265-2023</t>
        </is>
      </c>
      <c r="B1575" s="1" t="n">
        <v>45055</v>
      </c>
      <c r="C1575" s="1" t="n">
        <v>46193</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22981-2024</t>
        </is>
      </c>
      <c r="B1576" s="1" t="n">
        <v>45449</v>
      </c>
      <c r="C1576" s="1" t="n">
        <v>46193</v>
      </c>
      <c r="D1576" t="inlineStr">
        <is>
          <t>JÄMTLANDS LÄN</t>
        </is>
      </c>
      <c r="E1576" t="inlineStr">
        <is>
          <t>BRÄCKE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14065-2026</t>
        </is>
      </c>
      <c r="B1577" s="1" t="n">
        <v>46099</v>
      </c>
      <c r="C1577" s="1" t="n">
        <v>46193</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14681-2026</t>
        </is>
      </c>
      <c r="B1578" s="1" t="n">
        <v>46101</v>
      </c>
      <c r="C1578" s="1" t="n">
        <v>46193</v>
      </c>
      <c r="D1578" t="inlineStr">
        <is>
          <t>JÄMTLANDS LÄN</t>
        </is>
      </c>
      <c r="E1578" t="inlineStr">
        <is>
          <t>BRÄCKE</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14626-2026</t>
        </is>
      </c>
      <c r="B1579" s="1" t="n">
        <v>46101</v>
      </c>
      <c r="C1579" s="1" t="n">
        <v>46193</v>
      </c>
      <c r="D1579" t="inlineStr">
        <is>
          <t>JÄMTLANDS LÄN</t>
        </is>
      </c>
      <c r="E1579" t="inlineStr">
        <is>
          <t>BRÄCKE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15353-2026</t>
        </is>
      </c>
      <c r="B1580" s="1" t="n">
        <v>46105</v>
      </c>
      <c r="C1580" s="1" t="n">
        <v>46193</v>
      </c>
      <c r="D1580" t="inlineStr">
        <is>
          <t>JÄMTLANDS LÄN</t>
        </is>
      </c>
      <c r="E1580" t="inlineStr">
        <is>
          <t>BRÄCKE</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15214-2026</t>
        </is>
      </c>
      <c r="B1581" s="1" t="n">
        <v>46105</v>
      </c>
      <c r="C1581" s="1" t="n">
        <v>46193</v>
      </c>
      <c r="D1581" t="inlineStr">
        <is>
          <t>JÄMTLANDS LÄN</t>
        </is>
      </c>
      <c r="E1581" t="inlineStr">
        <is>
          <t>BRÄCKE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15653-2026</t>
        </is>
      </c>
      <c r="B1582" s="1" t="n">
        <v>46106</v>
      </c>
      <c r="C1582" s="1" t="n">
        <v>46193</v>
      </c>
      <c r="D1582" t="inlineStr">
        <is>
          <t>JÄMTLANDS LÄN</t>
        </is>
      </c>
      <c r="E1582" t="inlineStr">
        <is>
          <t>BRÄCKE</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15654-2026</t>
        </is>
      </c>
      <c r="B1583" s="1" t="n">
        <v>46106</v>
      </c>
      <c r="C1583" s="1" t="n">
        <v>46193</v>
      </c>
      <c r="D1583" t="inlineStr">
        <is>
          <t>JÄMTLANDS LÄN</t>
        </is>
      </c>
      <c r="E1583" t="inlineStr">
        <is>
          <t>BRÄCKE</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15876-2026</t>
        </is>
      </c>
      <c r="B1584" s="1" t="n">
        <v>46107</v>
      </c>
      <c r="C1584" s="1" t="n">
        <v>46193</v>
      </c>
      <c r="D1584" t="inlineStr">
        <is>
          <t>JÄMTLANDS LÄN</t>
        </is>
      </c>
      <c r="E1584" t="inlineStr">
        <is>
          <t>BRÄCKE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22171-2026</t>
        </is>
      </c>
      <c r="B1585" s="1" t="n">
        <v>46153</v>
      </c>
      <c r="C1585" s="1" t="n">
        <v>46193</v>
      </c>
      <c r="D1585" t="inlineStr">
        <is>
          <t>JÄMTLANDS LÄN</t>
        </is>
      </c>
      <c r="E1585" t="inlineStr">
        <is>
          <t>BRÄCKE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16089-2026</t>
        </is>
      </c>
      <c r="B1586" s="1" t="n">
        <v>46108</v>
      </c>
      <c r="C1586" s="1" t="n">
        <v>46193</v>
      </c>
      <c r="D1586" t="inlineStr">
        <is>
          <t>JÄMTLANDS LÄN</t>
        </is>
      </c>
      <c r="E1586" t="inlineStr">
        <is>
          <t>BRÄCKE</t>
        </is>
      </c>
      <c r="F1586" t="inlineStr">
        <is>
          <t>SCA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22088-2026</t>
        </is>
      </c>
      <c r="B1587" s="1" t="n">
        <v>46153</v>
      </c>
      <c r="C1587" s="1" t="n">
        <v>46193</v>
      </c>
      <c r="D1587" t="inlineStr">
        <is>
          <t>JÄMTLANDS LÄN</t>
        </is>
      </c>
      <c r="E1587" t="inlineStr">
        <is>
          <t>BRÄCKE</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22099-2026</t>
        </is>
      </c>
      <c r="B1588" s="1" t="n">
        <v>46153</v>
      </c>
      <c r="C1588" s="1" t="n">
        <v>46193</v>
      </c>
      <c r="D1588" t="inlineStr">
        <is>
          <t>JÄMTLANDS LÄN</t>
        </is>
      </c>
      <c r="E1588" t="inlineStr">
        <is>
          <t>BRÄCKE</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22118-2026</t>
        </is>
      </c>
      <c r="B1589" s="1" t="n">
        <v>46153</v>
      </c>
      <c r="C1589" s="1" t="n">
        <v>46193</v>
      </c>
      <c r="D1589" t="inlineStr">
        <is>
          <t>JÄMTLANDS LÄN</t>
        </is>
      </c>
      <c r="E1589" t="inlineStr">
        <is>
          <t>BRÄCKE</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22167-2026</t>
        </is>
      </c>
      <c r="B1590" s="1" t="n">
        <v>46153</v>
      </c>
      <c r="C1590" s="1" t="n">
        <v>46193</v>
      </c>
      <c r="D1590" t="inlineStr">
        <is>
          <t>JÄMTLANDS LÄN</t>
        </is>
      </c>
      <c r="E1590" t="inlineStr">
        <is>
          <t>BRÄCKE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22168-2026</t>
        </is>
      </c>
      <c r="B1591" s="1" t="n">
        <v>46153</v>
      </c>
      <c r="C1591" s="1" t="n">
        <v>46193</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16914-2026</t>
        </is>
      </c>
      <c r="B1592" s="1" t="n">
        <v>46113</v>
      </c>
      <c r="C1592" s="1" t="n">
        <v>46193</v>
      </c>
      <c r="D1592" t="inlineStr">
        <is>
          <t>JÄMTLANDS LÄN</t>
        </is>
      </c>
      <c r="E1592" t="inlineStr">
        <is>
          <t>BRÄCKE</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22583-2026</t>
        </is>
      </c>
      <c r="B1593" s="1" t="n">
        <v>46155</v>
      </c>
      <c r="C1593" s="1" t="n">
        <v>46193</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22416-2026</t>
        </is>
      </c>
      <c r="B1594" s="1" t="n">
        <v>46154</v>
      </c>
      <c r="C1594" s="1" t="n">
        <v>46193</v>
      </c>
      <c r="D1594" t="inlineStr">
        <is>
          <t>JÄMTLANDS LÄN</t>
        </is>
      </c>
      <c r="E1594" t="inlineStr">
        <is>
          <t>BRÄCKE</t>
        </is>
      </c>
      <c r="F1594" t="inlineStr">
        <is>
          <t>SCA</t>
        </is>
      </c>
      <c r="G1594" t="n">
        <v>23.9</v>
      </c>
      <c r="H1594" t="n">
        <v>0</v>
      </c>
      <c r="I1594" t="n">
        <v>0</v>
      </c>
      <c r="J1594" t="n">
        <v>0</v>
      </c>
      <c r="K1594" t="n">
        <v>0</v>
      </c>
      <c r="L1594" t="n">
        <v>0</v>
      </c>
      <c r="M1594" t="n">
        <v>0</v>
      </c>
      <c r="N1594" t="n">
        <v>0</v>
      </c>
      <c r="O1594" t="n">
        <v>0</v>
      </c>
      <c r="P1594" t="n">
        <v>0</v>
      </c>
      <c r="Q1594" t="n">
        <v>0</v>
      </c>
      <c r="R1594" s="2" t="inlineStr"/>
    </row>
    <row r="1595" ht="15" customHeight="1">
      <c r="A1595" t="inlineStr">
        <is>
          <t>A 16645-2026</t>
        </is>
      </c>
      <c r="B1595" s="1" t="n">
        <v>46112</v>
      </c>
      <c r="C1595" s="1" t="n">
        <v>46193</v>
      </c>
      <c r="D1595" t="inlineStr">
        <is>
          <t>JÄMTLANDS LÄN</t>
        </is>
      </c>
      <c r="E1595" t="inlineStr">
        <is>
          <t>BRÄCKE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22386-2026</t>
        </is>
      </c>
      <c r="B1596" s="1" t="n">
        <v>46154</v>
      </c>
      <c r="C1596" s="1" t="n">
        <v>46193</v>
      </c>
      <c r="D1596" t="inlineStr">
        <is>
          <t>JÄMTLANDS LÄN</t>
        </is>
      </c>
      <c r="E1596" t="inlineStr">
        <is>
          <t>BRÄCKE</t>
        </is>
      </c>
      <c r="F1596" t="inlineStr">
        <is>
          <t>SCA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22401-2026</t>
        </is>
      </c>
      <c r="B1597" s="1" t="n">
        <v>46154</v>
      </c>
      <c r="C1597" s="1" t="n">
        <v>46193</v>
      </c>
      <c r="D1597" t="inlineStr">
        <is>
          <t>JÄMTLANDS LÄN</t>
        </is>
      </c>
      <c r="E1597" t="inlineStr">
        <is>
          <t>BRÄCKE</t>
        </is>
      </c>
      <c r="F1597" t="inlineStr">
        <is>
          <t>SCA</t>
        </is>
      </c>
      <c r="G1597" t="n">
        <v>30.9</v>
      </c>
      <c r="H1597" t="n">
        <v>0</v>
      </c>
      <c r="I1597" t="n">
        <v>0</v>
      </c>
      <c r="J1597" t="n">
        <v>0</v>
      </c>
      <c r="K1597" t="n">
        <v>0</v>
      </c>
      <c r="L1597" t="n">
        <v>0</v>
      </c>
      <c r="M1597" t="n">
        <v>0</v>
      </c>
      <c r="N1597" t="n">
        <v>0</v>
      </c>
      <c r="O1597" t="n">
        <v>0</v>
      </c>
      <c r="P1597" t="n">
        <v>0</v>
      </c>
      <c r="Q1597" t="n">
        <v>0</v>
      </c>
      <c r="R1597" s="2" t="inlineStr"/>
    </row>
    <row r="1598" ht="15" customHeight="1">
      <c r="A1598" t="inlineStr">
        <is>
          <t>A 16457-2026</t>
        </is>
      </c>
      <c r="B1598" s="1" t="n">
        <v>46112</v>
      </c>
      <c r="C1598" s="1" t="n">
        <v>46193</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22555-2026</t>
        </is>
      </c>
      <c r="B1599" s="1" t="n">
        <v>46155</v>
      </c>
      <c r="C1599" s="1" t="n">
        <v>46193</v>
      </c>
      <c r="D1599" t="inlineStr">
        <is>
          <t>JÄMTLANDS LÄN</t>
        </is>
      </c>
      <c r="E1599" t="inlineStr">
        <is>
          <t>BRÄCKE</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22610-2026</t>
        </is>
      </c>
      <c r="B1600" s="1" t="n">
        <v>46155</v>
      </c>
      <c r="C1600" s="1" t="n">
        <v>46193</v>
      </c>
      <c r="D1600" t="inlineStr">
        <is>
          <t>JÄMTLANDS LÄN</t>
        </is>
      </c>
      <c r="E1600" t="inlineStr">
        <is>
          <t>BRÄCKE</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22596-2026</t>
        </is>
      </c>
      <c r="B1601" s="1" t="n">
        <v>46155</v>
      </c>
      <c r="C1601" s="1" t="n">
        <v>46193</v>
      </c>
      <c r="D1601" t="inlineStr">
        <is>
          <t>JÄMTLANDS LÄN</t>
        </is>
      </c>
      <c r="E1601" t="inlineStr">
        <is>
          <t>BRÄCKE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16838-2026</t>
        </is>
      </c>
      <c r="B1602" s="1" t="n">
        <v>46113</v>
      </c>
      <c r="C1602" s="1" t="n">
        <v>46193</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16923-2026</t>
        </is>
      </c>
      <c r="B1603" s="1" t="n">
        <v>46113</v>
      </c>
      <c r="C1603" s="1" t="n">
        <v>46193</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16927-2026</t>
        </is>
      </c>
      <c r="B1604" s="1" t="n">
        <v>46113</v>
      </c>
      <c r="C1604" s="1" t="n">
        <v>46193</v>
      </c>
      <c r="D1604" t="inlineStr">
        <is>
          <t>JÄMTLANDS LÄN</t>
        </is>
      </c>
      <c r="E1604" t="inlineStr">
        <is>
          <t>BRÄCKE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16917-2026</t>
        </is>
      </c>
      <c r="B1605" s="1" t="n">
        <v>46113</v>
      </c>
      <c r="C1605" s="1" t="n">
        <v>46193</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16921-2026</t>
        </is>
      </c>
      <c r="B1606" s="1" t="n">
        <v>46113</v>
      </c>
      <c r="C1606" s="1" t="n">
        <v>46193</v>
      </c>
      <c r="D1606" t="inlineStr">
        <is>
          <t>JÄMTLANDS LÄN</t>
        </is>
      </c>
      <c r="E1606" t="inlineStr">
        <is>
          <t>BRÄCKE</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16945-2026</t>
        </is>
      </c>
      <c r="B1607" s="1" t="n">
        <v>46113</v>
      </c>
      <c r="C1607" s="1" t="n">
        <v>46193</v>
      </c>
      <c r="D1607" t="inlineStr">
        <is>
          <t>JÄMTLANDS LÄN</t>
        </is>
      </c>
      <c r="E1607" t="inlineStr">
        <is>
          <t>BRÄCKE</t>
        </is>
      </c>
      <c r="G1607" t="n">
        <v>15.8</v>
      </c>
      <c r="H1607" t="n">
        <v>0</v>
      </c>
      <c r="I1607" t="n">
        <v>0</v>
      </c>
      <c r="J1607" t="n">
        <v>0</v>
      </c>
      <c r="K1607" t="n">
        <v>0</v>
      </c>
      <c r="L1607" t="n">
        <v>0</v>
      </c>
      <c r="M1607" t="n">
        <v>0</v>
      </c>
      <c r="N1607" t="n">
        <v>0</v>
      </c>
      <c r="O1607" t="n">
        <v>0</v>
      </c>
      <c r="P1607" t="n">
        <v>0</v>
      </c>
      <c r="Q1607" t="n">
        <v>0</v>
      </c>
      <c r="R1607" s="2" t="inlineStr"/>
    </row>
    <row r="1608" ht="15" customHeight="1">
      <c r="A1608" t="inlineStr">
        <is>
          <t>A 22765-2026</t>
        </is>
      </c>
      <c r="B1608" s="1" t="n">
        <v>46157</v>
      </c>
      <c r="C1608" s="1" t="n">
        <v>46193</v>
      </c>
      <c r="D1608" t="inlineStr">
        <is>
          <t>JÄMTLANDS LÄN</t>
        </is>
      </c>
      <c r="E1608" t="inlineStr">
        <is>
          <t>BRÄCKE</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17005-2026</t>
        </is>
      </c>
      <c r="B1609" s="1" t="n">
        <v>46114</v>
      </c>
      <c r="C1609" s="1" t="n">
        <v>46193</v>
      </c>
      <c r="D1609" t="inlineStr">
        <is>
          <t>JÄMTLANDS LÄN</t>
        </is>
      </c>
      <c r="E1609" t="inlineStr">
        <is>
          <t>BRÄCKE</t>
        </is>
      </c>
      <c r="F1609" t="inlineStr">
        <is>
          <t>SCA</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17053-2026</t>
        </is>
      </c>
      <c r="B1610" s="1" t="n">
        <v>46114</v>
      </c>
      <c r="C1610" s="1" t="n">
        <v>46193</v>
      </c>
      <c r="D1610" t="inlineStr">
        <is>
          <t>JÄMTLANDS LÄN</t>
        </is>
      </c>
      <c r="E1610" t="inlineStr">
        <is>
          <t>BRÄCKE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16988-2026</t>
        </is>
      </c>
      <c r="B1611" s="1" t="n">
        <v>46114</v>
      </c>
      <c r="C1611" s="1" t="n">
        <v>46193</v>
      </c>
      <c r="D1611" t="inlineStr">
        <is>
          <t>JÄMTLANDS LÄN</t>
        </is>
      </c>
      <c r="E1611" t="inlineStr">
        <is>
          <t>BRÄCKE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16987-2026</t>
        </is>
      </c>
      <c r="B1612" s="1" t="n">
        <v>46114</v>
      </c>
      <c r="C1612" s="1" t="n">
        <v>46193</v>
      </c>
      <c r="D1612" t="inlineStr">
        <is>
          <t>JÄMTLANDS LÄN</t>
        </is>
      </c>
      <c r="E1612" t="inlineStr">
        <is>
          <t>BRÄCKE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17066-2026</t>
        </is>
      </c>
      <c r="B1613" s="1" t="n">
        <v>46114</v>
      </c>
      <c r="C1613" s="1" t="n">
        <v>46193</v>
      </c>
      <c r="D1613" t="inlineStr">
        <is>
          <t>JÄMTLANDS LÄN</t>
        </is>
      </c>
      <c r="E1613" t="inlineStr">
        <is>
          <t>BRÄCKE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16946-2026</t>
        </is>
      </c>
      <c r="B1614" s="1" t="n">
        <v>46113</v>
      </c>
      <c r="C1614" s="1" t="n">
        <v>46193</v>
      </c>
      <c r="D1614" t="inlineStr">
        <is>
          <t>JÄMTLANDS LÄN</t>
        </is>
      </c>
      <c r="E1614" t="inlineStr">
        <is>
          <t>BRÄCKE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17302-2026</t>
        </is>
      </c>
      <c r="B1615" s="1" t="n">
        <v>46119</v>
      </c>
      <c r="C1615" s="1" t="n">
        <v>46193</v>
      </c>
      <c r="D1615" t="inlineStr">
        <is>
          <t>JÄMTLANDS LÄN</t>
        </is>
      </c>
      <c r="E1615" t="inlineStr">
        <is>
          <t>BRÄCKE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23043-2026</t>
        </is>
      </c>
      <c r="B1616" s="1" t="n">
        <v>46161</v>
      </c>
      <c r="C1616" s="1" t="n">
        <v>46193</v>
      </c>
      <c r="D1616" t="inlineStr">
        <is>
          <t>JÄMTLANDS LÄN</t>
        </is>
      </c>
      <c r="E1616" t="inlineStr">
        <is>
          <t>BRÄCKE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22999-2026</t>
        </is>
      </c>
      <c r="B1617" s="1" t="n">
        <v>46160</v>
      </c>
      <c r="C1617" s="1" t="n">
        <v>46193</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23000-2026</t>
        </is>
      </c>
      <c r="B1618" s="1" t="n">
        <v>46160</v>
      </c>
      <c r="C1618" s="1" t="n">
        <v>46193</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23589-2026</t>
        </is>
      </c>
      <c r="B1619" s="1" t="n">
        <v>46163</v>
      </c>
      <c r="C1619" s="1" t="n">
        <v>46193</v>
      </c>
      <c r="D1619" t="inlineStr">
        <is>
          <t>JÄMTLANDS LÄN</t>
        </is>
      </c>
      <c r="E1619" t="inlineStr">
        <is>
          <t>BRÄCKE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23508-2026</t>
        </is>
      </c>
      <c r="B1620" s="1" t="n">
        <v>46163</v>
      </c>
      <c r="C1620" s="1" t="n">
        <v>46193</v>
      </c>
      <c r="D1620" t="inlineStr">
        <is>
          <t>JÄMTLANDS LÄN</t>
        </is>
      </c>
      <c r="E1620" t="inlineStr">
        <is>
          <t>BRÄCKE</t>
        </is>
      </c>
      <c r="F1620" t="inlineStr">
        <is>
          <t>SCA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17597-2026</t>
        </is>
      </c>
      <c r="B1621" s="1" t="n">
        <v>46121</v>
      </c>
      <c r="C1621" s="1" t="n">
        <v>46193</v>
      </c>
      <c r="D1621" t="inlineStr">
        <is>
          <t>JÄMTLANDS LÄN</t>
        </is>
      </c>
      <c r="E1621" t="inlineStr">
        <is>
          <t>BRÄCKE</t>
        </is>
      </c>
      <c r="F1621" t="inlineStr">
        <is>
          <t>SCA</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17424-2026</t>
        </is>
      </c>
      <c r="B1622" s="1" t="n">
        <v>46120</v>
      </c>
      <c r="C1622" s="1" t="n">
        <v>46193</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17429-2026</t>
        </is>
      </c>
      <c r="B1623" s="1" t="n">
        <v>46120</v>
      </c>
      <c r="C1623" s="1" t="n">
        <v>46193</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23657-2026</t>
        </is>
      </c>
      <c r="B1624" s="1" t="n">
        <v>46164</v>
      </c>
      <c r="C1624" s="1" t="n">
        <v>46193</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23781-2026</t>
        </is>
      </c>
      <c r="B1625" s="1" t="n">
        <v>46164</v>
      </c>
      <c r="C1625" s="1" t="n">
        <v>46193</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23648-2026</t>
        </is>
      </c>
      <c r="B1626" s="1" t="n">
        <v>46164</v>
      </c>
      <c r="C1626" s="1" t="n">
        <v>46193</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23784-2026</t>
        </is>
      </c>
      <c r="B1627" s="1" t="n">
        <v>46164</v>
      </c>
      <c r="C1627" s="1" t="n">
        <v>46193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23069-2026</t>
        </is>
      </c>
      <c r="B1628" s="1" t="n">
        <v>46161</v>
      </c>
      <c r="C1628" s="1" t="n">
        <v>46193</v>
      </c>
      <c r="D1628" t="inlineStr">
        <is>
          <t>JÄMTLANDS LÄN</t>
        </is>
      </c>
      <c r="E1628" t="inlineStr">
        <is>
          <t>BRÄCKE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23865-2026</t>
        </is>
      </c>
      <c r="B1629" s="1" t="n">
        <v>46167</v>
      </c>
      <c r="C1629" s="1" t="n">
        <v>46193</v>
      </c>
      <c r="D1629" t="inlineStr">
        <is>
          <t>JÄMTLANDS LÄN</t>
        </is>
      </c>
      <c r="E1629" t="inlineStr">
        <is>
          <t>BRÄCKE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24384-2026</t>
        </is>
      </c>
      <c r="B1630" s="1" t="n">
        <v>46169</v>
      </c>
      <c r="C1630" s="1" t="n">
        <v>46193</v>
      </c>
      <c r="D1630" t="inlineStr">
        <is>
          <t>JÄMTLANDS LÄN</t>
        </is>
      </c>
      <c r="E1630" t="inlineStr">
        <is>
          <t>BRÄCKE</t>
        </is>
      </c>
      <c r="F1630" t="inlineStr">
        <is>
          <t>SCA</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24385-2026</t>
        </is>
      </c>
      <c r="B1631" s="1" t="n">
        <v>46169</v>
      </c>
      <c r="C1631" s="1" t="n">
        <v>46193</v>
      </c>
      <c r="D1631" t="inlineStr">
        <is>
          <t>JÄMTLANDS LÄN</t>
        </is>
      </c>
      <c r="E1631" t="inlineStr">
        <is>
          <t>BRÄCKE</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18594-2026</t>
        </is>
      </c>
      <c r="B1632" s="1" t="n">
        <v>46127</v>
      </c>
      <c r="C1632" s="1" t="n">
        <v>46193</v>
      </c>
      <c r="D1632" t="inlineStr">
        <is>
          <t>JÄMTLANDS LÄN</t>
        </is>
      </c>
      <c r="E1632" t="inlineStr">
        <is>
          <t>BRÄCKE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24181-2026</t>
        </is>
      </c>
      <c r="B1633" s="1" t="n">
        <v>46168</v>
      </c>
      <c r="C1633" s="1" t="n">
        <v>46193</v>
      </c>
      <c r="D1633" t="inlineStr">
        <is>
          <t>JÄMTLANDS LÄN</t>
        </is>
      </c>
      <c r="E1633" t="inlineStr">
        <is>
          <t>BRÄCKE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18394-2026</t>
        </is>
      </c>
      <c r="B1634" s="1" t="n">
        <v>46126</v>
      </c>
      <c r="C1634" s="1" t="n">
        <v>46193</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24326-2026</t>
        </is>
      </c>
      <c r="B1635" s="1" t="n">
        <v>46169</v>
      </c>
      <c r="C1635" s="1" t="n">
        <v>46193</v>
      </c>
      <c r="D1635" t="inlineStr">
        <is>
          <t>JÄMTLANDS LÄN</t>
        </is>
      </c>
      <c r="E1635" t="inlineStr">
        <is>
          <t>BRÄCKE</t>
        </is>
      </c>
      <c r="F1635" t="inlineStr">
        <is>
          <t>SCA</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24387-2026</t>
        </is>
      </c>
      <c r="B1636" s="1" t="n">
        <v>46169</v>
      </c>
      <c r="C1636" s="1" t="n">
        <v>46193</v>
      </c>
      <c r="D1636" t="inlineStr">
        <is>
          <t>JÄMTLANDS LÄN</t>
        </is>
      </c>
      <c r="E1636" t="inlineStr">
        <is>
          <t>BRÄCKE</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24102-2026</t>
        </is>
      </c>
      <c r="B1637" s="1" t="n">
        <v>46168</v>
      </c>
      <c r="C1637" s="1" t="n">
        <v>46193</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24263-2026</t>
        </is>
      </c>
      <c r="B1638" s="1" t="n">
        <v>46169</v>
      </c>
      <c r="C1638" s="1" t="n">
        <v>46193</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24368-2026</t>
        </is>
      </c>
      <c r="B1639" s="1" t="n">
        <v>46169</v>
      </c>
      <c r="C1639" s="1" t="n">
        <v>46193</v>
      </c>
      <c r="D1639" t="inlineStr">
        <is>
          <t>JÄMTLANDS LÄN</t>
        </is>
      </c>
      <c r="E1639" t="inlineStr">
        <is>
          <t>BRÄCKE</t>
        </is>
      </c>
      <c r="F1639" t="inlineStr">
        <is>
          <t>SCA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24211-2026</t>
        </is>
      </c>
      <c r="B1640" s="1" t="n">
        <v>46168</v>
      </c>
      <c r="C1640" s="1" t="n">
        <v>46193</v>
      </c>
      <c r="D1640" t="inlineStr">
        <is>
          <t>JÄMTLANDS LÄN</t>
        </is>
      </c>
      <c r="E1640" t="inlineStr">
        <is>
          <t>BRÄCKE</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24060-2026</t>
        </is>
      </c>
      <c r="B1641" s="1" t="n">
        <v>46168</v>
      </c>
      <c r="C1641" s="1" t="n">
        <v>46193</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24645-2026</t>
        </is>
      </c>
      <c r="B1642" s="1" t="n">
        <v>46171</v>
      </c>
      <c r="C1642" s="1" t="n">
        <v>46193</v>
      </c>
      <c r="D1642" t="inlineStr">
        <is>
          <t>JÄMTLANDS LÄN</t>
        </is>
      </c>
      <c r="E1642" t="inlineStr">
        <is>
          <t>BRÄCKE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23724-2026</t>
        </is>
      </c>
      <c r="B1643" s="1" t="n">
        <v>46164</v>
      </c>
      <c r="C1643" s="1" t="n">
        <v>46193</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24756-2026</t>
        </is>
      </c>
      <c r="B1644" s="1" t="n">
        <v>46171</v>
      </c>
      <c r="C1644" s="1" t="n">
        <v>46193</v>
      </c>
      <c r="D1644" t="inlineStr">
        <is>
          <t>JÄMTLANDS LÄN</t>
        </is>
      </c>
      <c r="E1644" t="inlineStr">
        <is>
          <t>BRÄCKE</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24643-2026</t>
        </is>
      </c>
      <c r="B1645" s="1" t="n">
        <v>46171</v>
      </c>
      <c r="C1645" s="1" t="n">
        <v>46193</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24999-2026</t>
        </is>
      </c>
      <c r="B1646" s="1" t="n">
        <v>46174</v>
      </c>
      <c r="C1646" s="1" t="n">
        <v>46193</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25000-2026</t>
        </is>
      </c>
      <c r="B1647" s="1" t="n">
        <v>46174</v>
      </c>
      <c r="C1647" s="1" t="n">
        <v>46193</v>
      </c>
      <c r="D1647" t="inlineStr">
        <is>
          <t>JÄMTLANDS LÄN</t>
        </is>
      </c>
      <c r="E1647" t="inlineStr">
        <is>
          <t>BRÄCKE</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24746-2026</t>
        </is>
      </c>
      <c r="B1648" s="1" t="n">
        <v>46171</v>
      </c>
      <c r="C1648" s="1" t="n">
        <v>46193</v>
      </c>
      <c r="D1648" t="inlineStr">
        <is>
          <t>JÄMTLANDS LÄN</t>
        </is>
      </c>
      <c r="E1648" t="inlineStr">
        <is>
          <t>BRÄCKE</t>
        </is>
      </c>
      <c r="F1648" t="inlineStr">
        <is>
          <t>SCA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19119-2026</t>
        </is>
      </c>
      <c r="B1649" s="1" t="n">
        <v>46132</v>
      </c>
      <c r="C1649" s="1" t="n">
        <v>46193</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24630-2026</t>
        </is>
      </c>
      <c r="B1650" s="1" t="n">
        <v>46171</v>
      </c>
      <c r="C1650" s="1" t="n">
        <v>46193</v>
      </c>
      <c r="D1650" t="inlineStr">
        <is>
          <t>JÄMTLANDS LÄN</t>
        </is>
      </c>
      <c r="E1650" t="inlineStr">
        <is>
          <t>BRÄCKE</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24582-2026</t>
        </is>
      </c>
      <c r="B1651" s="1" t="n">
        <v>46170</v>
      </c>
      <c r="C1651" s="1" t="n">
        <v>46193</v>
      </c>
      <c r="D1651" t="inlineStr">
        <is>
          <t>JÄMTLANDS LÄN</t>
        </is>
      </c>
      <c r="E1651" t="inlineStr">
        <is>
          <t>BRÄCKE</t>
        </is>
      </c>
      <c r="F1651" t="inlineStr">
        <is>
          <t>SCA</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24585-2026</t>
        </is>
      </c>
      <c r="B1652" s="1" t="n">
        <v>46170</v>
      </c>
      <c r="C1652" s="1" t="n">
        <v>46193</v>
      </c>
      <c r="D1652" t="inlineStr">
        <is>
          <t>JÄMTLANDS LÄN</t>
        </is>
      </c>
      <c r="E1652" t="inlineStr">
        <is>
          <t>BRÄCKE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25252-2026</t>
        </is>
      </c>
      <c r="B1653" s="1" t="n">
        <v>46175</v>
      </c>
      <c r="C1653" s="1" t="n">
        <v>46193</v>
      </c>
      <c r="D1653" t="inlineStr">
        <is>
          <t>JÄMTLANDS LÄN</t>
        </is>
      </c>
      <c r="E1653" t="inlineStr">
        <is>
          <t>BRÄCKE</t>
        </is>
      </c>
      <c r="F1653" t="inlineStr">
        <is>
          <t>Kyrkan</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25299-2026</t>
        </is>
      </c>
      <c r="B1654" s="1" t="n">
        <v>46176</v>
      </c>
      <c r="C1654" s="1" t="n">
        <v>46193</v>
      </c>
      <c r="D1654" t="inlineStr">
        <is>
          <t>JÄMTLANDS LÄN</t>
        </is>
      </c>
      <c r="E1654" t="inlineStr">
        <is>
          <t>BRÄCKE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25298-2026</t>
        </is>
      </c>
      <c r="B1655" s="1" t="n">
        <v>46176</v>
      </c>
      <c r="C1655" s="1" t="n">
        <v>46193</v>
      </c>
      <c r="D1655" t="inlineStr">
        <is>
          <t>JÄMTLANDS LÄN</t>
        </is>
      </c>
      <c r="E1655" t="inlineStr">
        <is>
          <t>BRÄCKE</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19287-2026</t>
        </is>
      </c>
      <c r="B1656" s="1" t="n">
        <v>46133</v>
      </c>
      <c r="C1656" s="1" t="n">
        <v>46193</v>
      </c>
      <c r="D1656" t="inlineStr">
        <is>
          <t>JÄMTLANDS LÄN</t>
        </is>
      </c>
      <c r="E1656" t="inlineStr">
        <is>
          <t>BRÄCKE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19365-2026</t>
        </is>
      </c>
      <c r="B1657" s="1" t="n">
        <v>46133</v>
      </c>
      <c r="C1657" s="1" t="n">
        <v>46193</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19571-2026</t>
        </is>
      </c>
      <c r="B1658" s="1" t="n">
        <v>46134</v>
      </c>
      <c r="C1658" s="1" t="n">
        <v>46193</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19389-2026</t>
        </is>
      </c>
      <c r="B1659" s="1" t="n">
        <v>46133</v>
      </c>
      <c r="C1659" s="1" t="n">
        <v>46193</v>
      </c>
      <c r="D1659" t="inlineStr">
        <is>
          <t>JÄMTLANDS LÄN</t>
        </is>
      </c>
      <c r="E1659" t="inlineStr">
        <is>
          <t>BRÄCKE</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25350-2026</t>
        </is>
      </c>
      <c r="B1660" s="1" t="n">
        <v>46176</v>
      </c>
      <c r="C1660" s="1" t="n">
        <v>46193</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25553-2026</t>
        </is>
      </c>
      <c r="B1661" s="1" t="n">
        <v>46177</v>
      </c>
      <c r="C1661" s="1" t="n">
        <v>46193</v>
      </c>
      <c r="D1661" t="inlineStr">
        <is>
          <t>JÄMTLANDS LÄN</t>
        </is>
      </c>
      <c r="E1661" t="inlineStr">
        <is>
          <t>BRÄCKE</t>
        </is>
      </c>
      <c r="F1661" t="inlineStr">
        <is>
          <t>SCA</t>
        </is>
      </c>
      <c r="G1661" t="n">
        <v>13.5</v>
      </c>
      <c r="H1661" t="n">
        <v>0</v>
      </c>
      <c r="I1661" t="n">
        <v>0</v>
      </c>
      <c r="J1661" t="n">
        <v>0</v>
      </c>
      <c r="K1661" t="n">
        <v>0</v>
      </c>
      <c r="L1661" t="n">
        <v>0</v>
      </c>
      <c r="M1661" t="n">
        <v>0</v>
      </c>
      <c r="N1661" t="n">
        <v>0</v>
      </c>
      <c r="O1661" t="n">
        <v>0</v>
      </c>
      <c r="P1661" t="n">
        <v>0</v>
      </c>
      <c r="Q1661" t="n">
        <v>0</v>
      </c>
      <c r="R1661" s="2" t="inlineStr"/>
    </row>
    <row r="1662" ht="15" customHeight="1">
      <c r="A1662" t="inlineStr">
        <is>
          <t>A 25807-2026</t>
        </is>
      </c>
      <c r="B1662" s="1" t="n">
        <v>46178</v>
      </c>
      <c r="C1662" s="1" t="n">
        <v>46193</v>
      </c>
      <c r="D1662" t="inlineStr">
        <is>
          <t>JÄMTLANDS LÄN</t>
        </is>
      </c>
      <c r="E1662" t="inlineStr">
        <is>
          <t>BRÄCKE</t>
        </is>
      </c>
      <c r="F1662" t="inlineStr">
        <is>
          <t>SCA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25631-2026</t>
        </is>
      </c>
      <c r="B1663" s="1" t="n">
        <v>46177</v>
      </c>
      <c r="C1663" s="1" t="n">
        <v>46193</v>
      </c>
      <c r="D1663" t="inlineStr">
        <is>
          <t>JÄMTLANDS LÄN</t>
        </is>
      </c>
      <c r="E1663" t="inlineStr">
        <is>
          <t>BRÄCKE</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19761-2026</t>
        </is>
      </c>
      <c r="B1664" s="1" t="n">
        <v>46135</v>
      </c>
      <c r="C1664" s="1" t="n">
        <v>46193</v>
      </c>
      <c r="D1664" t="inlineStr">
        <is>
          <t>JÄMTLANDS LÄN</t>
        </is>
      </c>
      <c r="E1664" t="inlineStr">
        <is>
          <t>BRÄCKE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25742-2026</t>
        </is>
      </c>
      <c r="B1665" s="1" t="n">
        <v>46178</v>
      </c>
      <c r="C1665" s="1" t="n">
        <v>46193</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19913-2026</t>
        </is>
      </c>
      <c r="B1666" s="1" t="n">
        <v>46136</v>
      </c>
      <c r="C1666" s="1" t="n">
        <v>46193</v>
      </c>
      <c r="D1666" t="inlineStr">
        <is>
          <t>JÄMTLANDS LÄN</t>
        </is>
      </c>
      <c r="E1666" t="inlineStr">
        <is>
          <t>BRÄCKE</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25464-2026</t>
        </is>
      </c>
      <c r="B1667" s="1" t="n">
        <v>46177</v>
      </c>
      <c r="C1667" s="1" t="n">
        <v>46193</v>
      </c>
      <c r="D1667" t="inlineStr">
        <is>
          <t>JÄMTLANDS LÄN</t>
        </is>
      </c>
      <c r="E1667" t="inlineStr">
        <is>
          <t>BRÄCKE</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25463-2026</t>
        </is>
      </c>
      <c r="B1668" s="1" t="n">
        <v>46177</v>
      </c>
      <c r="C1668" s="1" t="n">
        <v>46193</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19757-2026</t>
        </is>
      </c>
      <c r="B1669" s="1" t="n">
        <v>46135</v>
      </c>
      <c r="C1669" s="1" t="n">
        <v>46193</v>
      </c>
      <c r="D1669" t="inlineStr">
        <is>
          <t>JÄMTLANDS LÄN</t>
        </is>
      </c>
      <c r="E1669" t="inlineStr">
        <is>
          <t>BRÄCKE</t>
        </is>
      </c>
      <c r="F1669" t="inlineStr">
        <is>
          <t>SCA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35908-2025</t>
        </is>
      </c>
      <c r="B1670" s="1" t="n">
        <v>45862</v>
      </c>
      <c r="C1670" s="1" t="n">
        <v>46193</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52022-2022</t>
        </is>
      </c>
      <c r="B1671" s="1" t="n">
        <v>44872</v>
      </c>
      <c r="C1671" s="1" t="n">
        <v>46193</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55478-2024</t>
        </is>
      </c>
      <c r="B1672" s="1" t="n">
        <v>45622</v>
      </c>
      <c r="C1672" s="1" t="n">
        <v>46193</v>
      </c>
      <c r="D1672" t="inlineStr">
        <is>
          <t>JÄMTLANDS LÄN</t>
        </is>
      </c>
      <c r="E1672" t="inlineStr">
        <is>
          <t>BRÄCKE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41368-2025</t>
        </is>
      </c>
      <c r="B1673" s="1" t="n">
        <v>45900</v>
      </c>
      <c r="C1673" s="1" t="n">
        <v>46193</v>
      </c>
      <c r="D1673" t="inlineStr">
        <is>
          <t>JÄMTLANDS LÄN</t>
        </is>
      </c>
      <c r="E1673" t="inlineStr">
        <is>
          <t>BRÄCKE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38956-2021</t>
        </is>
      </c>
      <c r="B1674" s="1" t="n">
        <v>44411</v>
      </c>
      <c r="C1674" s="1" t="n">
        <v>46193</v>
      </c>
      <c r="D1674" t="inlineStr">
        <is>
          <t>JÄMTLANDS LÄN</t>
        </is>
      </c>
      <c r="E1674" t="inlineStr">
        <is>
          <t>BRÄCKE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15779-2025</t>
        </is>
      </c>
      <c r="B1675" s="1" t="n">
        <v>45748</v>
      </c>
      <c r="C1675" s="1" t="n">
        <v>46193</v>
      </c>
      <c r="D1675" t="inlineStr">
        <is>
          <t>JÄMTLANDS LÄN</t>
        </is>
      </c>
      <c r="E1675" t="inlineStr">
        <is>
          <t>BRÄCKE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26736-2025</t>
        </is>
      </c>
      <c r="B1676" s="1" t="n">
        <v>45810</v>
      </c>
      <c r="C1676" s="1" t="n">
        <v>46193</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40757-2025</t>
        </is>
      </c>
      <c r="B1677" s="1" t="n">
        <v>45897</v>
      </c>
      <c r="C1677" s="1" t="n">
        <v>46193</v>
      </c>
      <c r="D1677" t="inlineStr">
        <is>
          <t>JÄMTLANDS LÄN</t>
        </is>
      </c>
      <c r="E1677" t="inlineStr">
        <is>
          <t>BRÄCKE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37423-2025</t>
        </is>
      </c>
      <c r="B1678" s="1" t="n">
        <v>45877</v>
      </c>
      <c r="C1678" s="1" t="n">
        <v>46193</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13095-2025</t>
        </is>
      </c>
      <c r="B1679" s="1" t="n">
        <v>45734</v>
      </c>
      <c r="C1679" s="1" t="n">
        <v>46193</v>
      </c>
      <c r="D1679" t="inlineStr">
        <is>
          <t>JÄMTLANDS LÄN</t>
        </is>
      </c>
      <c r="E1679" t="inlineStr">
        <is>
          <t>BRÄCKE</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14548-2026</t>
        </is>
      </c>
      <c r="B1680" s="1" t="n">
        <v>46100</v>
      </c>
      <c r="C1680" s="1" t="n">
        <v>46193</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52723-2023</t>
        </is>
      </c>
      <c r="B1681" s="1" t="n">
        <v>45225</v>
      </c>
      <c r="C1681" s="1" t="n">
        <v>46193</v>
      </c>
      <c r="D1681" t="inlineStr">
        <is>
          <t>JÄMTLANDS LÄN</t>
        </is>
      </c>
      <c r="E1681" t="inlineStr">
        <is>
          <t>BRÄCKE</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52760-2023</t>
        </is>
      </c>
      <c r="B1682" s="1" t="n">
        <v>45225</v>
      </c>
      <c r="C1682" s="1" t="n">
        <v>46193</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20436-2026</t>
        </is>
      </c>
      <c r="B1683" s="1" t="n">
        <v>46140</v>
      </c>
      <c r="C1683" s="1" t="n">
        <v>46193</v>
      </c>
      <c r="D1683" t="inlineStr">
        <is>
          <t>JÄMTLANDS LÄN</t>
        </is>
      </c>
      <c r="E1683" t="inlineStr">
        <is>
          <t>BRÄCKE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45971-2025</t>
        </is>
      </c>
      <c r="B1684" s="1" t="n">
        <v>45924</v>
      </c>
      <c r="C1684" s="1" t="n">
        <v>46193</v>
      </c>
      <c r="D1684" t="inlineStr">
        <is>
          <t>JÄMTLANDS LÄN</t>
        </is>
      </c>
      <c r="E1684" t="inlineStr">
        <is>
          <t>BRÄCKE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26312-2026</t>
        </is>
      </c>
      <c r="B1685" s="1" t="n">
        <v>46182</v>
      </c>
      <c r="C1685" s="1" t="n">
        <v>46193</v>
      </c>
      <c r="D1685" t="inlineStr">
        <is>
          <t>JÄMTLANDS LÄN</t>
        </is>
      </c>
      <c r="E1685" t="inlineStr">
        <is>
          <t>BRÄCKE</t>
        </is>
      </c>
      <c r="F1685" t="inlineStr">
        <is>
          <t>SCA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26315-2026</t>
        </is>
      </c>
      <c r="B1686" s="1" t="n">
        <v>46182</v>
      </c>
      <c r="C1686" s="1" t="n">
        <v>46193</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20374-2026</t>
        </is>
      </c>
      <c r="B1687" s="1" t="n">
        <v>46139</v>
      </c>
      <c r="C1687" s="1" t="n">
        <v>46193</v>
      </c>
      <c r="D1687" t="inlineStr">
        <is>
          <t>JÄMTLANDS LÄN</t>
        </is>
      </c>
      <c r="E1687" t="inlineStr">
        <is>
          <t>BRÄCKE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51204-2025</t>
        </is>
      </c>
      <c r="B1688" s="1" t="n">
        <v>45947</v>
      </c>
      <c r="C1688" s="1" t="n">
        <v>46193</v>
      </c>
      <c r="D1688" t="inlineStr">
        <is>
          <t>JÄMTLANDS LÄN</t>
        </is>
      </c>
      <c r="E1688" t="inlineStr">
        <is>
          <t>BRÄCKE</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60954-2023</t>
        </is>
      </c>
      <c r="B1689" s="1" t="n">
        <v>45261</v>
      </c>
      <c r="C1689" s="1" t="n">
        <v>46193</v>
      </c>
      <c r="D1689" t="inlineStr">
        <is>
          <t>JÄMTLANDS LÄN</t>
        </is>
      </c>
      <c r="E1689" t="inlineStr">
        <is>
          <t>BRÄCKE</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24454-2025</t>
        </is>
      </c>
      <c r="B1690" s="1" t="n">
        <v>45798</v>
      </c>
      <c r="C1690" s="1" t="n">
        <v>46193</v>
      </c>
      <c r="D1690" t="inlineStr">
        <is>
          <t>JÄMTLANDS LÄN</t>
        </is>
      </c>
      <c r="E1690" t="inlineStr">
        <is>
          <t>BRÄCKE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38328-2025</t>
        </is>
      </c>
      <c r="B1691" s="1" t="n">
        <v>45883</v>
      </c>
      <c r="C1691" s="1" t="n">
        <v>46193</v>
      </c>
      <c r="D1691" t="inlineStr">
        <is>
          <t>JÄMTLANDS LÄN</t>
        </is>
      </c>
      <c r="E1691" t="inlineStr">
        <is>
          <t>BRÄCKE</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38329-2025</t>
        </is>
      </c>
      <c r="B1692" s="1" t="n">
        <v>45883</v>
      </c>
      <c r="C1692" s="1" t="n">
        <v>46193</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31668-2025</t>
        </is>
      </c>
      <c r="B1693" s="1" t="n">
        <v>45834</v>
      </c>
      <c r="C1693" s="1" t="n">
        <v>46193</v>
      </c>
      <c r="D1693" t="inlineStr">
        <is>
          <t>JÄMTLANDS LÄN</t>
        </is>
      </c>
      <c r="E1693" t="inlineStr">
        <is>
          <t>BRÄCKE</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20256-2026</t>
        </is>
      </c>
      <c r="B1694" s="1" t="n">
        <v>46139</v>
      </c>
      <c r="C1694" s="1" t="n">
        <v>46193</v>
      </c>
      <c r="D1694" t="inlineStr">
        <is>
          <t>JÄMTLANDS LÄN</t>
        </is>
      </c>
      <c r="E1694" t="inlineStr">
        <is>
          <t>BRÄCKE</t>
        </is>
      </c>
      <c r="F1694" t="inlineStr">
        <is>
          <t>SCA</t>
        </is>
      </c>
      <c r="G1694" t="n">
        <v>3.5</v>
      </c>
      <c r="H1694" t="n">
        <v>0</v>
      </c>
      <c r="I1694" t="n">
        <v>0</v>
      </c>
      <c r="J1694" t="n">
        <v>0</v>
      </c>
      <c r="K1694" t="n">
        <v>0</v>
      </c>
      <c r="L1694" t="n">
        <v>0</v>
      </c>
      <c r="M1694" t="n">
        <v>0</v>
      </c>
      <c r="N1694" t="n">
        <v>0</v>
      </c>
      <c r="O1694" t="n">
        <v>0</v>
      </c>
      <c r="P1694" t="n">
        <v>0</v>
      </c>
      <c r="Q1694" t="n">
        <v>0</v>
      </c>
      <c r="R1694" s="2" t="inlineStr"/>
    </row>
    <row r="1695">
      <c r="A1695" t="inlineStr">
        <is>
          <t>A 54642-2025</t>
        </is>
      </c>
      <c r="B1695" s="1" t="n">
        <v>45966</v>
      </c>
      <c r="C1695" s="1" t="n">
        <v>46193</v>
      </c>
      <c r="D1695" t="inlineStr">
        <is>
          <t>JÄMTLANDS LÄN</t>
        </is>
      </c>
      <c r="E1695" t="inlineStr">
        <is>
          <t>BRÄCKE</t>
        </is>
      </c>
      <c r="G1695" t="n">
        <v>4.2</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2026-06-20T00:45:25Z</dcterms:created>
  <dcterms:modified xmlns:dcterms="http://purl.org/dc/terms/" xmlns:xsi="http://www.w3.org/2001/XMLSchema-instance" xsi:type="dcterms:W3CDTF">2026-06-20T00:45:27Z</dcterms:modified>
</cp:coreProperties>
</file>