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45701</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45701</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45701</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45701</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45701</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45701</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45701</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45701</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45701</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45701</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45701</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45701</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45701</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45701</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45701</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45701</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45701</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45701</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45701</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45701</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45701</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45701</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45701</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45701</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45701</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45701</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45701</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45701</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45701</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45701</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45701</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45701</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45701</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45701</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45701</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45701</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45701</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45701</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45701</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45701</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45701</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45701</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45701</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45701</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45701</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45701</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45701</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45701</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45701</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45701</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45701</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45701</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45701</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45701</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45701</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45701</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45701</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45701</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45701</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45701</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45701</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45701</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45701</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45701</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45701</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45701</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45701</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45701</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45701</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45701</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45701</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45701</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45701</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45701</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45701</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45701</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45701</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45701</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45701</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45701</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45701</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45701</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45701</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45701</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45701</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45701</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45701</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45701</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45701</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45701</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45701</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45701</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45701</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45701</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45701</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45701</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45701</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45701</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45701</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45701</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45701</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45701</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45701</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45701</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45701</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45701</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45701</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45701</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45701</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45701</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45701</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45701</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45701</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45701</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45701</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45701</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45701</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45701</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45701</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45701</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45701</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45701</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45701</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45701</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45701</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45701</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45701</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45701</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45701</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45701</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45701</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45701</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45701</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45701</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45701</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45701</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45701</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45701</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45701</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45701</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45701</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45701</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45701</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45701</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45701</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45701</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45701</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45701</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45701</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45701</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45701</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45701</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45701</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45701</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45701</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45701</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45701</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45701</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2298-2025</t>
        </is>
      </c>
      <c r="B178" s="1" t="n">
        <v>45673</v>
      </c>
      <c r="C178" s="1" t="n">
        <v>45701</v>
      </c>
      <c r="D178" t="inlineStr">
        <is>
          <t>JÄMTLANDS LÄN</t>
        </is>
      </c>
      <c r="E178" t="inlineStr">
        <is>
          <t>BRÄCKE</t>
        </is>
      </c>
      <c r="F178" t="inlineStr">
        <is>
          <t>SCA</t>
        </is>
      </c>
      <c r="G178" t="n">
        <v>8.300000000000001</v>
      </c>
      <c r="H178" t="n">
        <v>0</v>
      </c>
      <c r="I178" t="n">
        <v>0</v>
      </c>
      <c r="J178" t="n">
        <v>2</v>
      </c>
      <c r="K178" t="n">
        <v>1</v>
      </c>
      <c r="L178" t="n">
        <v>0</v>
      </c>
      <c r="M178" t="n">
        <v>0</v>
      </c>
      <c r="N178" t="n">
        <v>0</v>
      </c>
      <c r="O178" t="n">
        <v>3</v>
      </c>
      <c r="P178" t="n">
        <v>1</v>
      </c>
      <c r="Q178" t="n">
        <v>3</v>
      </c>
      <c r="R178" s="2" t="inlineStr">
        <is>
          <t>Rynkskinn
Granticka
Vaddporing</t>
        </is>
      </c>
      <c r="S178">
        <f>HYPERLINK("https://klasma.github.io/Logging_2305/artfynd/A 2298-2025 artfynd.xlsx", "A 2298-2025")</f>
        <v/>
      </c>
      <c r="T178">
        <f>HYPERLINK("https://klasma.github.io/Logging_2305/kartor/A 2298-2025 karta.png", "A 2298-2025")</f>
        <v/>
      </c>
      <c r="V178">
        <f>HYPERLINK("https://klasma.github.io/Logging_2305/klagomål/A 2298-2025 FSC-klagomål.docx", "A 2298-2025")</f>
        <v/>
      </c>
      <c r="W178">
        <f>HYPERLINK("https://klasma.github.io/Logging_2305/klagomålsmail/A 2298-2025 FSC-klagomål mail.docx", "A 2298-2025")</f>
        <v/>
      </c>
      <c r="X178">
        <f>HYPERLINK("https://klasma.github.io/Logging_2305/tillsyn/A 2298-2025 tillsynsbegäran.docx", "A 2298-2025")</f>
        <v/>
      </c>
      <c r="Y178">
        <f>HYPERLINK("https://klasma.github.io/Logging_2305/tillsynsmail/A 2298-2025 tillsynsbegäran mail.docx", "A 2298-2025")</f>
        <v/>
      </c>
    </row>
    <row r="179" ht="15" customHeight="1">
      <c r="A179" t="inlineStr">
        <is>
          <t>A 2300-2025</t>
        </is>
      </c>
      <c r="B179" s="1" t="n">
        <v>45673</v>
      </c>
      <c r="C179" s="1" t="n">
        <v>45701</v>
      </c>
      <c r="D179" t="inlineStr">
        <is>
          <t>JÄMTLANDS LÄN</t>
        </is>
      </c>
      <c r="E179" t="inlineStr">
        <is>
          <t>BRÄCKE</t>
        </is>
      </c>
      <c r="F179" t="inlineStr">
        <is>
          <t>SCA</t>
        </is>
      </c>
      <c r="G179" t="n">
        <v>2.2</v>
      </c>
      <c r="H179" t="n">
        <v>0</v>
      </c>
      <c r="I179" t="n">
        <v>0</v>
      </c>
      <c r="J179" t="n">
        <v>3</v>
      </c>
      <c r="K179" t="n">
        <v>0</v>
      </c>
      <c r="L179" t="n">
        <v>0</v>
      </c>
      <c r="M179" t="n">
        <v>0</v>
      </c>
      <c r="N179" t="n">
        <v>0</v>
      </c>
      <c r="O179" t="n">
        <v>3</v>
      </c>
      <c r="P179" t="n">
        <v>0</v>
      </c>
      <c r="Q179" t="n">
        <v>3</v>
      </c>
      <c r="R179" s="2" t="inlineStr">
        <is>
          <t>Gammelgransskål
Vedtrappmossa
Vitgrynig nållav</t>
        </is>
      </c>
      <c r="S179">
        <f>HYPERLINK("https://klasma.github.io/Logging_2305/artfynd/A 2300-2025 artfynd.xlsx", "A 2300-2025")</f>
        <v/>
      </c>
      <c r="T179">
        <f>HYPERLINK("https://klasma.github.io/Logging_2305/kartor/A 2300-2025 karta.png", "A 2300-2025")</f>
        <v/>
      </c>
      <c r="V179">
        <f>HYPERLINK("https://klasma.github.io/Logging_2305/klagomål/A 2300-2025 FSC-klagomål.docx", "A 2300-2025")</f>
        <v/>
      </c>
      <c r="W179">
        <f>HYPERLINK("https://klasma.github.io/Logging_2305/klagomålsmail/A 2300-2025 FSC-klagomål mail.docx", "A 2300-2025")</f>
        <v/>
      </c>
      <c r="X179">
        <f>HYPERLINK("https://klasma.github.io/Logging_2305/tillsyn/A 2300-2025 tillsynsbegäran.docx", "A 2300-2025")</f>
        <v/>
      </c>
      <c r="Y179">
        <f>HYPERLINK("https://klasma.github.io/Logging_2305/tillsynsmail/A 2300-2025 tillsynsbegäran mail.docx", "A 2300-2025")</f>
        <v/>
      </c>
    </row>
    <row r="180" ht="15" customHeight="1">
      <c r="A180" t="inlineStr">
        <is>
          <t>A 5014-2025</t>
        </is>
      </c>
      <c r="B180" s="1" t="n">
        <v>45691</v>
      </c>
      <c r="C180" s="1" t="n">
        <v>45701</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45701</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45701</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45701</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45701</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45701</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45701</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45701</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45701</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45701</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45701</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45701</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45701</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45701</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45701</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45701</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45701</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45701</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45701</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45701</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45701</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45701</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45701</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45701</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45701</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45701</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45701</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45701</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45701</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45701</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45701</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45701</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45701</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45701</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45701</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45701</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45701</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45701</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45701</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45701</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45701</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45701</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45701</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45701</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45701</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45701</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45701</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45701</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45701</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45701</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45701</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45701</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45701</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45701</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45701</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45701</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45701</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45701</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45701</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45701</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45701</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45701</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45701</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45701</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45701</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45701</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45701</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45701</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45701</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45701</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45701</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45701</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45701</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45701</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45701</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45701</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45701</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45701</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45701</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45701</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45701</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45701</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45701</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45701</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45701</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45701</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45701</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45701</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45701</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45701</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45701</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45701</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45701</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45701</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45701</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45701</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45701</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45701</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45701</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45701</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45701</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45701</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45701</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45701</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45701</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45701</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45701</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45701</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45701</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45701</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45701</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45701</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45701</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45701</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45701</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45701</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45701</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45701</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45701</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45701</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45701</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45701</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45701</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45701</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45701</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45701</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45701</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45701</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45701</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45701</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45701</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45701</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45701</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45701</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45701</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45701</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45701</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45701</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45701</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45701</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45701</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45701</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45701</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45701</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45701</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45701</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45701</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45701</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45701</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45701</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45701</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45701</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45701</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45701</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45701</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45701</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45701</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45701</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45701</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45701</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45701</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45701</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45701</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45701</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45701</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45701</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45701</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45701</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45701</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45701</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45701</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45701</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45701</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45701</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45701</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45701</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45701</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45701</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45701</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2463-2025</t>
        </is>
      </c>
      <c r="B359" s="1" t="n">
        <v>45674</v>
      </c>
      <c r="C359" s="1" t="n">
        <v>45701</v>
      </c>
      <c r="D359" t="inlineStr">
        <is>
          <t>JÄMTLANDS LÄN</t>
        </is>
      </c>
      <c r="E359" t="inlineStr">
        <is>
          <t>BRÄCKE</t>
        </is>
      </c>
      <c r="F359" t="inlineStr">
        <is>
          <t>SCA</t>
        </is>
      </c>
      <c r="G359" t="n">
        <v>3.9</v>
      </c>
      <c r="H359" t="n">
        <v>0</v>
      </c>
      <c r="I359" t="n">
        <v>1</v>
      </c>
      <c r="J359" t="n">
        <v>0</v>
      </c>
      <c r="K359" t="n">
        <v>0</v>
      </c>
      <c r="L359" t="n">
        <v>0</v>
      </c>
      <c r="M359" t="n">
        <v>0</v>
      </c>
      <c r="N359" t="n">
        <v>0</v>
      </c>
      <c r="O359" t="n">
        <v>0</v>
      </c>
      <c r="P359" t="n">
        <v>0</v>
      </c>
      <c r="Q359" t="n">
        <v>1</v>
      </c>
      <c r="R359" s="2" t="inlineStr">
        <is>
          <t>Vedticka</t>
        </is>
      </c>
      <c r="S359">
        <f>HYPERLINK("https://klasma.github.io/Logging_2305/artfynd/A 2463-2025 artfynd.xlsx", "A 2463-2025")</f>
        <v/>
      </c>
      <c r="T359">
        <f>HYPERLINK("https://klasma.github.io/Logging_2305/kartor/A 2463-2025 karta.png", "A 2463-2025")</f>
        <v/>
      </c>
      <c r="V359">
        <f>HYPERLINK("https://klasma.github.io/Logging_2305/klagomål/A 2463-2025 FSC-klagomål.docx", "A 2463-2025")</f>
        <v/>
      </c>
      <c r="W359">
        <f>HYPERLINK("https://klasma.github.io/Logging_2305/klagomålsmail/A 2463-2025 FSC-klagomål mail.docx", "A 2463-2025")</f>
        <v/>
      </c>
      <c r="X359">
        <f>HYPERLINK("https://klasma.github.io/Logging_2305/tillsyn/A 2463-2025 tillsynsbegäran.docx", "A 2463-2025")</f>
        <v/>
      </c>
      <c r="Y359">
        <f>HYPERLINK("https://klasma.github.io/Logging_2305/tillsynsmail/A 2463-2025 tillsynsbegäran mail.docx", "A 2463-2025")</f>
        <v/>
      </c>
    </row>
    <row r="360" ht="15" customHeight="1">
      <c r="A360" t="inlineStr">
        <is>
          <t>A 2467-2025</t>
        </is>
      </c>
      <c r="B360" s="1" t="n">
        <v>45674</v>
      </c>
      <c r="C360" s="1" t="n">
        <v>45701</v>
      </c>
      <c r="D360" t="inlineStr">
        <is>
          <t>JÄMTLANDS LÄN</t>
        </is>
      </c>
      <c r="E360" t="inlineStr">
        <is>
          <t>BRÄCKE</t>
        </is>
      </c>
      <c r="F360" t="inlineStr">
        <is>
          <t>SCA</t>
        </is>
      </c>
      <c r="G360" t="n">
        <v>5.6</v>
      </c>
      <c r="H360" t="n">
        <v>0</v>
      </c>
      <c r="I360" t="n">
        <v>0</v>
      </c>
      <c r="J360" t="n">
        <v>1</v>
      </c>
      <c r="K360" t="n">
        <v>0</v>
      </c>
      <c r="L360" t="n">
        <v>0</v>
      </c>
      <c r="M360" t="n">
        <v>0</v>
      </c>
      <c r="N360" t="n">
        <v>0</v>
      </c>
      <c r="O360" t="n">
        <v>1</v>
      </c>
      <c r="P360" t="n">
        <v>0</v>
      </c>
      <c r="Q360" t="n">
        <v>1</v>
      </c>
      <c r="R360" s="2" t="inlineStr">
        <is>
          <t>Lunglav</t>
        </is>
      </c>
      <c r="S360">
        <f>HYPERLINK("https://klasma.github.io/Logging_2305/artfynd/A 2467-2025 artfynd.xlsx", "A 2467-2025")</f>
        <v/>
      </c>
      <c r="T360">
        <f>HYPERLINK("https://klasma.github.io/Logging_2305/kartor/A 2467-2025 karta.png", "A 2467-2025")</f>
        <v/>
      </c>
      <c r="V360">
        <f>HYPERLINK("https://klasma.github.io/Logging_2305/klagomål/A 2467-2025 FSC-klagomål.docx", "A 2467-2025")</f>
        <v/>
      </c>
      <c r="W360">
        <f>HYPERLINK("https://klasma.github.io/Logging_2305/klagomålsmail/A 2467-2025 FSC-klagomål mail.docx", "A 2467-2025")</f>
        <v/>
      </c>
      <c r="X360">
        <f>HYPERLINK("https://klasma.github.io/Logging_2305/tillsyn/A 2467-2025 tillsynsbegäran.docx", "A 2467-2025")</f>
        <v/>
      </c>
      <c r="Y360">
        <f>HYPERLINK("https://klasma.github.io/Logging_2305/tillsynsmail/A 2467-2025 tillsynsbegäran mail.docx", "A 2467-2025")</f>
        <v/>
      </c>
    </row>
    <row r="361" ht="15" customHeight="1">
      <c r="A361" t="inlineStr">
        <is>
          <t>A 2466-2025</t>
        </is>
      </c>
      <c r="B361" s="1" t="n">
        <v>45674</v>
      </c>
      <c r="C361" s="1" t="n">
        <v>45701</v>
      </c>
      <c r="D361" t="inlineStr">
        <is>
          <t>JÄMTLANDS LÄN</t>
        </is>
      </c>
      <c r="E361" t="inlineStr">
        <is>
          <t>BRÄCKE</t>
        </is>
      </c>
      <c r="F361" t="inlineStr">
        <is>
          <t>SCA</t>
        </is>
      </c>
      <c r="G361" t="n">
        <v>2.4</v>
      </c>
      <c r="H361" t="n">
        <v>0</v>
      </c>
      <c r="I361" t="n">
        <v>0</v>
      </c>
      <c r="J361" t="n">
        <v>1</v>
      </c>
      <c r="K361" t="n">
        <v>0</v>
      </c>
      <c r="L361" t="n">
        <v>0</v>
      </c>
      <c r="M361" t="n">
        <v>0</v>
      </c>
      <c r="N361" t="n">
        <v>0</v>
      </c>
      <c r="O361" t="n">
        <v>1</v>
      </c>
      <c r="P361" t="n">
        <v>0</v>
      </c>
      <c r="Q361" t="n">
        <v>1</v>
      </c>
      <c r="R361" s="2" t="inlineStr">
        <is>
          <t>Lunglav</t>
        </is>
      </c>
      <c r="S361">
        <f>HYPERLINK("https://klasma.github.io/Logging_2305/artfynd/A 2466-2025 artfynd.xlsx", "A 2466-2025")</f>
        <v/>
      </c>
      <c r="T361">
        <f>HYPERLINK("https://klasma.github.io/Logging_2305/kartor/A 2466-2025 karta.png", "A 2466-2025")</f>
        <v/>
      </c>
      <c r="V361">
        <f>HYPERLINK("https://klasma.github.io/Logging_2305/klagomål/A 2466-2025 FSC-klagomål.docx", "A 2466-2025")</f>
        <v/>
      </c>
      <c r="W361">
        <f>HYPERLINK("https://klasma.github.io/Logging_2305/klagomålsmail/A 2466-2025 FSC-klagomål mail.docx", "A 2466-2025")</f>
        <v/>
      </c>
      <c r="X361">
        <f>HYPERLINK("https://klasma.github.io/Logging_2305/tillsyn/A 2466-2025 tillsynsbegäran.docx", "A 2466-2025")</f>
        <v/>
      </c>
      <c r="Y361">
        <f>HYPERLINK("https://klasma.github.io/Logging_2305/tillsynsmail/A 2466-2025 tillsynsbegäran mail.docx", "A 2466-2025")</f>
        <v/>
      </c>
    </row>
    <row r="362" ht="15" customHeight="1">
      <c r="A362" t="inlineStr">
        <is>
          <t>A 2882-2025</t>
        </is>
      </c>
      <c r="B362" s="1" t="n">
        <v>45677</v>
      </c>
      <c r="C362" s="1" t="n">
        <v>45701</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45701</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45701</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45701</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45701</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45701</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45701</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45701</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45701</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45701</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45701</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45701</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45701</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45701</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45701</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45701</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45701</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45701</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45701</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45701</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45701</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45701</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45701</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45701</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45701</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45701</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45701</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45701</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45701</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45701</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45701</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45701</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45701</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45701</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45701</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45701</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45701</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45701</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45701</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45701</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45701</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45701</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45701</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45701</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45701</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45701</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45701</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45701</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45701</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45701</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45701</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45701</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45701</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45701</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45701</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45701</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45701</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45701</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45701</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45701</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45701</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45701</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45701</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45701</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45701</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45701</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45701</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45701</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45701</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45701</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45701</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45701</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45701</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45701</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45701</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45701</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45701</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45701</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45701</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45701</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45701</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45701</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45701</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45701</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45701</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45701</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45701</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45701</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45701</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45701</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45701</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45701</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45701</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45701</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45701</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45701</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45701</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45701</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45701</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45701</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45701</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45701</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45701</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45701</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45701</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45701</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45701</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45701</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45701</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45701</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45701</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45701</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45701</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45701</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45701</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45701</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45701</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45701</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45701</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45701</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45701</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45701</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45701</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45701</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45701</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45701</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45701</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45701</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45701</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45701</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45701</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45701</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45701</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45701</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45701</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45701</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45701</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45701</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45701</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45701</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45701</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45701</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45701</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45701</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45701</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45701</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45701</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45701</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45701</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45701</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45701</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45701</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45701</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45701</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45701</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45701</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45701</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45701</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45701</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45701</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45701</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45701</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45701</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45701</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45701</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45701</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45701</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45701</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45701</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45701</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45701</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45701</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45701</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45701</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45701</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45701</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45701</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45701</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45701</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45701</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45701</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45701</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45701</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45701</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45701</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45701</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45701</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45701</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45701</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45701</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45701</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45701</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45701</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45701</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45701</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45701</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45701</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45701</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45701</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45701</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45701</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45701</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45701</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45701</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45701</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45701</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45701</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45701</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45701</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45701</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45701</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45701</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45701</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45701</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45701</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45701</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45701</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45701</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45701</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45701</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45701</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45701</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45701</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45701</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45701</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45701</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45701</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45701</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45701</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45701</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45701</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45701</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45701</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45701</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45701</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45701</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45701</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45701</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45701</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45701</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45701</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45701</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45701</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45701</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45701</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45701</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45701</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45701</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45701</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45701</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45701</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45701</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45701</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45701</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45701</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45701</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45701</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45701</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45701</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45701</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45701</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45701</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45701</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45701</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45701</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45701</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45701</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45701</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45701</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45701</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45701</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45701</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45701</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45701</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45701</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45701</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45701</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45701</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45701</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45701</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45701</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45701</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45701</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45701</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45701</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45701</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45701</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45701</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45701</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45701</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45701</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45701</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45701</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45701</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45701</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45701</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45701</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45701</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45701</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45701</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45701</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45701</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45701</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45701</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45701</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45701</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45701</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45701</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45701</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45701</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45701</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45701</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45701</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45701</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45701</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45701</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45701</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45701</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45701</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45701</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45701</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45701</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45701</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45701</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45701</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45701</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45701</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45701</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45701</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45701</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45701</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45701</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45701</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45701</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45701</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45701</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45701</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45701</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45701</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45701</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45701</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45701</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45701</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45701</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45701</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45701</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45701</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45701</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45701</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45701</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45701</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45701</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45701</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45701</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45701</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45701</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45701</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45701</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45701</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45701</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45701</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45701</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45701</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45701</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45701</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45701</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45701</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45701</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45701</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45701</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45701</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45701</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45701</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45701</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45701</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45701</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45701</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45701</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45701</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45701</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45701</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45701</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45701</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45701</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45701</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45701</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45701</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45701</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45701</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45701</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45701</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45701</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45701</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45701</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45701</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45701</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45701</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45701</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45701</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45701</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45701</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45701</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45701</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45701</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45701</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45701</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45701</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45701</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45701</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45701</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45701</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45701</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45701</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45701</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45701</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45701</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45701</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45701</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45701</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45701</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45701</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45701</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45701</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45701</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45701</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45701</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45701</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45701</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45701</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45701</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45701</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45701</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45701</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45701</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45701</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45701</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45701</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45701</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45701</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45701</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45701</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45701</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45701</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45701</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45701</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45701</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45701</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45701</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45701</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45701</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45701</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45701</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45701</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45701</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45701</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45701</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45701</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45701</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45701</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45701</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45701</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45701</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45701</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45701</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45701</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45701</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45701</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45701</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45701</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45701</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45701</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45701</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45701</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45701</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45701</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45701</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45701</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45701</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45701</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45701</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45701</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45701</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45701</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45701</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45701</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45701</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45701</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45701</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45701</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45701</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45701</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45701</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45701</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45701</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45701</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45701</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45701</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45701</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45701</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45701</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45701</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45701</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45701</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45701</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45701</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45701</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45701</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45701</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45701</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45701</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45701</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45701</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45701</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45701</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45701</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45701</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45701</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45701</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45701</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45701</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45701</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45701</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45701</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45701</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45701</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45701</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45701</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45701</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45701</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45701</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45701</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45701</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45701</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45701</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45701</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45701</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45701</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45701</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45701</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45701</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45701</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45701</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45701</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45701</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45701</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45701</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45701</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45701</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45701</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45701</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45701</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45701</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45701</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45701</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45701</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45701</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45701</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45701</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45701</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45701</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45701</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45701</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45701</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45701</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45701</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45701</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45701</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45701</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45701</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45701</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45701</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45701</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45701</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45701</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45701</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45701</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45701</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45701</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45701</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45701</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45701</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45701</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45701</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45701</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45701</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45701</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45701</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45701</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45701</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45701</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45701</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45701</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45701</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45701</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45701</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45701</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45701</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45701</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45701</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45701</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45701</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45701</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45701</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45701</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45701</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45701</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45701</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45701</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45701</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45701</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45701</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45701</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45701</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45701</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45701</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45701</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45701</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45701</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45701</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45701</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45701</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45701</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45701</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45701</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45701</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45701</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45701</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45701</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45701</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45701</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45701</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45701</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45701</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45701</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45701</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45701</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45701</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45701</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45701</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45701</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45701</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45701</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45701</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45701</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45701</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45701</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45701</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45701</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45701</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45701</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45701</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45701</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45701</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45701</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45701</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45701</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45701</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45701</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45701</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45701</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45701</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45701</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45701</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45701</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45701</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45701</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45701</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45701</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45701</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45701</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45701</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45701</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45701</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45701</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45701</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45701</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45701</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45701</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45701</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45701</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45701</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45701</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45701</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45701</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45701</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45701</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45701</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45701</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45701</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45701</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45701</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45701</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45701</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45701</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45701</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45701</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45701</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45701</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45701</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45701</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45701</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45701</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45701</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45701</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45701</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45701</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45701</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45701</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45701</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45701</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45701</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45701</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45701</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45701</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45701</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45701</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45701</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45701</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45701</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45701</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45701</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45701</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45701</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45701</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45701</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45701</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45701</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45701</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45701</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45701</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45701</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45701</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45701</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45701</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45701</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45701</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45701</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45701</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45701</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45701</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45701</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45701</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45701</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45701</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45701</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45701</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45701</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45701</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45701</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45701</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45701</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45701</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45701</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45701</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45701</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45701</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45701</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45701</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45701</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45701</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45701</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45701</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45701</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45701</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45701</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45701</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45701</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45701</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45701</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45701</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45701</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45701</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45701</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45701</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45701</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45701</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45701</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45701</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45701</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45701</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45701</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45701</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45701</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45701</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45701</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45701</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45701</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45701</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45701</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45701</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45701</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45701</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45701</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45701</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45701</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45701</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45701</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45701</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45701</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45701</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45701</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45701</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45701</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45701</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45701</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45701</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45701</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45701</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45701</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45701</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45701</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45701</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45701</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45701</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45701</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45701</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45701</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45701</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45701</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45701</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45701</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45701</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45701</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45701</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45701</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45701</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45701</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45701</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45701</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45701</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45701</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45701</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45701</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45701</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45701</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45701</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45701</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45701</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45701</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45701</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45701</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45701</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45701</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45701</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45701</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45701</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45701</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45701</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45701</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45701</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45701</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45701</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45701</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45701</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45701</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45701</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45701</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45701</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45701</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45701</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45701</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45701</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45701</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45701</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45701</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45701</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45701</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45701</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45701</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45701</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45701</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45701</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45701</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45701</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45701</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45701</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45701</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45701</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45701</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45701</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45701</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45701</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45701</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45701</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45701</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45701</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45701</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45701</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45701</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45701</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45701</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45701</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45701</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45701</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45701</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45701</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45701</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45701</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45701</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45701</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45701</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45701</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45701</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45701</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45701</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45701</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45701</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45701</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45701</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45701</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45701</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45701</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45701</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45701</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45701</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45701</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45701</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45701</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45701</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45701</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45701</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45701</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45701</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45701</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45701</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45701</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45701</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45701</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45701</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45701</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45701</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45701</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45701</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45701</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45701</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45701</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45701</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45701</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45701</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45701</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45701</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45701</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45701</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45701</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45701</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45701</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45701</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45701</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45701</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45701</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45701</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45701</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45701</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45701</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45701</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45701</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45701</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45701</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45701</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45701</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45701</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45701</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45701</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45701</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45701</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45701</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45701</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45701</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45701</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45701</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45701</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45701</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45701</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45701</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45701</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45701</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45701</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45701</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45701</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45701</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45701</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45701</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45701</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45701</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45701</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45701</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45701</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45701</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45701</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45701</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45701</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45701</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45701</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45701</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45701</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45701</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45701</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45701</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45701</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45701</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45701</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45701</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45701</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45701</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45701</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45701</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45701</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45701</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45701</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45701</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45701</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45701</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45701</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45701</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45701</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45701</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45701</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45701</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45701</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45701</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45701</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45701</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45701</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45701</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45701</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45701</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45701</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45701</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45701</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45701</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45701</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45701</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45701</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45701</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45701</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45701</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45701</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45701</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45701</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45701</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45701</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45701</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45701</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45701</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45701</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45701</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45701</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45701</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45701</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45701</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45701</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45701</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45701</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45701</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45701</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45701</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45701</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45701</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45701</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45701</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45701</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45701</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45701</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45701</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45701</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45701</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45701</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45701</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45701</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45701</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45701</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45701</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45701</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45701</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45701</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45701</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45701</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45701</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45701</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45701</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45701</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45701</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45701</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45701</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45701</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45701</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45701</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45701</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45701</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45701</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45701</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45701</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45701</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45701</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45701</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45701</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45701</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45701</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45701</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45701</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45701</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45701</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45701</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45701</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45701</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45701</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45701</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45701</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45701</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45701</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45701</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45701</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45701</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45701</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45701</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45701</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45701</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45701</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45701</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45701</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45701</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45701</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45701</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45701</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45701</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45701</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45701</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45701</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45701</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45701</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45701</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45701</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45701</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45701</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45701</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45701</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45701</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45701</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45701</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45701</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45701</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45701</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45701</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45701</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45701</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45701</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45701</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45701</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45701</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45701</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45701</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45701</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45701</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45701</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45701</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45701</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45701</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45701</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45701</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45701</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45701</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45701</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45701</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45701</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45701</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45701</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45701</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45701</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45701</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45701</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45701</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45701</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45701</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45701</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45701</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45701</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45701</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45701</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45701</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45701</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45701</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45701</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45701</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45701</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45701</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45701</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45701</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45701</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45701</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45701</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45701</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45701</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45701</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45701</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45701</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45701</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45701</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45701</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45701</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45701</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45701</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45701</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45701</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45701</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45701</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45701</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45701</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45701</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45701</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45701</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45701</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45701</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45701</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45701</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45701</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45701</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45701</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45701</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45701</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45701</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45701</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45701</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45701</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45701</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45701</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45701</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45701</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45701</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45701</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45701</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45701</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45701</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45701</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45701</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45701</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45701</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45701</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45701</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45701</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45701</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45701</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45701</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45701</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45701</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45701</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45701</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45701</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45701</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45701</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45701</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45701</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45701</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45701</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45701</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45701</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45701</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45701</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45701</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45701</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45701</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45701</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45701</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45701</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45701</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45701</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45701</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45701</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45701</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45701</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45701</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45701</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45701</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45701</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45701</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45701</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45701</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45701</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45701</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45701</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45701</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45701</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45701</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45701</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45701</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45701</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45701</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45701</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45701</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45701</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45701</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45701</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45701</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45701</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45701</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45701</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45701</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45701</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45701</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45701</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45701</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45701</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45701</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45701</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45701</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45701</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45701</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45701</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45701</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45701</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45701</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45701</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45701</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45701</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45701</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45701</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45701</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45701</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45701</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45701</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45701</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45701</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45701</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45701</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45701</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45701</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45701</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45701</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45701</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45701</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45701</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45701</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45701</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45701</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45701</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45701</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45701</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45701</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45701</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45701</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45701</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45701</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45701</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45701</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45701</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45701</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45701</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45701</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45701</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45701</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45701</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45701</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45701</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45701</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45701</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45701</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45701</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45701</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45701</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45701</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45701</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45701</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45701</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45701</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45701</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45701</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45701</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45701</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45701</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45701</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45701</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45701</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45701</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45701</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45701</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45701</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45701</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45701</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45701</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45701</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45701</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45701</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45701</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45701</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45701</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45701</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45701</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45701</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45701</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45701</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45701</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45701</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45701</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45701</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45701</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45701</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45701</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45701</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45701</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45701</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45701</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45701</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45701</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45701</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45701</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45701</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45701</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45701</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45701</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45701</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45701</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45701</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45701</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45701</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45701</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45701</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45701</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45701</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45701</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45701</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45701</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45701</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45701</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45701</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45701</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45701</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45701</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45701</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45701</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45701</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45701</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45701</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45701</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45701</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45701</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45701</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45701</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45701</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45701</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45701</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45701</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45701</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45701</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45701</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45701</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45701</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45701</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45701</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45701</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45701</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45701</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45701</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45701</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45701</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45701</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45701</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45701</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45701</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45701</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45701</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45701</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45701</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45701</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45701</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45701</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45701</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45701</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45701</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45701</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45701</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45701</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45701</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45701</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45701</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45701</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45701</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45701</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45701</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45701</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45701</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45701</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45701</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45701</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45701</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45701</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45701</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45701</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45701</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45701</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45701</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45701</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45701</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45701</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45701</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45701</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45701</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45701</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45701</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45701</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45701</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45701</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45701</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45701</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45701</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45701</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45701</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45701</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45701</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45701</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45701</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45701</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45701</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45701</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45701</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45701</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45701</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45701</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45701</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45701</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45701</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45701</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45701</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45701</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45701</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45701</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45701</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45701</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45701</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45701</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45701</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45701</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45701</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45701</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45701</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45701</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45701</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45701</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45701</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45701</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45701</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45701</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45701</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45701</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45701</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45701</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45701</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45701</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45701</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45701</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45701</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45701</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45701</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45701</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45701</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45701</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45701</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45701</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45701</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45701</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45701</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45701</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45701</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45701</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45701</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45701</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45701</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45701</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45701</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45701</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45701</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45701</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45701</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45701</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45701</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45701</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45701</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45701</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45701</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45701</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45701</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45701</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45701</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45701</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45701</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45701</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45701</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45701</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45701</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45701</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45701</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45701</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45701</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45701</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45701</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45701</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45701</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45701</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45701</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45701</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45701</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45701</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45701</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45701</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45701</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45701</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45701</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45701</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45701</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45701</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45701</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45701</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45701</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45701</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45701</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45701</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45701</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45701</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45701</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45701</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45701</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45701</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45701</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45701</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45701</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45701</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45701</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45701</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45701</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45701</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45701</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45701</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45701</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45701</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45701</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45701</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45701</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45701</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45701</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45701</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45701</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45701</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45701</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45701</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45701</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45701</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45701</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45701</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45701</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45701</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45701</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45701</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45701</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45701</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45701</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45701</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45701</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45701</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45701</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45701</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45701</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45701</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45701</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45701</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45701</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45701</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45701</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45701</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45701</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45701</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45701</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45701</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45701</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45701</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45701</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45701</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45701</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45701</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45701</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45701</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45701</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45701</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45701</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45701</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45701</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45701</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45701</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45701</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45701</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45701</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45701</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45701</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45701</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45701</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45701</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45701</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45701</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45701</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45701</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45701</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45701</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45701</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45701</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45701</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45701</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45701</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45701</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45701</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45701</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45701</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45701</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45701</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45701</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45701</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45701</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45701</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45701</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45701</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45701</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45701</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45701</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45701</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45701</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45701</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45701</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45701</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45701</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45701</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45701</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45701</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45701</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45701</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45701</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45701</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45701</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45701</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45701</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45701</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45701</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45701</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45701</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45701</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45701</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45701</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45701</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45701</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45701</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45701</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45701</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45701</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45701</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45701</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45701</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45701</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45701</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45701</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45701</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45701</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45701</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45701</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45701</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45701</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45701</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45701</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45701</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45701</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45701</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45701</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45701</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45701</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45701</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45701</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45701</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45701</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45701</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45701</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45701</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45701</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45701</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45701</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45701</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45701</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45701</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45701</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45701</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45701</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45701</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45701</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45701</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45701</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45701</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45701</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45701</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45701</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45701</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45701</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45701</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45701</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45701</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45701</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45701</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45701</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45701</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45701</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45701</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45701</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45701</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45701</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45701</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45701</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45701</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45701</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45701</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45701</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45701</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45701</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45701</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45701</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45701</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45701</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45701</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45701</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45701</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45701</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45701</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45701</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45701</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45701</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45701</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45701</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45701</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45701</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45701</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45701</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45701</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45701</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45701</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45701</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45701</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45701</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45701</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45701</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45701</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45701</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45701</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45701</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45701</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45701</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45701</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45701</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45701</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45701</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45701</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45701</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45701</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45701</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45701</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45701</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45701</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45701</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45701</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45701</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45701</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45701</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45701</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45701</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45701</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45701</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45701</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45701</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45701</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45701</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45701</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45701</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45701</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45701</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45701</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45701</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45701</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45701</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45701</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45701</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45701</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45701</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45701</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45701</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45701</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45701</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45701</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45701</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45701</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45701</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45701</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45701</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45701</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45701</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45701</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45701</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45701</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45701</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45701</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45701</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45701</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45701</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45701</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45701</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45701</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45701</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45701</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45701</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45701</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45701</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45701</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45701</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45701</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45701</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45701</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45701</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45701</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45701</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45701</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45701</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45701</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45701</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45701</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45701</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45701</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45701</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45701</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45701</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45701</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45701</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45701</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45701</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45701</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45701</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45701</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45701</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45701</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45701</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45701</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45701</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45701</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45701</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45701</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45701</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45701</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45701</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45701</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45701</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45701</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45701</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45701</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45701</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45701</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45701</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45701</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45701</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45701</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45701</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45701</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45701</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45701</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45701</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45701</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45701</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45701</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45701</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45701</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45701</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45701</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45701</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45701</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45701</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45701</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45701</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45701</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45701</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45701</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45701</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45701</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45701</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45701</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45701</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45701</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45701</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45701</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45701</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45701</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45701</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45701</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45701</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45701</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45701</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45701</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45701</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45701</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45701</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45701</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45701</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45701</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45701</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45701</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45701</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45701</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45701</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45701</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45701</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45701</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45701</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45701</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45701</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45701</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45701</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45701</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45701</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45701</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45701</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45701</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45701</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45701</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45701</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45701</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45701</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45701</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45701</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45701</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45701</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45701</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45701</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45701</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45701</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45701</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45701</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45701</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45701</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45701</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45701</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45701</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45701</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45701</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45701</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45701</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45701</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45701</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45701</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45701</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45701</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45701</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45701</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45701</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45701</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45701</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45701</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45701</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45701</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45701</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1174-2025</t>
        </is>
      </c>
      <c r="B2417" s="1" t="n">
        <v>45667</v>
      </c>
      <c r="C2417" s="1" t="n">
        <v>45701</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1347-2025</t>
        </is>
      </c>
      <c r="B2418" s="1" t="n">
        <v>45667</v>
      </c>
      <c r="C2418" s="1" t="n">
        <v>45701</v>
      </c>
      <c r="D2418" t="inlineStr">
        <is>
          <t>JÄMTLANDS LÄN</t>
        </is>
      </c>
      <c r="E2418" t="inlineStr">
        <is>
          <t>BRÄCKE</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45701</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45701</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45701</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2245-2025</t>
        </is>
      </c>
      <c r="B2422" s="1" t="n">
        <v>45673</v>
      </c>
      <c r="C2422" s="1" t="n">
        <v>45701</v>
      </c>
      <c r="D2422" t="inlineStr">
        <is>
          <t>JÄMTLANDS LÄN</t>
        </is>
      </c>
      <c r="E2422" t="inlineStr">
        <is>
          <t>BRÄCKE</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45701</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2179-2025</t>
        </is>
      </c>
      <c r="B2424" s="1" t="n">
        <v>45673</v>
      </c>
      <c r="C2424" s="1" t="n">
        <v>45701</v>
      </c>
      <c r="D2424" t="inlineStr">
        <is>
          <t>JÄMTLANDS LÄN</t>
        </is>
      </c>
      <c r="E2424" t="inlineStr">
        <is>
          <t>BRÄCKE</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2484-2025</t>
        </is>
      </c>
      <c r="B2425" s="1" t="n">
        <v>45673</v>
      </c>
      <c r="C2425" s="1" t="n">
        <v>45701</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2483-2025</t>
        </is>
      </c>
      <c r="B2426" s="1" t="n">
        <v>45673</v>
      </c>
      <c r="C2426" s="1" t="n">
        <v>45701</v>
      </c>
      <c r="D2426" t="inlineStr">
        <is>
          <t>JÄMTLANDS LÄN</t>
        </is>
      </c>
      <c r="E2426" t="inlineStr">
        <is>
          <t>BRÄCKE</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2432-2025</t>
        </is>
      </c>
      <c r="B2427" s="1" t="n">
        <v>45674</v>
      </c>
      <c r="C2427" s="1" t="n">
        <v>45701</v>
      </c>
      <c r="D2427" t="inlineStr">
        <is>
          <t>JÄMTLANDS LÄN</t>
        </is>
      </c>
      <c r="E2427" t="inlineStr">
        <is>
          <t>BRÄCKE</t>
        </is>
      </c>
      <c r="F2427" t="inlineStr">
        <is>
          <t>SCA</t>
        </is>
      </c>
      <c r="G2427" t="n">
        <v>16.1</v>
      </c>
      <c r="H2427" t="n">
        <v>0</v>
      </c>
      <c r="I2427" t="n">
        <v>0</v>
      </c>
      <c r="J2427" t="n">
        <v>0</v>
      </c>
      <c r="K2427" t="n">
        <v>0</v>
      </c>
      <c r="L2427" t="n">
        <v>0</v>
      </c>
      <c r="M2427" t="n">
        <v>0</v>
      </c>
      <c r="N2427" t="n">
        <v>0</v>
      </c>
      <c r="O2427" t="n">
        <v>0</v>
      </c>
      <c r="P2427" t="n">
        <v>0</v>
      </c>
      <c r="Q2427" t="n">
        <v>0</v>
      </c>
      <c r="R2427" s="2" t="inlineStr"/>
    </row>
    <row r="2428" ht="15" customHeight="1">
      <c r="A2428" t="inlineStr">
        <is>
          <t>A 2498-2025</t>
        </is>
      </c>
      <c r="B2428" s="1" t="n">
        <v>45674</v>
      </c>
      <c r="C2428" s="1" t="n">
        <v>45701</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2511-2025</t>
        </is>
      </c>
      <c r="B2429" s="1" t="n">
        <v>45674</v>
      </c>
      <c r="C2429" s="1" t="n">
        <v>45701</v>
      </c>
      <c r="D2429" t="inlineStr">
        <is>
          <t>JÄMTLANDS LÄN</t>
        </is>
      </c>
      <c r="E2429" t="inlineStr">
        <is>
          <t>BRÄCKE</t>
        </is>
      </c>
      <c r="F2429" t="inlineStr">
        <is>
          <t>SCA</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2464-2025</t>
        </is>
      </c>
      <c r="B2430" s="1" t="n">
        <v>45674</v>
      </c>
      <c r="C2430" s="1" t="n">
        <v>45701</v>
      </c>
      <c r="D2430" t="inlineStr">
        <is>
          <t>JÄMTLANDS LÄN</t>
        </is>
      </c>
      <c r="E2430" t="inlineStr">
        <is>
          <t>BRÄCKE</t>
        </is>
      </c>
      <c r="F2430" t="inlineStr">
        <is>
          <t>SCA</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2508-2025</t>
        </is>
      </c>
      <c r="B2431" s="1" t="n">
        <v>45674</v>
      </c>
      <c r="C2431" s="1" t="n">
        <v>45701</v>
      </c>
      <c r="D2431" t="inlineStr">
        <is>
          <t>JÄMTLANDS LÄN</t>
        </is>
      </c>
      <c r="E2431" t="inlineStr">
        <is>
          <t>BRÄCKE</t>
        </is>
      </c>
      <c r="F2431" t="inlineStr">
        <is>
          <t>SCA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2540-2025</t>
        </is>
      </c>
      <c r="B2432" s="1" t="n">
        <v>45674</v>
      </c>
      <c r="C2432" s="1" t="n">
        <v>45701</v>
      </c>
      <c r="D2432" t="inlineStr">
        <is>
          <t>JÄMTLANDS LÄN</t>
        </is>
      </c>
      <c r="E2432" t="inlineStr">
        <is>
          <t>BRÄCKE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2581-2025</t>
        </is>
      </c>
      <c r="B2433" s="1" t="n">
        <v>45674</v>
      </c>
      <c r="C2433" s="1" t="n">
        <v>45701</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45701</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2923-2025</t>
        </is>
      </c>
      <c r="B2435" s="1" t="n">
        <v>45678</v>
      </c>
      <c r="C2435" s="1" t="n">
        <v>45701</v>
      </c>
      <c r="D2435" t="inlineStr">
        <is>
          <t>JÄMTLANDS LÄN</t>
        </is>
      </c>
      <c r="E2435" t="inlineStr">
        <is>
          <t>BRÄCKE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2960-2025</t>
        </is>
      </c>
      <c r="B2436" s="1" t="n">
        <v>45678</v>
      </c>
      <c r="C2436" s="1" t="n">
        <v>45701</v>
      </c>
      <c r="D2436" t="inlineStr">
        <is>
          <t>JÄMTLANDS LÄN</t>
        </is>
      </c>
      <c r="E2436" t="inlineStr">
        <is>
          <t>BRÄCKE</t>
        </is>
      </c>
      <c r="F2436" t="inlineStr">
        <is>
          <t>SCA</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3254-2025</t>
        </is>
      </c>
      <c r="B2437" s="1" t="n">
        <v>45679</v>
      </c>
      <c r="C2437" s="1" t="n">
        <v>45701</v>
      </c>
      <c r="D2437" t="inlineStr">
        <is>
          <t>JÄMTLANDS LÄN</t>
        </is>
      </c>
      <c r="E2437" t="inlineStr">
        <is>
          <t>BRÄCKE</t>
        </is>
      </c>
      <c r="F2437" t="inlineStr">
        <is>
          <t>SCA</t>
        </is>
      </c>
      <c r="G2437" t="n">
        <v>14.7</v>
      </c>
      <c r="H2437" t="n">
        <v>0</v>
      </c>
      <c r="I2437" t="n">
        <v>0</v>
      </c>
      <c r="J2437" t="n">
        <v>0</v>
      </c>
      <c r="K2437" t="n">
        <v>0</v>
      </c>
      <c r="L2437" t="n">
        <v>0</v>
      </c>
      <c r="M2437" t="n">
        <v>0</v>
      </c>
      <c r="N2437" t="n">
        <v>0</v>
      </c>
      <c r="O2437" t="n">
        <v>0</v>
      </c>
      <c r="P2437" t="n">
        <v>0</v>
      </c>
      <c r="Q2437" t="n">
        <v>0</v>
      </c>
      <c r="R2437" s="2" t="inlineStr"/>
    </row>
    <row r="2438" ht="15" customHeight="1">
      <c r="A2438" t="inlineStr">
        <is>
          <t>A 3249-2025</t>
        </is>
      </c>
      <c r="B2438" s="1" t="n">
        <v>45679</v>
      </c>
      <c r="C2438" s="1" t="n">
        <v>45701</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3247-2025</t>
        </is>
      </c>
      <c r="B2439" s="1" t="n">
        <v>45679</v>
      </c>
      <c r="C2439" s="1" t="n">
        <v>45701</v>
      </c>
      <c r="D2439" t="inlineStr">
        <is>
          <t>JÄMTLANDS LÄN</t>
        </is>
      </c>
      <c r="E2439" t="inlineStr">
        <is>
          <t>BRÄCKE</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45701</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3248-2025</t>
        </is>
      </c>
      <c r="B2441" s="1" t="n">
        <v>45679</v>
      </c>
      <c r="C2441" s="1" t="n">
        <v>45701</v>
      </c>
      <c r="D2441" t="inlineStr">
        <is>
          <t>JÄMTLANDS LÄN</t>
        </is>
      </c>
      <c r="E2441" t="inlineStr">
        <is>
          <t>BRÄCKE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3476-2025</t>
        </is>
      </c>
      <c r="B2442" s="1" t="n">
        <v>45680</v>
      </c>
      <c r="C2442" s="1" t="n">
        <v>45701</v>
      </c>
      <c r="D2442" t="inlineStr">
        <is>
          <t>JÄMTLANDS LÄN</t>
        </is>
      </c>
      <c r="E2442" t="inlineStr">
        <is>
          <t>BRÄCKE</t>
        </is>
      </c>
      <c r="F2442" t="inlineStr">
        <is>
          <t>SCA</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3560-2025</t>
        </is>
      </c>
      <c r="B2443" s="1" t="n">
        <v>45680</v>
      </c>
      <c r="C2443" s="1" t="n">
        <v>45701</v>
      </c>
      <c r="D2443" t="inlineStr">
        <is>
          <t>JÄMTLANDS LÄN</t>
        </is>
      </c>
      <c r="E2443" t="inlineStr">
        <is>
          <t>BRÄCKE</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3603-2025</t>
        </is>
      </c>
      <c r="B2444" s="1" t="n">
        <v>45681</v>
      </c>
      <c r="C2444" s="1" t="n">
        <v>45701</v>
      </c>
      <c r="D2444" t="inlineStr">
        <is>
          <t>JÄMTLANDS LÄN</t>
        </is>
      </c>
      <c r="E2444" t="inlineStr">
        <is>
          <t>BRÄCKE</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3604-2025</t>
        </is>
      </c>
      <c r="B2445" s="1" t="n">
        <v>45681</v>
      </c>
      <c r="C2445" s="1" t="n">
        <v>45701</v>
      </c>
      <c r="D2445" t="inlineStr">
        <is>
          <t>JÄMTLANDS LÄN</t>
        </is>
      </c>
      <c r="E2445" t="inlineStr">
        <is>
          <t>BRÄCKE</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3652-2025</t>
        </is>
      </c>
      <c r="B2446" s="1" t="n">
        <v>45681</v>
      </c>
      <c r="C2446" s="1" t="n">
        <v>45701</v>
      </c>
      <c r="D2446" t="inlineStr">
        <is>
          <t>JÄMTLANDS LÄN</t>
        </is>
      </c>
      <c r="E2446" t="inlineStr">
        <is>
          <t>BRÄCKE</t>
        </is>
      </c>
      <c r="F2446" t="inlineStr">
        <is>
          <t>SCA</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3697-2025</t>
        </is>
      </c>
      <c r="B2447" s="1" t="n">
        <v>45681</v>
      </c>
      <c r="C2447" s="1" t="n">
        <v>45701</v>
      </c>
      <c r="D2447" t="inlineStr">
        <is>
          <t>JÄMTLANDS LÄN</t>
        </is>
      </c>
      <c r="E2447" t="inlineStr">
        <is>
          <t>BRÄCKE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3788-2025</t>
        </is>
      </c>
      <c r="B2448" s="1" t="n">
        <v>45681</v>
      </c>
      <c r="C2448" s="1" t="n">
        <v>45701</v>
      </c>
      <c r="D2448" t="inlineStr">
        <is>
          <t>JÄMTLANDS LÄN</t>
        </is>
      </c>
      <c r="E2448" t="inlineStr">
        <is>
          <t>BRÄCKE</t>
        </is>
      </c>
      <c r="F2448" t="inlineStr">
        <is>
          <t>SCA</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3823-2025</t>
        </is>
      </c>
      <c r="B2449" s="1" t="n">
        <v>45681</v>
      </c>
      <c r="C2449" s="1" t="n">
        <v>45701</v>
      </c>
      <c r="D2449" t="inlineStr">
        <is>
          <t>JÄMTLANDS LÄN</t>
        </is>
      </c>
      <c r="E2449" t="inlineStr">
        <is>
          <t>BRÄCKE</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3785-2025</t>
        </is>
      </c>
      <c r="B2450" s="1" t="n">
        <v>45681</v>
      </c>
      <c r="C2450" s="1" t="n">
        <v>45701</v>
      </c>
      <c r="D2450" t="inlineStr">
        <is>
          <t>JÄMTLANDS LÄN</t>
        </is>
      </c>
      <c r="E2450" t="inlineStr">
        <is>
          <t>BRÄCKE</t>
        </is>
      </c>
      <c r="F2450" t="inlineStr">
        <is>
          <t>SCA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3789-2025</t>
        </is>
      </c>
      <c r="B2451" s="1" t="n">
        <v>45681</v>
      </c>
      <c r="C2451" s="1" t="n">
        <v>45701</v>
      </c>
      <c r="D2451" t="inlineStr">
        <is>
          <t>JÄMTLANDS LÄN</t>
        </is>
      </c>
      <c r="E2451" t="inlineStr">
        <is>
          <t>BRÄCKE</t>
        </is>
      </c>
      <c r="F2451" t="inlineStr">
        <is>
          <t>SCA</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3737-2025</t>
        </is>
      </c>
      <c r="B2452" s="1" t="n">
        <v>45681</v>
      </c>
      <c r="C2452" s="1" t="n">
        <v>45701</v>
      </c>
      <c r="D2452" t="inlineStr">
        <is>
          <t>JÄMTLANDS LÄN</t>
        </is>
      </c>
      <c r="E2452" t="inlineStr">
        <is>
          <t>BRÄCKE</t>
        </is>
      </c>
      <c r="F2452" t="inlineStr">
        <is>
          <t>SCA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3741-2025</t>
        </is>
      </c>
      <c r="B2453" s="1" t="n">
        <v>45681</v>
      </c>
      <c r="C2453" s="1" t="n">
        <v>45701</v>
      </c>
      <c r="D2453" t="inlineStr">
        <is>
          <t>JÄMTLANDS LÄN</t>
        </is>
      </c>
      <c r="E2453" t="inlineStr">
        <is>
          <t>BRÄCKE</t>
        </is>
      </c>
      <c r="F2453" t="inlineStr">
        <is>
          <t>SCA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3787-2025</t>
        </is>
      </c>
      <c r="B2454" s="1" t="n">
        <v>45681</v>
      </c>
      <c r="C2454" s="1" t="n">
        <v>45701</v>
      </c>
      <c r="D2454" t="inlineStr">
        <is>
          <t>JÄMTLANDS LÄN</t>
        </is>
      </c>
      <c r="E2454" t="inlineStr">
        <is>
          <t>BRÄCKE</t>
        </is>
      </c>
      <c r="F2454" t="inlineStr">
        <is>
          <t>SCA</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3824-2025</t>
        </is>
      </c>
      <c r="B2455" s="1" t="n">
        <v>45681</v>
      </c>
      <c r="C2455" s="1" t="n">
        <v>45701</v>
      </c>
      <c r="D2455" t="inlineStr">
        <is>
          <t>JÄMTLANDS LÄN</t>
        </is>
      </c>
      <c r="E2455" t="inlineStr">
        <is>
          <t>BRÄCKE</t>
        </is>
      </c>
      <c r="F2455" t="inlineStr">
        <is>
          <t>SCA</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45701</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3863-2025</t>
        </is>
      </c>
      <c r="B2457" s="1" t="n">
        <v>45684</v>
      </c>
      <c r="C2457" s="1" t="n">
        <v>45701</v>
      </c>
      <c r="D2457" t="inlineStr">
        <is>
          <t>JÄMTLANDS LÄN</t>
        </is>
      </c>
      <c r="E2457" t="inlineStr">
        <is>
          <t>BRÄCKE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3865-2025</t>
        </is>
      </c>
      <c r="B2458" s="1" t="n">
        <v>45684</v>
      </c>
      <c r="C2458" s="1" t="n">
        <v>45701</v>
      </c>
      <c r="D2458" t="inlineStr">
        <is>
          <t>JÄMTLANDS LÄN</t>
        </is>
      </c>
      <c r="E2458" t="inlineStr">
        <is>
          <t>BRÄCKE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3862-2025</t>
        </is>
      </c>
      <c r="B2459" s="1" t="n">
        <v>45684</v>
      </c>
      <c r="C2459" s="1" t="n">
        <v>45701</v>
      </c>
      <c r="D2459" t="inlineStr">
        <is>
          <t>JÄMTLANDS LÄN</t>
        </is>
      </c>
      <c r="E2459" t="inlineStr">
        <is>
          <t>BRÄCKE</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3866-2025</t>
        </is>
      </c>
      <c r="B2460" s="1" t="n">
        <v>45684</v>
      </c>
      <c r="C2460" s="1" t="n">
        <v>45701</v>
      </c>
      <c r="D2460" t="inlineStr">
        <is>
          <t>JÄMTLANDS LÄN</t>
        </is>
      </c>
      <c r="E2460" t="inlineStr">
        <is>
          <t>BRÄCKE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3907-2025</t>
        </is>
      </c>
      <c r="B2461" s="1" t="n">
        <v>45684</v>
      </c>
      <c r="C2461" s="1" t="n">
        <v>45701</v>
      </c>
      <c r="D2461" t="inlineStr">
        <is>
          <t>JÄMTLANDS LÄN</t>
        </is>
      </c>
      <c r="E2461" t="inlineStr">
        <is>
          <t>BRÄCKE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3955-2025</t>
        </is>
      </c>
      <c r="B2462" s="1" t="n">
        <v>45684</v>
      </c>
      <c r="C2462" s="1" t="n">
        <v>45701</v>
      </c>
      <c r="D2462" t="inlineStr">
        <is>
          <t>JÄMTLANDS LÄN</t>
        </is>
      </c>
      <c r="E2462" t="inlineStr">
        <is>
          <t>BRÄCKE</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3969-2025</t>
        </is>
      </c>
      <c r="B2463" s="1" t="n">
        <v>45684</v>
      </c>
      <c r="C2463" s="1" t="n">
        <v>45701</v>
      </c>
      <c r="D2463" t="inlineStr">
        <is>
          <t>JÄMTLANDS LÄN</t>
        </is>
      </c>
      <c r="E2463" t="inlineStr">
        <is>
          <t>BRÄCKE</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4122-2025</t>
        </is>
      </c>
      <c r="B2464" s="1" t="n">
        <v>45685</v>
      </c>
      <c r="C2464" s="1" t="n">
        <v>45701</v>
      </c>
      <c r="D2464" t="inlineStr">
        <is>
          <t>JÄMTLANDS LÄN</t>
        </is>
      </c>
      <c r="E2464" t="inlineStr">
        <is>
          <t>BRÄCKE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4121-2025</t>
        </is>
      </c>
      <c r="B2465" s="1" t="n">
        <v>45685</v>
      </c>
      <c r="C2465" s="1" t="n">
        <v>45701</v>
      </c>
      <c r="D2465" t="inlineStr">
        <is>
          <t>JÄMTLANDS LÄN</t>
        </is>
      </c>
      <c r="E2465" t="inlineStr">
        <is>
          <t>BRÄCKE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4130-2025</t>
        </is>
      </c>
      <c r="B2466" s="1" t="n">
        <v>45685</v>
      </c>
      <c r="C2466" s="1" t="n">
        <v>45701</v>
      </c>
      <c r="D2466" t="inlineStr">
        <is>
          <t>JÄMTLANDS LÄN</t>
        </is>
      </c>
      <c r="E2466" t="inlineStr">
        <is>
          <t>BRÄCKE</t>
        </is>
      </c>
      <c r="F2466" t="inlineStr">
        <is>
          <t>SCA</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4123-2025</t>
        </is>
      </c>
      <c r="B2467" s="1" t="n">
        <v>45685</v>
      </c>
      <c r="C2467" s="1" t="n">
        <v>45701</v>
      </c>
      <c r="D2467" t="inlineStr">
        <is>
          <t>JÄMTLANDS LÄN</t>
        </is>
      </c>
      <c r="E2467" t="inlineStr">
        <is>
          <t>BRÄCKE</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4132-2025</t>
        </is>
      </c>
      <c r="B2468" s="1" t="n">
        <v>45685</v>
      </c>
      <c r="C2468" s="1" t="n">
        <v>45701</v>
      </c>
      <c r="D2468" t="inlineStr">
        <is>
          <t>JÄMTLANDS LÄN</t>
        </is>
      </c>
      <c r="E2468" t="inlineStr">
        <is>
          <t>BRÄCKE</t>
        </is>
      </c>
      <c r="F2468" t="inlineStr">
        <is>
          <t>SCA</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45701</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4841-2025</t>
        </is>
      </c>
      <c r="B2470" s="1" t="n">
        <v>45688</v>
      </c>
      <c r="C2470" s="1" t="n">
        <v>45701</v>
      </c>
      <c r="D2470" t="inlineStr">
        <is>
          <t>JÄMTLANDS LÄN</t>
        </is>
      </c>
      <c r="E2470" t="inlineStr">
        <is>
          <t>BRÄCKE</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4845-2025</t>
        </is>
      </c>
      <c r="B2471" s="1" t="n">
        <v>45688</v>
      </c>
      <c r="C2471" s="1" t="n">
        <v>45701</v>
      </c>
      <c r="D2471" t="inlineStr">
        <is>
          <t>JÄMTLANDS LÄN</t>
        </is>
      </c>
      <c r="E2471" t="inlineStr">
        <is>
          <t>BRÄCKE</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4887-2025</t>
        </is>
      </c>
      <c r="B2472" s="1" t="n">
        <v>45688</v>
      </c>
      <c r="C2472" s="1" t="n">
        <v>45701</v>
      </c>
      <c r="D2472" t="inlineStr">
        <is>
          <t>JÄMTLANDS LÄN</t>
        </is>
      </c>
      <c r="E2472" t="inlineStr">
        <is>
          <t>BRÄCKE</t>
        </is>
      </c>
      <c r="F2472" t="inlineStr">
        <is>
          <t>SCA</t>
        </is>
      </c>
      <c r="G2472" t="n">
        <v>9.4</v>
      </c>
      <c r="H2472" t="n">
        <v>0</v>
      </c>
      <c r="I2472" t="n">
        <v>0</v>
      </c>
      <c r="J2472" t="n">
        <v>0</v>
      </c>
      <c r="K2472" t="n">
        <v>0</v>
      </c>
      <c r="L2472" t="n">
        <v>0</v>
      </c>
      <c r="M2472" t="n">
        <v>0</v>
      </c>
      <c r="N2472" t="n">
        <v>0</v>
      </c>
      <c r="O2472" t="n">
        <v>0</v>
      </c>
      <c r="P2472" t="n">
        <v>0</v>
      </c>
      <c r="Q2472" t="n">
        <v>0</v>
      </c>
      <c r="R2472" s="2" t="inlineStr"/>
    </row>
    <row r="2473" ht="15" customHeight="1">
      <c r="A2473" t="inlineStr">
        <is>
          <t>A 4911-2025</t>
        </is>
      </c>
      <c r="B2473" s="1" t="n">
        <v>45688</v>
      </c>
      <c r="C2473" s="1" t="n">
        <v>45701</v>
      </c>
      <c r="D2473" t="inlineStr">
        <is>
          <t>JÄMTLANDS LÄN</t>
        </is>
      </c>
      <c r="E2473" t="inlineStr">
        <is>
          <t>BRÄCKE</t>
        </is>
      </c>
      <c r="F2473" t="inlineStr">
        <is>
          <t>SCA</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4915-2025</t>
        </is>
      </c>
      <c r="B2474" s="1" t="n">
        <v>45688</v>
      </c>
      <c r="C2474" s="1" t="n">
        <v>45701</v>
      </c>
      <c r="D2474" t="inlineStr">
        <is>
          <t>JÄMTLANDS LÄN</t>
        </is>
      </c>
      <c r="E2474" t="inlineStr">
        <is>
          <t>BRÄCKE</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4848-2025</t>
        </is>
      </c>
      <c r="B2475" s="1" t="n">
        <v>45688</v>
      </c>
      <c r="C2475" s="1" t="n">
        <v>45701</v>
      </c>
      <c r="D2475" t="inlineStr">
        <is>
          <t>JÄMTLANDS LÄN</t>
        </is>
      </c>
      <c r="E2475" t="inlineStr">
        <is>
          <t>BRÄCKE</t>
        </is>
      </c>
      <c r="F2475" t="inlineStr">
        <is>
          <t>SCA</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4877-2025</t>
        </is>
      </c>
      <c r="B2476" s="1" t="n">
        <v>45688</v>
      </c>
      <c r="C2476" s="1" t="n">
        <v>45701</v>
      </c>
      <c r="D2476" t="inlineStr">
        <is>
          <t>JÄMTLANDS LÄN</t>
        </is>
      </c>
      <c r="E2476" t="inlineStr">
        <is>
          <t>BRÄCKE</t>
        </is>
      </c>
      <c r="F2476" t="inlineStr">
        <is>
          <t>SCA</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4893-2025</t>
        </is>
      </c>
      <c r="B2477" s="1" t="n">
        <v>45688</v>
      </c>
      <c r="C2477" s="1" t="n">
        <v>45701</v>
      </c>
      <c r="D2477" t="inlineStr">
        <is>
          <t>JÄMTLANDS LÄN</t>
        </is>
      </c>
      <c r="E2477" t="inlineStr">
        <is>
          <t>BRÄCKE</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4836-2025</t>
        </is>
      </c>
      <c r="B2478" s="1" t="n">
        <v>45688</v>
      </c>
      <c r="C2478" s="1" t="n">
        <v>45701</v>
      </c>
      <c r="D2478" t="inlineStr">
        <is>
          <t>JÄMTLANDS LÄN</t>
        </is>
      </c>
      <c r="E2478" t="inlineStr">
        <is>
          <t>BRÄCKE</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4844-2025</t>
        </is>
      </c>
      <c r="B2479" s="1" t="n">
        <v>45688</v>
      </c>
      <c r="C2479" s="1" t="n">
        <v>45701</v>
      </c>
      <c r="D2479" t="inlineStr">
        <is>
          <t>JÄMTLANDS LÄN</t>
        </is>
      </c>
      <c r="E2479" t="inlineStr">
        <is>
          <t>BRÄCKE</t>
        </is>
      </c>
      <c r="F2479" t="inlineStr">
        <is>
          <t>SCA</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4857-2025</t>
        </is>
      </c>
      <c r="B2480" s="1" t="n">
        <v>45688</v>
      </c>
      <c r="C2480" s="1" t="n">
        <v>45701</v>
      </c>
      <c r="D2480" t="inlineStr">
        <is>
          <t>JÄMTLANDS LÄN</t>
        </is>
      </c>
      <c r="E2480" t="inlineStr">
        <is>
          <t>BRÄCKE</t>
        </is>
      </c>
      <c r="F2480" t="inlineStr">
        <is>
          <t>SCA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4861-2025</t>
        </is>
      </c>
      <c r="B2481" s="1" t="n">
        <v>45688</v>
      </c>
      <c r="C2481" s="1" t="n">
        <v>45701</v>
      </c>
      <c r="D2481" t="inlineStr">
        <is>
          <t>JÄMTLANDS LÄN</t>
        </is>
      </c>
      <c r="E2481" t="inlineStr">
        <is>
          <t>BRÄCKE</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4869-2025</t>
        </is>
      </c>
      <c r="B2482" s="1" t="n">
        <v>45688</v>
      </c>
      <c r="C2482" s="1" t="n">
        <v>45701</v>
      </c>
      <c r="D2482" t="inlineStr">
        <is>
          <t>JÄMTLANDS LÄN</t>
        </is>
      </c>
      <c r="E2482" t="inlineStr">
        <is>
          <t>BRÄCKE</t>
        </is>
      </c>
      <c r="F2482" t="inlineStr">
        <is>
          <t>SCA</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4882-2025</t>
        </is>
      </c>
      <c r="B2483" s="1" t="n">
        <v>45688</v>
      </c>
      <c r="C2483" s="1" t="n">
        <v>45701</v>
      </c>
      <c r="D2483" t="inlineStr">
        <is>
          <t>JÄMTLANDS LÄN</t>
        </is>
      </c>
      <c r="E2483" t="inlineStr">
        <is>
          <t>BRÄCKE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4902-2025</t>
        </is>
      </c>
      <c r="B2484" s="1" t="n">
        <v>45688</v>
      </c>
      <c r="C2484" s="1" t="n">
        <v>45701</v>
      </c>
      <c r="D2484" t="inlineStr">
        <is>
          <t>JÄMTLANDS LÄN</t>
        </is>
      </c>
      <c r="E2484" t="inlineStr">
        <is>
          <t>BRÄCKE</t>
        </is>
      </c>
      <c r="F2484" t="inlineStr">
        <is>
          <t>SCA</t>
        </is>
      </c>
      <c r="G2484" t="n">
        <v>17.1</v>
      </c>
      <c r="H2484" t="n">
        <v>0</v>
      </c>
      <c r="I2484" t="n">
        <v>0</v>
      </c>
      <c r="J2484" t="n">
        <v>0</v>
      </c>
      <c r="K2484" t="n">
        <v>0</v>
      </c>
      <c r="L2484" t="n">
        <v>0</v>
      </c>
      <c r="M2484" t="n">
        <v>0</v>
      </c>
      <c r="N2484" t="n">
        <v>0</v>
      </c>
      <c r="O2484" t="n">
        <v>0</v>
      </c>
      <c r="P2484" t="n">
        <v>0</v>
      </c>
      <c r="Q2484" t="n">
        <v>0</v>
      </c>
      <c r="R2484" s="2" t="inlineStr"/>
    </row>
    <row r="2485" ht="15" customHeight="1">
      <c r="A2485" t="inlineStr">
        <is>
          <t>A 4914-2025</t>
        </is>
      </c>
      <c r="B2485" s="1" t="n">
        <v>45688</v>
      </c>
      <c r="C2485" s="1" t="n">
        <v>45701</v>
      </c>
      <c r="D2485" t="inlineStr">
        <is>
          <t>JÄMTLANDS LÄN</t>
        </is>
      </c>
      <c r="E2485" t="inlineStr">
        <is>
          <t>BRÄCKE</t>
        </is>
      </c>
      <c r="F2485" t="inlineStr">
        <is>
          <t>SCA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4842-2025</t>
        </is>
      </c>
      <c r="B2486" s="1" t="n">
        <v>45688</v>
      </c>
      <c r="C2486" s="1" t="n">
        <v>45701</v>
      </c>
      <c r="D2486" t="inlineStr">
        <is>
          <t>JÄMTLANDS LÄN</t>
        </is>
      </c>
      <c r="E2486" t="inlineStr">
        <is>
          <t>BRÄCKE</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4847-2025</t>
        </is>
      </c>
      <c r="B2487" s="1" t="n">
        <v>45688</v>
      </c>
      <c r="C2487" s="1" t="n">
        <v>45701</v>
      </c>
      <c r="D2487" t="inlineStr">
        <is>
          <t>JÄMTLANDS LÄN</t>
        </is>
      </c>
      <c r="E2487" t="inlineStr">
        <is>
          <t>BRÄCKE</t>
        </is>
      </c>
      <c r="F2487" t="inlineStr">
        <is>
          <t>SCA</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4867-2025</t>
        </is>
      </c>
      <c r="B2488" s="1" t="n">
        <v>45688</v>
      </c>
      <c r="C2488" s="1" t="n">
        <v>45701</v>
      </c>
      <c r="D2488" t="inlineStr">
        <is>
          <t>JÄMTLANDS LÄN</t>
        </is>
      </c>
      <c r="E2488" t="inlineStr">
        <is>
          <t>BRÄCKE</t>
        </is>
      </c>
      <c r="F2488" t="inlineStr">
        <is>
          <t>SCA</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4884-2025</t>
        </is>
      </c>
      <c r="B2489" s="1" t="n">
        <v>45688</v>
      </c>
      <c r="C2489" s="1" t="n">
        <v>45701</v>
      </c>
      <c r="D2489" t="inlineStr">
        <is>
          <t>JÄMTLANDS LÄN</t>
        </is>
      </c>
      <c r="E2489" t="inlineStr">
        <is>
          <t>BRÄCKE</t>
        </is>
      </c>
      <c r="F2489" t="inlineStr">
        <is>
          <t>SCA</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4904-2025</t>
        </is>
      </c>
      <c r="B2490" s="1" t="n">
        <v>45688</v>
      </c>
      <c r="C2490" s="1" t="n">
        <v>45701</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4939-2025</t>
        </is>
      </c>
      <c r="B2491" s="1" t="n">
        <v>45688</v>
      </c>
      <c r="C2491" s="1" t="n">
        <v>45701</v>
      </c>
      <c r="D2491" t="inlineStr">
        <is>
          <t>JÄMTLANDS LÄN</t>
        </is>
      </c>
      <c r="E2491" t="inlineStr">
        <is>
          <t>BRÄCKE</t>
        </is>
      </c>
      <c r="F2491" t="inlineStr">
        <is>
          <t>Naturvårdsverket</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5005-2025</t>
        </is>
      </c>
      <c r="B2492" s="1" t="n">
        <v>45691</v>
      </c>
      <c r="C2492" s="1" t="n">
        <v>45701</v>
      </c>
      <c r="D2492" t="inlineStr">
        <is>
          <t>JÄMTLANDS LÄN</t>
        </is>
      </c>
      <c r="E2492" t="inlineStr">
        <is>
          <t>BRÄCKE</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5070-2025</t>
        </is>
      </c>
      <c r="B2493" s="1" t="n">
        <v>45691</v>
      </c>
      <c r="C2493" s="1" t="n">
        <v>45701</v>
      </c>
      <c r="D2493" t="inlineStr">
        <is>
          <t>JÄMTLANDS LÄN</t>
        </is>
      </c>
      <c r="E2493" t="inlineStr">
        <is>
          <t>BRÄCKE</t>
        </is>
      </c>
      <c r="F2493" t="inlineStr">
        <is>
          <t>SCA</t>
        </is>
      </c>
      <c r="G2493" t="n">
        <v>21.5</v>
      </c>
      <c r="H2493" t="n">
        <v>0</v>
      </c>
      <c r="I2493" t="n">
        <v>0</v>
      </c>
      <c r="J2493" t="n">
        <v>0</v>
      </c>
      <c r="K2493" t="n">
        <v>0</v>
      </c>
      <c r="L2493" t="n">
        <v>0</v>
      </c>
      <c r="M2493" t="n">
        <v>0</v>
      </c>
      <c r="N2493" t="n">
        <v>0</v>
      </c>
      <c r="O2493" t="n">
        <v>0</v>
      </c>
      <c r="P2493" t="n">
        <v>0</v>
      </c>
      <c r="Q2493" t="n">
        <v>0</v>
      </c>
      <c r="R2493" s="2" t="inlineStr"/>
    </row>
    <row r="2494" ht="15" customHeight="1">
      <c r="A2494" t="inlineStr">
        <is>
          <t>A 5096-2025</t>
        </is>
      </c>
      <c r="B2494" s="1" t="n">
        <v>45691</v>
      </c>
      <c r="C2494" s="1" t="n">
        <v>45701</v>
      </c>
      <c r="D2494" t="inlineStr">
        <is>
          <t>JÄMTLANDS LÄN</t>
        </is>
      </c>
      <c r="E2494" t="inlineStr">
        <is>
          <t>BRÄCKE</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5167-2025</t>
        </is>
      </c>
      <c r="B2495" s="1" t="n">
        <v>45691</v>
      </c>
      <c r="C2495" s="1" t="n">
        <v>45701</v>
      </c>
      <c r="D2495" t="inlineStr">
        <is>
          <t>JÄMTLANDS LÄN</t>
        </is>
      </c>
      <c r="E2495" t="inlineStr">
        <is>
          <t>BRÄCKE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5169-2025</t>
        </is>
      </c>
      <c r="B2496" s="1" t="n">
        <v>45691</v>
      </c>
      <c r="C2496" s="1" t="n">
        <v>45701</v>
      </c>
      <c r="D2496" t="inlineStr">
        <is>
          <t>JÄMTLANDS LÄN</t>
        </is>
      </c>
      <c r="E2496" t="inlineStr">
        <is>
          <t>BRÄCKE</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5097-2025</t>
        </is>
      </c>
      <c r="B2497" s="1" t="n">
        <v>45691</v>
      </c>
      <c r="C2497" s="1" t="n">
        <v>45701</v>
      </c>
      <c r="D2497" t="inlineStr">
        <is>
          <t>JÄMTLANDS LÄN</t>
        </is>
      </c>
      <c r="E2497" t="inlineStr">
        <is>
          <t>BRÄCKE</t>
        </is>
      </c>
      <c r="F2497" t="inlineStr">
        <is>
          <t>SCA</t>
        </is>
      </c>
      <c r="G2497" t="n">
        <v>41.5</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45701</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45701</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5482-2025</t>
        </is>
      </c>
      <c r="B2500" s="1" t="n">
        <v>45693</v>
      </c>
      <c r="C2500" s="1" t="n">
        <v>45701</v>
      </c>
      <c r="D2500" t="inlineStr">
        <is>
          <t>JÄMTLANDS LÄN</t>
        </is>
      </c>
      <c r="E2500" t="inlineStr">
        <is>
          <t>BRÄCKE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5490-2025</t>
        </is>
      </c>
      <c r="B2501" s="1" t="n">
        <v>45693</v>
      </c>
      <c r="C2501" s="1" t="n">
        <v>45701</v>
      </c>
      <c r="D2501" t="inlineStr">
        <is>
          <t>JÄMTLANDS LÄN</t>
        </is>
      </c>
      <c r="E2501" t="inlineStr">
        <is>
          <t>BRÄCKE</t>
        </is>
      </c>
      <c r="F2501" t="inlineStr">
        <is>
          <t>SCA</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5483-2025</t>
        </is>
      </c>
      <c r="B2502" s="1" t="n">
        <v>45693</v>
      </c>
      <c r="C2502" s="1" t="n">
        <v>45701</v>
      </c>
      <c r="D2502" t="inlineStr">
        <is>
          <t>JÄMTLANDS LÄN</t>
        </is>
      </c>
      <c r="E2502" t="inlineStr">
        <is>
          <t>BRÄCKE</t>
        </is>
      </c>
      <c r="F2502" t="inlineStr">
        <is>
          <t>SCA</t>
        </is>
      </c>
      <c r="G2502" t="n">
        <v>20.5</v>
      </c>
      <c r="H2502" t="n">
        <v>0</v>
      </c>
      <c r="I2502" t="n">
        <v>0</v>
      </c>
      <c r="J2502" t="n">
        <v>0</v>
      </c>
      <c r="K2502" t="n">
        <v>0</v>
      </c>
      <c r="L2502" t="n">
        <v>0</v>
      </c>
      <c r="M2502" t="n">
        <v>0</v>
      </c>
      <c r="N2502" t="n">
        <v>0</v>
      </c>
      <c r="O2502" t="n">
        <v>0</v>
      </c>
      <c r="P2502" t="n">
        <v>0</v>
      </c>
      <c r="Q2502" t="n">
        <v>0</v>
      </c>
      <c r="R2502" s="2" t="inlineStr"/>
    </row>
    <row r="2503" ht="15" customHeight="1">
      <c r="A2503" t="inlineStr">
        <is>
          <t>A 5516-2025</t>
        </is>
      </c>
      <c r="B2503" s="1" t="n">
        <v>45693</v>
      </c>
      <c r="C2503" s="1" t="n">
        <v>45701</v>
      </c>
      <c r="D2503" t="inlineStr">
        <is>
          <t>JÄMTLANDS LÄN</t>
        </is>
      </c>
      <c r="E2503" t="inlineStr">
        <is>
          <t>BRÄCKE</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5527-2025</t>
        </is>
      </c>
      <c r="B2504" s="1" t="n">
        <v>45693</v>
      </c>
      <c r="C2504" s="1" t="n">
        <v>45701</v>
      </c>
      <c r="D2504" t="inlineStr">
        <is>
          <t>JÄMTLANDS LÄN</t>
        </is>
      </c>
      <c r="E2504" t="inlineStr">
        <is>
          <t>BRÄCKE</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5536-2025</t>
        </is>
      </c>
      <c r="B2505" s="1" t="n">
        <v>45693</v>
      </c>
      <c r="C2505" s="1" t="n">
        <v>45701</v>
      </c>
      <c r="D2505" t="inlineStr">
        <is>
          <t>JÄMTLANDS LÄN</t>
        </is>
      </c>
      <c r="E2505" t="inlineStr">
        <is>
          <t>BRÄCKE</t>
        </is>
      </c>
      <c r="F2505" t="inlineStr">
        <is>
          <t>SCA</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5525-2025</t>
        </is>
      </c>
      <c r="B2506" s="1" t="n">
        <v>45693</v>
      </c>
      <c r="C2506" s="1" t="n">
        <v>45701</v>
      </c>
      <c r="D2506" t="inlineStr">
        <is>
          <t>JÄMTLANDS LÄN</t>
        </is>
      </c>
      <c r="E2506" t="inlineStr">
        <is>
          <t>BRÄCKE</t>
        </is>
      </c>
      <c r="F2506" t="inlineStr">
        <is>
          <t>SCA</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5618-2025</t>
        </is>
      </c>
      <c r="B2507" s="1" t="n">
        <v>45693</v>
      </c>
      <c r="C2507" s="1" t="n">
        <v>45701</v>
      </c>
      <c r="D2507" t="inlineStr">
        <is>
          <t>JÄMTLANDS LÄN</t>
        </is>
      </c>
      <c r="E2507" t="inlineStr">
        <is>
          <t>BRÄCKE</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5537-2025</t>
        </is>
      </c>
      <c r="B2508" s="1" t="n">
        <v>45693</v>
      </c>
      <c r="C2508" s="1" t="n">
        <v>45701</v>
      </c>
      <c r="D2508" t="inlineStr">
        <is>
          <t>JÄMTLANDS LÄN</t>
        </is>
      </c>
      <c r="E2508" t="inlineStr">
        <is>
          <t>BRÄCKE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5621-2025</t>
        </is>
      </c>
      <c r="B2509" s="1" t="n">
        <v>45693</v>
      </c>
      <c r="C2509" s="1" t="n">
        <v>45701</v>
      </c>
      <c r="D2509" t="inlineStr">
        <is>
          <t>JÄMTLANDS LÄN</t>
        </is>
      </c>
      <c r="E2509" t="inlineStr">
        <is>
          <t>BRÄCKE</t>
        </is>
      </c>
      <c r="F2509" t="inlineStr">
        <is>
          <t>SCA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45701</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45701</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5855-2025</t>
        </is>
      </c>
      <c r="B2512" s="1" t="n">
        <v>45695</v>
      </c>
      <c r="C2512" s="1" t="n">
        <v>45701</v>
      </c>
      <c r="D2512" t="inlineStr">
        <is>
          <t>JÄMTLANDS LÄN</t>
        </is>
      </c>
      <c r="E2512" t="inlineStr">
        <is>
          <t>BRÄCKE</t>
        </is>
      </c>
      <c r="F2512" t="inlineStr">
        <is>
          <t>SCA</t>
        </is>
      </c>
      <c r="G2512" t="n">
        <v>2.4</v>
      </c>
      <c r="H2512" t="n">
        <v>0</v>
      </c>
      <c r="I2512" t="n">
        <v>0</v>
      </c>
      <c r="J2512" t="n">
        <v>0</v>
      </c>
      <c r="K2512" t="n">
        <v>0</v>
      </c>
      <c r="L2512" t="n">
        <v>0</v>
      </c>
      <c r="M2512" t="n">
        <v>0</v>
      </c>
      <c r="N2512" t="n">
        <v>0</v>
      </c>
      <c r="O2512" t="n">
        <v>0</v>
      </c>
      <c r="P2512" t="n">
        <v>0</v>
      </c>
      <c r="Q2512" t="n">
        <v>0</v>
      </c>
      <c r="R2512" s="2" t="inlineStr"/>
      <c r="U2512">
        <f>HYPERLINK("https://klasma.github.io/Logging_2305/knärot/A 5855-2025 karta knärot.png", "A 5855-2025")</f>
        <v/>
      </c>
      <c r="V2512">
        <f>HYPERLINK("https://klasma.github.io/Logging_2305/klagomål/A 5855-2025 FSC-klagomål.docx", "A 5855-2025")</f>
        <v/>
      </c>
      <c r="W2512">
        <f>HYPERLINK("https://klasma.github.io/Logging_2305/klagomålsmail/A 5855-2025 FSC-klagomål mail.docx", "A 5855-2025")</f>
        <v/>
      </c>
      <c r="X2512">
        <f>HYPERLINK("https://klasma.github.io/Logging_2305/tillsyn/A 5855-2025 tillsynsbegäran.docx", "A 5855-2025")</f>
        <v/>
      </c>
      <c r="Y2512">
        <f>HYPERLINK("https://klasma.github.io/Logging_2305/tillsynsmail/A 5855-2025 tillsynsbegäran mail.docx", "A 5855-2025")</f>
        <v/>
      </c>
    </row>
    <row r="2513" ht="15" customHeight="1">
      <c r="A2513" t="inlineStr">
        <is>
          <t>A 5933-2025</t>
        </is>
      </c>
      <c r="B2513" s="1" t="n">
        <v>45695</v>
      </c>
      <c r="C2513" s="1" t="n">
        <v>45701</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6213-2025</t>
        </is>
      </c>
      <c r="B2514" s="1" t="n">
        <v>45698</v>
      </c>
      <c r="C2514" s="1" t="n">
        <v>45701</v>
      </c>
      <c r="D2514" t="inlineStr">
        <is>
          <t>JÄMTLANDS LÄN</t>
        </is>
      </c>
      <c r="E2514" t="inlineStr">
        <is>
          <t>BRÄCKE</t>
        </is>
      </c>
      <c r="F2514" t="inlineStr">
        <is>
          <t>SCA</t>
        </is>
      </c>
      <c r="G2514" t="n">
        <v>11.4</v>
      </c>
      <c r="H2514" t="n">
        <v>0</v>
      </c>
      <c r="I2514" t="n">
        <v>0</v>
      </c>
      <c r="J2514" t="n">
        <v>0</v>
      </c>
      <c r="K2514" t="n">
        <v>0</v>
      </c>
      <c r="L2514" t="n">
        <v>0</v>
      </c>
      <c r="M2514" t="n">
        <v>0</v>
      </c>
      <c r="N2514" t="n">
        <v>0</v>
      </c>
      <c r="O2514" t="n">
        <v>0</v>
      </c>
      <c r="P2514" t="n">
        <v>0</v>
      </c>
      <c r="Q2514" t="n">
        <v>0</v>
      </c>
      <c r="R2514" s="2" t="inlineStr"/>
    </row>
    <row r="2515" ht="15" customHeight="1">
      <c r="A2515" t="inlineStr">
        <is>
          <t>A 6258-2025</t>
        </is>
      </c>
      <c r="B2515" s="1" t="n">
        <v>45698</v>
      </c>
      <c r="C2515" s="1" t="n">
        <v>45701</v>
      </c>
      <c r="D2515" t="inlineStr">
        <is>
          <t>JÄMTLANDS LÄN</t>
        </is>
      </c>
      <c r="E2515" t="inlineStr">
        <is>
          <t>BRÄCKE</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6291-2025</t>
        </is>
      </c>
      <c r="B2516" s="1" t="n">
        <v>45698</v>
      </c>
      <c r="C2516" s="1" t="n">
        <v>45701</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6416-2025</t>
        </is>
      </c>
      <c r="B2517" s="1" t="n">
        <v>45699</v>
      </c>
      <c r="C2517" s="1" t="n">
        <v>45701</v>
      </c>
      <c r="D2517" t="inlineStr">
        <is>
          <t>JÄMTLANDS LÄN</t>
        </is>
      </c>
      <c r="E2517" t="inlineStr">
        <is>
          <t>BRÄCKE</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6378-2025</t>
        </is>
      </c>
      <c r="B2518" s="1" t="n">
        <v>45699</v>
      </c>
      <c r="C2518" s="1" t="n">
        <v>45701</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6377-2025</t>
        </is>
      </c>
      <c r="B2519" s="1" t="n">
        <v>45699</v>
      </c>
      <c r="C2519" s="1" t="n">
        <v>45701</v>
      </c>
      <c r="D2519" t="inlineStr">
        <is>
          <t>JÄMTLANDS LÄN</t>
        </is>
      </c>
      <c r="E2519" t="inlineStr">
        <is>
          <t>BRÄCKE</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6622-2025</t>
        </is>
      </c>
      <c r="B2520" s="1" t="n">
        <v>45700</v>
      </c>
      <c r="C2520" s="1" t="n">
        <v>45701</v>
      </c>
      <c r="D2520" t="inlineStr">
        <is>
          <t>JÄMTLANDS LÄN</t>
        </is>
      </c>
      <c r="E2520" t="inlineStr">
        <is>
          <t>BRÄCKE</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6626-2025</t>
        </is>
      </c>
      <c r="B2521" s="1" t="n">
        <v>45700</v>
      </c>
      <c r="C2521" s="1" t="n">
        <v>45701</v>
      </c>
      <c r="D2521" t="inlineStr">
        <is>
          <t>JÄMTLANDS LÄN</t>
        </is>
      </c>
      <c r="E2521" t="inlineStr">
        <is>
          <t>BRÄCKE</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6786-2025</t>
        </is>
      </c>
      <c r="B2522" s="1" t="n">
        <v>45700</v>
      </c>
      <c r="C2522" s="1" t="n">
        <v>45701</v>
      </c>
      <c r="D2522" t="inlineStr">
        <is>
          <t>JÄMTLANDS LÄN</t>
        </is>
      </c>
      <c r="E2522" t="inlineStr">
        <is>
          <t>BRÄCKE</t>
        </is>
      </c>
      <c r="F2522" t="inlineStr">
        <is>
          <t>SCA</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6707-2025</t>
        </is>
      </c>
      <c r="B2523" s="1" t="n">
        <v>45700</v>
      </c>
      <c r="C2523" s="1" t="n">
        <v>45701</v>
      </c>
      <c r="D2523" t="inlineStr">
        <is>
          <t>JÄMTLANDS LÄN</t>
        </is>
      </c>
      <c r="E2523" t="inlineStr">
        <is>
          <t>BRÄCKE</t>
        </is>
      </c>
      <c r="F2523" t="inlineStr">
        <is>
          <t>SCA</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6813-2025</t>
        </is>
      </c>
      <c r="B2524" s="1" t="n">
        <v>45700</v>
      </c>
      <c r="C2524" s="1" t="n">
        <v>45701</v>
      </c>
      <c r="D2524" t="inlineStr">
        <is>
          <t>JÄMTLANDS LÄN</t>
        </is>
      </c>
      <c r="E2524" t="inlineStr">
        <is>
          <t>BRÄCKE</t>
        </is>
      </c>
      <c r="F2524" t="inlineStr">
        <is>
          <t>SCA</t>
        </is>
      </c>
      <c r="G2524" t="n">
        <v>1.8</v>
      </c>
      <c r="H2524" t="n">
        <v>0</v>
      </c>
      <c r="I2524" t="n">
        <v>0</v>
      </c>
      <c r="J2524" t="n">
        <v>0</v>
      </c>
      <c r="K2524" t="n">
        <v>0</v>
      </c>
      <c r="L2524" t="n">
        <v>0</v>
      </c>
      <c r="M2524" t="n">
        <v>0</v>
      </c>
      <c r="N2524" t="n">
        <v>0</v>
      </c>
      <c r="O2524" t="n">
        <v>0</v>
      </c>
      <c r="P2524" t="n">
        <v>0</v>
      </c>
      <c r="Q2524" t="n">
        <v>0</v>
      </c>
      <c r="R2524" s="2" t="inlineStr"/>
    </row>
    <row r="2525">
      <c r="A2525" t="inlineStr">
        <is>
          <t>A 6788-2025</t>
        </is>
      </c>
      <c r="B2525" s="1" t="n">
        <v>45700</v>
      </c>
      <c r="C2525" s="1" t="n">
        <v>45701</v>
      </c>
      <c r="D2525" t="inlineStr">
        <is>
          <t>JÄMTLANDS LÄN</t>
        </is>
      </c>
      <c r="E2525" t="inlineStr">
        <is>
          <t>BRÄCKE</t>
        </is>
      </c>
      <c r="F2525" t="inlineStr">
        <is>
          <t>SCA</t>
        </is>
      </c>
      <c r="G2525" t="n">
        <v>6.8</v>
      </c>
      <c r="H2525" t="n">
        <v>0</v>
      </c>
      <c r="I2525" t="n">
        <v>0</v>
      </c>
      <c r="J2525" t="n">
        <v>0</v>
      </c>
      <c r="K2525" t="n">
        <v>0</v>
      </c>
      <c r="L2525" t="n">
        <v>0</v>
      </c>
      <c r="M2525" t="n">
        <v>0</v>
      </c>
      <c r="N2525" t="n">
        <v>0</v>
      </c>
      <c r="O2525" t="n">
        <v>0</v>
      </c>
      <c r="P2525" t="n">
        <v>0</v>
      </c>
      <c r="Q2525" t="n">
        <v>0</v>
      </c>
      <c r="R2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2025-02-13T16:35:05Z</dcterms:created>
  <dcterms:modified xmlns:dcterms="http://purl.org/dc/terms/" xmlns:xsi="http://www.w3.org/2001/XMLSchema-instance" xsi:type="dcterms:W3CDTF">2025-02-13T16:35:07Z</dcterms:modified>
</cp:coreProperties>
</file>