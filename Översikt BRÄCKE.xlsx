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45916</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45916</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45916</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46328-2022</t>
        </is>
      </c>
      <c r="B5" s="1" t="n">
        <v>44847</v>
      </c>
      <c r="C5" s="1" t="n">
        <v>45916</v>
      </c>
      <c r="D5" t="inlineStr">
        <is>
          <t>JÄMTLANDS LÄN</t>
        </is>
      </c>
      <c r="E5" t="inlineStr">
        <is>
          <t>BRÄCKE</t>
        </is>
      </c>
      <c r="F5" t="inlineStr">
        <is>
          <t>SCA</t>
        </is>
      </c>
      <c r="G5" t="n">
        <v>17.7</v>
      </c>
      <c r="H5" t="n">
        <v>9</v>
      </c>
      <c r="I5" t="n">
        <v>7</v>
      </c>
      <c r="J5" t="n">
        <v>15</v>
      </c>
      <c r="K5" t="n">
        <v>2</v>
      </c>
      <c r="L5" t="n">
        <v>0</v>
      </c>
      <c r="M5" t="n">
        <v>0</v>
      </c>
      <c r="N5" t="n">
        <v>0</v>
      </c>
      <c r="O5" t="n">
        <v>17</v>
      </c>
      <c r="P5" t="n">
        <v>2</v>
      </c>
      <c r="Q5" t="n">
        <v>25</v>
      </c>
      <c r="R5"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31557-2024</t>
        </is>
      </c>
      <c r="B6" s="1" t="n">
        <v>45505</v>
      </c>
      <c r="C6" s="1" t="n">
        <v>45916</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51425-2023</t>
        </is>
      </c>
      <c r="B7" s="1" t="n">
        <v>45219</v>
      </c>
      <c r="C7" s="1" t="n">
        <v>45916</v>
      </c>
      <c r="D7" t="inlineStr">
        <is>
          <t>JÄMTLANDS LÄN</t>
        </is>
      </c>
      <c r="E7" t="inlineStr">
        <is>
          <t>BRÄCKE</t>
        </is>
      </c>
      <c r="F7" t="inlineStr">
        <is>
          <t>SCA</t>
        </is>
      </c>
      <c r="G7" t="n">
        <v>7.6</v>
      </c>
      <c r="H7" t="n">
        <v>3</v>
      </c>
      <c r="I7" t="n">
        <v>10</v>
      </c>
      <c r="J7" t="n">
        <v>12</v>
      </c>
      <c r="K7" t="n">
        <v>3</v>
      </c>
      <c r="L7" t="n">
        <v>0</v>
      </c>
      <c r="M7" t="n">
        <v>0</v>
      </c>
      <c r="N7" t="n">
        <v>0</v>
      </c>
      <c r="O7" t="n">
        <v>15</v>
      </c>
      <c r="P7" t="n">
        <v>3</v>
      </c>
      <c r="Q7" t="n">
        <v>25</v>
      </c>
      <c r="R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50503-2023</t>
        </is>
      </c>
      <c r="B8" s="1" t="n">
        <v>45216</v>
      </c>
      <c r="C8" s="1" t="n">
        <v>45916</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30780-2024</t>
        </is>
      </c>
      <c r="B9" s="1" t="n">
        <v>45496.95030092593</v>
      </c>
      <c r="C9" s="1" t="n">
        <v>45916</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36183-2025</t>
        </is>
      </c>
      <c r="B10" s="1" t="n">
        <v>45867.41709490741</v>
      </c>
      <c r="C10" s="1" t="n">
        <v>45916</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49645-2023</t>
        </is>
      </c>
      <c r="B11" s="1" t="n">
        <v>45211</v>
      </c>
      <c r="C11" s="1" t="n">
        <v>45916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34927-2023</t>
        </is>
      </c>
      <c r="B12" s="1" t="n">
        <v>45142</v>
      </c>
      <c r="C12" s="1" t="n">
        <v>45916</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45916</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45916</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45916</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50826-2023</t>
        </is>
      </c>
      <c r="B16" s="1" t="n">
        <v>45217</v>
      </c>
      <c r="C16" s="1" t="n">
        <v>45916</v>
      </c>
      <c r="D16" t="inlineStr">
        <is>
          <t>JÄMTLANDS LÄN</t>
        </is>
      </c>
      <c r="E16" t="inlineStr">
        <is>
          <t>BRÄCKE</t>
        </is>
      </c>
      <c r="F16" t="inlineStr">
        <is>
          <t>SCA</t>
        </is>
      </c>
      <c r="G16" t="n">
        <v>5.2</v>
      </c>
      <c r="H16" t="n">
        <v>2</v>
      </c>
      <c r="I16" t="n">
        <v>4</v>
      </c>
      <c r="J16" t="n">
        <v>9</v>
      </c>
      <c r="K16" t="n">
        <v>4</v>
      </c>
      <c r="L16" t="n">
        <v>0</v>
      </c>
      <c r="M16" t="n">
        <v>0</v>
      </c>
      <c r="N16" t="n">
        <v>0</v>
      </c>
      <c r="O16" t="n">
        <v>13</v>
      </c>
      <c r="P16" t="n">
        <v>4</v>
      </c>
      <c r="Q16" t="n">
        <v>17</v>
      </c>
      <c r="R16" s="2" t="inlineStr">
        <is>
          <t>Borsttagging
Jättemusseron
Spadskinn
Torrmusseron
Blå taggsvamp
Garnlav
Grantaggsvamp
Lunglav
Mjölsvärting
Svart taggsvamp
Talltita
Tretåig hackspett
Vaxspindling
Bollvitmossa
Dropptaggsvamp
Korallblylav
Skarp dropptaggsvamp</t>
        </is>
      </c>
      <c r="S16">
        <f>HYPERLINK("https://klasma.github.io/Logging_2305/artfynd/A 50826-2023 artfynd.xlsx", "A 50826-2023")</f>
        <v/>
      </c>
      <c r="T16">
        <f>HYPERLINK("https://klasma.github.io/Logging_2305/kartor/A 50826-2023 karta.png", "A 50826-2023")</f>
        <v/>
      </c>
      <c r="V16">
        <f>HYPERLINK("https://klasma.github.io/Logging_2305/klagomål/A 50826-2023 FSC-klagomål.docx", "A 50826-2023")</f>
        <v/>
      </c>
      <c r="W16">
        <f>HYPERLINK("https://klasma.github.io/Logging_2305/klagomålsmail/A 50826-2023 FSC-klagomål mail.docx", "A 50826-2023")</f>
        <v/>
      </c>
      <c r="X16">
        <f>HYPERLINK("https://klasma.github.io/Logging_2305/tillsyn/A 50826-2023 tillsynsbegäran.docx", "A 50826-2023")</f>
        <v/>
      </c>
      <c r="Y16">
        <f>HYPERLINK("https://klasma.github.io/Logging_2305/tillsynsmail/A 50826-2023 tillsynsbegäran mail.docx", "A 50826-2023")</f>
        <v/>
      </c>
      <c r="Z16">
        <f>HYPERLINK("https://klasma.github.io/Logging_2305/fåglar/A 50826-2023 prioriterade fågelarter.docx", "A 50826-2023")</f>
        <v/>
      </c>
    </row>
    <row r="17" ht="15" customHeight="1">
      <c r="A17" t="inlineStr">
        <is>
          <t>A 28601-2021</t>
        </is>
      </c>
      <c r="B17" s="1" t="n">
        <v>44356</v>
      </c>
      <c r="C17" s="1" t="n">
        <v>45916</v>
      </c>
      <c r="D17" t="inlineStr">
        <is>
          <t>JÄMTLANDS LÄN</t>
        </is>
      </c>
      <c r="E17" t="inlineStr">
        <is>
          <t>BRÄCKE</t>
        </is>
      </c>
      <c r="F17" t="inlineStr">
        <is>
          <t>SCA</t>
        </is>
      </c>
      <c r="G17" t="n">
        <v>6.3</v>
      </c>
      <c r="H17" t="n">
        <v>6</v>
      </c>
      <c r="I17" t="n">
        <v>4</v>
      </c>
      <c r="J17" t="n">
        <v>10</v>
      </c>
      <c r="K17" t="n">
        <v>1</v>
      </c>
      <c r="L17" t="n">
        <v>0</v>
      </c>
      <c r="M17" t="n">
        <v>0</v>
      </c>
      <c r="N17" t="n">
        <v>0</v>
      </c>
      <c r="O17" t="n">
        <v>11</v>
      </c>
      <c r="P17" t="n">
        <v>1</v>
      </c>
      <c r="Q17" t="n">
        <v>17</v>
      </c>
      <c r="R17" s="2" t="inlineStr">
        <is>
          <t>Knärot
Blå taggsvamp
Brunpudrad nållav
Garnlav
Kolflarnlav
Lunglav
Mörk kolflarnlav
Skrovellav
Spillkråka
Talltita
Tretåig hackspett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41701-2024</t>
        </is>
      </c>
      <c r="B18" s="1" t="n">
        <v>45560.69207175926</v>
      </c>
      <c r="C18" s="1" t="n">
        <v>45916</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45916</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45916</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45916</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8515-2025</t>
        </is>
      </c>
      <c r="B22" s="1" t="n">
        <v>45709.55239583334</v>
      </c>
      <c r="C22" s="1" t="n">
        <v>45916</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45916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45916</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45916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45916</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45916</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45916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45916</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7669-2025</t>
        </is>
      </c>
      <c r="B31" s="1" t="n">
        <v>45706.34467592592</v>
      </c>
      <c r="C31" s="1" t="n">
        <v>45916</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45916</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45916</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45916</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45916</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36371-2022</t>
        </is>
      </c>
      <c r="B37" s="1" t="n">
        <v>44803</v>
      </c>
      <c r="C37" s="1" t="n">
        <v>45916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45916</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45916</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45916</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23587-2025</t>
        </is>
      </c>
      <c r="B41" s="1" t="n">
        <v>45792.63597222222</v>
      </c>
      <c r="C41" s="1" t="n">
        <v>45916</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34747-2025</t>
        </is>
      </c>
      <c r="B42" s="1" t="n">
        <v>45848.61520833334</v>
      </c>
      <c r="C42" s="1" t="n">
        <v>45916</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11982-2024</t>
        </is>
      </c>
      <c r="B43" s="1" t="n">
        <v>45376.95240740741</v>
      </c>
      <c r="C43" s="1" t="n">
        <v>45916</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45916</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45916</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45916</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32565-2025</t>
        </is>
      </c>
      <c r="B47" s="1" t="n">
        <v>45838.57340277778</v>
      </c>
      <c r="C47" s="1" t="n">
        <v>45916</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33388-2025</t>
        </is>
      </c>
      <c r="B48" s="1" t="n">
        <v>45841</v>
      </c>
      <c r="C48" s="1" t="n">
        <v>45916</v>
      </c>
      <c r="D48" t="inlineStr">
        <is>
          <t>JÄMTLANDS LÄN</t>
        </is>
      </c>
      <c r="E48" t="inlineStr">
        <is>
          <t>BRÄCKE</t>
        </is>
      </c>
      <c r="F48" t="inlineStr">
        <is>
          <t>SCA</t>
        </is>
      </c>
      <c r="G48" t="n">
        <v>10.7</v>
      </c>
      <c r="H48" t="n">
        <v>2</v>
      </c>
      <c r="I48" t="n">
        <v>2</v>
      </c>
      <c r="J48" t="n">
        <v>5</v>
      </c>
      <c r="K48" t="n">
        <v>1</v>
      </c>
      <c r="L48" t="n">
        <v>0</v>
      </c>
      <c r="M48" t="n">
        <v>0</v>
      </c>
      <c r="N48" t="n">
        <v>0</v>
      </c>
      <c r="O48" t="n">
        <v>6</v>
      </c>
      <c r="P48" t="n">
        <v>1</v>
      </c>
      <c r="Q48" t="n">
        <v>8</v>
      </c>
      <c r="R48" s="2" t="inlineStr">
        <is>
          <t>Knärot
Garnlav
Granticka
Lunglav
Rosenticka
Ullticka
Skinnlav
Spindelblomster</t>
        </is>
      </c>
      <c r="S48">
        <f>HYPERLINK("https://klasma.github.io/Logging_2305/artfynd/A 33388-2025 artfynd.xlsx", "A 33388-2025")</f>
        <v/>
      </c>
      <c r="T48">
        <f>HYPERLINK("https://klasma.github.io/Logging_2305/kartor/A 33388-2025 karta.png", "A 33388-2025")</f>
        <v/>
      </c>
      <c r="U48">
        <f>HYPERLINK("https://klasma.github.io/Logging_2305/knärot/A 33388-2025 karta knärot.png", "A 33388-2025")</f>
        <v/>
      </c>
      <c r="V48">
        <f>HYPERLINK("https://klasma.github.io/Logging_2305/klagomål/A 33388-2025 FSC-klagomål.docx", "A 33388-2025")</f>
        <v/>
      </c>
      <c r="W48">
        <f>HYPERLINK("https://klasma.github.io/Logging_2305/klagomålsmail/A 33388-2025 FSC-klagomål mail.docx", "A 33388-2025")</f>
        <v/>
      </c>
      <c r="X48">
        <f>HYPERLINK("https://klasma.github.io/Logging_2305/tillsyn/A 33388-2025 tillsynsbegäran.docx", "A 33388-2025")</f>
        <v/>
      </c>
      <c r="Y48">
        <f>HYPERLINK("https://klasma.github.io/Logging_2305/tillsynsmail/A 33388-2025 tillsynsbegäran mail.docx", "A 33388-2025")</f>
        <v/>
      </c>
    </row>
    <row r="49" ht="15" customHeight="1">
      <c r="A49" t="inlineStr">
        <is>
          <t>A 38525-2025</t>
        </is>
      </c>
      <c r="B49" s="1" t="n">
        <v>45884.40674768519</v>
      </c>
      <c r="C49" s="1" t="n">
        <v>45916</v>
      </c>
      <c r="D49" t="inlineStr">
        <is>
          <t>JÄMTLANDS LÄN</t>
        </is>
      </c>
      <c r="E49" t="inlineStr">
        <is>
          <t>BRÄCKE</t>
        </is>
      </c>
      <c r="F49" t="inlineStr">
        <is>
          <t>SCA</t>
        </is>
      </c>
      <c r="G49" t="n">
        <v>3.9</v>
      </c>
      <c r="H49" t="n">
        <v>2</v>
      </c>
      <c r="I49" t="n">
        <v>2</v>
      </c>
      <c r="J49" t="n">
        <v>5</v>
      </c>
      <c r="K49" t="n">
        <v>1</v>
      </c>
      <c r="L49" t="n">
        <v>0</v>
      </c>
      <c r="M49" t="n">
        <v>0</v>
      </c>
      <c r="N49" t="n">
        <v>0</v>
      </c>
      <c r="O49" t="n">
        <v>6</v>
      </c>
      <c r="P49" t="n">
        <v>1</v>
      </c>
      <c r="Q49" t="n">
        <v>8</v>
      </c>
      <c r="R49" s="2" t="inlineStr">
        <is>
          <t>Knärot
Blanksvart spiklav
Granticka
Tretåig hackspett
Vitgrynig nållav
Vitskaftad svartspik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23588-2025</t>
        </is>
      </c>
      <c r="B50" s="1" t="n">
        <v>45792.63607638889</v>
      </c>
      <c r="C50" s="1" t="n">
        <v>45916</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49712-2024</t>
        </is>
      </c>
      <c r="B51" s="1" t="n">
        <v>45596.69923611111</v>
      </c>
      <c r="C51" s="1" t="n">
        <v>45916</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51820-2023</t>
        </is>
      </c>
      <c r="B52" s="1" t="n">
        <v>45222</v>
      </c>
      <c r="C52" s="1" t="n">
        <v>45916</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49336-2023</t>
        </is>
      </c>
      <c r="B53" s="1" t="n">
        <v>45210</v>
      </c>
      <c r="C53" s="1" t="n">
        <v>45916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49372-2024</t>
        </is>
      </c>
      <c r="B54" s="1" t="n">
        <v>45595.64168981482</v>
      </c>
      <c r="C54" s="1" t="n">
        <v>45916</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45916</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8707-2025</t>
        </is>
      </c>
      <c r="B56" s="1" t="n">
        <v>45712.49047453704</v>
      </c>
      <c r="C56" s="1" t="n">
        <v>45916</v>
      </c>
      <c r="D56" t="inlineStr">
        <is>
          <t>JÄMTLANDS LÄN</t>
        </is>
      </c>
      <c r="E56" t="inlineStr">
        <is>
          <t>BRÄCKE</t>
        </is>
      </c>
      <c r="F56" t="inlineStr">
        <is>
          <t>SCA</t>
        </is>
      </c>
      <c r="G56" t="n">
        <v>1.7</v>
      </c>
      <c r="H56" t="n">
        <v>2</v>
      </c>
      <c r="I56" t="n">
        <v>1</v>
      </c>
      <c r="J56" t="n">
        <v>6</v>
      </c>
      <c r="K56" t="n">
        <v>1</v>
      </c>
      <c r="L56" t="n">
        <v>0</v>
      </c>
      <c r="M56" t="n">
        <v>0</v>
      </c>
      <c r="N56" t="n">
        <v>0</v>
      </c>
      <c r="O56" t="n">
        <v>7</v>
      </c>
      <c r="P56" t="n">
        <v>1</v>
      </c>
      <c r="Q56" t="n">
        <v>8</v>
      </c>
      <c r="R56" s="2" t="inlineStr">
        <is>
          <t>Knärot
Garnlav
Kandelabersvamp
Kolflarnlav
Kortskaftad ärgspik
Mörk kolflarnlav
Ullticka
Grönkulla</t>
        </is>
      </c>
      <c r="S56">
        <f>HYPERLINK("https://klasma.github.io/Logging_2305/artfynd/A 8707-2025 artfynd.xlsx", "A 8707-2025")</f>
        <v/>
      </c>
      <c r="T56">
        <f>HYPERLINK("https://klasma.github.io/Logging_2305/kartor/A 8707-2025 karta.png", "A 8707-2025")</f>
        <v/>
      </c>
      <c r="U56">
        <f>HYPERLINK("https://klasma.github.io/Logging_2305/knärot/A 8707-2025 karta knärot.png", "A 8707-2025")</f>
        <v/>
      </c>
      <c r="V56">
        <f>HYPERLINK("https://klasma.github.io/Logging_2305/klagomål/A 8707-2025 FSC-klagomål.docx", "A 8707-2025")</f>
        <v/>
      </c>
      <c r="W56">
        <f>HYPERLINK("https://klasma.github.io/Logging_2305/klagomålsmail/A 8707-2025 FSC-klagomål mail.docx", "A 8707-2025")</f>
        <v/>
      </c>
      <c r="X56">
        <f>HYPERLINK("https://klasma.github.io/Logging_2305/tillsyn/A 8707-2025 tillsynsbegäran.docx", "A 8707-2025")</f>
        <v/>
      </c>
      <c r="Y56">
        <f>HYPERLINK("https://klasma.github.io/Logging_2305/tillsynsmail/A 8707-2025 tillsynsbegäran mail.docx", "A 8707-2025")</f>
        <v/>
      </c>
    </row>
    <row r="57" ht="15" customHeight="1">
      <c r="A57" t="inlineStr">
        <is>
          <t>A 62113-2023</t>
        </is>
      </c>
      <c r="B57" s="1" t="n">
        <v>45266</v>
      </c>
      <c r="C57" s="1" t="n">
        <v>45916</v>
      </c>
      <c r="D57" t="inlineStr">
        <is>
          <t>JÄMTLANDS LÄN</t>
        </is>
      </c>
      <c r="E57" t="inlineStr">
        <is>
          <t>BRÄCKE</t>
        </is>
      </c>
      <c r="F57" t="inlineStr">
        <is>
          <t>Naturvårdsverket</t>
        </is>
      </c>
      <c r="G57" t="n">
        <v>4.5</v>
      </c>
      <c r="H57" t="n">
        <v>0</v>
      </c>
      <c r="I57" t="n">
        <v>2</v>
      </c>
      <c r="J57" t="n">
        <v>4</v>
      </c>
      <c r="K57" t="n">
        <v>1</v>
      </c>
      <c r="L57" t="n">
        <v>0</v>
      </c>
      <c r="M57" t="n">
        <v>0</v>
      </c>
      <c r="N57" t="n">
        <v>0</v>
      </c>
      <c r="O57" t="n">
        <v>5</v>
      </c>
      <c r="P57" t="n">
        <v>1</v>
      </c>
      <c r="Q57" t="n">
        <v>7</v>
      </c>
      <c r="R57" s="2" t="inlineStr">
        <is>
          <t>Smalfotad taggsvamp
Blanksvart spiklav
Blå taggsvamp
Orange taggsvamp
Skrovlig taggsvamp
Dropptaggsvamp
Skarp dropptaggsvamp</t>
        </is>
      </c>
      <c r="S57">
        <f>HYPERLINK("https://klasma.github.io/Logging_2305/artfynd/A 62113-2023 artfynd.xlsx", "A 62113-2023")</f>
        <v/>
      </c>
      <c r="T57">
        <f>HYPERLINK("https://klasma.github.io/Logging_2305/kartor/A 62113-2023 karta.png", "A 62113-2023")</f>
        <v/>
      </c>
      <c r="V57">
        <f>HYPERLINK("https://klasma.github.io/Logging_2305/klagomål/A 62113-2023 FSC-klagomål.docx", "A 62113-2023")</f>
        <v/>
      </c>
      <c r="W57">
        <f>HYPERLINK("https://klasma.github.io/Logging_2305/klagomålsmail/A 62113-2023 FSC-klagomål mail.docx", "A 62113-2023")</f>
        <v/>
      </c>
      <c r="X57">
        <f>HYPERLINK("https://klasma.github.io/Logging_2305/tillsyn/A 62113-2023 tillsynsbegäran.docx", "A 62113-2023")</f>
        <v/>
      </c>
      <c r="Y57">
        <f>HYPERLINK("https://klasma.github.io/Logging_2305/tillsynsmail/A 62113-2023 tillsynsbegäran mail.docx", "A 62113-2023")</f>
        <v/>
      </c>
    </row>
    <row r="58" ht="15" customHeight="1">
      <c r="A58" t="inlineStr">
        <is>
          <t>A 32725-2023</t>
        </is>
      </c>
      <c r="B58" s="1" t="n">
        <v>45121</v>
      </c>
      <c r="C58" s="1" t="n">
        <v>45916</v>
      </c>
      <c r="D58" t="inlineStr">
        <is>
          <t>JÄMTLANDS LÄN</t>
        </is>
      </c>
      <c r="E58" t="inlineStr">
        <is>
          <t>BRÄCKE</t>
        </is>
      </c>
      <c r="F58" t="inlineStr">
        <is>
          <t>SCA</t>
        </is>
      </c>
      <c r="G58" t="n">
        <v>10.9</v>
      </c>
      <c r="H58" t="n">
        <v>4</v>
      </c>
      <c r="I58" t="n">
        <v>0</v>
      </c>
      <c r="J58" t="n">
        <v>6</v>
      </c>
      <c r="K58" t="n">
        <v>0</v>
      </c>
      <c r="L58" t="n">
        <v>0</v>
      </c>
      <c r="M58" t="n">
        <v>0</v>
      </c>
      <c r="N58" t="n">
        <v>0</v>
      </c>
      <c r="O58" t="n">
        <v>6</v>
      </c>
      <c r="P58" t="n">
        <v>0</v>
      </c>
      <c r="Q58" t="n">
        <v>7</v>
      </c>
      <c r="R58" s="2" t="inlineStr">
        <is>
          <t>Doftskinn
Garnlav
Granticka
Spillkråka
Talltita
Tretåig hackspett
Kungsfågel</t>
        </is>
      </c>
      <c r="S58">
        <f>HYPERLINK("https://klasma.github.io/Logging_2305/artfynd/A 32725-2023 artfynd.xlsx", "A 32725-2023")</f>
        <v/>
      </c>
      <c r="T58">
        <f>HYPERLINK("https://klasma.github.io/Logging_2305/kartor/A 32725-2023 karta.png", "A 32725-2023")</f>
        <v/>
      </c>
      <c r="V58">
        <f>HYPERLINK("https://klasma.github.io/Logging_2305/klagomål/A 32725-2023 FSC-klagomål.docx", "A 32725-2023")</f>
        <v/>
      </c>
      <c r="W58">
        <f>HYPERLINK("https://klasma.github.io/Logging_2305/klagomålsmail/A 32725-2023 FSC-klagomål mail.docx", "A 32725-2023")</f>
        <v/>
      </c>
      <c r="X58">
        <f>HYPERLINK("https://klasma.github.io/Logging_2305/tillsyn/A 32725-2023 tillsynsbegäran.docx", "A 32725-2023")</f>
        <v/>
      </c>
      <c r="Y58">
        <f>HYPERLINK("https://klasma.github.io/Logging_2305/tillsynsmail/A 32725-2023 tillsynsbegäran mail.docx", "A 32725-2023")</f>
        <v/>
      </c>
      <c r="Z58">
        <f>HYPERLINK("https://klasma.github.io/Logging_2305/fåglar/A 32725-2023 prioriterade fågelarter.docx", "A 32725-2023")</f>
        <v/>
      </c>
    </row>
    <row r="59" ht="15" customHeight="1">
      <c r="A59" t="inlineStr">
        <is>
          <t>A 34300-2025</t>
        </is>
      </c>
      <c r="B59" s="1" t="n">
        <v>45846.34518518519</v>
      </c>
      <c r="C59" s="1" t="n">
        <v>45916</v>
      </c>
      <c r="D59" t="inlineStr">
        <is>
          <t>JÄMTLANDS LÄN</t>
        </is>
      </c>
      <c r="E59" t="inlineStr">
        <is>
          <t>BRÄCKE</t>
        </is>
      </c>
      <c r="F59" t="inlineStr">
        <is>
          <t>Naturvårdsverket</t>
        </is>
      </c>
      <c r="G59" t="n">
        <v>2.3</v>
      </c>
      <c r="H59" t="n">
        <v>0</v>
      </c>
      <c r="I59" t="n">
        <v>1</v>
      </c>
      <c r="J59" t="n">
        <v>5</v>
      </c>
      <c r="K59" t="n">
        <v>1</v>
      </c>
      <c r="L59" t="n">
        <v>0</v>
      </c>
      <c r="M59" t="n">
        <v>0</v>
      </c>
      <c r="N59" t="n">
        <v>0</v>
      </c>
      <c r="O59" t="n">
        <v>6</v>
      </c>
      <c r="P59" t="n">
        <v>1</v>
      </c>
      <c r="Q59" t="n">
        <v>7</v>
      </c>
      <c r="R59" s="2" t="inlineStr">
        <is>
          <t>Rotfingersvamp
Dvärgbägarlav
Kolflarnlav
Vaddporing
Vedskivlav
Vedtrappmossa
Dropptaggsvamp</t>
        </is>
      </c>
      <c r="S59">
        <f>HYPERLINK("https://klasma.github.io/Logging_2305/artfynd/A 34300-2025 artfynd.xlsx", "A 34300-2025")</f>
        <v/>
      </c>
      <c r="T59">
        <f>HYPERLINK("https://klasma.github.io/Logging_2305/kartor/A 34300-2025 karta.png", "A 34300-2025")</f>
        <v/>
      </c>
      <c r="U59">
        <f>HYPERLINK("https://klasma.github.io/Logging_2305/knärot/A 34300-2025 karta knärot.png", "A 34300-2025")</f>
        <v/>
      </c>
      <c r="V59">
        <f>HYPERLINK("https://klasma.github.io/Logging_2305/klagomål/A 34300-2025 FSC-klagomål.docx", "A 34300-2025")</f>
        <v/>
      </c>
      <c r="W59">
        <f>HYPERLINK("https://klasma.github.io/Logging_2305/klagomålsmail/A 34300-2025 FSC-klagomål mail.docx", "A 34300-2025")</f>
        <v/>
      </c>
      <c r="X59">
        <f>HYPERLINK("https://klasma.github.io/Logging_2305/tillsyn/A 34300-2025 tillsynsbegäran.docx", "A 34300-2025")</f>
        <v/>
      </c>
      <c r="Y59">
        <f>HYPERLINK("https://klasma.github.io/Logging_2305/tillsynsmail/A 34300-2025 tillsynsbegäran mail.docx", "A 34300-2025")</f>
        <v/>
      </c>
    </row>
    <row r="60" ht="15" customHeight="1">
      <c r="A60" t="inlineStr">
        <is>
          <t>A 26956-2024</t>
        </is>
      </c>
      <c r="B60" s="1" t="n">
        <v>45470.97053240741</v>
      </c>
      <c r="C60" s="1" t="n">
        <v>45916</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44514-2024</t>
        </is>
      </c>
      <c r="B61" s="1" t="n">
        <v>45574.42746527777</v>
      </c>
      <c r="C61" s="1" t="n">
        <v>45916</v>
      </c>
      <c r="D61" t="inlineStr">
        <is>
          <t>JÄMTLANDS LÄN</t>
        </is>
      </c>
      <c r="E61" t="inlineStr">
        <is>
          <t>BRÄCKE</t>
        </is>
      </c>
      <c r="F61" t="inlineStr">
        <is>
          <t>SCA</t>
        </is>
      </c>
      <c r="G61" t="n">
        <v>12.8</v>
      </c>
      <c r="H61" t="n">
        <v>0</v>
      </c>
      <c r="I61" t="n">
        <v>3</v>
      </c>
      <c r="J61" t="n">
        <v>4</v>
      </c>
      <c r="K61" t="n">
        <v>0</v>
      </c>
      <c r="L61" t="n">
        <v>0</v>
      </c>
      <c r="M61" t="n">
        <v>0</v>
      </c>
      <c r="N61" t="n">
        <v>0</v>
      </c>
      <c r="O61" t="n">
        <v>4</v>
      </c>
      <c r="P61" t="n">
        <v>0</v>
      </c>
      <c r="Q61" t="n">
        <v>7</v>
      </c>
      <c r="R61" s="2" t="inlineStr">
        <is>
          <t>Dvärgbägarlav
Kolflarnlav
Lunglav
Skrovellav
Bårdlav
Skinnlav
Stuplav</t>
        </is>
      </c>
      <c r="S61">
        <f>HYPERLINK("https://klasma.github.io/Logging_2305/artfynd/A 44514-2024 artfynd.xlsx", "A 44514-2024")</f>
        <v/>
      </c>
      <c r="T61">
        <f>HYPERLINK("https://klasma.github.io/Logging_2305/kartor/A 44514-2024 karta.png", "A 44514-2024")</f>
        <v/>
      </c>
      <c r="V61">
        <f>HYPERLINK("https://klasma.github.io/Logging_2305/klagomål/A 44514-2024 FSC-klagomål.docx", "A 44514-2024")</f>
        <v/>
      </c>
      <c r="W61">
        <f>HYPERLINK("https://klasma.github.io/Logging_2305/klagomålsmail/A 44514-2024 FSC-klagomål mail.docx", "A 44514-2024")</f>
        <v/>
      </c>
      <c r="X61">
        <f>HYPERLINK("https://klasma.github.io/Logging_2305/tillsyn/A 44514-2024 tillsynsbegäran.docx", "A 44514-2024")</f>
        <v/>
      </c>
      <c r="Y61">
        <f>HYPERLINK("https://klasma.github.io/Logging_2305/tillsynsmail/A 44514-2024 tillsynsbegäran mail.docx", "A 44514-2024")</f>
        <v/>
      </c>
    </row>
    <row r="62" ht="15" customHeight="1">
      <c r="A62" t="inlineStr">
        <is>
          <t>A 41199-2025</t>
        </is>
      </c>
      <c r="B62" s="1" t="n">
        <v>45898.57366898148</v>
      </c>
      <c r="C62" s="1" t="n">
        <v>45916</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45109-2024</t>
        </is>
      </c>
      <c r="B63" s="1" t="n">
        <v>45575.59435185185</v>
      </c>
      <c r="C63" s="1" t="n">
        <v>45916</v>
      </c>
      <c r="D63" t="inlineStr">
        <is>
          <t>JÄMTLANDS LÄN</t>
        </is>
      </c>
      <c r="E63" t="inlineStr">
        <is>
          <t>BRÄCKE</t>
        </is>
      </c>
      <c r="F63" t="inlineStr">
        <is>
          <t>SCA</t>
        </is>
      </c>
      <c r="G63" t="n">
        <v>1.6</v>
      </c>
      <c r="H63" t="n">
        <v>0</v>
      </c>
      <c r="I63" t="n">
        <v>0</v>
      </c>
      <c r="J63" t="n">
        <v>6</v>
      </c>
      <c r="K63" t="n">
        <v>1</v>
      </c>
      <c r="L63" t="n">
        <v>0</v>
      </c>
      <c r="M63" t="n">
        <v>0</v>
      </c>
      <c r="N63" t="n">
        <v>0</v>
      </c>
      <c r="O63" t="n">
        <v>7</v>
      </c>
      <c r="P63" t="n">
        <v>1</v>
      </c>
      <c r="Q63" t="n">
        <v>7</v>
      </c>
      <c r="R63" s="2" t="inlineStr">
        <is>
          <t>Lateritticka
Lunglav
Mörk kolflarnlav
Nordtagging
Vaddporing
Vedskivlav
Vedtrappmossa</t>
        </is>
      </c>
      <c r="S63">
        <f>HYPERLINK("https://klasma.github.io/Logging_2305/artfynd/A 45109-2024 artfynd.xlsx", "A 45109-2024")</f>
        <v/>
      </c>
      <c r="T63">
        <f>HYPERLINK("https://klasma.github.io/Logging_2305/kartor/A 45109-2024 karta.png", "A 45109-2024")</f>
        <v/>
      </c>
      <c r="V63">
        <f>HYPERLINK("https://klasma.github.io/Logging_2305/klagomål/A 45109-2024 FSC-klagomål.docx", "A 45109-2024")</f>
        <v/>
      </c>
      <c r="W63">
        <f>HYPERLINK("https://klasma.github.io/Logging_2305/klagomålsmail/A 45109-2024 FSC-klagomål mail.docx", "A 45109-2024")</f>
        <v/>
      </c>
      <c r="X63">
        <f>HYPERLINK("https://klasma.github.io/Logging_2305/tillsyn/A 45109-2024 tillsynsbegäran.docx", "A 45109-2024")</f>
        <v/>
      </c>
      <c r="Y63">
        <f>HYPERLINK("https://klasma.github.io/Logging_2305/tillsynsmail/A 45109-2024 tillsynsbegäran mail.docx", "A 45109-2024")</f>
        <v/>
      </c>
    </row>
    <row r="64" ht="15" customHeight="1">
      <c r="A64" t="inlineStr">
        <is>
          <t>A 18898-2025</t>
        </is>
      </c>
      <c r="B64" s="1" t="n">
        <v>45764.44885416667</v>
      </c>
      <c r="C64" s="1" t="n">
        <v>45916</v>
      </c>
      <c r="D64" t="inlineStr">
        <is>
          <t>JÄMTLANDS LÄN</t>
        </is>
      </c>
      <c r="E64" t="inlineStr">
        <is>
          <t>BRÄCKE</t>
        </is>
      </c>
      <c r="F64" t="inlineStr">
        <is>
          <t>SCA</t>
        </is>
      </c>
      <c r="G64" t="n">
        <v>3.6</v>
      </c>
      <c r="H64" t="n">
        <v>3</v>
      </c>
      <c r="I64" t="n">
        <v>3</v>
      </c>
      <c r="J64" t="n">
        <v>2</v>
      </c>
      <c r="K64" t="n">
        <v>1</v>
      </c>
      <c r="L64" t="n">
        <v>0</v>
      </c>
      <c r="M64" t="n">
        <v>0</v>
      </c>
      <c r="N64" t="n">
        <v>0</v>
      </c>
      <c r="O64" t="n">
        <v>3</v>
      </c>
      <c r="P64" t="n">
        <v>1</v>
      </c>
      <c r="Q64" t="n">
        <v>7</v>
      </c>
      <c r="R64" s="2" t="inlineStr">
        <is>
          <t>Knärot
Granticka
Lunglav
Korallblylav
Plattlummer
Skinnlav
Kungsfågel</t>
        </is>
      </c>
      <c r="S64">
        <f>HYPERLINK("https://klasma.github.io/Logging_2305/artfynd/A 18898-2025 artfynd.xlsx", "A 18898-2025")</f>
        <v/>
      </c>
      <c r="T64">
        <f>HYPERLINK("https://klasma.github.io/Logging_2305/kartor/A 18898-2025 karta.png", "A 18898-2025")</f>
        <v/>
      </c>
      <c r="U64">
        <f>HYPERLINK("https://klasma.github.io/Logging_2305/knärot/A 18898-2025 karta knärot.png", "A 18898-2025")</f>
        <v/>
      </c>
      <c r="V64">
        <f>HYPERLINK("https://klasma.github.io/Logging_2305/klagomål/A 18898-2025 FSC-klagomål.docx", "A 18898-2025")</f>
        <v/>
      </c>
      <c r="W64">
        <f>HYPERLINK("https://klasma.github.io/Logging_2305/klagomålsmail/A 18898-2025 FSC-klagomål mail.docx", "A 18898-2025")</f>
        <v/>
      </c>
      <c r="X64">
        <f>HYPERLINK("https://klasma.github.io/Logging_2305/tillsyn/A 18898-2025 tillsynsbegäran.docx", "A 18898-2025")</f>
        <v/>
      </c>
      <c r="Y64">
        <f>HYPERLINK("https://klasma.github.io/Logging_2305/tillsynsmail/A 18898-2025 tillsynsbegäran mail.docx", "A 18898-2025")</f>
        <v/>
      </c>
      <c r="Z64">
        <f>HYPERLINK("https://klasma.github.io/Logging_2305/fåglar/A 18898-2025 prioriterade fågelarter.docx", "A 18898-2025")</f>
        <v/>
      </c>
    </row>
    <row r="65" ht="15" customHeight="1">
      <c r="A65" t="inlineStr">
        <is>
          <t>A 21452-2025</t>
        </is>
      </c>
      <c r="B65" s="1" t="n">
        <v>45782.55300925926</v>
      </c>
      <c r="C65" s="1" t="n">
        <v>45916</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49540-2022</t>
        </is>
      </c>
      <c r="B66" s="1" t="n">
        <v>44861</v>
      </c>
      <c r="C66" s="1" t="n">
        <v>45916</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52152-2024</t>
        </is>
      </c>
      <c r="B67" s="1" t="n">
        <v>45608.52387731482</v>
      </c>
      <c r="C67" s="1" t="n">
        <v>45916</v>
      </c>
      <c r="D67" t="inlineStr">
        <is>
          <t>JÄMTLANDS LÄN</t>
        </is>
      </c>
      <c r="E67" t="inlineStr">
        <is>
          <t>BRÄCKE</t>
        </is>
      </c>
      <c r="F67" t="inlineStr">
        <is>
          <t>SCA</t>
        </is>
      </c>
      <c r="G67" t="n">
        <v>3</v>
      </c>
      <c r="H67" t="n">
        <v>0</v>
      </c>
      <c r="I67" t="n">
        <v>1</v>
      </c>
      <c r="J67" t="n">
        <v>4</v>
      </c>
      <c r="K67" t="n">
        <v>1</v>
      </c>
      <c r="L67" t="n">
        <v>0</v>
      </c>
      <c r="M67" t="n">
        <v>0</v>
      </c>
      <c r="N67" t="n">
        <v>0</v>
      </c>
      <c r="O67" t="n">
        <v>5</v>
      </c>
      <c r="P67" t="n">
        <v>1</v>
      </c>
      <c r="Q67" t="n">
        <v>6</v>
      </c>
      <c r="R67" s="2" t="inlineStr">
        <is>
          <t>Rynkskinn
Lunglav
Skrovellav
Vedflikmossa
Vedtrappmossa
Tallfingersvamp</t>
        </is>
      </c>
      <c r="S67">
        <f>HYPERLINK("https://klasma.github.io/Logging_2305/artfynd/A 52152-2024 artfynd.xlsx", "A 52152-2024")</f>
        <v/>
      </c>
      <c r="T67">
        <f>HYPERLINK("https://klasma.github.io/Logging_2305/kartor/A 52152-2024 karta.png", "A 52152-2024")</f>
        <v/>
      </c>
      <c r="U67">
        <f>HYPERLINK("https://klasma.github.io/Logging_2305/knärot/A 52152-2024 karta knärot.png", "A 52152-2024")</f>
        <v/>
      </c>
      <c r="V67">
        <f>HYPERLINK("https://klasma.github.io/Logging_2305/klagomål/A 52152-2024 FSC-klagomål.docx", "A 52152-2024")</f>
        <v/>
      </c>
      <c r="W67">
        <f>HYPERLINK("https://klasma.github.io/Logging_2305/klagomålsmail/A 52152-2024 FSC-klagomål mail.docx", "A 52152-2024")</f>
        <v/>
      </c>
      <c r="X67">
        <f>HYPERLINK("https://klasma.github.io/Logging_2305/tillsyn/A 52152-2024 tillsynsbegäran.docx", "A 52152-2024")</f>
        <v/>
      </c>
      <c r="Y67">
        <f>HYPERLINK("https://klasma.github.io/Logging_2305/tillsynsmail/A 52152-2024 tillsynsbegäran mail.docx", "A 52152-2024")</f>
        <v/>
      </c>
    </row>
    <row r="68" ht="15" customHeight="1">
      <c r="A68" t="inlineStr">
        <is>
          <t>A 14576-2024</t>
        </is>
      </c>
      <c r="B68" s="1" t="n">
        <v>45394.95033564815</v>
      </c>
      <c r="C68" s="1" t="n">
        <v>45916</v>
      </c>
      <c r="D68" t="inlineStr">
        <is>
          <t>JÄMTLANDS LÄN</t>
        </is>
      </c>
      <c r="E68" t="inlineStr">
        <is>
          <t>BRÄCKE</t>
        </is>
      </c>
      <c r="F68" t="inlineStr">
        <is>
          <t>SCA</t>
        </is>
      </c>
      <c r="G68" t="n">
        <v>2.1</v>
      </c>
      <c r="H68" t="n">
        <v>0</v>
      </c>
      <c r="I68" t="n">
        <v>3</v>
      </c>
      <c r="J68" t="n">
        <v>3</v>
      </c>
      <c r="K68" t="n">
        <v>0</v>
      </c>
      <c r="L68" t="n">
        <v>0</v>
      </c>
      <c r="M68" t="n">
        <v>0</v>
      </c>
      <c r="N68" t="n">
        <v>0</v>
      </c>
      <c r="O68" t="n">
        <v>3</v>
      </c>
      <c r="P68" t="n">
        <v>0</v>
      </c>
      <c r="Q68" t="n">
        <v>6</v>
      </c>
      <c r="R68" s="2" t="inlineStr">
        <is>
          <t>Lunglav
Skrovellav
Ullticka
Korallblylav
Skinnlav
Stuplav</t>
        </is>
      </c>
      <c r="S68">
        <f>HYPERLINK("https://klasma.github.io/Logging_2305/artfynd/A 14576-2024 artfynd.xlsx", "A 14576-2024")</f>
        <v/>
      </c>
      <c r="T68">
        <f>HYPERLINK("https://klasma.github.io/Logging_2305/kartor/A 14576-2024 karta.png", "A 14576-2024")</f>
        <v/>
      </c>
      <c r="V68">
        <f>HYPERLINK("https://klasma.github.io/Logging_2305/klagomål/A 14576-2024 FSC-klagomål.docx", "A 14576-2024")</f>
        <v/>
      </c>
      <c r="W68">
        <f>HYPERLINK("https://klasma.github.io/Logging_2305/klagomålsmail/A 14576-2024 FSC-klagomål mail.docx", "A 14576-2024")</f>
        <v/>
      </c>
      <c r="X68">
        <f>HYPERLINK("https://klasma.github.io/Logging_2305/tillsyn/A 14576-2024 tillsynsbegäran.docx", "A 14576-2024")</f>
        <v/>
      </c>
      <c r="Y68">
        <f>HYPERLINK("https://klasma.github.io/Logging_2305/tillsynsmail/A 14576-2024 tillsynsbegäran mail.docx", "A 14576-2024")</f>
        <v/>
      </c>
    </row>
    <row r="69" ht="15" customHeight="1">
      <c r="A69" t="inlineStr">
        <is>
          <t>A 29141-2025</t>
        </is>
      </c>
      <c r="B69" s="1" t="n">
        <v>45821.61508101852</v>
      </c>
      <c r="C69" s="1" t="n">
        <v>45916</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5269-2024</t>
        </is>
      </c>
      <c r="B70" s="1" t="n">
        <v>45330</v>
      </c>
      <c r="C70" s="1" t="n">
        <v>45916</v>
      </c>
      <c r="D70" t="inlineStr">
        <is>
          <t>JÄMTLANDS LÄN</t>
        </is>
      </c>
      <c r="E70" t="inlineStr">
        <is>
          <t>BRÄCKE</t>
        </is>
      </c>
      <c r="F70" t="inlineStr">
        <is>
          <t>SCA</t>
        </is>
      </c>
      <c r="G70" t="n">
        <v>8.300000000000001</v>
      </c>
      <c r="H70" t="n">
        <v>2</v>
      </c>
      <c r="I70" t="n">
        <v>0</v>
      </c>
      <c r="J70" t="n">
        <v>5</v>
      </c>
      <c r="K70" t="n">
        <v>1</v>
      </c>
      <c r="L70" t="n">
        <v>0</v>
      </c>
      <c r="M70" t="n">
        <v>0</v>
      </c>
      <c r="N70" t="n">
        <v>0</v>
      </c>
      <c r="O70" t="n">
        <v>6</v>
      </c>
      <c r="P70" t="n">
        <v>1</v>
      </c>
      <c r="Q70" t="n">
        <v>6</v>
      </c>
      <c r="R70" s="2" t="inlineStr">
        <is>
          <t>Knärot
Granticka
Lunglav
Skogshare
Tretåig hackspett
Ullticka</t>
        </is>
      </c>
      <c r="S70">
        <f>HYPERLINK("https://klasma.github.io/Logging_2305/artfynd/A 5269-2024 artfynd.xlsx", "A 5269-2024")</f>
        <v/>
      </c>
      <c r="T70">
        <f>HYPERLINK("https://klasma.github.io/Logging_2305/kartor/A 5269-2024 karta.png", "A 5269-2024")</f>
        <v/>
      </c>
      <c r="U70">
        <f>HYPERLINK("https://klasma.github.io/Logging_2305/knärot/A 5269-2024 karta knärot.png", "A 5269-2024")</f>
        <v/>
      </c>
      <c r="V70">
        <f>HYPERLINK("https://klasma.github.io/Logging_2305/klagomål/A 5269-2024 FSC-klagomål.docx", "A 5269-2024")</f>
        <v/>
      </c>
      <c r="W70">
        <f>HYPERLINK("https://klasma.github.io/Logging_2305/klagomålsmail/A 5269-2024 FSC-klagomål mail.docx", "A 5269-2024")</f>
        <v/>
      </c>
      <c r="X70">
        <f>HYPERLINK("https://klasma.github.io/Logging_2305/tillsyn/A 5269-2024 tillsynsbegäran.docx", "A 5269-2024")</f>
        <v/>
      </c>
      <c r="Y70">
        <f>HYPERLINK("https://klasma.github.io/Logging_2305/tillsynsmail/A 5269-2024 tillsynsbegäran mail.docx", "A 5269-2024")</f>
        <v/>
      </c>
      <c r="Z70">
        <f>HYPERLINK("https://klasma.github.io/Logging_2305/fåglar/A 5269-2024 prioriterade fågelarter.docx", "A 5269-2024")</f>
        <v/>
      </c>
    </row>
    <row r="71" ht="15" customHeight="1">
      <c r="A71" t="inlineStr">
        <is>
          <t>A 32580-2025</t>
        </is>
      </c>
      <c r="B71" s="1" t="n">
        <v>45838.59434027778</v>
      </c>
      <c r="C71" s="1" t="n">
        <v>45916</v>
      </c>
      <c r="D71" t="inlineStr">
        <is>
          <t>JÄMTLANDS LÄN</t>
        </is>
      </c>
      <c r="E71" t="inlineStr">
        <is>
          <t>BRÄCKE</t>
        </is>
      </c>
      <c r="G71" t="n">
        <v>20.9</v>
      </c>
      <c r="H71" t="n">
        <v>4</v>
      </c>
      <c r="I71" t="n">
        <v>2</v>
      </c>
      <c r="J71" t="n">
        <v>3</v>
      </c>
      <c r="K71" t="n">
        <v>1</v>
      </c>
      <c r="L71" t="n">
        <v>0</v>
      </c>
      <c r="M71" t="n">
        <v>0</v>
      </c>
      <c r="N71" t="n">
        <v>0</v>
      </c>
      <c r="O71" t="n">
        <v>4</v>
      </c>
      <c r="P71" t="n">
        <v>1</v>
      </c>
      <c r="Q71" t="n">
        <v>6</v>
      </c>
      <c r="R71" s="2" t="inlineStr">
        <is>
          <t>Knärot
Garnlav
Talltita
Tretåig hackspett
Dropptaggsvamp
Plattlummer</t>
        </is>
      </c>
      <c r="S71">
        <f>HYPERLINK("https://klasma.github.io/Logging_2305/artfynd/A 32580-2025 artfynd.xlsx", "A 32580-2025")</f>
        <v/>
      </c>
      <c r="T71">
        <f>HYPERLINK("https://klasma.github.io/Logging_2305/kartor/A 32580-2025 karta.png", "A 32580-2025")</f>
        <v/>
      </c>
      <c r="U71">
        <f>HYPERLINK("https://klasma.github.io/Logging_2305/knärot/A 32580-2025 karta knärot.png", "A 32580-2025")</f>
        <v/>
      </c>
      <c r="V71">
        <f>HYPERLINK("https://klasma.github.io/Logging_2305/klagomål/A 32580-2025 FSC-klagomål.docx", "A 32580-2025")</f>
        <v/>
      </c>
      <c r="W71">
        <f>HYPERLINK("https://klasma.github.io/Logging_2305/klagomålsmail/A 32580-2025 FSC-klagomål mail.docx", "A 32580-2025")</f>
        <v/>
      </c>
      <c r="X71">
        <f>HYPERLINK("https://klasma.github.io/Logging_2305/tillsyn/A 32580-2025 tillsynsbegäran.docx", "A 32580-2025")</f>
        <v/>
      </c>
      <c r="Y71">
        <f>HYPERLINK("https://klasma.github.io/Logging_2305/tillsynsmail/A 32580-2025 tillsynsbegäran mail.docx", "A 32580-2025")</f>
        <v/>
      </c>
      <c r="Z71">
        <f>HYPERLINK("https://klasma.github.io/Logging_2305/fåglar/A 32580-2025 prioriterade fågelarter.docx", "A 32580-2025")</f>
        <v/>
      </c>
    </row>
    <row r="72" ht="15" customHeight="1">
      <c r="A72" t="inlineStr">
        <is>
          <t>A 35419-2024</t>
        </is>
      </c>
      <c r="B72" s="1" t="n">
        <v>45531.40895833333</v>
      </c>
      <c r="C72" s="1" t="n">
        <v>45916</v>
      </c>
      <c r="D72" t="inlineStr">
        <is>
          <t>JÄMTLANDS LÄN</t>
        </is>
      </c>
      <c r="E72" t="inlineStr">
        <is>
          <t>BRÄCKE</t>
        </is>
      </c>
      <c r="F72" t="inlineStr">
        <is>
          <t>SCA</t>
        </is>
      </c>
      <c r="G72" t="n">
        <v>3.6</v>
      </c>
      <c r="H72" t="n">
        <v>3</v>
      </c>
      <c r="I72" t="n">
        <v>1</v>
      </c>
      <c r="J72" t="n">
        <v>3</v>
      </c>
      <c r="K72" t="n">
        <v>0</v>
      </c>
      <c r="L72" t="n">
        <v>0</v>
      </c>
      <c r="M72" t="n">
        <v>0</v>
      </c>
      <c r="N72" t="n">
        <v>0</v>
      </c>
      <c r="O72" t="n">
        <v>3</v>
      </c>
      <c r="P72" t="n">
        <v>0</v>
      </c>
      <c r="Q72" t="n">
        <v>6</v>
      </c>
      <c r="R72" s="2" t="inlineStr">
        <is>
          <t>Lunglav
Skrovellav
Talltita
Stuplav
Kungsfågel
Nattviol</t>
        </is>
      </c>
      <c r="S72">
        <f>HYPERLINK("https://klasma.github.io/Logging_2305/artfynd/A 35419-2024 artfynd.xlsx", "A 35419-2024")</f>
        <v/>
      </c>
      <c r="T72">
        <f>HYPERLINK("https://klasma.github.io/Logging_2305/kartor/A 35419-2024 karta.png", "A 35419-2024")</f>
        <v/>
      </c>
      <c r="V72">
        <f>HYPERLINK("https://klasma.github.io/Logging_2305/klagomål/A 35419-2024 FSC-klagomål.docx", "A 35419-2024")</f>
        <v/>
      </c>
      <c r="W72">
        <f>HYPERLINK("https://klasma.github.io/Logging_2305/klagomålsmail/A 35419-2024 FSC-klagomål mail.docx", "A 35419-2024")</f>
        <v/>
      </c>
      <c r="X72">
        <f>HYPERLINK("https://klasma.github.io/Logging_2305/tillsyn/A 35419-2024 tillsynsbegäran.docx", "A 35419-2024")</f>
        <v/>
      </c>
      <c r="Y72">
        <f>HYPERLINK("https://klasma.github.io/Logging_2305/tillsynsmail/A 35419-2024 tillsynsbegäran mail.docx", "A 35419-2024")</f>
        <v/>
      </c>
      <c r="Z72">
        <f>HYPERLINK("https://klasma.github.io/Logging_2305/fåglar/A 35419-2024 prioriterade fågelarter.docx", "A 35419-2024")</f>
        <v/>
      </c>
    </row>
    <row r="73" ht="15" customHeight="1">
      <c r="A73" t="inlineStr">
        <is>
          <t>A 29272-2024</t>
        </is>
      </c>
      <c r="B73" s="1" t="n">
        <v>45482.94998842593</v>
      </c>
      <c r="C73" s="1" t="n">
        <v>45916</v>
      </c>
      <c r="D73" t="inlineStr">
        <is>
          <t>JÄMTLANDS LÄN</t>
        </is>
      </c>
      <c r="E73" t="inlineStr">
        <is>
          <t>BRÄCKE</t>
        </is>
      </c>
      <c r="F73" t="inlineStr">
        <is>
          <t>SCA</t>
        </is>
      </c>
      <c r="G73" t="n">
        <v>1.6</v>
      </c>
      <c r="H73" t="n">
        <v>3</v>
      </c>
      <c r="I73" t="n">
        <v>0</v>
      </c>
      <c r="J73" t="n">
        <v>5</v>
      </c>
      <c r="K73" t="n">
        <v>0</v>
      </c>
      <c r="L73" t="n">
        <v>0</v>
      </c>
      <c r="M73" t="n">
        <v>0</v>
      </c>
      <c r="N73" t="n">
        <v>0</v>
      </c>
      <c r="O73" t="n">
        <v>5</v>
      </c>
      <c r="P73" t="n">
        <v>0</v>
      </c>
      <c r="Q73" t="n">
        <v>6</v>
      </c>
      <c r="R73" s="2" t="inlineStr">
        <is>
          <t>Garnlav
Lunglav
Skogshare
Spillkråka
Tretåig hackspett
Revlummer</t>
        </is>
      </c>
      <c r="S73">
        <f>HYPERLINK("https://klasma.github.io/Logging_2305/artfynd/A 29272-2024 artfynd.xlsx", "A 29272-2024")</f>
        <v/>
      </c>
      <c r="T73">
        <f>HYPERLINK("https://klasma.github.io/Logging_2305/kartor/A 29272-2024 karta.png", "A 29272-2024")</f>
        <v/>
      </c>
      <c r="V73">
        <f>HYPERLINK("https://klasma.github.io/Logging_2305/klagomål/A 29272-2024 FSC-klagomål.docx", "A 29272-2024")</f>
        <v/>
      </c>
      <c r="W73">
        <f>HYPERLINK("https://klasma.github.io/Logging_2305/klagomålsmail/A 29272-2024 FSC-klagomål mail.docx", "A 29272-2024")</f>
        <v/>
      </c>
      <c r="X73">
        <f>HYPERLINK("https://klasma.github.io/Logging_2305/tillsyn/A 29272-2024 tillsynsbegäran.docx", "A 29272-2024")</f>
        <v/>
      </c>
      <c r="Y73">
        <f>HYPERLINK("https://klasma.github.io/Logging_2305/tillsynsmail/A 29272-2024 tillsynsbegäran mail.docx", "A 29272-2024")</f>
        <v/>
      </c>
      <c r="Z73">
        <f>HYPERLINK("https://klasma.github.io/Logging_2305/fåglar/A 29272-2024 prioriterade fågelarter.docx", "A 29272-2024")</f>
        <v/>
      </c>
    </row>
    <row r="74" ht="15" customHeight="1">
      <c r="A74" t="inlineStr">
        <is>
          <t>A 40376-2024</t>
        </is>
      </c>
      <c r="B74" s="1" t="n">
        <v>45555.4065162037</v>
      </c>
      <c r="C74" s="1" t="n">
        <v>45916</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43982-2023</t>
        </is>
      </c>
      <c r="B75" s="1" t="n">
        <v>45187</v>
      </c>
      <c r="C75" s="1" t="n">
        <v>45916</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43989-2023</t>
        </is>
      </c>
      <c r="B76" s="1" t="n">
        <v>45187</v>
      </c>
      <c r="C76" s="1" t="n">
        <v>45916</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13548-2024</t>
        </is>
      </c>
      <c r="B77" s="1" t="n">
        <v>45387.95348379629</v>
      </c>
      <c r="C77" s="1" t="n">
        <v>45916</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59719-2024</t>
        </is>
      </c>
      <c r="B78" s="1" t="n">
        <v>45639.47033564815</v>
      </c>
      <c r="C78" s="1" t="n">
        <v>45916</v>
      </c>
      <c r="D78" t="inlineStr">
        <is>
          <t>JÄMTLANDS LÄN</t>
        </is>
      </c>
      <c r="E78" t="inlineStr">
        <is>
          <t>BRÄCKE</t>
        </is>
      </c>
      <c r="F78" t="inlineStr">
        <is>
          <t>SCA</t>
        </is>
      </c>
      <c r="G78" t="n">
        <v>1.8</v>
      </c>
      <c r="H78" t="n">
        <v>1</v>
      </c>
      <c r="I78" t="n">
        <v>2</v>
      </c>
      <c r="J78" t="n">
        <v>4</v>
      </c>
      <c r="K78" t="n">
        <v>0</v>
      </c>
      <c r="L78" t="n">
        <v>0</v>
      </c>
      <c r="M78" t="n">
        <v>0</v>
      </c>
      <c r="N78" t="n">
        <v>0</v>
      </c>
      <c r="O78" t="n">
        <v>4</v>
      </c>
      <c r="P78" t="n">
        <v>0</v>
      </c>
      <c r="Q78" t="n">
        <v>6</v>
      </c>
      <c r="R78" s="2" t="inlineStr">
        <is>
          <t>Granticka
Lunglav
Tretåig hackspett
Ullticka
Trådticka
Vedticka</t>
        </is>
      </c>
      <c r="S78">
        <f>HYPERLINK("https://klasma.github.io/Logging_2305/artfynd/A 59719-2024 artfynd.xlsx", "A 59719-2024")</f>
        <v/>
      </c>
      <c r="T78">
        <f>HYPERLINK("https://klasma.github.io/Logging_2305/kartor/A 59719-2024 karta.png", "A 59719-2024")</f>
        <v/>
      </c>
      <c r="V78">
        <f>HYPERLINK("https://klasma.github.io/Logging_2305/klagomål/A 59719-2024 FSC-klagomål.docx", "A 59719-2024")</f>
        <v/>
      </c>
      <c r="W78">
        <f>HYPERLINK("https://klasma.github.io/Logging_2305/klagomålsmail/A 59719-2024 FSC-klagomål mail.docx", "A 59719-2024")</f>
        <v/>
      </c>
      <c r="X78">
        <f>HYPERLINK("https://klasma.github.io/Logging_2305/tillsyn/A 59719-2024 tillsynsbegäran.docx", "A 59719-2024")</f>
        <v/>
      </c>
      <c r="Y78">
        <f>HYPERLINK("https://klasma.github.io/Logging_2305/tillsynsmail/A 59719-2024 tillsynsbegäran mail.docx", "A 59719-2024")</f>
        <v/>
      </c>
      <c r="Z78">
        <f>HYPERLINK("https://klasma.github.io/Logging_2305/fåglar/A 59719-2024 prioriterade fågelarter.docx", "A 59719-2024")</f>
        <v/>
      </c>
    </row>
    <row r="79" ht="15" customHeight="1">
      <c r="A79" t="inlineStr">
        <is>
          <t>A 29464-2024</t>
        </is>
      </c>
      <c r="B79" s="1" t="n">
        <v>45483.97010416666</v>
      </c>
      <c r="C79" s="1" t="n">
        <v>45916</v>
      </c>
      <c r="D79" t="inlineStr">
        <is>
          <t>JÄMTLANDS LÄN</t>
        </is>
      </c>
      <c r="E79" t="inlineStr">
        <is>
          <t>BRÄCKE</t>
        </is>
      </c>
      <c r="F79" t="inlineStr">
        <is>
          <t>SCA</t>
        </is>
      </c>
      <c r="G79" t="n">
        <v>4</v>
      </c>
      <c r="H79" t="n">
        <v>0</v>
      </c>
      <c r="I79" t="n">
        <v>1</v>
      </c>
      <c r="J79" t="n">
        <v>5</v>
      </c>
      <c r="K79" t="n">
        <v>0</v>
      </c>
      <c r="L79" t="n">
        <v>0</v>
      </c>
      <c r="M79" t="n">
        <v>0</v>
      </c>
      <c r="N79" t="n">
        <v>0</v>
      </c>
      <c r="O79" t="n">
        <v>5</v>
      </c>
      <c r="P79" t="n">
        <v>0</v>
      </c>
      <c r="Q79" t="n">
        <v>6</v>
      </c>
      <c r="R79" s="2" t="inlineStr">
        <is>
          <t>Gammelgransskål
Garnlav
Granticka
Kolflarnlav
Lunglav
Stuplav</t>
        </is>
      </c>
      <c r="S79">
        <f>HYPERLINK("https://klasma.github.io/Logging_2305/artfynd/A 29464-2024 artfynd.xlsx", "A 29464-2024")</f>
        <v/>
      </c>
      <c r="T79">
        <f>HYPERLINK("https://klasma.github.io/Logging_2305/kartor/A 29464-2024 karta.png", "A 29464-2024")</f>
        <v/>
      </c>
      <c r="V79">
        <f>HYPERLINK("https://klasma.github.io/Logging_2305/klagomål/A 29464-2024 FSC-klagomål.docx", "A 29464-2024")</f>
        <v/>
      </c>
      <c r="W79">
        <f>HYPERLINK("https://klasma.github.io/Logging_2305/klagomålsmail/A 29464-2024 FSC-klagomål mail.docx", "A 29464-2024")</f>
        <v/>
      </c>
      <c r="X79">
        <f>HYPERLINK("https://klasma.github.io/Logging_2305/tillsyn/A 29464-2024 tillsynsbegäran.docx", "A 29464-2024")</f>
        <v/>
      </c>
      <c r="Y79">
        <f>HYPERLINK("https://klasma.github.io/Logging_2305/tillsynsmail/A 29464-2024 tillsynsbegäran mail.docx", "A 29464-2024")</f>
        <v/>
      </c>
    </row>
    <row r="80" ht="15" customHeight="1">
      <c r="A80" t="inlineStr">
        <is>
          <t>A 48779-2023</t>
        </is>
      </c>
      <c r="B80" s="1" t="n">
        <v>45208.9496875</v>
      </c>
      <c r="C80" s="1" t="n">
        <v>45916</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53280-2022</t>
        </is>
      </c>
      <c r="B81" s="1" t="n">
        <v>44876</v>
      </c>
      <c r="C81" s="1" t="n">
        <v>45916</v>
      </c>
      <c r="D81" t="inlineStr">
        <is>
          <t>JÄMTLANDS LÄN</t>
        </is>
      </c>
      <c r="E81" t="inlineStr">
        <is>
          <t>BRÄCKE</t>
        </is>
      </c>
      <c r="F81" t="inlineStr">
        <is>
          <t>SCA</t>
        </is>
      </c>
      <c r="G81" t="n">
        <v>2</v>
      </c>
      <c r="H81" t="n">
        <v>2</v>
      </c>
      <c r="I81" t="n">
        <v>3</v>
      </c>
      <c r="J81" t="n">
        <v>2</v>
      </c>
      <c r="K81" t="n">
        <v>0</v>
      </c>
      <c r="L81" t="n">
        <v>0</v>
      </c>
      <c r="M81" t="n">
        <v>0</v>
      </c>
      <c r="N81" t="n">
        <v>0</v>
      </c>
      <c r="O81" t="n">
        <v>2</v>
      </c>
      <c r="P81" t="n">
        <v>0</v>
      </c>
      <c r="Q81" t="n">
        <v>5</v>
      </c>
      <c r="R81" s="2" t="inlineStr">
        <is>
          <t>Järpe
Lunglav
Skinnlav
Spindelblomster
Stuplav</t>
        </is>
      </c>
      <c r="S81">
        <f>HYPERLINK("https://klasma.github.io/Logging_2305/artfynd/A 53280-2022 artfynd.xlsx", "A 53280-2022")</f>
        <v/>
      </c>
      <c r="T81">
        <f>HYPERLINK("https://klasma.github.io/Logging_2305/kartor/A 53280-2022 karta.png", "A 53280-2022")</f>
        <v/>
      </c>
      <c r="V81">
        <f>HYPERLINK("https://klasma.github.io/Logging_2305/klagomål/A 53280-2022 FSC-klagomål.docx", "A 53280-2022")</f>
        <v/>
      </c>
      <c r="W81">
        <f>HYPERLINK("https://klasma.github.io/Logging_2305/klagomålsmail/A 53280-2022 FSC-klagomål mail.docx", "A 53280-2022")</f>
        <v/>
      </c>
      <c r="X81">
        <f>HYPERLINK("https://klasma.github.io/Logging_2305/tillsyn/A 53280-2022 tillsynsbegäran.docx", "A 53280-2022")</f>
        <v/>
      </c>
      <c r="Y81">
        <f>HYPERLINK("https://klasma.github.io/Logging_2305/tillsynsmail/A 53280-2022 tillsynsbegäran mail.docx", "A 53280-2022")</f>
        <v/>
      </c>
      <c r="Z81">
        <f>HYPERLINK("https://klasma.github.io/Logging_2305/fåglar/A 53280-2022 prioriterade fågelarter.docx", "A 53280-2022")</f>
        <v/>
      </c>
    </row>
    <row r="82" ht="15" customHeight="1">
      <c r="A82" t="inlineStr">
        <is>
          <t>A 18634-2025</t>
        </is>
      </c>
      <c r="B82" s="1" t="n">
        <v>45763.55266203704</v>
      </c>
      <c r="C82" s="1" t="n">
        <v>45916</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30620-2025</t>
        </is>
      </c>
      <c r="B83" s="1" t="n">
        <v>45831.46936342592</v>
      </c>
      <c r="C83" s="1" t="n">
        <v>45916</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30991-2024</t>
        </is>
      </c>
      <c r="B84" s="1" t="n">
        <v>45499.55119212963</v>
      </c>
      <c r="C84" s="1" t="n">
        <v>45916</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31378-2025</t>
        </is>
      </c>
      <c r="B85" s="1" t="n">
        <v>45833.44834490741</v>
      </c>
      <c r="C85" s="1" t="n">
        <v>45916</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31592-2025</t>
        </is>
      </c>
      <c r="B86" s="1" t="n">
        <v>45833.69836805556</v>
      </c>
      <c r="C86" s="1" t="n">
        <v>45916</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Grantaggsvamp
Lunglav
Rosenticka
Ullticka
Kryddspindling</t>
        </is>
      </c>
      <c r="S86">
        <f>HYPERLINK("https://klasma.github.io/Logging_2305/artfynd/A 31592-2025 artfynd.xlsx", "A 31592-2025")</f>
        <v/>
      </c>
      <c r="T86">
        <f>HYPERLINK("https://klasma.github.io/Logging_2305/kartor/A 31592-2025 karta.png", "A 31592-2025")</f>
        <v/>
      </c>
      <c r="V86">
        <f>HYPERLINK("https://klasma.github.io/Logging_2305/klagomål/A 31592-2025 FSC-klagomål.docx", "A 31592-2025")</f>
        <v/>
      </c>
      <c r="W86">
        <f>HYPERLINK("https://klasma.github.io/Logging_2305/klagomålsmail/A 31592-2025 FSC-klagomål mail.docx", "A 31592-2025")</f>
        <v/>
      </c>
      <c r="X86">
        <f>HYPERLINK("https://klasma.github.io/Logging_2305/tillsyn/A 31592-2025 tillsynsbegäran.docx", "A 31592-2025")</f>
        <v/>
      </c>
      <c r="Y86">
        <f>HYPERLINK("https://klasma.github.io/Logging_2305/tillsynsmail/A 31592-2025 tillsynsbegäran mail.docx", "A 31592-2025")</f>
        <v/>
      </c>
    </row>
    <row r="87" ht="15" customHeight="1">
      <c r="A87" t="inlineStr">
        <is>
          <t>A 23729-2024</t>
        </is>
      </c>
      <c r="B87" s="1" t="n">
        <v>45454.95868055556</v>
      </c>
      <c r="C87" s="1" t="n">
        <v>45916</v>
      </c>
      <c r="D87" t="inlineStr">
        <is>
          <t>JÄMTLANDS LÄN</t>
        </is>
      </c>
      <c r="E87" t="inlineStr">
        <is>
          <t>BRÄCKE</t>
        </is>
      </c>
      <c r="F87" t="inlineStr">
        <is>
          <t>SCA</t>
        </is>
      </c>
      <c r="G87" t="n">
        <v>7.6</v>
      </c>
      <c r="H87" t="n">
        <v>1</v>
      </c>
      <c r="I87" t="n">
        <v>2</v>
      </c>
      <c r="J87" t="n">
        <v>2</v>
      </c>
      <c r="K87" t="n">
        <v>1</v>
      </c>
      <c r="L87" t="n">
        <v>0</v>
      </c>
      <c r="M87" t="n">
        <v>0</v>
      </c>
      <c r="N87" t="n">
        <v>0</v>
      </c>
      <c r="O87" t="n">
        <v>3</v>
      </c>
      <c r="P87" t="n">
        <v>1</v>
      </c>
      <c r="Q87" t="n">
        <v>5</v>
      </c>
      <c r="R87" s="2" t="inlineStr">
        <is>
          <t>Doftticka
Blanksvart spiklav
Kolflarnlav
Bårdlav
Stuplav</t>
        </is>
      </c>
      <c r="S87">
        <f>HYPERLINK("https://klasma.github.io/Logging_2305/artfynd/A 23729-2024 artfynd.xlsx", "A 23729-2024")</f>
        <v/>
      </c>
      <c r="T87">
        <f>HYPERLINK("https://klasma.github.io/Logging_2305/kartor/A 23729-2024 karta.png", "A 23729-2024")</f>
        <v/>
      </c>
      <c r="V87">
        <f>HYPERLINK("https://klasma.github.io/Logging_2305/klagomål/A 23729-2024 FSC-klagomål.docx", "A 23729-2024")</f>
        <v/>
      </c>
      <c r="W87">
        <f>HYPERLINK("https://klasma.github.io/Logging_2305/klagomålsmail/A 23729-2024 FSC-klagomål mail.docx", "A 23729-2024")</f>
        <v/>
      </c>
      <c r="X87">
        <f>HYPERLINK("https://klasma.github.io/Logging_2305/tillsyn/A 23729-2024 tillsynsbegäran.docx", "A 23729-2024")</f>
        <v/>
      </c>
      <c r="Y87">
        <f>HYPERLINK("https://klasma.github.io/Logging_2305/tillsynsmail/A 23729-2024 tillsynsbegäran mail.docx", "A 23729-2024")</f>
        <v/>
      </c>
    </row>
    <row r="88" ht="15" customHeight="1">
      <c r="A88" t="inlineStr">
        <is>
          <t>A 31731-2025</t>
        </is>
      </c>
      <c r="B88" s="1" t="n">
        <v>45834.46990740741</v>
      </c>
      <c r="C88" s="1" t="n">
        <v>45916</v>
      </c>
      <c r="D88" t="inlineStr">
        <is>
          <t>JÄMTLANDS LÄN</t>
        </is>
      </c>
      <c r="E88" t="inlineStr">
        <is>
          <t>BRÄCKE</t>
        </is>
      </c>
      <c r="F88" t="inlineStr">
        <is>
          <t>SCA</t>
        </is>
      </c>
      <c r="G88" t="n">
        <v>9.1</v>
      </c>
      <c r="H88" t="n">
        <v>0</v>
      </c>
      <c r="I88" t="n">
        <v>0</v>
      </c>
      <c r="J88" t="n">
        <v>5</v>
      </c>
      <c r="K88" t="n">
        <v>0</v>
      </c>
      <c r="L88" t="n">
        <v>0</v>
      </c>
      <c r="M88" t="n">
        <v>0</v>
      </c>
      <c r="N88" t="n">
        <v>0</v>
      </c>
      <c r="O88" t="n">
        <v>5</v>
      </c>
      <c r="P88" t="n">
        <v>0</v>
      </c>
      <c r="Q88" t="n">
        <v>5</v>
      </c>
      <c r="R88" s="2" t="inlineStr">
        <is>
          <t>Doftskinn
Gammelgransskål
Lunglav
Nordtagging
Skrovellav</t>
        </is>
      </c>
      <c r="S88">
        <f>HYPERLINK("https://klasma.github.io/Logging_2305/artfynd/A 31731-2025 artfynd.xlsx", "A 31731-2025")</f>
        <v/>
      </c>
      <c r="T88">
        <f>HYPERLINK("https://klasma.github.io/Logging_2305/kartor/A 31731-2025 karta.png", "A 31731-2025")</f>
        <v/>
      </c>
      <c r="V88">
        <f>HYPERLINK("https://klasma.github.io/Logging_2305/klagomål/A 31731-2025 FSC-klagomål.docx", "A 31731-2025")</f>
        <v/>
      </c>
      <c r="W88">
        <f>HYPERLINK("https://klasma.github.io/Logging_2305/klagomålsmail/A 31731-2025 FSC-klagomål mail.docx", "A 31731-2025")</f>
        <v/>
      </c>
      <c r="X88">
        <f>HYPERLINK("https://klasma.github.io/Logging_2305/tillsyn/A 31731-2025 tillsynsbegäran.docx", "A 31731-2025")</f>
        <v/>
      </c>
      <c r="Y88">
        <f>HYPERLINK("https://klasma.github.io/Logging_2305/tillsynsmail/A 31731-2025 tillsynsbegäran mail.docx", "A 31731-2025")</f>
        <v/>
      </c>
    </row>
    <row r="89" ht="15" customHeight="1">
      <c r="A89" t="inlineStr">
        <is>
          <t>A 6748-2024</t>
        </is>
      </c>
      <c r="B89" s="1" t="n">
        <v>45342</v>
      </c>
      <c r="C89" s="1" t="n">
        <v>45916</v>
      </c>
      <c r="D89" t="inlineStr">
        <is>
          <t>JÄMTLANDS LÄN</t>
        </is>
      </c>
      <c r="E89" t="inlineStr">
        <is>
          <t>BRÄCKE</t>
        </is>
      </c>
      <c r="G89" t="n">
        <v>4.1</v>
      </c>
      <c r="H89" t="n">
        <v>1</v>
      </c>
      <c r="I89" t="n">
        <v>0</v>
      </c>
      <c r="J89" t="n">
        <v>4</v>
      </c>
      <c r="K89" t="n">
        <v>1</v>
      </c>
      <c r="L89" t="n">
        <v>0</v>
      </c>
      <c r="M89" t="n">
        <v>0</v>
      </c>
      <c r="N89" t="n">
        <v>0</v>
      </c>
      <c r="O89" t="n">
        <v>5</v>
      </c>
      <c r="P89" t="n">
        <v>1</v>
      </c>
      <c r="Q89" t="n">
        <v>5</v>
      </c>
      <c r="R89" s="2" t="inlineStr">
        <is>
          <t>Knärot
Garnlav
Lunglav
Skrovellav
Ullticka</t>
        </is>
      </c>
      <c r="S89">
        <f>HYPERLINK("https://klasma.github.io/Logging_2305/artfynd/A 6748-2024 artfynd.xlsx", "A 6748-2024")</f>
        <v/>
      </c>
      <c r="T89">
        <f>HYPERLINK("https://klasma.github.io/Logging_2305/kartor/A 6748-2024 karta.png", "A 6748-2024")</f>
        <v/>
      </c>
      <c r="U89">
        <f>HYPERLINK("https://klasma.github.io/Logging_2305/knärot/A 6748-2024 karta knärot.png", "A 6748-2024")</f>
        <v/>
      </c>
      <c r="V89">
        <f>HYPERLINK("https://klasma.github.io/Logging_2305/klagomål/A 6748-2024 FSC-klagomål.docx", "A 6748-2024")</f>
        <v/>
      </c>
      <c r="W89">
        <f>HYPERLINK("https://klasma.github.io/Logging_2305/klagomålsmail/A 6748-2024 FSC-klagomål mail.docx", "A 6748-2024")</f>
        <v/>
      </c>
      <c r="X89">
        <f>HYPERLINK("https://klasma.github.io/Logging_2305/tillsyn/A 6748-2024 tillsynsbegäran.docx", "A 6748-2024")</f>
        <v/>
      </c>
      <c r="Y89">
        <f>HYPERLINK("https://klasma.github.io/Logging_2305/tillsynsmail/A 6748-2024 tillsynsbegäran mail.docx", "A 6748-2024")</f>
        <v/>
      </c>
    </row>
    <row r="90" ht="15" customHeight="1">
      <c r="A90" t="inlineStr">
        <is>
          <t>A 38527-2025</t>
        </is>
      </c>
      <c r="B90" s="1" t="n">
        <v>45884.40715277778</v>
      </c>
      <c r="C90" s="1" t="n">
        <v>45916</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34748-2025</t>
        </is>
      </c>
      <c r="B91" s="1" t="n">
        <v>45848.6153587963</v>
      </c>
      <c r="C91" s="1" t="n">
        <v>45916</v>
      </c>
      <c r="D91" t="inlineStr">
        <is>
          <t>JÄMTLANDS LÄN</t>
        </is>
      </c>
      <c r="E91" t="inlineStr">
        <is>
          <t>BRÄCKE</t>
        </is>
      </c>
      <c r="F91" t="inlineStr">
        <is>
          <t>SCA</t>
        </is>
      </c>
      <c r="G91" t="n">
        <v>7.1</v>
      </c>
      <c r="H91" t="n">
        <v>0</v>
      </c>
      <c r="I91" t="n">
        <v>2</v>
      </c>
      <c r="J91" t="n">
        <v>3</v>
      </c>
      <c r="K91" t="n">
        <v>0</v>
      </c>
      <c r="L91" t="n">
        <v>0</v>
      </c>
      <c r="M91" t="n">
        <v>0</v>
      </c>
      <c r="N91" t="n">
        <v>0</v>
      </c>
      <c r="O91" t="n">
        <v>3</v>
      </c>
      <c r="P91" t="n">
        <v>0</v>
      </c>
      <c r="Q91" t="n">
        <v>5</v>
      </c>
      <c r="R91" s="2" t="inlineStr">
        <is>
          <t>Lunglav
Skrovellav
Ullticka
Bårdlav
Stuplav</t>
        </is>
      </c>
      <c r="S91">
        <f>HYPERLINK("https://klasma.github.io/Logging_2305/artfynd/A 34748-2025 artfynd.xlsx", "A 34748-2025")</f>
        <v/>
      </c>
      <c r="T91">
        <f>HYPERLINK("https://klasma.github.io/Logging_2305/kartor/A 34748-2025 karta.png", "A 34748-2025")</f>
        <v/>
      </c>
      <c r="V91">
        <f>HYPERLINK("https://klasma.github.io/Logging_2305/klagomål/A 34748-2025 FSC-klagomål.docx", "A 34748-2025")</f>
        <v/>
      </c>
      <c r="W91">
        <f>HYPERLINK("https://klasma.github.io/Logging_2305/klagomålsmail/A 34748-2025 FSC-klagomål mail.docx", "A 34748-2025")</f>
        <v/>
      </c>
      <c r="X91">
        <f>HYPERLINK("https://klasma.github.io/Logging_2305/tillsyn/A 34748-2025 tillsynsbegäran.docx", "A 34748-2025")</f>
        <v/>
      </c>
      <c r="Y91">
        <f>HYPERLINK("https://klasma.github.io/Logging_2305/tillsynsmail/A 34748-2025 tillsynsbegäran mail.docx", "A 34748-2025")</f>
        <v/>
      </c>
    </row>
    <row r="92" ht="15" customHeight="1">
      <c r="A92" t="inlineStr">
        <is>
          <t>A 47560-2024</t>
        </is>
      </c>
      <c r="B92" s="1" t="n">
        <v>45587.6758449074</v>
      </c>
      <c r="C92" s="1" t="n">
        <v>45916</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48780-2023</t>
        </is>
      </c>
      <c r="B93" s="1" t="n">
        <v>45208</v>
      </c>
      <c r="C93" s="1" t="n">
        <v>45916</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22143-2025</t>
        </is>
      </c>
      <c r="B94" s="1" t="n">
        <v>45785.55251157407</v>
      </c>
      <c r="C94" s="1" t="n">
        <v>45916</v>
      </c>
      <c r="D94" t="inlineStr">
        <is>
          <t>JÄMTLANDS LÄN</t>
        </is>
      </c>
      <c r="E94" t="inlineStr">
        <is>
          <t>BRÄCKE</t>
        </is>
      </c>
      <c r="F94" t="inlineStr">
        <is>
          <t>SCA</t>
        </is>
      </c>
      <c r="G94" t="n">
        <v>4.3</v>
      </c>
      <c r="H94" t="n">
        <v>1</v>
      </c>
      <c r="I94" t="n">
        <v>2</v>
      </c>
      <c r="J94" t="n">
        <v>2</v>
      </c>
      <c r="K94" t="n">
        <v>1</v>
      </c>
      <c r="L94" t="n">
        <v>0</v>
      </c>
      <c r="M94" t="n">
        <v>0</v>
      </c>
      <c r="N94" t="n">
        <v>0</v>
      </c>
      <c r="O94" t="n">
        <v>3</v>
      </c>
      <c r="P94" t="n">
        <v>1</v>
      </c>
      <c r="Q94" t="n">
        <v>5</v>
      </c>
      <c r="R94" s="2" t="inlineStr">
        <is>
          <t>Knärot
Garnlav
Lunglav
Luddlav
Skinnlav</t>
        </is>
      </c>
      <c r="S94">
        <f>HYPERLINK("https://klasma.github.io/Logging_2305/artfynd/A 22143-2025 artfynd.xlsx", "A 22143-2025")</f>
        <v/>
      </c>
      <c r="T94">
        <f>HYPERLINK("https://klasma.github.io/Logging_2305/kartor/A 22143-2025 karta.png", "A 22143-2025")</f>
        <v/>
      </c>
      <c r="U94">
        <f>HYPERLINK("https://klasma.github.io/Logging_2305/knärot/A 22143-2025 karta knärot.png", "A 22143-2025")</f>
        <v/>
      </c>
      <c r="V94">
        <f>HYPERLINK("https://klasma.github.io/Logging_2305/klagomål/A 22143-2025 FSC-klagomål.docx", "A 22143-2025")</f>
        <v/>
      </c>
      <c r="W94">
        <f>HYPERLINK("https://klasma.github.io/Logging_2305/klagomålsmail/A 22143-2025 FSC-klagomål mail.docx", "A 22143-2025")</f>
        <v/>
      </c>
      <c r="X94">
        <f>HYPERLINK("https://klasma.github.io/Logging_2305/tillsyn/A 22143-2025 tillsynsbegäran.docx", "A 22143-2025")</f>
        <v/>
      </c>
      <c r="Y94">
        <f>HYPERLINK("https://klasma.github.io/Logging_2305/tillsynsmail/A 22143-2025 tillsynsbegäran mail.docx", "A 22143-2025")</f>
        <v/>
      </c>
    </row>
    <row r="95" ht="15" customHeight="1">
      <c r="A95" t="inlineStr">
        <is>
          <t>A 23246-2025</t>
        </is>
      </c>
      <c r="B95" s="1" t="n">
        <v>45791.51086805556</v>
      </c>
      <c r="C95" s="1" t="n">
        <v>45916</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36820-2021</t>
        </is>
      </c>
      <c r="B96" s="1" t="n">
        <v>44392</v>
      </c>
      <c r="C96" s="1" t="n">
        <v>45916</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45916</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14978-2025</t>
        </is>
      </c>
      <c r="B98" s="1" t="n">
        <v>45743.59503472222</v>
      </c>
      <c r="C98" s="1" t="n">
        <v>45916</v>
      </c>
      <c r="D98" t="inlineStr">
        <is>
          <t>JÄMTLANDS LÄN</t>
        </is>
      </c>
      <c r="E98" t="inlineStr">
        <is>
          <t>BRÄCKE</t>
        </is>
      </c>
      <c r="F98" t="inlineStr">
        <is>
          <t>SCA</t>
        </is>
      </c>
      <c r="G98" t="n">
        <v>4.2</v>
      </c>
      <c r="H98" t="n">
        <v>1</v>
      </c>
      <c r="I98" t="n">
        <v>0</v>
      </c>
      <c r="J98" t="n">
        <v>4</v>
      </c>
      <c r="K98" t="n">
        <v>0</v>
      </c>
      <c r="L98" t="n">
        <v>0</v>
      </c>
      <c r="M98" t="n">
        <v>0</v>
      </c>
      <c r="N98" t="n">
        <v>0</v>
      </c>
      <c r="O98" t="n">
        <v>4</v>
      </c>
      <c r="P98" t="n">
        <v>0</v>
      </c>
      <c r="Q98" t="n">
        <v>4</v>
      </c>
      <c r="R98" s="2" t="inlineStr">
        <is>
          <t>Granticka
Lunglav
Tretåig hackspett
Vitgrynig nållav</t>
        </is>
      </c>
      <c r="S98">
        <f>HYPERLINK("https://klasma.github.io/Logging_2305/artfynd/A 14978-2025 artfynd.xlsx", "A 14978-2025")</f>
        <v/>
      </c>
      <c r="T98">
        <f>HYPERLINK("https://klasma.github.io/Logging_2305/kartor/A 14978-2025 karta.png", "A 14978-2025")</f>
        <v/>
      </c>
      <c r="V98">
        <f>HYPERLINK("https://klasma.github.io/Logging_2305/klagomål/A 14978-2025 FSC-klagomål.docx", "A 14978-2025")</f>
        <v/>
      </c>
      <c r="W98">
        <f>HYPERLINK("https://klasma.github.io/Logging_2305/klagomålsmail/A 14978-2025 FSC-klagomål mail.docx", "A 14978-2025")</f>
        <v/>
      </c>
      <c r="X98">
        <f>HYPERLINK("https://klasma.github.io/Logging_2305/tillsyn/A 14978-2025 tillsynsbegäran.docx", "A 14978-2025")</f>
        <v/>
      </c>
      <c r="Y98">
        <f>HYPERLINK("https://klasma.github.io/Logging_2305/tillsynsmail/A 14978-2025 tillsynsbegäran mail.docx", "A 14978-2025")</f>
        <v/>
      </c>
      <c r="Z98">
        <f>HYPERLINK("https://klasma.github.io/Logging_2305/fåglar/A 14978-2025 prioriterade fågelarter.docx", "A 14978-2025")</f>
        <v/>
      </c>
    </row>
    <row r="99" ht="15" customHeight="1">
      <c r="A99" t="inlineStr">
        <is>
          <t>A 7445-2025</t>
        </is>
      </c>
      <c r="B99" s="1" t="n">
        <v>45705.40694444445</v>
      </c>
      <c r="C99" s="1" t="n">
        <v>45916</v>
      </c>
      <c r="D99" t="inlineStr">
        <is>
          <t>JÄMTLANDS LÄN</t>
        </is>
      </c>
      <c r="E99" t="inlineStr">
        <is>
          <t>BRÄCKE</t>
        </is>
      </c>
      <c r="G99" t="n">
        <v>2.1</v>
      </c>
      <c r="H99" t="n">
        <v>1</v>
      </c>
      <c r="I99" t="n">
        <v>1</v>
      </c>
      <c r="J99" t="n">
        <v>2</v>
      </c>
      <c r="K99" t="n">
        <v>0</v>
      </c>
      <c r="L99" t="n">
        <v>0</v>
      </c>
      <c r="M99" t="n">
        <v>0</v>
      </c>
      <c r="N99" t="n">
        <v>0</v>
      </c>
      <c r="O99" t="n">
        <v>2</v>
      </c>
      <c r="P99" t="n">
        <v>0</v>
      </c>
      <c r="Q99" t="n">
        <v>4</v>
      </c>
      <c r="R99" s="2" t="inlineStr">
        <is>
          <t>Garnlav
Lunglav
Stuplav
Revlummer</t>
        </is>
      </c>
      <c r="S99">
        <f>HYPERLINK("https://klasma.github.io/Logging_2305/artfynd/A 7445-2025 artfynd.xlsx", "A 7445-2025")</f>
        <v/>
      </c>
      <c r="T99">
        <f>HYPERLINK("https://klasma.github.io/Logging_2305/kartor/A 7445-2025 karta.png", "A 7445-2025")</f>
        <v/>
      </c>
      <c r="V99">
        <f>HYPERLINK("https://klasma.github.io/Logging_2305/klagomål/A 7445-2025 FSC-klagomål.docx", "A 7445-2025")</f>
        <v/>
      </c>
      <c r="W99">
        <f>HYPERLINK("https://klasma.github.io/Logging_2305/klagomålsmail/A 7445-2025 FSC-klagomål mail.docx", "A 7445-2025")</f>
        <v/>
      </c>
      <c r="X99">
        <f>HYPERLINK("https://klasma.github.io/Logging_2305/tillsyn/A 7445-2025 tillsynsbegäran.docx", "A 7445-2025")</f>
        <v/>
      </c>
      <c r="Y99">
        <f>HYPERLINK("https://klasma.github.io/Logging_2305/tillsynsmail/A 7445-2025 tillsynsbegäran mail.docx", "A 7445-2025")</f>
        <v/>
      </c>
    </row>
    <row r="100" ht="15" customHeight="1">
      <c r="A100" t="inlineStr">
        <is>
          <t>A 20496-2025</t>
        </is>
      </c>
      <c r="B100" s="1" t="n">
        <v>45775.57347222222</v>
      </c>
      <c r="C100" s="1" t="n">
        <v>45916</v>
      </c>
      <c r="D100" t="inlineStr">
        <is>
          <t>JÄMTLANDS LÄN</t>
        </is>
      </c>
      <c r="E100" t="inlineStr">
        <is>
          <t>BRÄCKE</t>
        </is>
      </c>
      <c r="F100" t="inlineStr">
        <is>
          <t>SCA</t>
        </is>
      </c>
      <c r="G100" t="n">
        <v>2.2</v>
      </c>
      <c r="H100" t="n">
        <v>0</v>
      </c>
      <c r="I100" t="n">
        <v>1</v>
      </c>
      <c r="J100" t="n">
        <v>2</v>
      </c>
      <c r="K100" t="n">
        <v>1</v>
      </c>
      <c r="L100" t="n">
        <v>0</v>
      </c>
      <c r="M100" t="n">
        <v>0</v>
      </c>
      <c r="N100" t="n">
        <v>0</v>
      </c>
      <c r="O100" t="n">
        <v>3</v>
      </c>
      <c r="P100" t="n">
        <v>1</v>
      </c>
      <c r="Q100" t="n">
        <v>4</v>
      </c>
      <c r="R100" s="2" t="inlineStr">
        <is>
          <t>Gräddporing
Dvärgbägarlav
Kolflarnlav
Korallblylav</t>
        </is>
      </c>
      <c r="S100">
        <f>HYPERLINK("https://klasma.github.io/Logging_2305/artfynd/A 20496-2025 artfynd.xlsx", "A 20496-2025")</f>
        <v/>
      </c>
      <c r="T100">
        <f>HYPERLINK("https://klasma.github.io/Logging_2305/kartor/A 20496-2025 karta.png", "A 20496-2025")</f>
        <v/>
      </c>
      <c r="V100">
        <f>HYPERLINK("https://klasma.github.io/Logging_2305/klagomål/A 20496-2025 FSC-klagomål.docx", "A 20496-2025")</f>
        <v/>
      </c>
      <c r="W100">
        <f>HYPERLINK("https://klasma.github.io/Logging_2305/klagomålsmail/A 20496-2025 FSC-klagomål mail.docx", "A 20496-2025")</f>
        <v/>
      </c>
      <c r="X100">
        <f>HYPERLINK("https://klasma.github.io/Logging_2305/tillsyn/A 20496-2025 tillsynsbegäran.docx", "A 20496-2025")</f>
        <v/>
      </c>
      <c r="Y100">
        <f>HYPERLINK("https://klasma.github.io/Logging_2305/tillsynsmail/A 20496-2025 tillsynsbegäran mail.docx", "A 20496-2025")</f>
        <v/>
      </c>
    </row>
    <row r="101" ht="15" customHeight="1">
      <c r="A101" t="inlineStr">
        <is>
          <t>A 15263-2025</t>
        </is>
      </c>
      <c r="B101" s="1" t="n">
        <v>45744.65704861111</v>
      </c>
      <c r="C101" s="1" t="n">
        <v>45916</v>
      </c>
      <c r="D101" t="inlineStr">
        <is>
          <t>JÄMTLANDS LÄN</t>
        </is>
      </c>
      <c r="E101" t="inlineStr">
        <is>
          <t>BRÄCKE</t>
        </is>
      </c>
      <c r="F101" t="inlineStr">
        <is>
          <t>SCA</t>
        </is>
      </c>
      <c r="G101" t="n">
        <v>2</v>
      </c>
      <c r="H101" t="n">
        <v>0</v>
      </c>
      <c r="I101" t="n">
        <v>1</v>
      </c>
      <c r="J101" t="n">
        <v>3</v>
      </c>
      <c r="K101" t="n">
        <v>0</v>
      </c>
      <c r="L101" t="n">
        <v>0</v>
      </c>
      <c r="M101" t="n">
        <v>0</v>
      </c>
      <c r="N101" t="n">
        <v>0</v>
      </c>
      <c r="O101" t="n">
        <v>3</v>
      </c>
      <c r="P101" t="n">
        <v>0</v>
      </c>
      <c r="Q101" t="n">
        <v>4</v>
      </c>
      <c r="R101" s="2" t="inlineStr">
        <is>
          <t>Garnlav
Lunglav
Skrovellav
Stuplav</t>
        </is>
      </c>
      <c r="S101">
        <f>HYPERLINK("https://klasma.github.io/Logging_2305/artfynd/A 15263-2025 artfynd.xlsx", "A 15263-2025")</f>
        <v/>
      </c>
      <c r="T101">
        <f>HYPERLINK("https://klasma.github.io/Logging_2305/kartor/A 15263-2025 karta.png", "A 15263-2025")</f>
        <v/>
      </c>
      <c r="V101">
        <f>HYPERLINK("https://klasma.github.io/Logging_2305/klagomål/A 15263-2025 FSC-klagomål.docx", "A 15263-2025")</f>
        <v/>
      </c>
      <c r="W101">
        <f>HYPERLINK("https://klasma.github.io/Logging_2305/klagomålsmail/A 15263-2025 FSC-klagomål mail.docx", "A 15263-2025")</f>
        <v/>
      </c>
      <c r="X101">
        <f>HYPERLINK("https://klasma.github.io/Logging_2305/tillsyn/A 15263-2025 tillsynsbegäran.docx", "A 15263-2025")</f>
        <v/>
      </c>
      <c r="Y101">
        <f>HYPERLINK("https://klasma.github.io/Logging_2305/tillsynsmail/A 15263-2025 tillsynsbegäran mail.docx", "A 15263-2025")</f>
        <v/>
      </c>
    </row>
    <row r="102" ht="15" customHeight="1">
      <c r="A102" t="inlineStr">
        <is>
          <t>A 32260-2024</t>
        </is>
      </c>
      <c r="B102" s="1" t="n">
        <v>45511.95291666667</v>
      </c>
      <c r="C102" s="1" t="n">
        <v>45916</v>
      </c>
      <c r="D102" t="inlineStr">
        <is>
          <t>JÄMTLANDS LÄN</t>
        </is>
      </c>
      <c r="E102" t="inlineStr">
        <is>
          <t>BRÄCKE</t>
        </is>
      </c>
      <c r="F102" t="inlineStr">
        <is>
          <t>SCA</t>
        </is>
      </c>
      <c r="G102" t="n">
        <v>3.7</v>
      </c>
      <c r="H102" t="n">
        <v>0</v>
      </c>
      <c r="I102" t="n">
        <v>1</v>
      </c>
      <c r="J102" t="n">
        <v>3</v>
      </c>
      <c r="K102" t="n">
        <v>0</v>
      </c>
      <c r="L102" t="n">
        <v>0</v>
      </c>
      <c r="M102" t="n">
        <v>0</v>
      </c>
      <c r="N102" t="n">
        <v>0</v>
      </c>
      <c r="O102" t="n">
        <v>3</v>
      </c>
      <c r="P102" t="n">
        <v>0</v>
      </c>
      <c r="Q102" t="n">
        <v>4</v>
      </c>
      <c r="R102" s="2" t="inlineStr">
        <is>
          <t>Garnlav
Lunglav
Skrovellav
Luddlav</t>
        </is>
      </c>
      <c r="S102">
        <f>HYPERLINK("https://klasma.github.io/Logging_2305/artfynd/A 32260-2024 artfynd.xlsx", "A 32260-2024")</f>
        <v/>
      </c>
      <c r="T102">
        <f>HYPERLINK("https://klasma.github.io/Logging_2305/kartor/A 32260-2024 karta.png", "A 32260-2024")</f>
        <v/>
      </c>
      <c r="V102">
        <f>HYPERLINK("https://klasma.github.io/Logging_2305/klagomål/A 32260-2024 FSC-klagomål.docx", "A 32260-2024")</f>
        <v/>
      </c>
      <c r="W102">
        <f>HYPERLINK("https://klasma.github.io/Logging_2305/klagomålsmail/A 32260-2024 FSC-klagomål mail.docx", "A 32260-2024")</f>
        <v/>
      </c>
      <c r="X102">
        <f>HYPERLINK("https://klasma.github.io/Logging_2305/tillsyn/A 32260-2024 tillsynsbegäran.docx", "A 32260-2024")</f>
        <v/>
      </c>
      <c r="Y102">
        <f>HYPERLINK("https://klasma.github.io/Logging_2305/tillsynsmail/A 32260-2024 tillsynsbegäran mail.docx", "A 32260-2024")</f>
        <v/>
      </c>
    </row>
    <row r="103" ht="15" customHeight="1">
      <c r="A103" t="inlineStr">
        <is>
          <t>A 46649-2022</t>
        </is>
      </c>
      <c r="B103" s="1" t="n">
        <v>44849</v>
      </c>
      <c r="C103" s="1" t="n">
        <v>45916</v>
      </c>
      <c r="D103" t="inlineStr">
        <is>
          <t>JÄMTLANDS LÄN</t>
        </is>
      </c>
      <c r="E103" t="inlineStr">
        <is>
          <t>BRÄCKE</t>
        </is>
      </c>
      <c r="F103" t="inlineStr">
        <is>
          <t>SCA</t>
        </is>
      </c>
      <c r="G103" t="n">
        <v>1.8</v>
      </c>
      <c r="H103" t="n">
        <v>1</v>
      </c>
      <c r="I103" t="n">
        <v>3</v>
      </c>
      <c r="J103" t="n">
        <v>1</v>
      </c>
      <c r="K103" t="n">
        <v>0</v>
      </c>
      <c r="L103" t="n">
        <v>0</v>
      </c>
      <c r="M103" t="n">
        <v>0</v>
      </c>
      <c r="N103" t="n">
        <v>0</v>
      </c>
      <c r="O103" t="n">
        <v>1</v>
      </c>
      <c r="P103" t="n">
        <v>0</v>
      </c>
      <c r="Q103" t="n">
        <v>4</v>
      </c>
      <c r="R103" s="2" t="inlineStr">
        <is>
          <t>Talltita
Rödgul trumpetsvamp
Skarp dropptaggsvamp
Svavelriska</t>
        </is>
      </c>
      <c r="S103">
        <f>HYPERLINK("https://klasma.github.io/Logging_2305/artfynd/A 46649-2022 artfynd.xlsx", "A 46649-2022")</f>
        <v/>
      </c>
      <c r="T103">
        <f>HYPERLINK("https://klasma.github.io/Logging_2305/kartor/A 46649-2022 karta.png", "A 46649-2022")</f>
        <v/>
      </c>
      <c r="V103">
        <f>HYPERLINK("https://klasma.github.io/Logging_2305/klagomål/A 46649-2022 FSC-klagomål.docx", "A 46649-2022")</f>
        <v/>
      </c>
      <c r="W103">
        <f>HYPERLINK("https://klasma.github.io/Logging_2305/klagomålsmail/A 46649-2022 FSC-klagomål mail.docx", "A 46649-2022")</f>
        <v/>
      </c>
      <c r="X103">
        <f>HYPERLINK("https://klasma.github.io/Logging_2305/tillsyn/A 46649-2022 tillsynsbegäran.docx", "A 46649-2022")</f>
        <v/>
      </c>
      <c r="Y103">
        <f>HYPERLINK("https://klasma.github.io/Logging_2305/tillsynsmail/A 46649-2022 tillsynsbegäran mail.docx", "A 46649-2022")</f>
        <v/>
      </c>
      <c r="Z103">
        <f>HYPERLINK("https://klasma.github.io/Logging_2305/fåglar/A 46649-2022 prioriterade fågelarter.docx", "A 46649-2022")</f>
        <v/>
      </c>
    </row>
    <row r="104" ht="15" customHeight="1">
      <c r="A104" t="inlineStr">
        <is>
          <t>A 12863-2024</t>
        </is>
      </c>
      <c r="B104" s="1" t="n">
        <v>45384.94145833333</v>
      </c>
      <c r="C104" s="1" t="n">
        <v>45916</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42105-2024</t>
        </is>
      </c>
      <c r="B105" s="1" t="n">
        <v>45562.3650462963</v>
      </c>
      <c r="C105" s="1" t="n">
        <v>45916</v>
      </c>
      <c r="D105" t="inlineStr">
        <is>
          <t>JÄMTLANDS LÄN</t>
        </is>
      </c>
      <c r="E105" t="inlineStr">
        <is>
          <t>BRÄCKE</t>
        </is>
      </c>
      <c r="F105" t="inlineStr">
        <is>
          <t>SCA</t>
        </is>
      </c>
      <c r="G105" t="n">
        <v>2.2</v>
      </c>
      <c r="H105" t="n">
        <v>0</v>
      </c>
      <c r="I105" t="n">
        <v>0</v>
      </c>
      <c r="J105" t="n">
        <v>4</v>
      </c>
      <c r="K105" t="n">
        <v>0</v>
      </c>
      <c r="L105" t="n">
        <v>0</v>
      </c>
      <c r="M105" t="n">
        <v>0</v>
      </c>
      <c r="N105" t="n">
        <v>0</v>
      </c>
      <c r="O105" t="n">
        <v>4</v>
      </c>
      <c r="P105" t="n">
        <v>0</v>
      </c>
      <c r="Q105" t="n">
        <v>4</v>
      </c>
      <c r="R105" s="2" t="inlineStr">
        <is>
          <t>Gränsticka
Mörk kolflarnlav
Ullticka
Violettgrå tagellav</t>
        </is>
      </c>
      <c r="S105">
        <f>HYPERLINK("https://klasma.github.io/Logging_2305/artfynd/A 42105-2024 artfynd.xlsx", "A 42105-2024")</f>
        <v/>
      </c>
      <c r="T105">
        <f>HYPERLINK("https://klasma.github.io/Logging_2305/kartor/A 42105-2024 karta.png", "A 42105-2024")</f>
        <v/>
      </c>
      <c r="V105">
        <f>HYPERLINK("https://klasma.github.io/Logging_2305/klagomål/A 42105-2024 FSC-klagomål.docx", "A 42105-2024")</f>
        <v/>
      </c>
      <c r="W105">
        <f>HYPERLINK("https://klasma.github.io/Logging_2305/klagomålsmail/A 42105-2024 FSC-klagomål mail.docx", "A 42105-2024")</f>
        <v/>
      </c>
      <c r="X105">
        <f>HYPERLINK("https://klasma.github.io/Logging_2305/tillsyn/A 42105-2024 tillsynsbegäran.docx", "A 42105-2024")</f>
        <v/>
      </c>
      <c r="Y105">
        <f>HYPERLINK("https://klasma.github.io/Logging_2305/tillsynsmail/A 42105-2024 tillsynsbegäran mail.docx", "A 42105-2024")</f>
        <v/>
      </c>
    </row>
    <row r="106" ht="15" customHeight="1">
      <c r="A106" t="inlineStr">
        <is>
          <t>A 57079-2023</t>
        </is>
      </c>
      <c r="B106" s="1" t="n">
        <v>45244</v>
      </c>
      <c r="C106" s="1" t="n">
        <v>45916</v>
      </c>
      <c r="D106" t="inlineStr">
        <is>
          <t>JÄMTLANDS LÄN</t>
        </is>
      </c>
      <c r="E106" t="inlineStr">
        <is>
          <t>BRÄCKE</t>
        </is>
      </c>
      <c r="F106" t="inlineStr">
        <is>
          <t>SCA</t>
        </is>
      </c>
      <c r="G106" t="n">
        <v>9.9</v>
      </c>
      <c r="H106" t="n">
        <v>0</v>
      </c>
      <c r="I106" t="n">
        <v>2</v>
      </c>
      <c r="J106" t="n">
        <v>2</v>
      </c>
      <c r="K106" t="n">
        <v>0</v>
      </c>
      <c r="L106" t="n">
        <v>0</v>
      </c>
      <c r="M106" t="n">
        <v>0</v>
      </c>
      <c r="N106" t="n">
        <v>0</v>
      </c>
      <c r="O106" t="n">
        <v>2</v>
      </c>
      <c r="P106" t="n">
        <v>0</v>
      </c>
      <c r="Q106" t="n">
        <v>4</v>
      </c>
      <c r="R106" s="2" t="inlineStr">
        <is>
          <t>Garnlav
Lunglav
Korallblylav
Skinnlav</t>
        </is>
      </c>
      <c r="S106">
        <f>HYPERLINK("https://klasma.github.io/Logging_2305/artfynd/A 57079-2023 artfynd.xlsx", "A 57079-2023")</f>
        <v/>
      </c>
      <c r="T106">
        <f>HYPERLINK("https://klasma.github.io/Logging_2305/kartor/A 57079-2023 karta.png", "A 57079-2023")</f>
        <v/>
      </c>
      <c r="V106">
        <f>HYPERLINK("https://klasma.github.io/Logging_2305/klagomål/A 57079-2023 FSC-klagomål.docx", "A 57079-2023")</f>
        <v/>
      </c>
      <c r="W106">
        <f>HYPERLINK("https://klasma.github.io/Logging_2305/klagomålsmail/A 57079-2023 FSC-klagomål mail.docx", "A 57079-2023")</f>
        <v/>
      </c>
      <c r="X106">
        <f>HYPERLINK("https://klasma.github.io/Logging_2305/tillsyn/A 57079-2023 tillsynsbegäran.docx", "A 57079-2023")</f>
        <v/>
      </c>
      <c r="Y106">
        <f>HYPERLINK("https://klasma.github.io/Logging_2305/tillsynsmail/A 57079-2023 tillsynsbegäran mail.docx", "A 57079-2023")</f>
        <v/>
      </c>
    </row>
    <row r="107" ht="15" customHeight="1">
      <c r="A107" t="inlineStr">
        <is>
          <t>A 47499-2023</t>
        </is>
      </c>
      <c r="B107" s="1" t="n">
        <v>45202</v>
      </c>
      <c r="C107" s="1" t="n">
        <v>45916</v>
      </c>
      <c r="D107" t="inlineStr">
        <is>
          <t>JÄMTLANDS LÄN</t>
        </is>
      </c>
      <c r="E107" t="inlineStr">
        <is>
          <t>BRÄCKE</t>
        </is>
      </c>
      <c r="F107" t="inlineStr">
        <is>
          <t>SCA</t>
        </is>
      </c>
      <c r="G107" t="n">
        <v>8.1</v>
      </c>
      <c r="H107" t="n">
        <v>2</v>
      </c>
      <c r="I107" t="n">
        <v>2</v>
      </c>
      <c r="J107" t="n">
        <v>2</v>
      </c>
      <c r="K107" t="n">
        <v>0</v>
      </c>
      <c r="L107" t="n">
        <v>0</v>
      </c>
      <c r="M107" t="n">
        <v>0</v>
      </c>
      <c r="N107" t="n">
        <v>0</v>
      </c>
      <c r="O107" t="n">
        <v>2</v>
      </c>
      <c r="P107" t="n">
        <v>0</v>
      </c>
      <c r="Q107" t="n">
        <v>4</v>
      </c>
      <c r="R107" s="2" t="inlineStr">
        <is>
          <t>Garnlav
Lunglav
Korallrot
Lappranunkel</t>
        </is>
      </c>
      <c r="S107">
        <f>HYPERLINK("https://klasma.github.io/Logging_2305/artfynd/A 47499-2023 artfynd.xlsx", "A 47499-2023")</f>
        <v/>
      </c>
      <c r="T107">
        <f>HYPERLINK("https://klasma.github.io/Logging_2305/kartor/A 47499-2023 karta.png", "A 47499-2023")</f>
        <v/>
      </c>
      <c r="V107">
        <f>HYPERLINK("https://klasma.github.io/Logging_2305/klagomål/A 47499-2023 FSC-klagomål.docx", "A 47499-2023")</f>
        <v/>
      </c>
      <c r="W107">
        <f>HYPERLINK("https://klasma.github.io/Logging_2305/klagomålsmail/A 47499-2023 FSC-klagomål mail.docx", "A 47499-2023")</f>
        <v/>
      </c>
      <c r="X107">
        <f>HYPERLINK("https://klasma.github.io/Logging_2305/tillsyn/A 47499-2023 tillsynsbegäran.docx", "A 47499-2023")</f>
        <v/>
      </c>
      <c r="Y107">
        <f>HYPERLINK("https://klasma.github.io/Logging_2305/tillsynsmail/A 47499-2023 tillsynsbegäran mail.docx", "A 47499-2023")</f>
        <v/>
      </c>
    </row>
    <row r="108" ht="15" customHeight="1">
      <c r="A108" t="inlineStr">
        <is>
          <t>A 48431-2023</t>
        </is>
      </c>
      <c r="B108" s="1" t="n">
        <v>45205</v>
      </c>
      <c r="C108" s="1" t="n">
        <v>45916</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28553-2024</t>
        </is>
      </c>
      <c r="B109" s="1" t="n">
        <v>45478</v>
      </c>
      <c r="C109" s="1" t="n">
        <v>45916</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57076-2024</t>
        </is>
      </c>
      <c r="B110" s="1" t="n">
        <v>45629.35486111111</v>
      </c>
      <c r="C110" s="1" t="n">
        <v>45916</v>
      </c>
      <c r="D110" t="inlineStr">
        <is>
          <t>JÄMTLANDS LÄN</t>
        </is>
      </c>
      <c r="E110" t="inlineStr">
        <is>
          <t>BRÄCKE</t>
        </is>
      </c>
      <c r="F110" t="inlineStr">
        <is>
          <t>SCA</t>
        </is>
      </c>
      <c r="G110" t="n">
        <v>1.3</v>
      </c>
      <c r="H110" t="n">
        <v>1</v>
      </c>
      <c r="I110" t="n">
        <v>2</v>
      </c>
      <c r="J110" t="n">
        <v>1</v>
      </c>
      <c r="K110" t="n">
        <v>1</v>
      </c>
      <c r="L110" t="n">
        <v>0</v>
      </c>
      <c r="M110" t="n">
        <v>0</v>
      </c>
      <c r="N110" t="n">
        <v>0</v>
      </c>
      <c r="O110" t="n">
        <v>2</v>
      </c>
      <c r="P110" t="n">
        <v>1</v>
      </c>
      <c r="Q110" t="n">
        <v>4</v>
      </c>
      <c r="R110" s="2" t="inlineStr">
        <is>
          <t>Knärot
Lunglav
Luddlav
Vedticka</t>
        </is>
      </c>
      <c r="S110">
        <f>HYPERLINK("https://klasma.github.io/Logging_2305/artfynd/A 57076-2024 artfynd.xlsx", "A 57076-2024")</f>
        <v/>
      </c>
      <c r="T110">
        <f>HYPERLINK("https://klasma.github.io/Logging_2305/kartor/A 57076-2024 karta.png", "A 57076-2024")</f>
        <v/>
      </c>
      <c r="U110">
        <f>HYPERLINK("https://klasma.github.io/Logging_2305/knärot/A 57076-2024 karta knärot.png", "A 57076-2024")</f>
        <v/>
      </c>
      <c r="V110">
        <f>HYPERLINK("https://klasma.github.io/Logging_2305/klagomål/A 57076-2024 FSC-klagomål.docx", "A 57076-2024")</f>
        <v/>
      </c>
      <c r="W110">
        <f>HYPERLINK("https://klasma.github.io/Logging_2305/klagomålsmail/A 57076-2024 FSC-klagomål mail.docx", "A 57076-2024")</f>
        <v/>
      </c>
      <c r="X110">
        <f>HYPERLINK("https://klasma.github.io/Logging_2305/tillsyn/A 57076-2024 tillsynsbegäran.docx", "A 57076-2024")</f>
        <v/>
      </c>
      <c r="Y110">
        <f>HYPERLINK("https://klasma.github.io/Logging_2305/tillsynsmail/A 57076-2024 tillsynsbegäran mail.docx", "A 57076-2024")</f>
        <v/>
      </c>
    </row>
    <row r="111" ht="15" customHeight="1">
      <c r="A111" t="inlineStr">
        <is>
          <t>A 34540-2025</t>
        </is>
      </c>
      <c r="B111" s="1" t="n">
        <v>45847.53170138889</v>
      </c>
      <c r="C111" s="1" t="n">
        <v>45916</v>
      </c>
      <c r="D111" t="inlineStr">
        <is>
          <t>JÄMTLANDS LÄN</t>
        </is>
      </c>
      <c r="E111" t="inlineStr">
        <is>
          <t>BRÄCKE</t>
        </is>
      </c>
      <c r="F111" t="inlineStr">
        <is>
          <t>SCA</t>
        </is>
      </c>
      <c r="G111" t="n">
        <v>1.5</v>
      </c>
      <c r="H111" t="n">
        <v>0</v>
      </c>
      <c r="I111" t="n">
        <v>1</v>
      </c>
      <c r="J111" t="n">
        <v>2</v>
      </c>
      <c r="K111" t="n">
        <v>1</v>
      </c>
      <c r="L111" t="n">
        <v>0</v>
      </c>
      <c r="M111" t="n">
        <v>0</v>
      </c>
      <c r="N111" t="n">
        <v>0</v>
      </c>
      <c r="O111" t="n">
        <v>3</v>
      </c>
      <c r="P111" t="n">
        <v>1</v>
      </c>
      <c r="Q111" t="n">
        <v>4</v>
      </c>
      <c r="R111" s="2" t="inlineStr">
        <is>
          <t>Tallgråticka
Skrovlig taggsvamp
Tallriska
Skarp dropptaggsvamp</t>
        </is>
      </c>
      <c r="S111">
        <f>HYPERLINK("https://klasma.github.io/Logging_2305/artfynd/A 34540-2025 artfynd.xlsx", "A 34540-2025")</f>
        <v/>
      </c>
      <c r="T111">
        <f>HYPERLINK("https://klasma.github.io/Logging_2305/kartor/A 34540-2025 karta.png", "A 34540-2025")</f>
        <v/>
      </c>
      <c r="V111">
        <f>HYPERLINK("https://klasma.github.io/Logging_2305/klagomål/A 34540-2025 FSC-klagomål.docx", "A 34540-2025")</f>
        <v/>
      </c>
      <c r="W111">
        <f>HYPERLINK("https://klasma.github.io/Logging_2305/klagomålsmail/A 34540-2025 FSC-klagomål mail.docx", "A 34540-2025")</f>
        <v/>
      </c>
      <c r="X111">
        <f>HYPERLINK("https://klasma.github.io/Logging_2305/tillsyn/A 34540-2025 tillsynsbegäran.docx", "A 34540-2025")</f>
        <v/>
      </c>
      <c r="Y111">
        <f>HYPERLINK("https://klasma.github.io/Logging_2305/tillsynsmail/A 34540-2025 tillsynsbegäran mail.docx", "A 34540-2025")</f>
        <v/>
      </c>
    </row>
    <row r="112" ht="15" customHeight="1">
      <c r="A112" t="inlineStr">
        <is>
          <t>A 34529-2025</t>
        </is>
      </c>
      <c r="B112" s="1" t="n">
        <v>45847.48991898148</v>
      </c>
      <c r="C112" s="1" t="n">
        <v>45916</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49375-2024</t>
        </is>
      </c>
      <c r="B113" s="1" t="n">
        <v>45595.64222222222</v>
      </c>
      <c r="C113" s="1" t="n">
        <v>45916</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30881-2025</t>
        </is>
      </c>
      <c r="B114" s="1" t="n">
        <v>45832.34538194445</v>
      </c>
      <c r="C114" s="1" t="n">
        <v>45916</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45420-2022</t>
        </is>
      </c>
      <c r="B115" s="1" t="n">
        <v>44844</v>
      </c>
      <c r="C115" s="1" t="n">
        <v>45916</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43461-2025</t>
        </is>
      </c>
      <c r="B116" s="1" t="n">
        <v>45911.46922453704</v>
      </c>
      <c r="C116" s="1" t="n">
        <v>45916</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10543-2022</t>
        </is>
      </c>
      <c r="B117" s="1" t="n">
        <v>44623</v>
      </c>
      <c r="C117" s="1" t="n">
        <v>45916</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47172-2023</t>
        </is>
      </c>
      <c r="B118" s="1" t="n">
        <v>45201</v>
      </c>
      <c r="C118" s="1" t="n">
        <v>45916</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48479-2023</t>
        </is>
      </c>
      <c r="B119" s="1" t="n">
        <v>45206</v>
      </c>
      <c r="C119" s="1" t="n">
        <v>45916</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43620-2023</t>
        </is>
      </c>
      <c r="B120" s="1" t="n">
        <v>45184</v>
      </c>
      <c r="C120" s="1" t="n">
        <v>45916</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32654-2024</t>
        </is>
      </c>
      <c r="B121" s="1" t="n">
        <v>45513.96465277778</v>
      </c>
      <c r="C121" s="1" t="n">
        <v>45916</v>
      </c>
      <c r="D121" t="inlineStr">
        <is>
          <t>JÄMTLANDS LÄN</t>
        </is>
      </c>
      <c r="E121" t="inlineStr">
        <is>
          <t>BRÄCKE</t>
        </is>
      </c>
      <c r="F121" t="inlineStr">
        <is>
          <t>SCA</t>
        </is>
      </c>
      <c r="G121" t="n">
        <v>4.2</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HYPERLINK("https://klasma.github.io/Logging_2305/artfynd/A 32654-2024 artfynd.xlsx", "A 32654-2024")</f>
        <v/>
      </c>
      <c r="T121">
        <f>HYPERLINK("https://klasma.github.io/Logging_2305/kartor/A 32654-2024 karta.png", "A 32654-2024")</f>
        <v/>
      </c>
      <c r="V121">
        <f>HYPERLINK("https://klasma.github.io/Logging_2305/klagomål/A 32654-2024 FSC-klagomål.docx", "A 32654-2024")</f>
        <v/>
      </c>
      <c r="W121">
        <f>HYPERLINK("https://klasma.github.io/Logging_2305/klagomålsmail/A 32654-2024 FSC-klagomål mail.docx", "A 32654-2024")</f>
        <v/>
      </c>
      <c r="X121">
        <f>HYPERLINK("https://klasma.github.io/Logging_2305/tillsyn/A 32654-2024 tillsynsbegäran.docx", "A 32654-2024")</f>
        <v/>
      </c>
      <c r="Y121">
        <f>HYPERLINK("https://klasma.github.io/Logging_2305/tillsynsmail/A 32654-2024 tillsynsbegäran mail.docx", "A 32654-2024")</f>
        <v/>
      </c>
    </row>
    <row r="122" ht="15" customHeight="1">
      <c r="A122" t="inlineStr">
        <is>
          <t>A 33928-2022</t>
        </is>
      </c>
      <c r="B122" s="1" t="n">
        <v>44790</v>
      </c>
      <c r="C122" s="1" t="n">
        <v>45916</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57606-2024</t>
        </is>
      </c>
      <c r="B123" s="1" t="n">
        <v>45630.53204861111</v>
      </c>
      <c r="C123" s="1" t="n">
        <v>45916</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21412-2025</t>
        </is>
      </c>
      <c r="B124" s="1" t="n">
        <v>45782.49100694444</v>
      </c>
      <c r="C124" s="1" t="n">
        <v>45916</v>
      </c>
      <c r="D124" t="inlineStr">
        <is>
          <t>JÄMTLANDS LÄN</t>
        </is>
      </c>
      <c r="E124" t="inlineStr">
        <is>
          <t>BRÄCKE</t>
        </is>
      </c>
      <c r="F124" t="inlineStr">
        <is>
          <t>SCA</t>
        </is>
      </c>
      <c r="G124" t="n">
        <v>1.7</v>
      </c>
      <c r="H124" t="n">
        <v>1</v>
      </c>
      <c r="I124" t="n">
        <v>2</v>
      </c>
      <c r="J124" t="n">
        <v>1</v>
      </c>
      <c r="K124" t="n">
        <v>0</v>
      </c>
      <c r="L124" t="n">
        <v>0</v>
      </c>
      <c r="M124" t="n">
        <v>0</v>
      </c>
      <c r="N124" t="n">
        <v>0</v>
      </c>
      <c r="O124" t="n">
        <v>1</v>
      </c>
      <c r="P124" t="n">
        <v>0</v>
      </c>
      <c r="Q124" t="n">
        <v>4</v>
      </c>
      <c r="R124" s="2" t="inlineStr">
        <is>
          <t>Lunglav
Kransrams
Svart trolldruva
Fläcknycklar</t>
        </is>
      </c>
      <c r="S124">
        <f>HYPERLINK("https://klasma.github.io/Logging_2305/artfynd/A 21412-2025 artfynd.xlsx", "A 21412-2025")</f>
        <v/>
      </c>
      <c r="T124">
        <f>HYPERLINK("https://klasma.github.io/Logging_2305/kartor/A 21412-2025 karta.png", "A 21412-2025")</f>
        <v/>
      </c>
      <c r="V124">
        <f>HYPERLINK("https://klasma.github.io/Logging_2305/klagomål/A 21412-2025 FSC-klagomål.docx", "A 21412-2025")</f>
        <v/>
      </c>
      <c r="W124">
        <f>HYPERLINK("https://klasma.github.io/Logging_2305/klagomålsmail/A 21412-2025 FSC-klagomål mail.docx", "A 21412-2025")</f>
        <v/>
      </c>
      <c r="X124">
        <f>HYPERLINK("https://klasma.github.io/Logging_2305/tillsyn/A 21412-2025 tillsynsbegäran.docx", "A 21412-2025")</f>
        <v/>
      </c>
      <c r="Y124">
        <f>HYPERLINK("https://klasma.github.io/Logging_2305/tillsynsmail/A 21412-2025 tillsynsbegäran mail.docx", "A 21412-2025")</f>
        <v/>
      </c>
    </row>
    <row r="125" ht="15" customHeight="1">
      <c r="A125" t="inlineStr">
        <is>
          <t>A 21441-2025</t>
        </is>
      </c>
      <c r="B125" s="1" t="n">
        <v>45782.53157407408</v>
      </c>
      <c r="C125" s="1" t="n">
        <v>45916</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56222-2021</t>
        </is>
      </c>
      <c r="B126" s="1" t="n">
        <v>44477</v>
      </c>
      <c r="C126" s="1" t="n">
        <v>45916</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44428-2022</t>
        </is>
      </c>
      <c r="B127" s="1" t="n">
        <v>44839</v>
      </c>
      <c r="C127" s="1" t="n">
        <v>45916</v>
      </c>
      <c r="D127" t="inlineStr">
        <is>
          <t>JÄMTLANDS LÄN</t>
        </is>
      </c>
      <c r="E127" t="inlineStr">
        <is>
          <t>BRÄCKE</t>
        </is>
      </c>
      <c r="F127" t="inlineStr">
        <is>
          <t>SCA</t>
        </is>
      </c>
      <c r="G127" t="n">
        <v>4.3</v>
      </c>
      <c r="H127" t="n">
        <v>0</v>
      </c>
      <c r="I127" t="n">
        <v>2</v>
      </c>
      <c r="J127" t="n">
        <v>1</v>
      </c>
      <c r="K127" t="n">
        <v>0</v>
      </c>
      <c r="L127" t="n">
        <v>0</v>
      </c>
      <c r="M127" t="n">
        <v>0</v>
      </c>
      <c r="N127" t="n">
        <v>0</v>
      </c>
      <c r="O127" t="n">
        <v>1</v>
      </c>
      <c r="P127" t="n">
        <v>0</v>
      </c>
      <c r="Q127" t="n">
        <v>3</v>
      </c>
      <c r="R127" s="2" t="inlineStr">
        <is>
          <t>Motaggsvamp
Dropptaggsvamp
Skinnlav</t>
        </is>
      </c>
      <c r="S127">
        <f>HYPERLINK("https://klasma.github.io/Logging_2305/artfynd/A 44428-2022 artfynd.xlsx", "A 44428-2022")</f>
        <v/>
      </c>
      <c r="T127">
        <f>HYPERLINK("https://klasma.github.io/Logging_2305/kartor/A 44428-2022 karta.png", "A 44428-2022")</f>
        <v/>
      </c>
      <c r="V127">
        <f>HYPERLINK("https://klasma.github.io/Logging_2305/klagomål/A 44428-2022 FSC-klagomål.docx", "A 44428-2022")</f>
        <v/>
      </c>
      <c r="W127">
        <f>HYPERLINK("https://klasma.github.io/Logging_2305/klagomålsmail/A 44428-2022 FSC-klagomål mail.docx", "A 44428-2022")</f>
        <v/>
      </c>
      <c r="X127">
        <f>HYPERLINK("https://klasma.github.io/Logging_2305/tillsyn/A 44428-2022 tillsynsbegäran.docx", "A 44428-2022")</f>
        <v/>
      </c>
      <c r="Y127">
        <f>HYPERLINK("https://klasma.github.io/Logging_2305/tillsynsmail/A 44428-2022 tillsynsbegäran mail.docx", "A 44428-2022")</f>
        <v/>
      </c>
    </row>
    <row r="128" ht="15" customHeight="1">
      <c r="A128" t="inlineStr">
        <is>
          <t>A 37061-2021</t>
        </is>
      </c>
      <c r="B128" s="1" t="n">
        <v>44393</v>
      </c>
      <c r="C128" s="1" t="n">
        <v>45916</v>
      </c>
      <c r="D128" t="inlineStr">
        <is>
          <t>JÄMTLANDS LÄN</t>
        </is>
      </c>
      <c r="E128" t="inlineStr">
        <is>
          <t>BRÄCKE</t>
        </is>
      </c>
      <c r="F128" t="inlineStr">
        <is>
          <t>SCA</t>
        </is>
      </c>
      <c r="G128" t="n">
        <v>3.4</v>
      </c>
      <c r="H128" t="n">
        <v>1</v>
      </c>
      <c r="I128" t="n">
        <v>1</v>
      </c>
      <c r="J128" t="n">
        <v>1</v>
      </c>
      <c r="K128" t="n">
        <v>1</v>
      </c>
      <c r="L128" t="n">
        <v>0</v>
      </c>
      <c r="M128" t="n">
        <v>0</v>
      </c>
      <c r="N128" t="n">
        <v>0</v>
      </c>
      <c r="O128" t="n">
        <v>2</v>
      </c>
      <c r="P128" t="n">
        <v>1</v>
      </c>
      <c r="Q128" t="n">
        <v>3</v>
      </c>
      <c r="R128" s="2" t="inlineStr">
        <is>
          <t>Knärot
Lunglav
Stuplav</t>
        </is>
      </c>
      <c r="S128">
        <f>HYPERLINK("https://klasma.github.io/Logging_2305/artfynd/A 37061-2021 artfynd.xlsx", "A 37061-2021")</f>
        <v/>
      </c>
      <c r="T128">
        <f>HYPERLINK("https://klasma.github.io/Logging_2305/kartor/A 37061-2021 karta.png", "A 37061-2021")</f>
        <v/>
      </c>
      <c r="U128">
        <f>HYPERLINK("https://klasma.github.io/Logging_2305/knärot/A 37061-2021 karta knärot.png", "A 37061-2021")</f>
        <v/>
      </c>
      <c r="V128">
        <f>HYPERLINK("https://klasma.github.io/Logging_2305/klagomål/A 37061-2021 FSC-klagomål.docx", "A 37061-2021")</f>
        <v/>
      </c>
      <c r="W128">
        <f>HYPERLINK("https://klasma.github.io/Logging_2305/klagomålsmail/A 37061-2021 FSC-klagomål mail.docx", "A 37061-2021")</f>
        <v/>
      </c>
      <c r="X128">
        <f>HYPERLINK("https://klasma.github.io/Logging_2305/tillsyn/A 37061-2021 tillsynsbegäran.docx", "A 37061-2021")</f>
        <v/>
      </c>
      <c r="Y128">
        <f>HYPERLINK("https://klasma.github.io/Logging_2305/tillsynsmail/A 37061-2021 tillsynsbegäran mail.docx", "A 37061-2021")</f>
        <v/>
      </c>
    </row>
    <row r="129" ht="15" customHeight="1">
      <c r="A129" t="inlineStr">
        <is>
          <t>A 23854-2025</t>
        </is>
      </c>
      <c r="B129" s="1" t="n">
        <v>45793.65658564815</v>
      </c>
      <c r="C129" s="1" t="n">
        <v>45916</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23687-2025</t>
        </is>
      </c>
      <c r="B130" s="1" t="n">
        <v>45793.34428240741</v>
      </c>
      <c r="C130" s="1" t="n">
        <v>45916</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23592-2025</t>
        </is>
      </c>
      <c r="B131" s="1" t="n">
        <v>45792.63644675926</v>
      </c>
      <c r="C131" s="1" t="n">
        <v>45916</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26009-2024</t>
        </is>
      </c>
      <c r="B132" s="1" t="n">
        <v>45467</v>
      </c>
      <c r="C132" s="1" t="n">
        <v>45916</v>
      </c>
      <c r="D132" t="inlineStr">
        <is>
          <t>JÄMTLANDS LÄN</t>
        </is>
      </c>
      <c r="E132" t="inlineStr">
        <is>
          <t>BRÄCKE</t>
        </is>
      </c>
      <c r="F132" t="inlineStr">
        <is>
          <t>SCA</t>
        </is>
      </c>
      <c r="G132" t="n">
        <v>8.5</v>
      </c>
      <c r="H132" t="n">
        <v>2</v>
      </c>
      <c r="I132" t="n">
        <v>2</v>
      </c>
      <c r="J132" t="n">
        <v>1</v>
      </c>
      <c r="K132" t="n">
        <v>0</v>
      </c>
      <c r="L132" t="n">
        <v>0</v>
      </c>
      <c r="M132" t="n">
        <v>0</v>
      </c>
      <c r="N132" t="n">
        <v>0</v>
      </c>
      <c r="O132" t="n">
        <v>1</v>
      </c>
      <c r="P132" t="n">
        <v>0</v>
      </c>
      <c r="Q132" t="n">
        <v>3</v>
      </c>
      <c r="R132" s="2" t="inlineStr">
        <is>
          <t>Fjällvråk
Rödgul trumpetsvamp
Tvåblad</t>
        </is>
      </c>
      <c r="S132">
        <f>HYPERLINK("https://klasma.github.io/Logging_2305/artfynd/A 26009-2024 artfynd.xlsx", "A 26009-2024")</f>
        <v/>
      </c>
      <c r="T132">
        <f>HYPERLINK("https://klasma.github.io/Logging_2305/kartor/A 26009-2024 karta.png", "A 26009-2024")</f>
        <v/>
      </c>
      <c r="V132">
        <f>HYPERLINK("https://klasma.github.io/Logging_2305/klagomål/A 26009-2024 FSC-klagomål.docx", "A 26009-2024")</f>
        <v/>
      </c>
      <c r="W132">
        <f>HYPERLINK("https://klasma.github.io/Logging_2305/klagomålsmail/A 26009-2024 FSC-klagomål mail.docx", "A 26009-2024")</f>
        <v/>
      </c>
      <c r="X132">
        <f>HYPERLINK("https://klasma.github.io/Logging_2305/tillsyn/A 26009-2024 tillsynsbegäran.docx", "A 26009-2024")</f>
        <v/>
      </c>
      <c r="Y132">
        <f>HYPERLINK("https://klasma.github.io/Logging_2305/tillsynsmail/A 26009-2024 tillsynsbegäran mail.docx", "A 26009-2024")</f>
        <v/>
      </c>
      <c r="Z132">
        <f>HYPERLINK("https://klasma.github.io/Logging_2305/fåglar/A 26009-2024 prioriterade fågelarter.docx", "A 26009-2024")</f>
        <v/>
      </c>
    </row>
    <row r="133" ht="15" customHeight="1">
      <c r="A133" t="inlineStr">
        <is>
          <t>A 48067-2023</t>
        </is>
      </c>
      <c r="B133" s="1" t="n">
        <v>45204</v>
      </c>
      <c r="C133" s="1" t="n">
        <v>45916</v>
      </c>
      <c r="D133" t="inlineStr">
        <is>
          <t>JÄMTLANDS LÄN</t>
        </is>
      </c>
      <c r="E133" t="inlineStr">
        <is>
          <t>BRÄCKE</t>
        </is>
      </c>
      <c r="F133" t="inlineStr">
        <is>
          <t>SCA</t>
        </is>
      </c>
      <c r="G133" t="n">
        <v>1.2</v>
      </c>
      <c r="H133" t="n">
        <v>0</v>
      </c>
      <c r="I133" t="n">
        <v>2</v>
      </c>
      <c r="J133" t="n">
        <v>1</v>
      </c>
      <c r="K133" t="n">
        <v>0</v>
      </c>
      <c r="L133" t="n">
        <v>0</v>
      </c>
      <c r="M133" t="n">
        <v>0</v>
      </c>
      <c r="N133" t="n">
        <v>0</v>
      </c>
      <c r="O133" t="n">
        <v>1</v>
      </c>
      <c r="P133" t="n">
        <v>0</v>
      </c>
      <c r="Q133" t="n">
        <v>3</v>
      </c>
      <c r="R133" s="2" t="inlineStr">
        <is>
          <t>Lunglav
Gytterlav
Korallblylav</t>
        </is>
      </c>
      <c r="S133">
        <f>HYPERLINK("https://klasma.github.io/Logging_2305/artfynd/A 48067-2023 artfynd.xlsx", "A 48067-2023")</f>
        <v/>
      </c>
      <c r="T133">
        <f>HYPERLINK("https://klasma.github.io/Logging_2305/kartor/A 48067-2023 karta.png", "A 48067-2023")</f>
        <v/>
      </c>
      <c r="V133">
        <f>HYPERLINK("https://klasma.github.io/Logging_2305/klagomål/A 48067-2023 FSC-klagomål.docx", "A 48067-2023")</f>
        <v/>
      </c>
      <c r="W133">
        <f>HYPERLINK("https://klasma.github.io/Logging_2305/klagomålsmail/A 48067-2023 FSC-klagomål mail.docx", "A 48067-2023")</f>
        <v/>
      </c>
      <c r="X133">
        <f>HYPERLINK("https://klasma.github.io/Logging_2305/tillsyn/A 48067-2023 tillsynsbegäran.docx", "A 48067-2023")</f>
        <v/>
      </c>
      <c r="Y133">
        <f>HYPERLINK("https://klasma.github.io/Logging_2305/tillsynsmail/A 48067-2023 tillsynsbegäran mail.docx", "A 48067-2023")</f>
        <v/>
      </c>
    </row>
    <row r="134" ht="15" customHeight="1">
      <c r="A134" t="inlineStr">
        <is>
          <t>A 24635-2025</t>
        </is>
      </c>
      <c r="B134" s="1" t="n">
        <v>45798.61513888889</v>
      </c>
      <c r="C134" s="1" t="n">
        <v>45916</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16959-2025</t>
        </is>
      </c>
      <c r="B135" s="1" t="n">
        <v>45755.44854166666</v>
      </c>
      <c r="C135" s="1" t="n">
        <v>45916</v>
      </c>
      <c r="D135" t="inlineStr">
        <is>
          <t>JÄMTLANDS LÄN</t>
        </is>
      </c>
      <c r="E135" t="inlineStr">
        <is>
          <t>BRÄCKE</t>
        </is>
      </c>
      <c r="F135" t="inlineStr">
        <is>
          <t>SCA</t>
        </is>
      </c>
      <c r="G135" t="n">
        <v>4.6</v>
      </c>
      <c r="H135" t="n">
        <v>3</v>
      </c>
      <c r="I135" t="n">
        <v>0</v>
      </c>
      <c r="J135" t="n">
        <v>1</v>
      </c>
      <c r="K135" t="n">
        <v>1</v>
      </c>
      <c r="L135" t="n">
        <v>0</v>
      </c>
      <c r="M135" t="n">
        <v>0</v>
      </c>
      <c r="N135" t="n">
        <v>0</v>
      </c>
      <c r="O135" t="n">
        <v>2</v>
      </c>
      <c r="P135" t="n">
        <v>1</v>
      </c>
      <c r="Q135" t="n">
        <v>3</v>
      </c>
      <c r="R135" s="2" t="inlineStr">
        <is>
          <t>Knärot
Talltita
Kungsfågel</t>
        </is>
      </c>
      <c r="S135">
        <f>HYPERLINK("https://klasma.github.io/Logging_2305/artfynd/A 16959-2025 artfynd.xlsx", "A 16959-2025")</f>
        <v/>
      </c>
      <c r="T135">
        <f>HYPERLINK("https://klasma.github.io/Logging_2305/kartor/A 16959-2025 karta.png", "A 16959-2025")</f>
        <v/>
      </c>
      <c r="U135">
        <f>HYPERLINK("https://klasma.github.io/Logging_2305/knärot/A 16959-2025 karta knärot.png", "A 16959-2025")</f>
        <v/>
      </c>
      <c r="V135">
        <f>HYPERLINK("https://klasma.github.io/Logging_2305/klagomål/A 16959-2025 FSC-klagomål.docx", "A 16959-2025")</f>
        <v/>
      </c>
      <c r="W135">
        <f>HYPERLINK("https://klasma.github.io/Logging_2305/klagomålsmail/A 16959-2025 FSC-klagomål mail.docx", "A 16959-2025")</f>
        <v/>
      </c>
      <c r="X135">
        <f>HYPERLINK("https://klasma.github.io/Logging_2305/tillsyn/A 16959-2025 tillsynsbegäran.docx", "A 16959-2025")</f>
        <v/>
      </c>
      <c r="Y135">
        <f>HYPERLINK("https://klasma.github.io/Logging_2305/tillsynsmail/A 16959-2025 tillsynsbegäran mail.docx", "A 16959-2025")</f>
        <v/>
      </c>
      <c r="Z135">
        <f>HYPERLINK("https://klasma.github.io/Logging_2305/fåglar/A 16959-2025 prioriterade fågelarter.docx", "A 16959-2025")</f>
        <v/>
      </c>
    </row>
    <row r="136" ht="15" customHeight="1">
      <c r="A136" t="inlineStr">
        <is>
          <t>A 57105-2024</t>
        </is>
      </c>
      <c r="B136" s="1" t="n">
        <v>45629.35895833333</v>
      </c>
      <c r="C136" s="1" t="n">
        <v>45916</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45916</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30486-2024</t>
        </is>
      </c>
      <c r="B138" s="1" t="n">
        <v>45491.95018518518</v>
      </c>
      <c r="C138" s="1" t="n">
        <v>45916</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41648-2023</t>
        </is>
      </c>
      <c r="B139" s="1" t="n">
        <v>45175</v>
      </c>
      <c r="C139" s="1" t="n">
        <v>45916</v>
      </c>
      <c r="D139" t="inlineStr">
        <is>
          <t>JÄMTLANDS LÄN</t>
        </is>
      </c>
      <c r="E139" t="inlineStr">
        <is>
          <t>BRÄCKE</t>
        </is>
      </c>
      <c r="F139" t="inlineStr">
        <is>
          <t>SCA</t>
        </is>
      </c>
      <c r="G139" t="n">
        <v>6.7</v>
      </c>
      <c r="H139" t="n">
        <v>2</v>
      </c>
      <c r="I139" t="n">
        <v>1</v>
      </c>
      <c r="J139" t="n">
        <v>1</v>
      </c>
      <c r="K139" t="n">
        <v>1</v>
      </c>
      <c r="L139" t="n">
        <v>0</v>
      </c>
      <c r="M139" t="n">
        <v>0</v>
      </c>
      <c r="N139" t="n">
        <v>0</v>
      </c>
      <c r="O139" t="n">
        <v>2</v>
      </c>
      <c r="P139" t="n">
        <v>1</v>
      </c>
      <c r="Q139" t="n">
        <v>3</v>
      </c>
      <c r="R139" s="2" t="inlineStr">
        <is>
          <t>Knärot
Flattoppad klubbsvamp
Spindelblomster</t>
        </is>
      </c>
      <c r="S139">
        <f>HYPERLINK("https://klasma.github.io/Logging_2305/artfynd/A 41648-2023 artfynd.xlsx", "A 41648-2023")</f>
        <v/>
      </c>
      <c r="T139">
        <f>HYPERLINK("https://klasma.github.io/Logging_2305/kartor/A 41648-2023 karta.png", "A 41648-2023")</f>
        <v/>
      </c>
      <c r="U139">
        <f>HYPERLINK("https://klasma.github.io/Logging_2305/knärot/A 41648-2023 karta knärot.png", "A 41648-2023")</f>
        <v/>
      </c>
      <c r="V139">
        <f>HYPERLINK("https://klasma.github.io/Logging_2305/klagomål/A 41648-2023 FSC-klagomål.docx", "A 41648-2023")</f>
        <v/>
      </c>
      <c r="W139">
        <f>HYPERLINK("https://klasma.github.io/Logging_2305/klagomålsmail/A 41648-2023 FSC-klagomål mail.docx", "A 41648-2023")</f>
        <v/>
      </c>
      <c r="X139">
        <f>HYPERLINK("https://klasma.github.io/Logging_2305/tillsyn/A 41648-2023 tillsynsbegäran.docx", "A 41648-2023")</f>
        <v/>
      </c>
      <c r="Y139">
        <f>HYPERLINK("https://klasma.github.io/Logging_2305/tillsynsmail/A 41648-2023 tillsynsbegäran mail.docx", "A 41648-2023")</f>
        <v/>
      </c>
    </row>
    <row r="140" ht="15" customHeight="1">
      <c r="A140" t="inlineStr">
        <is>
          <t>A 50616-2024</t>
        </is>
      </c>
      <c r="B140" s="1" t="n">
        <v>45601.63574074074</v>
      </c>
      <c r="C140" s="1" t="n">
        <v>45916</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30112-2025</t>
        </is>
      </c>
      <c r="B141" s="1" t="n">
        <v>45826.71938657408</v>
      </c>
      <c r="C141" s="1" t="n">
        <v>45916</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30989-2024</t>
        </is>
      </c>
      <c r="B142" s="1" t="n">
        <v>45499.54851851852</v>
      </c>
      <c r="C142" s="1" t="n">
        <v>45916</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29690-2024</t>
        </is>
      </c>
      <c r="B143" s="1" t="n">
        <v>45484.94436342592</v>
      </c>
      <c r="C143" s="1" t="n">
        <v>45916</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50516-2023</t>
        </is>
      </c>
      <c r="B144" s="1" t="n">
        <v>45216</v>
      </c>
      <c r="C144" s="1" t="n">
        <v>45916</v>
      </c>
      <c r="D144" t="inlineStr">
        <is>
          <t>JÄMTLANDS LÄN</t>
        </is>
      </c>
      <c r="E144" t="inlineStr">
        <is>
          <t>BRÄCKE</t>
        </is>
      </c>
      <c r="F144" t="inlineStr">
        <is>
          <t>SCA</t>
        </is>
      </c>
      <c r="G144" t="n">
        <v>3.1</v>
      </c>
      <c r="H144" t="n">
        <v>3</v>
      </c>
      <c r="I144" t="n">
        <v>0</v>
      </c>
      <c r="J144" t="n">
        <v>2</v>
      </c>
      <c r="K144" t="n">
        <v>0</v>
      </c>
      <c r="L144" t="n">
        <v>0</v>
      </c>
      <c r="M144" t="n">
        <v>0</v>
      </c>
      <c r="N144" t="n">
        <v>0</v>
      </c>
      <c r="O144" t="n">
        <v>2</v>
      </c>
      <c r="P144" t="n">
        <v>0</v>
      </c>
      <c r="Q144" t="n">
        <v>3</v>
      </c>
      <c r="R144" s="2" t="inlineStr">
        <is>
          <t>Spillkråka
Talltita
Grönsiska</t>
        </is>
      </c>
      <c r="S144">
        <f>HYPERLINK("https://klasma.github.io/Logging_2305/artfynd/A 50516-2023 artfynd.xlsx", "A 50516-2023")</f>
        <v/>
      </c>
      <c r="T144">
        <f>HYPERLINK("https://klasma.github.io/Logging_2305/kartor/A 50516-2023 karta.png", "A 50516-2023")</f>
        <v/>
      </c>
      <c r="V144">
        <f>HYPERLINK("https://klasma.github.io/Logging_2305/klagomål/A 50516-2023 FSC-klagomål.docx", "A 50516-2023")</f>
        <v/>
      </c>
      <c r="W144">
        <f>HYPERLINK("https://klasma.github.io/Logging_2305/klagomålsmail/A 50516-2023 FSC-klagomål mail.docx", "A 50516-2023")</f>
        <v/>
      </c>
      <c r="X144">
        <f>HYPERLINK("https://klasma.github.io/Logging_2305/tillsyn/A 50516-2023 tillsynsbegäran.docx", "A 50516-2023")</f>
        <v/>
      </c>
      <c r="Y144">
        <f>HYPERLINK("https://klasma.github.io/Logging_2305/tillsynsmail/A 50516-2023 tillsynsbegäran mail.docx", "A 50516-2023")</f>
        <v/>
      </c>
      <c r="Z144">
        <f>HYPERLINK("https://klasma.github.io/Logging_2305/fåglar/A 50516-2023 prioriterade fågelarter.docx", "A 50516-2023")</f>
        <v/>
      </c>
    </row>
    <row r="145" ht="15" customHeight="1">
      <c r="A145" t="inlineStr">
        <is>
          <t>A 37707-2025</t>
        </is>
      </c>
      <c r="B145" s="1" t="n">
        <v>45880.59423611111</v>
      </c>
      <c r="C145" s="1" t="n">
        <v>45916</v>
      </c>
      <c r="D145" t="inlineStr">
        <is>
          <t>JÄMTLANDS LÄN</t>
        </is>
      </c>
      <c r="E145" t="inlineStr">
        <is>
          <t>BRÄCKE</t>
        </is>
      </c>
      <c r="G145" t="n">
        <v>6.6</v>
      </c>
      <c r="H145" t="n">
        <v>0</v>
      </c>
      <c r="I145" t="n">
        <v>0</v>
      </c>
      <c r="J145" t="n">
        <v>3</v>
      </c>
      <c r="K145" t="n">
        <v>0</v>
      </c>
      <c r="L145" t="n">
        <v>0</v>
      </c>
      <c r="M145" t="n">
        <v>0</v>
      </c>
      <c r="N145" t="n">
        <v>0</v>
      </c>
      <c r="O145" t="n">
        <v>3</v>
      </c>
      <c r="P145" t="n">
        <v>0</v>
      </c>
      <c r="Q145" t="n">
        <v>3</v>
      </c>
      <c r="R145" s="2" t="inlineStr">
        <is>
          <t>Dvärgbägarlav
Mörk kolflarnlav
Vedflamlav</t>
        </is>
      </c>
      <c r="S145">
        <f>HYPERLINK("https://klasma.github.io/Logging_2305/artfynd/A 37707-2025 artfynd.xlsx", "A 37707-2025")</f>
        <v/>
      </c>
      <c r="T145">
        <f>HYPERLINK("https://klasma.github.io/Logging_2305/kartor/A 37707-2025 karta.png", "A 37707-2025")</f>
        <v/>
      </c>
      <c r="V145">
        <f>HYPERLINK("https://klasma.github.io/Logging_2305/klagomål/A 37707-2025 FSC-klagomål.docx", "A 37707-2025")</f>
        <v/>
      </c>
      <c r="W145">
        <f>HYPERLINK("https://klasma.github.io/Logging_2305/klagomålsmail/A 37707-2025 FSC-klagomål mail.docx", "A 37707-2025")</f>
        <v/>
      </c>
      <c r="X145">
        <f>HYPERLINK("https://klasma.github.io/Logging_2305/tillsyn/A 37707-2025 tillsynsbegäran.docx", "A 37707-2025")</f>
        <v/>
      </c>
      <c r="Y145">
        <f>HYPERLINK("https://klasma.github.io/Logging_2305/tillsynsmail/A 37707-2025 tillsynsbegäran mail.docx", "A 37707-2025")</f>
        <v/>
      </c>
    </row>
    <row r="146" ht="15" customHeight="1">
      <c r="A146" t="inlineStr">
        <is>
          <t>A 33678-2025</t>
        </is>
      </c>
      <c r="B146" s="1" t="n">
        <v>45841.67853009259</v>
      </c>
      <c r="C146" s="1" t="n">
        <v>45916</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19336-2024</t>
        </is>
      </c>
      <c r="B147" s="1" t="n">
        <v>45428.97079861111</v>
      </c>
      <c r="C147" s="1" t="n">
        <v>45916</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25717-2024</t>
        </is>
      </c>
      <c r="B148" s="1" t="n">
        <v>45463.94459490741</v>
      </c>
      <c r="C148" s="1" t="n">
        <v>45916</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4180-2022</t>
        </is>
      </c>
      <c r="B149" s="1" t="n">
        <v>44588</v>
      </c>
      <c r="C149" s="1" t="n">
        <v>45916</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35907-2025</t>
        </is>
      </c>
      <c r="B150" s="1" t="n">
        <v>45862.5109837963</v>
      </c>
      <c r="C150" s="1" t="n">
        <v>45916</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11002-2022</t>
        </is>
      </c>
      <c r="B151" s="1" t="n">
        <v>44628</v>
      </c>
      <c r="C151" s="1" t="n">
        <v>45916</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2298-2025</t>
        </is>
      </c>
      <c r="B152" s="1" t="n">
        <v>45673.595</v>
      </c>
      <c r="C152" s="1" t="n">
        <v>45916</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103-2025</t>
        </is>
      </c>
      <c r="B153" s="1" t="n">
        <v>45659</v>
      </c>
      <c r="C153" s="1" t="n">
        <v>45916</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17912-2025</t>
        </is>
      </c>
      <c r="B154" s="1" t="n">
        <v>45758.75871527778</v>
      </c>
      <c r="C154" s="1" t="n">
        <v>45916</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29455-2024</t>
        </is>
      </c>
      <c r="B155" s="1" t="n">
        <v>45483</v>
      </c>
      <c r="C155" s="1" t="n">
        <v>45916</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60610-2024</t>
        </is>
      </c>
      <c r="B156" s="1" t="n">
        <v>45644.38570601852</v>
      </c>
      <c r="C156" s="1" t="n">
        <v>45916</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47183-2023</t>
        </is>
      </c>
      <c r="B157" s="1" t="n">
        <v>45201</v>
      </c>
      <c r="C157" s="1" t="n">
        <v>45916</v>
      </c>
      <c r="D157" t="inlineStr">
        <is>
          <t>JÄMTLANDS LÄN</t>
        </is>
      </c>
      <c r="E157" t="inlineStr">
        <is>
          <t>BRÄCKE</t>
        </is>
      </c>
      <c r="F157" t="inlineStr">
        <is>
          <t>SCA</t>
        </is>
      </c>
      <c r="G157" t="n">
        <v>1.2</v>
      </c>
      <c r="H157" t="n">
        <v>2</v>
      </c>
      <c r="I157" t="n">
        <v>1</v>
      </c>
      <c r="J157" t="n">
        <v>1</v>
      </c>
      <c r="K157" t="n">
        <v>0</v>
      </c>
      <c r="L157" t="n">
        <v>0</v>
      </c>
      <c r="M157" t="n">
        <v>0</v>
      </c>
      <c r="N157" t="n">
        <v>0</v>
      </c>
      <c r="O157" t="n">
        <v>1</v>
      </c>
      <c r="P157" t="n">
        <v>0</v>
      </c>
      <c r="Q157" t="n">
        <v>3</v>
      </c>
      <c r="R157" s="2" t="inlineStr">
        <is>
          <t>Lunglav
Spindelblomster
Fläcknycklar</t>
        </is>
      </c>
      <c r="S157">
        <f>HYPERLINK("https://klasma.github.io/Logging_2305/artfynd/A 47183-2023 artfynd.xlsx", "A 47183-2023")</f>
        <v/>
      </c>
      <c r="T157">
        <f>HYPERLINK("https://klasma.github.io/Logging_2305/kartor/A 47183-2023 karta.png", "A 47183-2023")</f>
        <v/>
      </c>
      <c r="U157">
        <f>HYPERLINK("https://klasma.github.io/Logging_2305/knärot/A 47183-2023 karta knärot.png", "A 47183-2023")</f>
        <v/>
      </c>
      <c r="V157">
        <f>HYPERLINK("https://klasma.github.io/Logging_2305/klagomål/A 47183-2023 FSC-klagomål.docx", "A 47183-2023")</f>
        <v/>
      </c>
      <c r="W157">
        <f>HYPERLINK("https://klasma.github.io/Logging_2305/klagomålsmail/A 47183-2023 FSC-klagomål mail.docx", "A 47183-2023")</f>
        <v/>
      </c>
      <c r="X157">
        <f>HYPERLINK("https://klasma.github.io/Logging_2305/tillsyn/A 47183-2023 tillsynsbegäran.docx", "A 47183-2023")</f>
        <v/>
      </c>
      <c r="Y157">
        <f>HYPERLINK("https://klasma.github.io/Logging_2305/tillsynsmail/A 47183-2023 tillsynsbegäran mail.docx", "A 47183-2023")</f>
        <v/>
      </c>
    </row>
    <row r="158" ht="15" customHeight="1">
      <c r="A158" t="inlineStr">
        <is>
          <t>A 22190-2025</t>
        </is>
      </c>
      <c r="B158" s="1" t="n">
        <v>45785</v>
      </c>
      <c r="C158" s="1" t="n">
        <v>45916</v>
      </c>
      <c r="D158" t="inlineStr">
        <is>
          <t>JÄMTLANDS LÄN</t>
        </is>
      </c>
      <c r="E158" t="inlineStr">
        <is>
          <t>BRÄCKE</t>
        </is>
      </c>
      <c r="G158" t="n">
        <v>18.6</v>
      </c>
      <c r="H158" t="n">
        <v>2</v>
      </c>
      <c r="I158" t="n">
        <v>0</v>
      </c>
      <c r="J158" t="n">
        <v>2</v>
      </c>
      <c r="K158" t="n">
        <v>1</v>
      </c>
      <c r="L158" t="n">
        <v>0</v>
      </c>
      <c r="M158" t="n">
        <v>0</v>
      </c>
      <c r="N158" t="n">
        <v>0</v>
      </c>
      <c r="O158" t="n">
        <v>3</v>
      </c>
      <c r="P158" t="n">
        <v>1</v>
      </c>
      <c r="Q158" t="n">
        <v>3</v>
      </c>
      <c r="R158" s="2" t="inlineStr">
        <is>
          <t>Knärot
Lunglav
Tretåig hackspett</t>
        </is>
      </c>
      <c r="S158">
        <f>HYPERLINK("https://klasma.github.io/Logging_2305/artfynd/A 22190-2025 artfynd.xlsx", "A 22190-2025")</f>
        <v/>
      </c>
      <c r="T158">
        <f>HYPERLINK("https://klasma.github.io/Logging_2305/kartor/A 22190-2025 karta.png", "A 22190-2025")</f>
        <v/>
      </c>
      <c r="U158">
        <f>HYPERLINK("https://klasma.github.io/Logging_2305/knärot/A 22190-2025 karta knärot.png", "A 22190-2025")</f>
        <v/>
      </c>
      <c r="V158">
        <f>HYPERLINK("https://klasma.github.io/Logging_2305/klagomål/A 22190-2025 FSC-klagomål.docx", "A 22190-2025")</f>
        <v/>
      </c>
      <c r="W158">
        <f>HYPERLINK("https://klasma.github.io/Logging_2305/klagomålsmail/A 22190-2025 FSC-klagomål mail.docx", "A 22190-2025")</f>
        <v/>
      </c>
      <c r="X158">
        <f>HYPERLINK("https://klasma.github.io/Logging_2305/tillsyn/A 22190-2025 tillsynsbegäran.docx", "A 22190-2025")</f>
        <v/>
      </c>
      <c r="Y158">
        <f>HYPERLINK("https://klasma.github.io/Logging_2305/tillsynsmail/A 22190-2025 tillsynsbegäran mail.docx", "A 22190-2025")</f>
        <v/>
      </c>
      <c r="Z158">
        <f>HYPERLINK("https://klasma.github.io/Logging_2305/fåglar/A 22190-2025 prioriterade fågelarter.docx", "A 22190-2025")</f>
        <v/>
      </c>
    </row>
    <row r="159" ht="15" customHeight="1">
      <c r="A159" t="inlineStr">
        <is>
          <t>A 58584-2021</t>
        </is>
      </c>
      <c r="B159" s="1" t="n">
        <v>44488</v>
      </c>
      <c r="C159" s="1" t="n">
        <v>45916</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22546-2025</t>
        </is>
      </c>
      <c r="B160" s="1" t="n">
        <v>45788.46329861111</v>
      </c>
      <c r="C160" s="1" t="n">
        <v>45916</v>
      </c>
      <c r="D160" t="inlineStr">
        <is>
          <t>JÄMTLANDS LÄN</t>
        </is>
      </c>
      <c r="E160" t="inlineStr">
        <is>
          <t>BRÄCKE</t>
        </is>
      </c>
      <c r="G160" t="n">
        <v>8.1</v>
      </c>
      <c r="H160" t="n">
        <v>2</v>
      </c>
      <c r="I160" t="n">
        <v>0</v>
      </c>
      <c r="J160" t="n">
        <v>1</v>
      </c>
      <c r="K160" t="n">
        <v>1</v>
      </c>
      <c r="L160" t="n">
        <v>0</v>
      </c>
      <c r="M160" t="n">
        <v>0</v>
      </c>
      <c r="N160" t="n">
        <v>0</v>
      </c>
      <c r="O160" t="n">
        <v>2</v>
      </c>
      <c r="P160" t="n">
        <v>1</v>
      </c>
      <c r="Q160" t="n">
        <v>3</v>
      </c>
      <c r="R160" s="2" t="inlineStr">
        <is>
          <t>Myrstarr
Skogsfru
Fläcknycklar</t>
        </is>
      </c>
      <c r="S160">
        <f>HYPERLINK("https://klasma.github.io/Logging_2305/artfynd/A 22546-2025 artfynd.xlsx", "A 22546-2025")</f>
        <v/>
      </c>
      <c r="T160">
        <f>HYPERLINK("https://klasma.github.io/Logging_2305/kartor/A 22546-2025 karta.png", "A 22546-2025")</f>
        <v/>
      </c>
      <c r="V160">
        <f>HYPERLINK("https://klasma.github.io/Logging_2305/klagomål/A 22546-2025 FSC-klagomål.docx", "A 22546-2025")</f>
        <v/>
      </c>
      <c r="W160">
        <f>HYPERLINK("https://klasma.github.io/Logging_2305/klagomålsmail/A 22546-2025 FSC-klagomål mail.docx", "A 22546-2025")</f>
        <v/>
      </c>
      <c r="X160">
        <f>HYPERLINK("https://klasma.github.io/Logging_2305/tillsyn/A 22546-2025 tillsynsbegäran.docx", "A 22546-2025")</f>
        <v/>
      </c>
      <c r="Y160">
        <f>HYPERLINK("https://klasma.github.io/Logging_2305/tillsynsmail/A 22546-2025 tillsynsbegäran mail.docx", "A 22546-2025")</f>
        <v/>
      </c>
    </row>
    <row r="161" ht="15" customHeight="1">
      <c r="A161" t="inlineStr">
        <is>
          <t>A 23300-2025</t>
        </is>
      </c>
      <c r="B161" s="1" t="n">
        <v>45791.5946875</v>
      </c>
      <c r="C161" s="1" t="n">
        <v>45916</v>
      </c>
      <c r="D161" t="inlineStr">
        <is>
          <t>JÄMTLANDS LÄN</t>
        </is>
      </c>
      <c r="E161" t="inlineStr">
        <is>
          <t>BRÄCKE</t>
        </is>
      </c>
      <c r="F161" t="inlineStr">
        <is>
          <t>SCA</t>
        </is>
      </c>
      <c r="G161" t="n">
        <v>3.9</v>
      </c>
      <c r="H161" t="n">
        <v>1</v>
      </c>
      <c r="I161" t="n">
        <v>1</v>
      </c>
      <c r="J161" t="n">
        <v>2</v>
      </c>
      <c r="K161" t="n">
        <v>0</v>
      </c>
      <c r="L161" t="n">
        <v>0</v>
      </c>
      <c r="M161" t="n">
        <v>0</v>
      </c>
      <c r="N161" t="n">
        <v>0</v>
      </c>
      <c r="O161" t="n">
        <v>2</v>
      </c>
      <c r="P161" t="n">
        <v>0</v>
      </c>
      <c r="Q161" t="n">
        <v>3</v>
      </c>
      <c r="R161" s="2" t="inlineStr">
        <is>
          <t>Mörk kolflarnlav
Tretåig hackspett
Norrlandslav</t>
        </is>
      </c>
      <c r="S161">
        <f>HYPERLINK("https://klasma.github.io/Logging_2305/artfynd/A 23300-2025 artfynd.xlsx", "A 23300-2025")</f>
        <v/>
      </c>
      <c r="T161">
        <f>HYPERLINK("https://klasma.github.io/Logging_2305/kartor/A 23300-2025 karta.png", "A 23300-2025")</f>
        <v/>
      </c>
      <c r="V161">
        <f>HYPERLINK("https://klasma.github.io/Logging_2305/klagomål/A 23300-2025 FSC-klagomål.docx", "A 23300-2025")</f>
        <v/>
      </c>
      <c r="W161">
        <f>HYPERLINK("https://klasma.github.io/Logging_2305/klagomålsmail/A 23300-2025 FSC-klagomål mail.docx", "A 23300-2025")</f>
        <v/>
      </c>
      <c r="X161">
        <f>HYPERLINK("https://klasma.github.io/Logging_2305/tillsyn/A 23300-2025 tillsynsbegäran.docx", "A 23300-2025")</f>
        <v/>
      </c>
      <c r="Y161">
        <f>HYPERLINK("https://klasma.github.io/Logging_2305/tillsynsmail/A 23300-2025 tillsynsbegäran mail.docx", "A 23300-2025")</f>
        <v/>
      </c>
      <c r="Z161">
        <f>HYPERLINK("https://klasma.github.io/Logging_2305/fåglar/A 23300-2025 prioriterade fågelarter.docx", "A 23300-2025")</f>
        <v/>
      </c>
    </row>
    <row r="162" ht="15" customHeight="1">
      <c r="A162" t="inlineStr">
        <is>
          <t>A 30607-2022</t>
        </is>
      </c>
      <c r="B162" s="1" t="n">
        <v>44762</v>
      </c>
      <c r="C162" s="1" t="n">
        <v>45916</v>
      </c>
      <c r="D162" t="inlineStr">
        <is>
          <t>JÄMTLANDS LÄN</t>
        </is>
      </c>
      <c r="E162" t="inlineStr">
        <is>
          <t>BRÄCKE</t>
        </is>
      </c>
      <c r="F162" t="inlineStr">
        <is>
          <t>SCA</t>
        </is>
      </c>
      <c r="G162" t="n">
        <v>1</v>
      </c>
      <c r="H162" t="n">
        <v>0</v>
      </c>
      <c r="I162" t="n">
        <v>0</v>
      </c>
      <c r="J162" t="n">
        <v>2</v>
      </c>
      <c r="K162" t="n">
        <v>0</v>
      </c>
      <c r="L162" t="n">
        <v>0</v>
      </c>
      <c r="M162" t="n">
        <v>0</v>
      </c>
      <c r="N162" t="n">
        <v>0</v>
      </c>
      <c r="O162" t="n">
        <v>2</v>
      </c>
      <c r="P162" t="n">
        <v>0</v>
      </c>
      <c r="Q162" t="n">
        <v>2</v>
      </c>
      <c r="R162" s="2" t="inlineStr">
        <is>
          <t>Bredbrämad bastardsvärmare
Brunklöver</t>
        </is>
      </c>
      <c r="S162">
        <f>HYPERLINK("https://klasma.github.io/Logging_2305/artfynd/A 30607-2022 artfynd.xlsx", "A 30607-2022")</f>
        <v/>
      </c>
      <c r="T162">
        <f>HYPERLINK("https://klasma.github.io/Logging_2305/kartor/A 30607-2022 karta.png", "A 30607-2022")</f>
        <v/>
      </c>
      <c r="V162">
        <f>HYPERLINK("https://klasma.github.io/Logging_2305/klagomål/A 30607-2022 FSC-klagomål.docx", "A 30607-2022")</f>
        <v/>
      </c>
      <c r="W162">
        <f>HYPERLINK("https://klasma.github.io/Logging_2305/klagomålsmail/A 30607-2022 FSC-klagomål mail.docx", "A 30607-2022")</f>
        <v/>
      </c>
      <c r="X162">
        <f>HYPERLINK("https://klasma.github.io/Logging_2305/tillsyn/A 30607-2022 tillsynsbegäran.docx", "A 30607-2022")</f>
        <v/>
      </c>
      <c r="Y162">
        <f>HYPERLINK("https://klasma.github.io/Logging_2305/tillsynsmail/A 30607-2022 tillsynsbegäran mail.docx", "A 30607-2022")</f>
        <v/>
      </c>
    </row>
    <row r="163" ht="15" customHeight="1">
      <c r="A163" t="inlineStr">
        <is>
          <t>A 31455-2022</t>
        </is>
      </c>
      <c r="B163" s="1" t="n">
        <v>44774</v>
      </c>
      <c r="C163" s="1" t="n">
        <v>45916</v>
      </c>
      <c r="D163" t="inlineStr">
        <is>
          <t>JÄMTLANDS LÄN</t>
        </is>
      </c>
      <c r="E163" t="inlineStr">
        <is>
          <t>BRÄCKE</t>
        </is>
      </c>
      <c r="F163" t="inlineStr">
        <is>
          <t>SCA</t>
        </is>
      </c>
      <c r="G163" t="n">
        <v>5.5</v>
      </c>
      <c r="H163" t="n">
        <v>1</v>
      </c>
      <c r="I163" t="n">
        <v>0</v>
      </c>
      <c r="J163" t="n">
        <v>1</v>
      </c>
      <c r="K163" t="n">
        <v>0</v>
      </c>
      <c r="L163" t="n">
        <v>0</v>
      </c>
      <c r="M163" t="n">
        <v>0</v>
      </c>
      <c r="N163" t="n">
        <v>0</v>
      </c>
      <c r="O163" t="n">
        <v>1</v>
      </c>
      <c r="P163" t="n">
        <v>0</v>
      </c>
      <c r="Q163" t="n">
        <v>2</v>
      </c>
      <c r="R163" s="2" t="inlineStr">
        <is>
          <t>Lunglav
Revlummer</t>
        </is>
      </c>
      <c r="S163">
        <f>HYPERLINK("https://klasma.github.io/Logging_2305/artfynd/A 31455-2022 artfynd.xlsx", "A 31455-2022")</f>
        <v/>
      </c>
      <c r="T163">
        <f>HYPERLINK("https://klasma.github.io/Logging_2305/kartor/A 31455-2022 karta.png", "A 31455-2022")</f>
        <v/>
      </c>
      <c r="V163">
        <f>HYPERLINK("https://klasma.github.io/Logging_2305/klagomål/A 31455-2022 FSC-klagomål.docx", "A 31455-2022")</f>
        <v/>
      </c>
      <c r="W163">
        <f>HYPERLINK("https://klasma.github.io/Logging_2305/klagomålsmail/A 31455-2022 FSC-klagomål mail.docx", "A 31455-2022")</f>
        <v/>
      </c>
      <c r="X163">
        <f>HYPERLINK("https://klasma.github.io/Logging_2305/tillsyn/A 31455-2022 tillsynsbegäran.docx", "A 31455-2022")</f>
        <v/>
      </c>
      <c r="Y163">
        <f>HYPERLINK("https://klasma.github.io/Logging_2305/tillsynsmail/A 31455-2022 tillsynsbegäran mail.docx", "A 31455-2022")</f>
        <v/>
      </c>
    </row>
    <row r="164" ht="15" customHeight="1">
      <c r="A164" t="inlineStr">
        <is>
          <t>A 48930-2022</t>
        </is>
      </c>
      <c r="B164" s="1" t="n">
        <v>44859</v>
      </c>
      <c r="C164" s="1" t="n">
        <v>45916</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45916</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45916</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45916</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30990-2024</t>
        </is>
      </c>
      <c r="B168" s="1" t="n">
        <v>45499.54975694444</v>
      </c>
      <c r="C168" s="1" t="n">
        <v>45916</v>
      </c>
      <c r="D168" t="inlineStr">
        <is>
          <t>JÄMTLANDS LÄN</t>
        </is>
      </c>
      <c r="E168" t="inlineStr">
        <is>
          <t>BRÄCKE</t>
        </is>
      </c>
      <c r="F168" t="inlineStr">
        <is>
          <t>Sveaskog</t>
        </is>
      </c>
      <c r="G168" t="n">
        <v>4.9</v>
      </c>
      <c r="H168" t="n">
        <v>1</v>
      </c>
      <c r="I168" t="n">
        <v>0</v>
      </c>
      <c r="J168" t="n">
        <v>1</v>
      </c>
      <c r="K168" t="n">
        <v>1</v>
      </c>
      <c r="L168" t="n">
        <v>0</v>
      </c>
      <c r="M168" t="n">
        <v>0</v>
      </c>
      <c r="N168" t="n">
        <v>0</v>
      </c>
      <c r="O168" t="n">
        <v>2</v>
      </c>
      <c r="P168" t="n">
        <v>1</v>
      </c>
      <c r="Q168" t="n">
        <v>2</v>
      </c>
      <c r="R168" s="2" t="inlineStr">
        <is>
          <t>Knärot
Lunglav</t>
        </is>
      </c>
      <c r="S168">
        <f>HYPERLINK("https://klasma.github.io/Logging_2305/artfynd/A 30990-2024 artfynd.xlsx", "A 30990-2024")</f>
        <v/>
      </c>
      <c r="T168">
        <f>HYPERLINK("https://klasma.github.io/Logging_2305/kartor/A 30990-2024 karta.png", "A 30990-2024")</f>
        <v/>
      </c>
      <c r="U168">
        <f>HYPERLINK("https://klasma.github.io/Logging_2305/knärot/A 30990-2024 karta knärot.png", "A 30990-2024")</f>
        <v/>
      </c>
      <c r="V168">
        <f>HYPERLINK("https://klasma.github.io/Logging_2305/klagomål/A 30990-2024 FSC-klagomål.docx", "A 30990-2024")</f>
        <v/>
      </c>
      <c r="W168">
        <f>HYPERLINK("https://klasma.github.io/Logging_2305/klagomålsmail/A 30990-2024 FSC-klagomål mail.docx", "A 30990-2024")</f>
        <v/>
      </c>
      <c r="X168">
        <f>HYPERLINK("https://klasma.github.io/Logging_2305/tillsyn/A 30990-2024 tillsynsbegäran.docx", "A 30990-2024")</f>
        <v/>
      </c>
      <c r="Y168">
        <f>HYPERLINK("https://klasma.github.io/Logging_2305/tillsynsmail/A 30990-2024 tillsynsbegäran mail.docx", "A 30990-2024")</f>
        <v/>
      </c>
    </row>
    <row r="169" ht="15" customHeight="1">
      <c r="A169" t="inlineStr">
        <is>
          <t>A 2464-2025</t>
        </is>
      </c>
      <c r="B169" s="1" t="n">
        <v>45674.4693287037</v>
      </c>
      <c r="C169" s="1" t="n">
        <v>45916</v>
      </c>
      <c r="D169" t="inlineStr">
        <is>
          <t>JÄMTLANDS LÄN</t>
        </is>
      </c>
      <c r="E169" t="inlineStr">
        <is>
          <t>BRÄCKE</t>
        </is>
      </c>
      <c r="F169" t="inlineStr">
        <is>
          <t>SCA</t>
        </is>
      </c>
      <c r="G169" t="n">
        <v>4.4</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HYPERLINK("https://klasma.github.io/Logging_2305/artfynd/A 2464-2025 artfynd.xlsx", "A 2464-2025")</f>
        <v/>
      </c>
      <c r="T169">
        <f>HYPERLINK("https://klasma.github.io/Logging_2305/kartor/A 2464-2025 karta.png", "A 2464-2025")</f>
        <v/>
      </c>
      <c r="V169">
        <f>HYPERLINK("https://klasma.github.io/Logging_2305/klagomål/A 2464-2025 FSC-klagomål.docx", "A 2464-2025")</f>
        <v/>
      </c>
      <c r="W169">
        <f>HYPERLINK("https://klasma.github.io/Logging_2305/klagomålsmail/A 2464-2025 FSC-klagomål mail.docx", "A 2464-2025")</f>
        <v/>
      </c>
      <c r="X169">
        <f>HYPERLINK("https://klasma.github.io/Logging_2305/tillsyn/A 2464-2025 tillsynsbegäran.docx", "A 2464-2025")</f>
        <v/>
      </c>
      <c r="Y169">
        <f>HYPERLINK("https://klasma.github.io/Logging_2305/tillsynsmail/A 2464-2025 tillsynsbegäran mail.docx", "A 2464-2025")</f>
        <v/>
      </c>
      <c r="Z169">
        <f>HYPERLINK("https://klasma.github.io/Logging_2305/fåglar/A 2464-2025 prioriterade fågelarter.docx", "A 2464-2025")</f>
        <v/>
      </c>
    </row>
    <row r="170" ht="15" customHeight="1">
      <c r="A170" t="inlineStr">
        <is>
          <t>A 51822-2023</t>
        </is>
      </c>
      <c r="B170" s="1" t="n">
        <v>45222</v>
      </c>
      <c r="C170" s="1" t="n">
        <v>45916</v>
      </c>
      <c r="D170" t="inlineStr">
        <is>
          <t>JÄMTLANDS LÄN</t>
        </is>
      </c>
      <c r="E170" t="inlineStr">
        <is>
          <t>BRÄCKE</t>
        </is>
      </c>
      <c r="F170" t="inlineStr">
        <is>
          <t>SCA</t>
        </is>
      </c>
      <c r="G170" t="n">
        <v>3</v>
      </c>
      <c r="H170" t="n">
        <v>0</v>
      </c>
      <c r="I170" t="n">
        <v>0</v>
      </c>
      <c r="J170" t="n">
        <v>2</v>
      </c>
      <c r="K170" t="n">
        <v>0</v>
      </c>
      <c r="L170" t="n">
        <v>0</v>
      </c>
      <c r="M170" t="n">
        <v>0</v>
      </c>
      <c r="N170" t="n">
        <v>0</v>
      </c>
      <c r="O170" t="n">
        <v>2</v>
      </c>
      <c r="P170" t="n">
        <v>0</v>
      </c>
      <c r="Q170" t="n">
        <v>2</v>
      </c>
      <c r="R170" s="2" t="inlineStr">
        <is>
          <t>Harticka
Ullticka</t>
        </is>
      </c>
      <c r="S170">
        <f>HYPERLINK("https://klasma.github.io/Logging_2305/artfynd/A 51822-2023 artfynd.xlsx", "A 51822-2023")</f>
        <v/>
      </c>
      <c r="T170">
        <f>HYPERLINK("https://klasma.github.io/Logging_2305/kartor/A 51822-2023 karta.png", "A 51822-2023")</f>
        <v/>
      </c>
      <c r="V170">
        <f>HYPERLINK("https://klasma.github.io/Logging_2305/klagomål/A 51822-2023 FSC-klagomål.docx", "A 51822-2023")</f>
        <v/>
      </c>
      <c r="W170">
        <f>HYPERLINK("https://klasma.github.io/Logging_2305/klagomålsmail/A 51822-2023 FSC-klagomål mail.docx", "A 51822-2023")</f>
        <v/>
      </c>
      <c r="X170">
        <f>HYPERLINK("https://klasma.github.io/Logging_2305/tillsyn/A 51822-2023 tillsynsbegäran.docx", "A 51822-2023")</f>
        <v/>
      </c>
      <c r="Y170">
        <f>HYPERLINK("https://klasma.github.io/Logging_2305/tillsynsmail/A 51822-2023 tillsynsbegäran mail.docx", "A 51822-2023")</f>
        <v/>
      </c>
    </row>
    <row r="171" ht="15" customHeight="1">
      <c r="A171" t="inlineStr">
        <is>
          <t>A 4134-2025</t>
        </is>
      </c>
      <c r="B171" s="1" t="n">
        <v>45685.34582175926</v>
      </c>
      <c r="C171" s="1" t="n">
        <v>45916</v>
      </c>
      <c r="D171" t="inlineStr">
        <is>
          <t>JÄMTLANDS LÄN</t>
        </is>
      </c>
      <c r="E171" t="inlineStr">
        <is>
          <t>BRÄCKE</t>
        </is>
      </c>
      <c r="F171" t="inlineStr">
        <is>
          <t>SCA</t>
        </is>
      </c>
      <c r="G171" t="n">
        <v>5.6</v>
      </c>
      <c r="H171" t="n">
        <v>0</v>
      </c>
      <c r="I171" t="n">
        <v>1</v>
      </c>
      <c r="J171" t="n">
        <v>1</v>
      </c>
      <c r="K171" t="n">
        <v>0</v>
      </c>
      <c r="L171" t="n">
        <v>0</v>
      </c>
      <c r="M171" t="n">
        <v>0</v>
      </c>
      <c r="N171" t="n">
        <v>0</v>
      </c>
      <c r="O171" t="n">
        <v>1</v>
      </c>
      <c r="P171" t="n">
        <v>0</v>
      </c>
      <c r="Q171" t="n">
        <v>2</v>
      </c>
      <c r="R171" s="2" t="inlineStr">
        <is>
          <t>Vedflamlav
Stor aspticka</t>
        </is>
      </c>
      <c r="S171">
        <f>HYPERLINK("https://klasma.github.io/Logging_2305/artfynd/A 4134-2025 artfynd.xlsx", "A 4134-2025")</f>
        <v/>
      </c>
      <c r="T171">
        <f>HYPERLINK("https://klasma.github.io/Logging_2305/kartor/A 4134-2025 karta.png", "A 4134-2025")</f>
        <v/>
      </c>
      <c r="V171">
        <f>HYPERLINK("https://klasma.github.io/Logging_2305/klagomål/A 4134-2025 FSC-klagomål.docx", "A 4134-2025")</f>
        <v/>
      </c>
      <c r="W171">
        <f>HYPERLINK("https://klasma.github.io/Logging_2305/klagomålsmail/A 4134-2025 FSC-klagomål mail.docx", "A 4134-2025")</f>
        <v/>
      </c>
      <c r="X171">
        <f>HYPERLINK("https://klasma.github.io/Logging_2305/tillsyn/A 4134-2025 tillsynsbegäran.docx", "A 4134-2025")</f>
        <v/>
      </c>
      <c r="Y171">
        <f>HYPERLINK("https://klasma.github.io/Logging_2305/tillsynsmail/A 4134-2025 tillsynsbegäran mail.docx", "A 4134-2025")</f>
        <v/>
      </c>
    </row>
    <row r="172" ht="15" customHeight="1">
      <c r="A172" t="inlineStr">
        <is>
          <t>A 29672-2024</t>
        </is>
      </c>
      <c r="B172" s="1" t="n">
        <v>45484.94189814815</v>
      </c>
      <c r="C172" s="1" t="n">
        <v>45916</v>
      </c>
      <c r="D172" t="inlineStr">
        <is>
          <t>JÄMTLANDS LÄN</t>
        </is>
      </c>
      <c r="E172" t="inlineStr">
        <is>
          <t>BRÄCKE</t>
        </is>
      </c>
      <c r="F172" t="inlineStr">
        <is>
          <t>SCA</t>
        </is>
      </c>
      <c r="G172" t="n">
        <v>1.2</v>
      </c>
      <c r="H172" t="n">
        <v>0</v>
      </c>
      <c r="I172" t="n">
        <v>0</v>
      </c>
      <c r="J172" t="n">
        <v>2</v>
      </c>
      <c r="K172" t="n">
        <v>0</v>
      </c>
      <c r="L172" t="n">
        <v>0</v>
      </c>
      <c r="M172" t="n">
        <v>0</v>
      </c>
      <c r="N172" t="n">
        <v>0</v>
      </c>
      <c r="O172" t="n">
        <v>2</v>
      </c>
      <c r="P172" t="n">
        <v>0</v>
      </c>
      <c r="Q172" t="n">
        <v>2</v>
      </c>
      <c r="R172" s="2" t="inlineStr">
        <is>
          <t>Vedflikmossa
Vedtrappmossa</t>
        </is>
      </c>
      <c r="S172">
        <f>HYPERLINK("https://klasma.github.io/Logging_2305/artfynd/A 29672-2024 artfynd.xlsx", "A 29672-2024")</f>
        <v/>
      </c>
      <c r="T172">
        <f>HYPERLINK("https://klasma.github.io/Logging_2305/kartor/A 29672-2024 karta.png", "A 29672-2024")</f>
        <v/>
      </c>
      <c r="V172">
        <f>HYPERLINK("https://klasma.github.io/Logging_2305/klagomål/A 29672-2024 FSC-klagomål.docx", "A 29672-2024")</f>
        <v/>
      </c>
      <c r="W172">
        <f>HYPERLINK("https://klasma.github.io/Logging_2305/klagomålsmail/A 29672-2024 FSC-klagomål mail.docx", "A 29672-2024")</f>
        <v/>
      </c>
      <c r="X172">
        <f>HYPERLINK("https://klasma.github.io/Logging_2305/tillsyn/A 29672-2024 tillsynsbegäran.docx", "A 29672-2024")</f>
        <v/>
      </c>
      <c r="Y172">
        <f>HYPERLINK("https://klasma.github.io/Logging_2305/tillsynsmail/A 29672-2024 tillsynsbegäran mail.docx", "A 29672-2024")</f>
        <v/>
      </c>
    </row>
    <row r="173" ht="15" customHeight="1">
      <c r="A173" t="inlineStr">
        <is>
          <t>A 24747-2025</t>
        </is>
      </c>
      <c r="B173" s="1" t="n">
        <v>45799.34675925926</v>
      </c>
      <c r="C173" s="1" t="n">
        <v>45916</v>
      </c>
      <c r="D173" t="inlineStr">
        <is>
          <t>JÄMTLANDS LÄN</t>
        </is>
      </c>
      <c r="E173" t="inlineStr">
        <is>
          <t>BRÄCKE</t>
        </is>
      </c>
      <c r="F173" t="inlineStr">
        <is>
          <t>SCA</t>
        </is>
      </c>
      <c r="G173" t="n">
        <v>6.9</v>
      </c>
      <c r="H173" t="n">
        <v>0</v>
      </c>
      <c r="I173" t="n">
        <v>0</v>
      </c>
      <c r="J173" t="n">
        <v>2</v>
      </c>
      <c r="K173" t="n">
        <v>0</v>
      </c>
      <c r="L173" t="n">
        <v>0</v>
      </c>
      <c r="M173" t="n">
        <v>0</v>
      </c>
      <c r="N173" t="n">
        <v>0</v>
      </c>
      <c r="O173" t="n">
        <v>2</v>
      </c>
      <c r="P173" t="n">
        <v>0</v>
      </c>
      <c r="Q173" t="n">
        <v>2</v>
      </c>
      <c r="R173" s="2" t="inlineStr">
        <is>
          <t>Garnlav
Lunglav</t>
        </is>
      </c>
      <c r="S173">
        <f>HYPERLINK("https://klasma.github.io/Logging_2305/artfynd/A 24747-2025 artfynd.xlsx", "A 24747-2025")</f>
        <v/>
      </c>
      <c r="T173">
        <f>HYPERLINK("https://klasma.github.io/Logging_2305/kartor/A 24747-2025 karta.png", "A 24747-2025")</f>
        <v/>
      </c>
      <c r="V173">
        <f>HYPERLINK("https://klasma.github.io/Logging_2305/klagomål/A 24747-2025 FSC-klagomål.docx", "A 24747-2025")</f>
        <v/>
      </c>
      <c r="W173">
        <f>HYPERLINK("https://klasma.github.io/Logging_2305/klagomålsmail/A 24747-2025 FSC-klagomål mail.docx", "A 24747-2025")</f>
        <v/>
      </c>
      <c r="X173">
        <f>HYPERLINK("https://klasma.github.io/Logging_2305/tillsyn/A 24747-2025 tillsynsbegäran.docx", "A 24747-2025")</f>
        <v/>
      </c>
      <c r="Y173">
        <f>HYPERLINK("https://klasma.github.io/Logging_2305/tillsynsmail/A 24747-2025 tillsynsbegäran mail.docx", "A 24747-2025")</f>
        <v/>
      </c>
    </row>
    <row r="174" ht="15" customHeight="1">
      <c r="A174" t="inlineStr">
        <is>
          <t>A 54051-2023</t>
        </is>
      </c>
      <c r="B174" s="1" t="n">
        <v>45231</v>
      </c>
      <c r="C174" s="1" t="n">
        <v>45916</v>
      </c>
      <c r="D174" t="inlineStr">
        <is>
          <t>JÄMTLANDS LÄN</t>
        </is>
      </c>
      <c r="E174" t="inlineStr">
        <is>
          <t>BRÄCKE</t>
        </is>
      </c>
      <c r="F174" t="inlineStr">
        <is>
          <t>SCA</t>
        </is>
      </c>
      <c r="G174" t="n">
        <v>2.4</v>
      </c>
      <c r="H174" t="n">
        <v>0</v>
      </c>
      <c r="I174" t="n">
        <v>0</v>
      </c>
      <c r="J174" t="n">
        <v>2</v>
      </c>
      <c r="K174" t="n">
        <v>0</v>
      </c>
      <c r="L174" t="n">
        <v>0</v>
      </c>
      <c r="M174" t="n">
        <v>0</v>
      </c>
      <c r="N174" t="n">
        <v>0</v>
      </c>
      <c r="O174" t="n">
        <v>2</v>
      </c>
      <c r="P174" t="n">
        <v>0</v>
      </c>
      <c r="Q174" t="n">
        <v>2</v>
      </c>
      <c r="R174" s="2" t="inlineStr">
        <is>
          <t>Blå taggsvamp
Skrovlig taggsvamp</t>
        </is>
      </c>
      <c r="S174">
        <f>HYPERLINK("https://klasma.github.io/Logging_2305/artfynd/A 54051-2023 artfynd.xlsx", "A 54051-2023")</f>
        <v/>
      </c>
      <c r="T174">
        <f>HYPERLINK("https://klasma.github.io/Logging_2305/kartor/A 54051-2023 karta.png", "A 54051-2023")</f>
        <v/>
      </c>
      <c r="V174">
        <f>HYPERLINK("https://klasma.github.io/Logging_2305/klagomål/A 54051-2023 FSC-klagomål.docx", "A 54051-2023")</f>
        <v/>
      </c>
      <c r="W174">
        <f>HYPERLINK("https://klasma.github.io/Logging_2305/klagomålsmail/A 54051-2023 FSC-klagomål mail.docx", "A 54051-2023")</f>
        <v/>
      </c>
      <c r="X174">
        <f>HYPERLINK("https://klasma.github.io/Logging_2305/tillsyn/A 54051-2023 tillsynsbegäran.docx", "A 54051-2023")</f>
        <v/>
      </c>
      <c r="Y174">
        <f>HYPERLINK("https://klasma.github.io/Logging_2305/tillsynsmail/A 54051-2023 tillsynsbegäran mail.docx", "A 54051-2023")</f>
        <v/>
      </c>
    </row>
    <row r="175" ht="15" customHeight="1">
      <c r="A175" t="inlineStr">
        <is>
          <t>A 15146-2024</t>
        </is>
      </c>
      <c r="B175" s="1" t="n">
        <v>45399.94361111111</v>
      </c>
      <c r="C175" s="1" t="n">
        <v>45916</v>
      </c>
      <c r="D175" t="inlineStr">
        <is>
          <t>JÄMTLANDS LÄN</t>
        </is>
      </c>
      <c r="E175" t="inlineStr">
        <is>
          <t>BRÄCKE</t>
        </is>
      </c>
      <c r="F175" t="inlineStr">
        <is>
          <t>Naturvårdsverket</t>
        </is>
      </c>
      <c r="G175" t="n">
        <v>2.2</v>
      </c>
      <c r="H175" t="n">
        <v>0</v>
      </c>
      <c r="I175" t="n">
        <v>0</v>
      </c>
      <c r="J175" t="n">
        <v>2</v>
      </c>
      <c r="K175" t="n">
        <v>0</v>
      </c>
      <c r="L175" t="n">
        <v>0</v>
      </c>
      <c r="M175" t="n">
        <v>0</v>
      </c>
      <c r="N175" t="n">
        <v>0</v>
      </c>
      <c r="O175" t="n">
        <v>2</v>
      </c>
      <c r="P175" t="n">
        <v>0</v>
      </c>
      <c r="Q175" t="n">
        <v>2</v>
      </c>
      <c r="R175" s="2" t="inlineStr">
        <is>
          <t>Garnlav
Ullticka</t>
        </is>
      </c>
      <c r="S175">
        <f>HYPERLINK("https://klasma.github.io/Logging_2305/artfynd/A 15146-2024 artfynd.xlsx", "A 15146-2024")</f>
        <v/>
      </c>
      <c r="T175">
        <f>HYPERLINK("https://klasma.github.io/Logging_2305/kartor/A 15146-2024 karta.png", "A 15146-2024")</f>
        <v/>
      </c>
      <c r="V175">
        <f>HYPERLINK("https://klasma.github.io/Logging_2305/klagomål/A 15146-2024 FSC-klagomål.docx", "A 15146-2024")</f>
        <v/>
      </c>
      <c r="W175">
        <f>HYPERLINK("https://klasma.github.io/Logging_2305/klagomålsmail/A 15146-2024 FSC-klagomål mail.docx", "A 15146-2024")</f>
        <v/>
      </c>
      <c r="X175">
        <f>HYPERLINK("https://klasma.github.io/Logging_2305/tillsyn/A 15146-2024 tillsynsbegäran.docx", "A 15146-2024")</f>
        <v/>
      </c>
      <c r="Y175">
        <f>HYPERLINK("https://klasma.github.io/Logging_2305/tillsynsmail/A 15146-2024 tillsynsbegäran mail.docx", "A 15146-2024")</f>
        <v/>
      </c>
    </row>
    <row r="176" ht="15" customHeight="1">
      <c r="A176" t="inlineStr">
        <is>
          <t>A 26090-2025</t>
        </is>
      </c>
      <c r="B176" s="1" t="n">
        <v>45805.34521990741</v>
      </c>
      <c r="C176" s="1" t="n">
        <v>45916</v>
      </c>
      <c r="D176" t="inlineStr">
        <is>
          <t>JÄMTLANDS LÄN</t>
        </is>
      </c>
      <c r="E176" t="inlineStr">
        <is>
          <t>BRÄCKE</t>
        </is>
      </c>
      <c r="F176" t="inlineStr">
        <is>
          <t>SCA</t>
        </is>
      </c>
      <c r="G176" t="n">
        <v>6.6</v>
      </c>
      <c r="H176" t="n">
        <v>1</v>
      </c>
      <c r="I176" t="n">
        <v>0</v>
      </c>
      <c r="J176" t="n">
        <v>2</v>
      </c>
      <c r="K176" t="n">
        <v>0</v>
      </c>
      <c r="L176" t="n">
        <v>0</v>
      </c>
      <c r="M176" t="n">
        <v>0</v>
      </c>
      <c r="N176" t="n">
        <v>0</v>
      </c>
      <c r="O176" t="n">
        <v>2</v>
      </c>
      <c r="P176" t="n">
        <v>0</v>
      </c>
      <c r="Q176" t="n">
        <v>2</v>
      </c>
      <c r="R176" s="2" t="inlineStr">
        <is>
          <t>Lunglav
Talltita</t>
        </is>
      </c>
      <c r="S176">
        <f>HYPERLINK("https://klasma.github.io/Logging_2305/artfynd/A 26090-2025 artfynd.xlsx", "A 26090-2025")</f>
        <v/>
      </c>
      <c r="T176">
        <f>HYPERLINK("https://klasma.github.io/Logging_2305/kartor/A 26090-2025 karta.png", "A 26090-2025")</f>
        <v/>
      </c>
      <c r="V176">
        <f>HYPERLINK("https://klasma.github.io/Logging_2305/klagomål/A 26090-2025 FSC-klagomål.docx", "A 26090-2025")</f>
        <v/>
      </c>
      <c r="W176">
        <f>HYPERLINK("https://klasma.github.io/Logging_2305/klagomålsmail/A 26090-2025 FSC-klagomål mail.docx", "A 26090-2025")</f>
        <v/>
      </c>
      <c r="X176">
        <f>HYPERLINK("https://klasma.github.io/Logging_2305/tillsyn/A 26090-2025 tillsynsbegäran.docx", "A 26090-2025")</f>
        <v/>
      </c>
      <c r="Y176">
        <f>HYPERLINK("https://klasma.github.io/Logging_2305/tillsynsmail/A 26090-2025 tillsynsbegäran mail.docx", "A 26090-2025")</f>
        <v/>
      </c>
      <c r="Z176">
        <f>HYPERLINK("https://klasma.github.io/Logging_2305/fåglar/A 26090-2025 prioriterade fågelarter.docx", "A 26090-2025")</f>
        <v/>
      </c>
    </row>
    <row r="177" ht="15" customHeight="1">
      <c r="A177" t="inlineStr">
        <is>
          <t>A 26178-2025</t>
        </is>
      </c>
      <c r="B177" s="1" t="n">
        <v>45805.46917824074</v>
      </c>
      <c r="C177" s="1" t="n">
        <v>45916</v>
      </c>
      <c r="D177" t="inlineStr">
        <is>
          <t>JÄMTLANDS LÄN</t>
        </is>
      </c>
      <c r="E177" t="inlineStr">
        <is>
          <t>BRÄCKE</t>
        </is>
      </c>
      <c r="G177" t="n">
        <v>6.9</v>
      </c>
      <c r="H177" t="n">
        <v>1</v>
      </c>
      <c r="I177" t="n">
        <v>1</v>
      </c>
      <c r="J177" t="n">
        <v>0</v>
      </c>
      <c r="K177" t="n">
        <v>0</v>
      </c>
      <c r="L177" t="n">
        <v>0</v>
      </c>
      <c r="M177" t="n">
        <v>0</v>
      </c>
      <c r="N177" t="n">
        <v>0</v>
      </c>
      <c r="O177" t="n">
        <v>0</v>
      </c>
      <c r="P177" t="n">
        <v>0</v>
      </c>
      <c r="Q177" t="n">
        <v>2</v>
      </c>
      <c r="R177" s="2" t="inlineStr">
        <is>
          <t>Vårärt
Blåsippa</t>
        </is>
      </c>
      <c r="S177">
        <f>HYPERLINK("https://klasma.github.io/Logging_2305/artfynd/A 26178-2025 artfynd.xlsx", "A 26178-2025")</f>
        <v/>
      </c>
      <c r="T177">
        <f>HYPERLINK("https://klasma.github.io/Logging_2305/kartor/A 26178-2025 karta.png", "A 26178-2025")</f>
        <v/>
      </c>
      <c r="V177">
        <f>HYPERLINK("https://klasma.github.io/Logging_2305/klagomål/A 26178-2025 FSC-klagomål.docx", "A 26178-2025")</f>
        <v/>
      </c>
      <c r="W177">
        <f>HYPERLINK("https://klasma.github.io/Logging_2305/klagomålsmail/A 26178-2025 FSC-klagomål mail.docx", "A 26178-2025")</f>
        <v/>
      </c>
      <c r="X177">
        <f>HYPERLINK("https://klasma.github.io/Logging_2305/tillsyn/A 26178-2025 tillsynsbegäran.docx", "A 26178-2025")</f>
        <v/>
      </c>
      <c r="Y177">
        <f>HYPERLINK("https://klasma.github.io/Logging_2305/tillsynsmail/A 26178-2025 tillsynsbegäran mail.docx", "A 26178-2025")</f>
        <v/>
      </c>
    </row>
    <row r="178" ht="15" customHeight="1">
      <c r="A178" t="inlineStr">
        <is>
          <t>A 40818-2024</t>
        </is>
      </c>
      <c r="B178" s="1" t="n">
        <v>45558.55251157407</v>
      </c>
      <c r="C178" s="1" t="n">
        <v>45916</v>
      </c>
      <c r="D178" t="inlineStr">
        <is>
          <t>JÄMTLANDS LÄN</t>
        </is>
      </c>
      <c r="E178" t="inlineStr">
        <is>
          <t>BRÄCKE</t>
        </is>
      </c>
      <c r="G178" t="n">
        <v>2.7</v>
      </c>
      <c r="H178" t="n">
        <v>0</v>
      </c>
      <c r="I178" t="n">
        <v>0</v>
      </c>
      <c r="J178" t="n">
        <v>2</v>
      </c>
      <c r="K178" t="n">
        <v>0</v>
      </c>
      <c r="L178" t="n">
        <v>0</v>
      </c>
      <c r="M178" t="n">
        <v>0</v>
      </c>
      <c r="N178" t="n">
        <v>0</v>
      </c>
      <c r="O178" t="n">
        <v>2</v>
      </c>
      <c r="P178" t="n">
        <v>0</v>
      </c>
      <c r="Q178" t="n">
        <v>2</v>
      </c>
      <c r="R178" s="2" t="inlineStr">
        <is>
          <t>Skrovlig taggsvamp
Svart taggsvamp</t>
        </is>
      </c>
      <c r="S178">
        <f>HYPERLINK("https://klasma.github.io/Logging_2305/artfynd/A 40818-2024 artfynd.xlsx", "A 40818-2024")</f>
        <v/>
      </c>
      <c r="T178">
        <f>HYPERLINK("https://klasma.github.io/Logging_2305/kartor/A 40818-2024 karta.png", "A 40818-2024")</f>
        <v/>
      </c>
      <c r="V178">
        <f>HYPERLINK("https://klasma.github.io/Logging_2305/klagomål/A 40818-2024 FSC-klagomål.docx", "A 40818-2024")</f>
        <v/>
      </c>
      <c r="W178">
        <f>HYPERLINK("https://klasma.github.io/Logging_2305/klagomålsmail/A 40818-2024 FSC-klagomål mail.docx", "A 40818-2024")</f>
        <v/>
      </c>
      <c r="X178">
        <f>HYPERLINK("https://klasma.github.io/Logging_2305/tillsyn/A 40818-2024 tillsynsbegäran.docx", "A 40818-2024")</f>
        <v/>
      </c>
      <c r="Y178">
        <f>HYPERLINK("https://klasma.github.io/Logging_2305/tillsynsmail/A 40818-2024 tillsynsbegäran mail.docx", "A 40818-2024")</f>
        <v/>
      </c>
    </row>
    <row r="179" ht="15" customHeight="1">
      <c r="A179" t="inlineStr">
        <is>
          <t>A 27062-2025</t>
        </is>
      </c>
      <c r="B179" s="1" t="n">
        <v>45811.63614583333</v>
      </c>
      <c r="C179" s="1" t="n">
        <v>45916</v>
      </c>
      <c r="D179" t="inlineStr">
        <is>
          <t>JÄMTLANDS LÄN</t>
        </is>
      </c>
      <c r="E179" t="inlineStr">
        <is>
          <t>BRÄCKE</t>
        </is>
      </c>
      <c r="F179" t="inlineStr">
        <is>
          <t>SCA</t>
        </is>
      </c>
      <c r="G179" t="n">
        <v>19.8</v>
      </c>
      <c r="H179" t="n">
        <v>0</v>
      </c>
      <c r="I179" t="n">
        <v>2</v>
      </c>
      <c r="J179" t="n">
        <v>0</v>
      </c>
      <c r="K179" t="n">
        <v>0</v>
      </c>
      <c r="L179" t="n">
        <v>0</v>
      </c>
      <c r="M179" t="n">
        <v>0</v>
      </c>
      <c r="N179" t="n">
        <v>0</v>
      </c>
      <c r="O179" t="n">
        <v>0</v>
      </c>
      <c r="P179" t="n">
        <v>0</v>
      </c>
      <c r="Q179" t="n">
        <v>2</v>
      </c>
      <c r="R179" s="2" t="inlineStr">
        <is>
          <t>Dropptaggsvamp
Skinnlav</t>
        </is>
      </c>
      <c r="S179">
        <f>HYPERLINK("https://klasma.github.io/Logging_2305/artfynd/A 27062-2025 artfynd.xlsx", "A 27062-2025")</f>
        <v/>
      </c>
      <c r="T179">
        <f>HYPERLINK("https://klasma.github.io/Logging_2305/kartor/A 27062-2025 karta.png", "A 27062-2025")</f>
        <v/>
      </c>
      <c r="V179">
        <f>HYPERLINK("https://klasma.github.io/Logging_2305/klagomål/A 27062-2025 FSC-klagomål.docx", "A 27062-2025")</f>
        <v/>
      </c>
      <c r="W179">
        <f>HYPERLINK("https://klasma.github.io/Logging_2305/klagomålsmail/A 27062-2025 FSC-klagomål mail.docx", "A 27062-2025")</f>
        <v/>
      </c>
      <c r="X179">
        <f>HYPERLINK("https://klasma.github.io/Logging_2305/tillsyn/A 27062-2025 tillsynsbegäran.docx", "A 27062-2025")</f>
        <v/>
      </c>
      <c r="Y179">
        <f>HYPERLINK("https://klasma.github.io/Logging_2305/tillsynsmail/A 27062-2025 tillsynsbegäran mail.docx", "A 27062-2025")</f>
        <v/>
      </c>
    </row>
    <row r="180" ht="15" customHeight="1">
      <c r="A180" t="inlineStr">
        <is>
          <t>A 27059-2025</t>
        </is>
      </c>
      <c r="B180" s="1" t="n">
        <v>45811.63586805556</v>
      </c>
      <c r="C180" s="1" t="n">
        <v>45916</v>
      </c>
      <c r="D180" t="inlineStr">
        <is>
          <t>JÄMTLANDS LÄN</t>
        </is>
      </c>
      <c r="E180" t="inlineStr">
        <is>
          <t>BRÄCKE</t>
        </is>
      </c>
      <c r="F180" t="inlineStr">
        <is>
          <t>SCA</t>
        </is>
      </c>
      <c r="G180" t="n">
        <v>7.2</v>
      </c>
      <c r="H180" t="n">
        <v>1</v>
      </c>
      <c r="I180" t="n">
        <v>1</v>
      </c>
      <c r="J180" t="n">
        <v>0</v>
      </c>
      <c r="K180" t="n">
        <v>1</v>
      </c>
      <c r="L180" t="n">
        <v>0</v>
      </c>
      <c r="M180" t="n">
        <v>0</v>
      </c>
      <c r="N180" t="n">
        <v>0</v>
      </c>
      <c r="O180" t="n">
        <v>1</v>
      </c>
      <c r="P180" t="n">
        <v>1</v>
      </c>
      <c r="Q180" t="n">
        <v>2</v>
      </c>
      <c r="R180" s="2" t="inlineStr">
        <is>
          <t>Knärot
Dropptaggsvamp</t>
        </is>
      </c>
      <c r="S180">
        <f>HYPERLINK("https://klasma.github.io/Logging_2305/artfynd/A 27059-2025 artfynd.xlsx", "A 27059-2025")</f>
        <v/>
      </c>
      <c r="T180">
        <f>HYPERLINK("https://klasma.github.io/Logging_2305/kartor/A 27059-2025 karta.png", "A 27059-2025")</f>
        <v/>
      </c>
      <c r="U180">
        <f>HYPERLINK("https://klasma.github.io/Logging_2305/knärot/A 27059-2025 karta knärot.png", "A 27059-2025")</f>
        <v/>
      </c>
      <c r="V180">
        <f>HYPERLINK("https://klasma.github.io/Logging_2305/klagomål/A 27059-2025 FSC-klagomål.docx", "A 27059-2025")</f>
        <v/>
      </c>
      <c r="W180">
        <f>HYPERLINK("https://klasma.github.io/Logging_2305/klagomålsmail/A 27059-2025 FSC-klagomål mail.docx", "A 27059-2025")</f>
        <v/>
      </c>
      <c r="X180">
        <f>HYPERLINK("https://klasma.github.io/Logging_2305/tillsyn/A 27059-2025 tillsynsbegäran.docx", "A 27059-2025")</f>
        <v/>
      </c>
      <c r="Y180">
        <f>HYPERLINK("https://klasma.github.io/Logging_2305/tillsynsmail/A 27059-2025 tillsynsbegäran mail.docx", "A 27059-2025")</f>
        <v/>
      </c>
    </row>
    <row r="181" ht="15" customHeight="1">
      <c r="A181" t="inlineStr">
        <is>
          <t>A 27279-2025</t>
        </is>
      </c>
      <c r="B181" s="1" t="n">
        <v>45812.53172453704</v>
      </c>
      <c r="C181" s="1" t="n">
        <v>45916</v>
      </c>
      <c r="D181" t="inlineStr">
        <is>
          <t>JÄMTLANDS LÄN</t>
        </is>
      </c>
      <c r="E181" t="inlineStr">
        <is>
          <t>BRÄCKE</t>
        </is>
      </c>
      <c r="F181" t="inlineStr">
        <is>
          <t>SCA</t>
        </is>
      </c>
      <c r="G181" t="n">
        <v>1.2</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27279-2025 artfynd.xlsx", "A 27279-2025")</f>
        <v/>
      </c>
      <c r="T181">
        <f>HYPERLINK("https://klasma.github.io/Logging_2305/kartor/A 27279-2025 karta.png", "A 27279-2025")</f>
        <v/>
      </c>
      <c r="V181">
        <f>HYPERLINK("https://klasma.github.io/Logging_2305/klagomål/A 27279-2025 FSC-klagomål.docx", "A 27279-2025")</f>
        <v/>
      </c>
      <c r="W181">
        <f>HYPERLINK("https://klasma.github.io/Logging_2305/klagomålsmail/A 27279-2025 FSC-klagomål mail.docx", "A 27279-2025")</f>
        <v/>
      </c>
      <c r="X181">
        <f>HYPERLINK("https://klasma.github.io/Logging_2305/tillsyn/A 27279-2025 tillsynsbegäran.docx", "A 27279-2025")</f>
        <v/>
      </c>
      <c r="Y181">
        <f>HYPERLINK("https://klasma.github.io/Logging_2305/tillsynsmail/A 27279-2025 tillsynsbegäran mail.docx", "A 27279-2025")</f>
        <v/>
      </c>
    </row>
    <row r="182" ht="15" customHeight="1">
      <c r="A182" t="inlineStr">
        <is>
          <t>A 8248-2024</t>
        </is>
      </c>
      <c r="B182" s="1" t="n">
        <v>45351</v>
      </c>
      <c r="C182" s="1" t="n">
        <v>45916</v>
      </c>
      <c r="D182" t="inlineStr">
        <is>
          <t>JÄMTLANDS LÄN</t>
        </is>
      </c>
      <c r="E182" t="inlineStr">
        <is>
          <t>BRÄCKE</t>
        </is>
      </c>
      <c r="F182" t="inlineStr">
        <is>
          <t>SCA</t>
        </is>
      </c>
      <c r="G182" t="n">
        <v>1.8</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8248-2024 artfynd.xlsx", "A 8248-2024")</f>
        <v/>
      </c>
      <c r="T182">
        <f>HYPERLINK("https://klasma.github.io/Logging_2305/kartor/A 8248-2024 karta.png", "A 8248-2024")</f>
        <v/>
      </c>
      <c r="V182">
        <f>HYPERLINK("https://klasma.github.io/Logging_2305/klagomål/A 8248-2024 FSC-klagomål.docx", "A 8248-2024")</f>
        <v/>
      </c>
      <c r="W182">
        <f>HYPERLINK("https://klasma.github.io/Logging_2305/klagomålsmail/A 8248-2024 FSC-klagomål mail.docx", "A 8248-2024")</f>
        <v/>
      </c>
      <c r="X182">
        <f>HYPERLINK("https://klasma.github.io/Logging_2305/tillsyn/A 8248-2024 tillsynsbegäran.docx", "A 8248-2024")</f>
        <v/>
      </c>
      <c r="Y182">
        <f>HYPERLINK("https://klasma.github.io/Logging_2305/tillsynsmail/A 8248-2024 tillsynsbegäran mail.docx", "A 8248-2024")</f>
        <v/>
      </c>
    </row>
    <row r="183" ht="15" customHeight="1">
      <c r="A183" t="inlineStr">
        <is>
          <t>A 29119-2025</t>
        </is>
      </c>
      <c r="B183" s="1" t="n">
        <v>45821.59407407408</v>
      </c>
      <c r="C183" s="1" t="n">
        <v>45916</v>
      </c>
      <c r="D183" t="inlineStr">
        <is>
          <t>JÄMTLANDS LÄN</t>
        </is>
      </c>
      <c r="E183" t="inlineStr">
        <is>
          <t>BRÄCKE</t>
        </is>
      </c>
      <c r="F183" t="inlineStr">
        <is>
          <t>SCA</t>
        </is>
      </c>
      <c r="G183" t="n">
        <v>2.4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29119-2025 artfynd.xlsx", "A 29119-2025")</f>
        <v/>
      </c>
      <c r="T183">
        <f>HYPERLINK("https://klasma.github.io/Logging_2305/kartor/A 29119-2025 karta.png", "A 29119-2025")</f>
        <v/>
      </c>
      <c r="V183">
        <f>HYPERLINK("https://klasma.github.io/Logging_2305/klagomål/A 29119-2025 FSC-klagomål.docx", "A 29119-2025")</f>
        <v/>
      </c>
      <c r="W183">
        <f>HYPERLINK("https://klasma.github.io/Logging_2305/klagomålsmail/A 29119-2025 FSC-klagomål mail.docx", "A 29119-2025")</f>
        <v/>
      </c>
      <c r="X183">
        <f>HYPERLINK("https://klasma.github.io/Logging_2305/tillsyn/A 29119-2025 tillsynsbegäran.docx", "A 29119-2025")</f>
        <v/>
      </c>
      <c r="Y183">
        <f>HYPERLINK("https://klasma.github.io/Logging_2305/tillsynsmail/A 29119-2025 tillsynsbegäran mail.docx", "A 29119-2025")</f>
        <v/>
      </c>
    </row>
    <row r="184" ht="15" customHeight="1">
      <c r="A184" t="inlineStr">
        <is>
          <t>A 3029-2023</t>
        </is>
      </c>
      <c r="B184" s="1" t="n">
        <v>44945</v>
      </c>
      <c r="C184" s="1" t="n">
        <v>45916</v>
      </c>
      <c r="D184" t="inlineStr">
        <is>
          <t>JÄMTLANDS LÄN</t>
        </is>
      </c>
      <c r="E184" t="inlineStr">
        <is>
          <t>BRÄCKE</t>
        </is>
      </c>
      <c r="F184" t="inlineStr">
        <is>
          <t>SCA</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3029-2023 artfynd.xlsx", "A 3029-2023")</f>
        <v/>
      </c>
      <c r="T184">
        <f>HYPERLINK("https://klasma.github.io/Logging_2305/kartor/A 3029-2023 karta.png", "A 3029-2023")</f>
        <v/>
      </c>
      <c r="V184">
        <f>HYPERLINK("https://klasma.github.io/Logging_2305/klagomål/A 3029-2023 FSC-klagomål.docx", "A 3029-2023")</f>
        <v/>
      </c>
      <c r="W184">
        <f>HYPERLINK("https://klasma.github.io/Logging_2305/klagomålsmail/A 3029-2023 FSC-klagomål mail.docx", "A 3029-2023")</f>
        <v/>
      </c>
      <c r="X184">
        <f>HYPERLINK("https://klasma.github.io/Logging_2305/tillsyn/A 3029-2023 tillsynsbegäran.docx", "A 3029-2023")</f>
        <v/>
      </c>
      <c r="Y184">
        <f>HYPERLINK("https://klasma.github.io/Logging_2305/tillsynsmail/A 3029-2023 tillsynsbegäran mail.docx", "A 3029-2023")</f>
        <v/>
      </c>
    </row>
    <row r="185" ht="15" customHeight="1">
      <c r="A185" t="inlineStr">
        <is>
          <t>A 19437-2023</t>
        </is>
      </c>
      <c r="B185" s="1" t="n">
        <v>45049</v>
      </c>
      <c r="C185" s="1" t="n">
        <v>45916</v>
      </c>
      <c r="D185" t="inlineStr">
        <is>
          <t>JÄMTLANDS LÄN</t>
        </is>
      </c>
      <c r="E185" t="inlineStr">
        <is>
          <t>BRÄCKE</t>
        </is>
      </c>
      <c r="G185" t="n">
        <v>1.5</v>
      </c>
      <c r="H185" t="n">
        <v>0</v>
      </c>
      <c r="I185" t="n">
        <v>2</v>
      </c>
      <c r="J185" t="n">
        <v>0</v>
      </c>
      <c r="K185" t="n">
        <v>0</v>
      </c>
      <c r="L185" t="n">
        <v>0</v>
      </c>
      <c r="M185" t="n">
        <v>0</v>
      </c>
      <c r="N185" t="n">
        <v>0</v>
      </c>
      <c r="O185" t="n">
        <v>0</v>
      </c>
      <c r="P185" t="n">
        <v>0</v>
      </c>
      <c r="Q185" t="n">
        <v>2</v>
      </c>
      <c r="R185" s="2" t="inlineStr">
        <is>
          <t>Stuplav
Svart trolldruva</t>
        </is>
      </c>
      <c r="S185">
        <f>HYPERLINK("https://klasma.github.io/Logging_2305/artfynd/A 19437-2023 artfynd.xlsx", "A 19437-2023")</f>
        <v/>
      </c>
      <c r="T185">
        <f>HYPERLINK("https://klasma.github.io/Logging_2305/kartor/A 19437-2023 karta.png", "A 19437-2023")</f>
        <v/>
      </c>
      <c r="U185">
        <f>HYPERLINK("https://klasma.github.io/Logging_2305/knärot/A 19437-2023 karta knärot.png", "A 19437-2023")</f>
        <v/>
      </c>
      <c r="V185">
        <f>HYPERLINK("https://klasma.github.io/Logging_2305/klagomål/A 19437-2023 FSC-klagomål.docx", "A 19437-2023")</f>
        <v/>
      </c>
      <c r="W185">
        <f>HYPERLINK("https://klasma.github.io/Logging_2305/klagomålsmail/A 19437-2023 FSC-klagomål mail.docx", "A 19437-2023")</f>
        <v/>
      </c>
      <c r="X185">
        <f>HYPERLINK("https://klasma.github.io/Logging_2305/tillsyn/A 19437-2023 tillsynsbegäran.docx", "A 19437-2023")</f>
        <v/>
      </c>
      <c r="Y185">
        <f>HYPERLINK("https://klasma.github.io/Logging_2305/tillsynsmail/A 19437-2023 tillsynsbegäran mail.docx", "A 19437-2023")</f>
        <v/>
      </c>
    </row>
    <row r="186" ht="15" customHeight="1">
      <c r="A186" t="inlineStr">
        <is>
          <t>A 47498-2023</t>
        </is>
      </c>
      <c r="B186" s="1" t="n">
        <v>45202</v>
      </c>
      <c r="C186" s="1" t="n">
        <v>45916</v>
      </c>
      <c r="D186" t="inlineStr">
        <is>
          <t>JÄMTLANDS LÄN</t>
        </is>
      </c>
      <c r="E186" t="inlineStr">
        <is>
          <t>BRÄCKE</t>
        </is>
      </c>
      <c r="F186" t="inlineStr">
        <is>
          <t>SCA</t>
        </is>
      </c>
      <c r="G186" t="n">
        <v>6.1</v>
      </c>
      <c r="H186" t="n">
        <v>1</v>
      </c>
      <c r="I186" t="n">
        <v>1</v>
      </c>
      <c r="J186" t="n">
        <v>0</v>
      </c>
      <c r="K186" t="n">
        <v>1</v>
      </c>
      <c r="L186" t="n">
        <v>0</v>
      </c>
      <c r="M186" t="n">
        <v>0</v>
      </c>
      <c r="N186" t="n">
        <v>0</v>
      </c>
      <c r="O186" t="n">
        <v>1</v>
      </c>
      <c r="P186" t="n">
        <v>1</v>
      </c>
      <c r="Q186" t="n">
        <v>2</v>
      </c>
      <c r="R186" s="2" t="inlineStr">
        <is>
          <t>Bandnate
Guckusko</t>
        </is>
      </c>
      <c r="S186">
        <f>HYPERLINK("https://klasma.github.io/Logging_2305/artfynd/A 47498-2023 artfynd.xlsx", "A 47498-2023")</f>
        <v/>
      </c>
      <c r="T186">
        <f>HYPERLINK("https://klasma.github.io/Logging_2305/kartor/A 47498-2023 karta.png", "A 47498-2023")</f>
        <v/>
      </c>
      <c r="V186">
        <f>HYPERLINK("https://klasma.github.io/Logging_2305/klagomål/A 47498-2023 FSC-klagomål.docx", "A 47498-2023")</f>
        <v/>
      </c>
      <c r="W186">
        <f>HYPERLINK("https://klasma.github.io/Logging_2305/klagomålsmail/A 47498-2023 FSC-klagomål mail.docx", "A 47498-2023")</f>
        <v/>
      </c>
      <c r="X186">
        <f>HYPERLINK("https://klasma.github.io/Logging_2305/tillsyn/A 47498-2023 tillsynsbegäran.docx", "A 47498-2023")</f>
        <v/>
      </c>
      <c r="Y186">
        <f>HYPERLINK("https://klasma.github.io/Logging_2305/tillsynsmail/A 47498-2023 tillsynsbegäran mail.docx", "A 47498-2023")</f>
        <v/>
      </c>
    </row>
    <row r="187" ht="15" customHeight="1">
      <c r="A187" t="inlineStr">
        <is>
          <t>A 3913-2022</t>
        </is>
      </c>
      <c r="B187" s="1" t="n">
        <v>44587</v>
      </c>
      <c r="C187" s="1" t="n">
        <v>45916</v>
      </c>
      <c r="D187" t="inlineStr">
        <is>
          <t>JÄMTLANDS LÄN</t>
        </is>
      </c>
      <c r="E187" t="inlineStr">
        <is>
          <t>BRÄCKE</t>
        </is>
      </c>
      <c r="G187" t="n">
        <v>0.9</v>
      </c>
      <c r="H187" t="n">
        <v>1</v>
      </c>
      <c r="I187" t="n">
        <v>1</v>
      </c>
      <c r="J187" t="n">
        <v>1</v>
      </c>
      <c r="K187" t="n">
        <v>0</v>
      </c>
      <c r="L187" t="n">
        <v>0</v>
      </c>
      <c r="M187" t="n">
        <v>0</v>
      </c>
      <c r="N187" t="n">
        <v>0</v>
      </c>
      <c r="O187" t="n">
        <v>1</v>
      </c>
      <c r="P187" t="n">
        <v>0</v>
      </c>
      <c r="Q187" t="n">
        <v>2</v>
      </c>
      <c r="R187" s="2" t="inlineStr">
        <is>
          <t>Skogsfru
Ögonpyrola</t>
        </is>
      </c>
      <c r="S187">
        <f>HYPERLINK("https://klasma.github.io/Logging_2305/artfynd/A 3913-2022 artfynd.xlsx", "A 3913-2022")</f>
        <v/>
      </c>
      <c r="T187">
        <f>HYPERLINK("https://klasma.github.io/Logging_2305/kartor/A 3913-2022 karta.png", "A 3913-2022")</f>
        <v/>
      </c>
      <c r="U187">
        <f>HYPERLINK("https://klasma.github.io/Logging_2305/knärot/A 3913-2022 karta knärot.png", "A 3913-2022")</f>
        <v/>
      </c>
      <c r="V187">
        <f>HYPERLINK("https://klasma.github.io/Logging_2305/klagomål/A 3913-2022 FSC-klagomål.docx", "A 3913-2022")</f>
        <v/>
      </c>
      <c r="W187">
        <f>HYPERLINK("https://klasma.github.io/Logging_2305/klagomålsmail/A 3913-2022 FSC-klagomål mail.docx", "A 3913-2022")</f>
        <v/>
      </c>
      <c r="X187">
        <f>HYPERLINK("https://klasma.github.io/Logging_2305/tillsyn/A 3913-2022 tillsynsbegäran.docx", "A 3913-2022")</f>
        <v/>
      </c>
      <c r="Y187">
        <f>HYPERLINK("https://klasma.github.io/Logging_2305/tillsynsmail/A 3913-2022 tillsynsbegäran mail.docx", "A 3913-2022")</f>
        <v/>
      </c>
    </row>
    <row r="188" ht="15" customHeight="1">
      <c r="A188" t="inlineStr">
        <is>
          <t>A 32566-2025</t>
        </is>
      </c>
      <c r="B188" s="1" t="n">
        <v>45838.57354166666</v>
      </c>
      <c r="C188" s="1" t="n">
        <v>45916</v>
      </c>
      <c r="D188" t="inlineStr">
        <is>
          <t>JÄMTLANDS LÄN</t>
        </is>
      </c>
      <c r="E188" t="inlineStr">
        <is>
          <t>BRÄCKE</t>
        </is>
      </c>
      <c r="F188" t="inlineStr">
        <is>
          <t>SCA</t>
        </is>
      </c>
      <c r="G188" t="n">
        <v>1.6</v>
      </c>
      <c r="H188" t="n">
        <v>0</v>
      </c>
      <c r="I188" t="n">
        <v>2</v>
      </c>
      <c r="J188" t="n">
        <v>0</v>
      </c>
      <c r="K188" t="n">
        <v>0</v>
      </c>
      <c r="L188" t="n">
        <v>0</v>
      </c>
      <c r="M188" t="n">
        <v>0</v>
      </c>
      <c r="N188" t="n">
        <v>0</v>
      </c>
      <c r="O188" t="n">
        <v>0</v>
      </c>
      <c r="P188" t="n">
        <v>0</v>
      </c>
      <c r="Q188" t="n">
        <v>2</v>
      </c>
      <c r="R188" s="2" t="inlineStr">
        <is>
          <t>Skinnlav
Vedticka</t>
        </is>
      </c>
      <c r="S188">
        <f>HYPERLINK("https://klasma.github.io/Logging_2305/artfynd/A 32566-2025 artfynd.xlsx", "A 32566-2025")</f>
        <v/>
      </c>
      <c r="T188">
        <f>HYPERLINK("https://klasma.github.io/Logging_2305/kartor/A 32566-2025 karta.png", "A 32566-2025")</f>
        <v/>
      </c>
      <c r="V188">
        <f>HYPERLINK("https://klasma.github.io/Logging_2305/klagomål/A 32566-2025 FSC-klagomål.docx", "A 32566-2025")</f>
        <v/>
      </c>
      <c r="W188">
        <f>HYPERLINK("https://klasma.github.io/Logging_2305/klagomålsmail/A 32566-2025 FSC-klagomål mail.docx", "A 32566-2025")</f>
        <v/>
      </c>
      <c r="X188">
        <f>HYPERLINK("https://klasma.github.io/Logging_2305/tillsyn/A 32566-2025 tillsynsbegäran.docx", "A 32566-2025")</f>
        <v/>
      </c>
      <c r="Y188">
        <f>HYPERLINK("https://klasma.github.io/Logging_2305/tillsynsmail/A 32566-2025 tillsynsbegäran mail.docx", "A 32566-2025")</f>
        <v/>
      </c>
    </row>
    <row r="189" ht="15" customHeight="1">
      <c r="A189" t="inlineStr">
        <is>
          <t>A 22382-2024</t>
        </is>
      </c>
      <c r="B189" s="1" t="n">
        <v>45446</v>
      </c>
      <c r="C189" s="1" t="n">
        <v>45916</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34541-2025</t>
        </is>
      </c>
      <c r="B190" s="1" t="n">
        <v>45847.53196759259</v>
      </c>
      <c r="C190" s="1" t="n">
        <v>45916</v>
      </c>
      <c r="D190" t="inlineStr">
        <is>
          <t>JÄMTLANDS LÄN</t>
        </is>
      </c>
      <c r="E190" t="inlineStr">
        <is>
          <t>BRÄCKE</t>
        </is>
      </c>
      <c r="G190" t="n">
        <v>3.8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34541-2025 artfynd.xlsx", "A 34541-2025")</f>
        <v/>
      </c>
      <c r="T190">
        <f>HYPERLINK("https://klasma.github.io/Logging_2305/kartor/A 34541-2025 karta.png", "A 34541-2025")</f>
        <v/>
      </c>
      <c r="V190">
        <f>HYPERLINK("https://klasma.github.io/Logging_2305/klagomål/A 34541-2025 FSC-klagomål.docx", "A 34541-2025")</f>
        <v/>
      </c>
      <c r="W190">
        <f>HYPERLINK("https://klasma.github.io/Logging_2305/klagomålsmail/A 34541-2025 FSC-klagomål mail.docx", "A 34541-2025")</f>
        <v/>
      </c>
      <c r="X190">
        <f>HYPERLINK("https://klasma.github.io/Logging_2305/tillsyn/A 34541-2025 tillsynsbegäran.docx", "A 34541-2025")</f>
        <v/>
      </c>
      <c r="Y190">
        <f>HYPERLINK("https://klasma.github.io/Logging_2305/tillsynsmail/A 34541-2025 tillsynsbegäran mail.docx", "A 34541-2025")</f>
        <v/>
      </c>
    </row>
    <row r="191" ht="15" customHeight="1">
      <c r="A191" t="inlineStr">
        <is>
          <t>A 35209-2025</t>
        </is>
      </c>
      <c r="B191" s="1" t="n">
        <v>45853.44827546296</v>
      </c>
      <c r="C191" s="1" t="n">
        <v>45916</v>
      </c>
      <c r="D191" t="inlineStr">
        <is>
          <t>JÄMTLANDS LÄN</t>
        </is>
      </c>
      <c r="E191" t="inlineStr">
        <is>
          <t>BRÄCKE</t>
        </is>
      </c>
      <c r="F191" t="inlineStr">
        <is>
          <t>SCA</t>
        </is>
      </c>
      <c r="G191" t="n">
        <v>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35209-2025 artfynd.xlsx", "A 35209-2025")</f>
        <v/>
      </c>
      <c r="T191">
        <f>HYPERLINK("https://klasma.github.io/Logging_2305/kartor/A 35209-2025 karta.png", "A 35209-2025")</f>
        <v/>
      </c>
      <c r="V191">
        <f>HYPERLINK("https://klasma.github.io/Logging_2305/klagomål/A 35209-2025 FSC-klagomål.docx", "A 35209-2025")</f>
        <v/>
      </c>
      <c r="W191">
        <f>HYPERLINK("https://klasma.github.io/Logging_2305/klagomålsmail/A 35209-2025 FSC-klagomål mail.docx", "A 35209-2025")</f>
        <v/>
      </c>
      <c r="X191">
        <f>HYPERLINK("https://klasma.github.io/Logging_2305/tillsyn/A 35209-2025 tillsynsbegäran.docx", "A 35209-2025")</f>
        <v/>
      </c>
      <c r="Y191">
        <f>HYPERLINK("https://klasma.github.io/Logging_2305/tillsynsmail/A 35209-2025 tillsynsbegäran mail.docx", "A 35209-2025")</f>
        <v/>
      </c>
    </row>
    <row r="192" ht="15" customHeight="1">
      <c r="A192" t="inlineStr">
        <is>
          <t>A 35117-2025</t>
        </is>
      </c>
      <c r="B192" s="1" t="n">
        <v>45852.59416666667</v>
      </c>
      <c r="C192" s="1" t="n">
        <v>45916</v>
      </c>
      <c r="D192" t="inlineStr">
        <is>
          <t>JÄMTLANDS LÄN</t>
        </is>
      </c>
      <c r="E192" t="inlineStr">
        <is>
          <t>BRÄCKE</t>
        </is>
      </c>
      <c r="F192" t="inlineStr">
        <is>
          <t>SCA</t>
        </is>
      </c>
      <c r="G192" t="n">
        <v>11.1</v>
      </c>
      <c r="H192" t="n">
        <v>0</v>
      </c>
      <c r="I192" t="n">
        <v>0</v>
      </c>
      <c r="J192" t="n">
        <v>2</v>
      </c>
      <c r="K192" t="n">
        <v>0</v>
      </c>
      <c r="L192" t="n">
        <v>0</v>
      </c>
      <c r="M192" t="n">
        <v>0</v>
      </c>
      <c r="N192" t="n">
        <v>0</v>
      </c>
      <c r="O192" t="n">
        <v>2</v>
      </c>
      <c r="P192" t="n">
        <v>0</v>
      </c>
      <c r="Q192" t="n">
        <v>2</v>
      </c>
      <c r="R192" s="2" t="inlineStr">
        <is>
          <t>Dvärgbägarlav
Nordtagging</t>
        </is>
      </c>
      <c r="S192">
        <f>HYPERLINK("https://klasma.github.io/Logging_2305/artfynd/A 35117-2025 artfynd.xlsx", "A 35117-2025")</f>
        <v/>
      </c>
      <c r="T192">
        <f>HYPERLINK("https://klasma.github.io/Logging_2305/kartor/A 35117-2025 karta.png", "A 35117-2025")</f>
        <v/>
      </c>
      <c r="V192">
        <f>HYPERLINK("https://klasma.github.io/Logging_2305/klagomål/A 35117-2025 FSC-klagomål.docx", "A 35117-2025")</f>
        <v/>
      </c>
      <c r="W192">
        <f>HYPERLINK("https://klasma.github.io/Logging_2305/klagomålsmail/A 35117-2025 FSC-klagomål mail.docx", "A 35117-2025")</f>
        <v/>
      </c>
      <c r="X192">
        <f>HYPERLINK("https://klasma.github.io/Logging_2305/tillsyn/A 35117-2025 tillsynsbegäran.docx", "A 35117-2025")</f>
        <v/>
      </c>
      <c r="Y192">
        <f>HYPERLINK("https://klasma.github.io/Logging_2305/tillsynsmail/A 35117-2025 tillsynsbegäran mail.docx", "A 35117-2025")</f>
        <v/>
      </c>
    </row>
    <row r="193" ht="15" customHeight="1">
      <c r="A193" t="inlineStr">
        <is>
          <t>A 36456-2021</t>
        </is>
      </c>
      <c r="B193" s="1" t="n">
        <v>44390</v>
      </c>
      <c r="C193" s="1" t="n">
        <v>45916</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45012-2023</t>
        </is>
      </c>
      <c r="B194" s="1" t="n">
        <v>45190</v>
      </c>
      <c r="C194" s="1" t="n">
        <v>45916</v>
      </c>
      <c r="D194" t="inlineStr">
        <is>
          <t>JÄMTLANDS LÄN</t>
        </is>
      </c>
      <c r="E194" t="inlineStr">
        <is>
          <t>BRÄCKE</t>
        </is>
      </c>
      <c r="G194" t="n">
        <v>2.6</v>
      </c>
      <c r="H194" t="n">
        <v>0</v>
      </c>
      <c r="I194" t="n">
        <v>1</v>
      </c>
      <c r="J194" t="n">
        <v>1</v>
      </c>
      <c r="K194" t="n">
        <v>0</v>
      </c>
      <c r="L194" t="n">
        <v>0</v>
      </c>
      <c r="M194" t="n">
        <v>0</v>
      </c>
      <c r="N194" t="n">
        <v>0</v>
      </c>
      <c r="O194" t="n">
        <v>1</v>
      </c>
      <c r="P194" t="n">
        <v>0</v>
      </c>
      <c r="Q194" t="n">
        <v>2</v>
      </c>
      <c r="R194" s="2" t="inlineStr">
        <is>
          <t>Dvärgbägarlav
Skinnlav</t>
        </is>
      </c>
      <c r="S194">
        <f>HYPERLINK("https://klasma.github.io/Logging_2305/artfynd/A 45012-2023 artfynd.xlsx", "A 45012-2023")</f>
        <v/>
      </c>
      <c r="T194">
        <f>HYPERLINK("https://klasma.github.io/Logging_2305/kartor/A 45012-2023 karta.png", "A 45012-2023")</f>
        <v/>
      </c>
      <c r="V194">
        <f>HYPERLINK("https://klasma.github.io/Logging_2305/klagomål/A 45012-2023 FSC-klagomål.docx", "A 45012-2023")</f>
        <v/>
      </c>
      <c r="W194">
        <f>HYPERLINK("https://klasma.github.io/Logging_2305/klagomålsmail/A 45012-2023 FSC-klagomål mail.docx", "A 45012-2023")</f>
        <v/>
      </c>
      <c r="X194">
        <f>HYPERLINK("https://klasma.github.io/Logging_2305/tillsyn/A 45012-2023 tillsynsbegäran.docx", "A 45012-2023")</f>
        <v/>
      </c>
      <c r="Y194">
        <f>HYPERLINK("https://klasma.github.io/Logging_2305/tillsynsmail/A 45012-2023 tillsynsbegäran mail.docx", "A 45012-2023")</f>
        <v/>
      </c>
    </row>
    <row r="195" ht="15" customHeight="1">
      <c r="A195" t="inlineStr">
        <is>
          <t>A 41178-2025</t>
        </is>
      </c>
      <c r="B195" s="1" t="n">
        <v>45898.55261574074</v>
      </c>
      <c r="C195" s="1" t="n">
        <v>45916</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11787-2025</t>
        </is>
      </c>
      <c r="B196" s="1" t="n">
        <v>45727.72017361111</v>
      </c>
      <c r="C196" s="1" t="n">
        <v>45916</v>
      </c>
      <c r="D196" t="inlineStr">
        <is>
          <t>JÄMTLANDS LÄN</t>
        </is>
      </c>
      <c r="E196" t="inlineStr">
        <is>
          <t>BRÄCKE</t>
        </is>
      </c>
      <c r="F196" t="inlineStr">
        <is>
          <t>SCA</t>
        </is>
      </c>
      <c r="G196" t="n">
        <v>1.9</v>
      </c>
      <c r="H196" t="n">
        <v>0</v>
      </c>
      <c r="I196" t="n">
        <v>0</v>
      </c>
      <c r="J196" t="n">
        <v>2</v>
      </c>
      <c r="K196" t="n">
        <v>0</v>
      </c>
      <c r="L196" t="n">
        <v>0</v>
      </c>
      <c r="M196" t="n">
        <v>0</v>
      </c>
      <c r="N196" t="n">
        <v>0</v>
      </c>
      <c r="O196" t="n">
        <v>2</v>
      </c>
      <c r="P196" t="n">
        <v>0</v>
      </c>
      <c r="Q196" t="n">
        <v>2</v>
      </c>
      <c r="R196" s="2" t="inlineStr">
        <is>
          <t>Stiftgelélav
Ullticka</t>
        </is>
      </c>
      <c r="S196">
        <f>HYPERLINK("https://klasma.github.io/Logging_2305/artfynd/A 11787-2025 artfynd.xlsx", "A 11787-2025")</f>
        <v/>
      </c>
      <c r="T196">
        <f>HYPERLINK("https://klasma.github.io/Logging_2305/kartor/A 11787-2025 karta.png", "A 11787-2025")</f>
        <v/>
      </c>
      <c r="V196">
        <f>HYPERLINK("https://klasma.github.io/Logging_2305/klagomål/A 11787-2025 FSC-klagomål.docx", "A 11787-2025")</f>
        <v/>
      </c>
      <c r="W196">
        <f>HYPERLINK("https://klasma.github.io/Logging_2305/klagomålsmail/A 11787-2025 FSC-klagomål mail.docx", "A 11787-2025")</f>
        <v/>
      </c>
      <c r="X196">
        <f>HYPERLINK("https://klasma.github.io/Logging_2305/tillsyn/A 11787-2025 tillsynsbegäran.docx", "A 11787-2025")</f>
        <v/>
      </c>
      <c r="Y196">
        <f>HYPERLINK("https://klasma.github.io/Logging_2305/tillsynsmail/A 11787-2025 tillsynsbegäran mail.docx", "A 11787-2025")</f>
        <v/>
      </c>
    </row>
    <row r="197" ht="15" customHeight="1">
      <c r="A197" t="inlineStr">
        <is>
          <t>A 42807-2025</t>
        </is>
      </c>
      <c r="B197" s="1" t="n">
        <v>45908.55247685185</v>
      </c>
      <c r="C197" s="1" t="n">
        <v>45916</v>
      </c>
      <c r="D197" t="inlineStr">
        <is>
          <t>JÄMTLANDS LÄN</t>
        </is>
      </c>
      <c r="E197" t="inlineStr">
        <is>
          <t>BRÄCKE</t>
        </is>
      </c>
      <c r="F197" t="inlineStr">
        <is>
          <t>SCA</t>
        </is>
      </c>
      <c r="G197" t="n">
        <v>2.5</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42807-2025 artfynd.xlsx", "A 42807-2025")</f>
        <v/>
      </c>
      <c r="T197">
        <f>HYPERLINK("https://klasma.github.io/Logging_2305/kartor/A 42807-2025 karta.png", "A 42807-2025")</f>
        <v/>
      </c>
      <c r="V197">
        <f>HYPERLINK("https://klasma.github.io/Logging_2305/klagomål/A 42807-2025 FSC-klagomål.docx", "A 42807-2025")</f>
        <v/>
      </c>
      <c r="W197">
        <f>HYPERLINK("https://klasma.github.io/Logging_2305/klagomålsmail/A 42807-2025 FSC-klagomål mail.docx", "A 42807-2025")</f>
        <v/>
      </c>
      <c r="X197">
        <f>HYPERLINK("https://klasma.github.io/Logging_2305/tillsyn/A 42807-2025 tillsynsbegäran.docx", "A 42807-2025")</f>
        <v/>
      </c>
      <c r="Y197">
        <f>HYPERLINK("https://klasma.github.io/Logging_2305/tillsynsmail/A 42807-2025 tillsynsbegäran mail.docx", "A 42807-2025")</f>
        <v/>
      </c>
    </row>
    <row r="198" ht="15" customHeight="1">
      <c r="A198" t="inlineStr">
        <is>
          <t>A 43141-2022</t>
        </is>
      </c>
      <c r="B198" s="1" t="n">
        <v>44833</v>
      </c>
      <c r="C198" s="1" t="n">
        <v>45916</v>
      </c>
      <c r="D198" t="inlineStr">
        <is>
          <t>JÄMTLANDS LÄN</t>
        </is>
      </c>
      <c r="E198" t="inlineStr">
        <is>
          <t>BRÄCKE</t>
        </is>
      </c>
      <c r="F198" t="inlineStr">
        <is>
          <t>SCA</t>
        </is>
      </c>
      <c r="G198" t="n">
        <v>2</v>
      </c>
      <c r="H198" t="n">
        <v>1</v>
      </c>
      <c r="I198" t="n">
        <v>0</v>
      </c>
      <c r="J198" t="n">
        <v>0</v>
      </c>
      <c r="K198" t="n">
        <v>2</v>
      </c>
      <c r="L198" t="n">
        <v>0</v>
      </c>
      <c r="M198" t="n">
        <v>0</v>
      </c>
      <c r="N198" t="n">
        <v>0</v>
      </c>
      <c r="O198" t="n">
        <v>2</v>
      </c>
      <c r="P198" t="n">
        <v>2</v>
      </c>
      <c r="Q198" t="n">
        <v>2</v>
      </c>
      <c r="R198" s="2" t="inlineStr">
        <is>
          <t>Frösöstarr
Knärot</t>
        </is>
      </c>
      <c r="S198">
        <f>HYPERLINK("https://klasma.github.io/Logging_2305/artfynd/A 43141-2022 artfynd.xlsx", "A 43141-2022")</f>
        <v/>
      </c>
      <c r="T198">
        <f>HYPERLINK("https://klasma.github.io/Logging_2305/kartor/A 43141-2022 karta.png", "A 43141-2022")</f>
        <v/>
      </c>
      <c r="U198">
        <f>HYPERLINK("https://klasma.github.io/Logging_2305/knärot/A 43141-2022 karta knärot.png", "A 43141-2022")</f>
        <v/>
      </c>
      <c r="V198">
        <f>HYPERLINK("https://klasma.github.io/Logging_2305/klagomål/A 43141-2022 FSC-klagomål.docx", "A 43141-2022")</f>
        <v/>
      </c>
      <c r="W198">
        <f>HYPERLINK("https://klasma.github.io/Logging_2305/klagomålsmail/A 43141-2022 FSC-klagomål mail.docx", "A 43141-2022")</f>
        <v/>
      </c>
      <c r="X198">
        <f>HYPERLINK("https://klasma.github.io/Logging_2305/tillsyn/A 43141-2022 tillsynsbegäran.docx", "A 43141-2022")</f>
        <v/>
      </c>
      <c r="Y198">
        <f>HYPERLINK("https://klasma.github.io/Logging_2305/tillsynsmail/A 43141-2022 tillsynsbegäran mail.docx", "A 43141-2022")</f>
        <v/>
      </c>
    </row>
    <row r="199" ht="15" customHeight="1">
      <c r="A199" t="inlineStr">
        <is>
          <t>A 43178-2025</t>
        </is>
      </c>
      <c r="B199" s="1" t="n">
        <v>45910.40681712963</v>
      </c>
      <c r="C199" s="1" t="n">
        <v>45916</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17489-2025</t>
        </is>
      </c>
      <c r="B200" s="1" t="n">
        <v>45757.51074074074</v>
      </c>
      <c r="C200" s="1" t="n">
        <v>45916</v>
      </c>
      <c r="D200" t="inlineStr">
        <is>
          <t>JÄMTLANDS LÄN</t>
        </is>
      </c>
      <c r="E200" t="inlineStr">
        <is>
          <t>BRÄCKE</t>
        </is>
      </c>
      <c r="F200" t="inlineStr">
        <is>
          <t>SCA</t>
        </is>
      </c>
      <c r="G200" t="n">
        <v>4.6</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17489-2025 artfynd.xlsx", "A 17489-2025")</f>
        <v/>
      </c>
      <c r="T200">
        <f>HYPERLINK("https://klasma.github.io/Logging_2305/kartor/A 17489-2025 karta.png", "A 17489-2025")</f>
        <v/>
      </c>
      <c r="V200">
        <f>HYPERLINK("https://klasma.github.io/Logging_2305/klagomål/A 17489-2025 FSC-klagomål.docx", "A 17489-2025")</f>
        <v/>
      </c>
      <c r="W200">
        <f>HYPERLINK("https://klasma.github.io/Logging_2305/klagomålsmail/A 17489-2025 FSC-klagomål mail.docx", "A 17489-2025")</f>
        <v/>
      </c>
      <c r="X200">
        <f>HYPERLINK("https://klasma.github.io/Logging_2305/tillsyn/A 17489-2025 tillsynsbegäran.docx", "A 17489-2025")</f>
        <v/>
      </c>
      <c r="Y200">
        <f>HYPERLINK("https://klasma.github.io/Logging_2305/tillsynsmail/A 17489-2025 tillsynsbegäran mail.docx", "A 17489-2025")</f>
        <v/>
      </c>
    </row>
    <row r="201" ht="15" customHeight="1">
      <c r="A201" t="inlineStr">
        <is>
          <t>A 6903-2024</t>
        </is>
      </c>
      <c r="B201" s="1" t="n">
        <v>45342</v>
      </c>
      <c r="C201" s="1" t="n">
        <v>45916</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45916</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33874-2023</t>
        </is>
      </c>
      <c r="B203" s="1" t="n">
        <v>45133</v>
      </c>
      <c r="C203" s="1" t="n">
        <v>45916</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39172-2021</t>
        </is>
      </c>
      <c r="B204" s="1" t="n">
        <v>44412</v>
      </c>
      <c r="C204" s="1" t="n">
        <v>45916</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12588-2024</t>
        </is>
      </c>
      <c r="B205" s="1" t="n">
        <v>45379.93667824074</v>
      </c>
      <c r="C205" s="1" t="n">
        <v>45916</v>
      </c>
      <c r="D205" t="inlineStr">
        <is>
          <t>JÄMTLANDS LÄN</t>
        </is>
      </c>
      <c r="E205" t="inlineStr">
        <is>
          <t>BRÄCKE</t>
        </is>
      </c>
      <c r="F205" t="inlineStr">
        <is>
          <t>SCA</t>
        </is>
      </c>
      <c r="G205" t="n">
        <v>5.1</v>
      </c>
      <c r="H205" t="n">
        <v>0</v>
      </c>
      <c r="I205" t="n">
        <v>0</v>
      </c>
      <c r="J205" t="n">
        <v>2</v>
      </c>
      <c r="K205" t="n">
        <v>0</v>
      </c>
      <c r="L205" t="n">
        <v>0</v>
      </c>
      <c r="M205" t="n">
        <v>0</v>
      </c>
      <c r="N205" t="n">
        <v>0</v>
      </c>
      <c r="O205" t="n">
        <v>2</v>
      </c>
      <c r="P205" t="n">
        <v>0</v>
      </c>
      <c r="Q205" t="n">
        <v>2</v>
      </c>
      <c r="R205" s="2" t="inlineStr">
        <is>
          <t>Blå taggsvamp
Ullticka</t>
        </is>
      </c>
      <c r="S205">
        <f>HYPERLINK("https://klasma.github.io/Logging_2305/artfynd/A 12588-2024 artfynd.xlsx", "A 12588-2024")</f>
        <v/>
      </c>
      <c r="T205">
        <f>HYPERLINK("https://klasma.github.io/Logging_2305/kartor/A 12588-2024 karta.png", "A 12588-2024")</f>
        <v/>
      </c>
      <c r="V205">
        <f>HYPERLINK("https://klasma.github.io/Logging_2305/klagomål/A 12588-2024 FSC-klagomål.docx", "A 12588-2024")</f>
        <v/>
      </c>
      <c r="W205">
        <f>HYPERLINK("https://klasma.github.io/Logging_2305/klagomålsmail/A 12588-2024 FSC-klagomål mail.docx", "A 12588-2024")</f>
        <v/>
      </c>
      <c r="X205">
        <f>HYPERLINK("https://klasma.github.io/Logging_2305/tillsyn/A 12588-2024 tillsynsbegäran.docx", "A 12588-2024")</f>
        <v/>
      </c>
      <c r="Y205">
        <f>HYPERLINK("https://klasma.github.io/Logging_2305/tillsynsmail/A 12588-2024 tillsynsbegäran mail.docx", "A 12588-2024")</f>
        <v/>
      </c>
    </row>
    <row r="206" ht="15" customHeight="1">
      <c r="A206" t="inlineStr">
        <is>
          <t>A 19916-2025</t>
        </is>
      </c>
      <c r="B206" s="1" t="n">
        <v>45771.61515046296</v>
      </c>
      <c r="C206" s="1" t="n">
        <v>45916</v>
      </c>
      <c r="D206" t="inlineStr">
        <is>
          <t>JÄMTLANDS LÄN</t>
        </is>
      </c>
      <c r="E206" t="inlineStr">
        <is>
          <t>BRÄCKE</t>
        </is>
      </c>
      <c r="F206" t="inlineStr">
        <is>
          <t>SCA</t>
        </is>
      </c>
      <c r="G206" t="n">
        <v>7.5</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19916-2025 artfynd.xlsx", "A 19916-2025")</f>
        <v/>
      </c>
      <c r="T206">
        <f>HYPERLINK("https://klasma.github.io/Logging_2305/kartor/A 19916-2025 karta.png", "A 19916-2025")</f>
        <v/>
      </c>
      <c r="U206">
        <f>HYPERLINK("https://klasma.github.io/Logging_2305/knärot/A 19916-2025 karta knärot.png", "A 19916-2025")</f>
        <v/>
      </c>
      <c r="V206">
        <f>HYPERLINK("https://klasma.github.io/Logging_2305/klagomål/A 19916-2025 FSC-klagomål.docx", "A 19916-2025")</f>
        <v/>
      </c>
      <c r="W206">
        <f>HYPERLINK("https://klasma.github.io/Logging_2305/klagomålsmail/A 19916-2025 FSC-klagomål mail.docx", "A 19916-2025")</f>
        <v/>
      </c>
      <c r="X206">
        <f>HYPERLINK("https://klasma.github.io/Logging_2305/tillsyn/A 19916-2025 tillsynsbegäran.docx", "A 19916-2025")</f>
        <v/>
      </c>
      <c r="Y206">
        <f>HYPERLINK("https://klasma.github.io/Logging_2305/tillsynsmail/A 19916-2025 tillsynsbegäran mail.docx", "A 19916-2025")</f>
        <v/>
      </c>
    </row>
    <row r="207" ht="15" customHeight="1">
      <c r="A207" t="inlineStr">
        <is>
          <t>A 30988-2024</t>
        </is>
      </c>
      <c r="B207" s="1" t="n">
        <v>45499.54738425926</v>
      </c>
      <c r="C207" s="1" t="n">
        <v>45916</v>
      </c>
      <c r="D207" t="inlineStr">
        <is>
          <t>JÄMTLANDS LÄN</t>
        </is>
      </c>
      <c r="E207" t="inlineStr">
        <is>
          <t>BRÄCKE</t>
        </is>
      </c>
      <c r="F207" t="inlineStr">
        <is>
          <t>Sveaskog</t>
        </is>
      </c>
      <c r="G207" t="n">
        <v>4.8</v>
      </c>
      <c r="H207" t="n">
        <v>1</v>
      </c>
      <c r="I207" t="n">
        <v>1</v>
      </c>
      <c r="J207" t="n">
        <v>1</v>
      </c>
      <c r="K207" t="n">
        <v>0</v>
      </c>
      <c r="L207" t="n">
        <v>0</v>
      </c>
      <c r="M207" t="n">
        <v>0</v>
      </c>
      <c r="N207" t="n">
        <v>0</v>
      </c>
      <c r="O207" t="n">
        <v>1</v>
      </c>
      <c r="P207" t="n">
        <v>0</v>
      </c>
      <c r="Q207" t="n">
        <v>2</v>
      </c>
      <c r="R207" s="2" t="inlineStr">
        <is>
          <t>Lunglav
Tvåblad</t>
        </is>
      </c>
      <c r="S207">
        <f>HYPERLINK("https://klasma.github.io/Logging_2305/artfynd/A 30988-2024 artfynd.xlsx", "A 30988-2024")</f>
        <v/>
      </c>
      <c r="T207">
        <f>HYPERLINK("https://klasma.github.io/Logging_2305/kartor/A 30988-2024 karta.png", "A 30988-2024")</f>
        <v/>
      </c>
      <c r="V207">
        <f>HYPERLINK("https://klasma.github.io/Logging_2305/klagomål/A 30988-2024 FSC-klagomål.docx", "A 30988-2024")</f>
        <v/>
      </c>
      <c r="W207">
        <f>HYPERLINK("https://klasma.github.io/Logging_2305/klagomålsmail/A 30988-2024 FSC-klagomål mail.docx", "A 30988-2024")</f>
        <v/>
      </c>
      <c r="X207">
        <f>HYPERLINK("https://klasma.github.io/Logging_2305/tillsyn/A 30988-2024 tillsynsbegäran.docx", "A 30988-2024")</f>
        <v/>
      </c>
      <c r="Y207">
        <f>HYPERLINK("https://klasma.github.io/Logging_2305/tillsynsmail/A 30988-2024 tillsynsbegäran mail.docx", "A 30988-2024")</f>
        <v/>
      </c>
    </row>
    <row r="208" ht="15" customHeight="1">
      <c r="A208" t="inlineStr">
        <is>
          <t>A 10856-2025</t>
        </is>
      </c>
      <c r="B208" s="1" t="n">
        <v>45722.59428240741</v>
      </c>
      <c r="C208" s="1" t="n">
        <v>45916</v>
      </c>
      <c r="D208" t="inlineStr">
        <is>
          <t>JÄMTLANDS LÄN</t>
        </is>
      </c>
      <c r="E208" t="inlineStr">
        <is>
          <t>BRÄCKE</t>
        </is>
      </c>
      <c r="F208" t="inlineStr">
        <is>
          <t>SCA</t>
        </is>
      </c>
      <c r="G208" t="n">
        <v>8.300000000000001</v>
      </c>
      <c r="H208" t="n">
        <v>2</v>
      </c>
      <c r="I208" t="n">
        <v>0</v>
      </c>
      <c r="J208" t="n">
        <v>1</v>
      </c>
      <c r="K208" t="n">
        <v>0</v>
      </c>
      <c r="L208" t="n">
        <v>0</v>
      </c>
      <c r="M208" t="n">
        <v>0</v>
      </c>
      <c r="N208" t="n">
        <v>0</v>
      </c>
      <c r="O208" t="n">
        <v>1</v>
      </c>
      <c r="P208" t="n">
        <v>0</v>
      </c>
      <c r="Q208" t="n">
        <v>2</v>
      </c>
      <c r="R208" s="2" t="inlineStr">
        <is>
          <t>Rödvingetrast
Kungsfågel</t>
        </is>
      </c>
      <c r="S208">
        <f>HYPERLINK("https://klasma.github.io/Logging_2305/artfynd/A 10856-2025 artfynd.xlsx", "A 10856-2025")</f>
        <v/>
      </c>
      <c r="T208">
        <f>HYPERLINK("https://klasma.github.io/Logging_2305/kartor/A 10856-2025 karta.png", "A 10856-2025")</f>
        <v/>
      </c>
      <c r="V208">
        <f>HYPERLINK("https://klasma.github.io/Logging_2305/klagomål/A 10856-2025 FSC-klagomål.docx", "A 10856-2025")</f>
        <v/>
      </c>
      <c r="W208">
        <f>HYPERLINK("https://klasma.github.io/Logging_2305/klagomålsmail/A 10856-2025 FSC-klagomål mail.docx", "A 10856-2025")</f>
        <v/>
      </c>
      <c r="X208">
        <f>HYPERLINK("https://klasma.github.io/Logging_2305/tillsyn/A 10856-2025 tillsynsbegäran.docx", "A 10856-2025")</f>
        <v/>
      </c>
      <c r="Y208">
        <f>HYPERLINK("https://klasma.github.io/Logging_2305/tillsynsmail/A 10856-2025 tillsynsbegäran mail.docx", "A 10856-2025")</f>
        <v/>
      </c>
      <c r="Z208">
        <f>HYPERLINK("https://klasma.github.io/Logging_2305/fåglar/A 10856-2025 prioriterade fågelarter.docx", "A 10856-2025")</f>
        <v/>
      </c>
    </row>
    <row r="209" ht="15" customHeight="1">
      <c r="A209" t="inlineStr">
        <is>
          <t>A 50328-2022</t>
        </is>
      </c>
      <c r="B209" s="1" t="n">
        <v>44865</v>
      </c>
      <c r="C209" s="1" t="n">
        <v>45916</v>
      </c>
      <c r="D209" t="inlineStr">
        <is>
          <t>JÄMTLANDS LÄN</t>
        </is>
      </c>
      <c r="E209" t="inlineStr">
        <is>
          <t>BRÄCKE</t>
        </is>
      </c>
      <c r="F209" t="inlineStr">
        <is>
          <t>SCA</t>
        </is>
      </c>
      <c r="G209" t="n">
        <v>1.6</v>
      </c>
      <c r="H209" t="n">
        <v>0</v>
      </c>
      <c r="I209" t="n">
        <v>0</v>
      </c>
      <c r="J209" t="n">
        <v>2</v>
      </c>
      <c r="K209" t="n">
        <v>0</v>
      </c>
      <c r="L209" t="n">
        <v>0</v>
      </c>
      <c r="M209" t="n">
        <v>0</v>
      </c>
      <c r="N209" t="n">
        <v>0</v>
      </c>
      <c r="O209" t="n">
        <v>2</v>
      </c>
      <c r="P209" t="n">
        <v>0</v>
      </c>
      <c r="Q209" t="n">
        <v>2</v>
      </c>
      <c r="R209" s="2" t="inlineStr">
        <is>
          <t>Ullticka
Vitgrynig nållav</t>
        </is>
      </c>
      <c r="S209">
        <f>HYPERLINK("https://klasma.github.io/Logging_2305/artfynd/A 50328-2022 artfynd.xlsx", "A 50328-2022")</f>
        <v/>
      </c>
      <c r="T209">
        <f>HYPERLINK("https://klasma.github.io/Logging_2305/kartor/A 50328-2022 karta.png", "A 50328-2022")</f>
        <v/>
      </c>
      <c r="V209">
        <f>HYPERLINK("https://klasma.github.io/Logging_2305/klagomål/A 50328-2022 FSC-klagomål.docx", "A 50328-2022")</f>
        <v/>
      </c>
      <c r="W209">
        <f>HYPERLINK("https://klasma.github.io/Logging_2305/klagomålsmail/A 50328-2022 FSC-klagomål mail.docx", "A 50328-2022")</f>
        <v/>
      </c>
      <c r="X209">
        <f>HYPERLINK("https://klasma.github.io/Logging_2305/tillsyn/A 50328-2022 tillsynsbegäran.docx", "A 50328-2022")</f>
        <v/>
      </c>
      <c r="Y209">
        <f>HYPERLINK("https://klasma.github.io/Logging_2305/tillsynsmail/A 50328-2022 tillsynsbegäran mail.docx", "A 50328-2022")</f>
        <v/>
      </c>
    </row>
    <row r="210" ht="15" customHeight="1">
      <c r="A210" t="inlineStr">
        <is>
          <t>A 49328-2023</t>
        </is>
      </c>
      <c r="B210" s="1" t="n">
        <v>45210</v>
      </c>
      <c r="C210" s="1" t="n">
        <v>45916</v>
      </c>
      <c r="D210" t="inlineStr">
        <is>
          <t>JÄMTLANDS LÄN</t>
        </is>
      </c>
      <c r="E210" t="inlineStr">
        <is>
          <t>BRÄCKE</t>
        </is>
      </c>
      <c r="F210" t="inlineStr">
        <is>
          <t>SCA</t>
        </is>
      </c>
      <c r="G210" t="n">
        <v>3.2</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49328-2023 artfynd.xlsx", "A 49328-2023")</f>
        <v/>
      </c>
      <c r="T210">
        <f>HYPERLINK("https://klasma.github.io/Logging_2305/kartor/A 49328-2023 karta.png", "A 49328-2023")</f>
        <v/>
      </c>
      <c r="V210">
        <f>HYPERLINK("https://klasma.github.io/Logging_2305/klagomål/A 49328-2023 FSC-klagomål.docx", "A 49328-2023")</f>
        <v/>
      </c>
      <c r="W210">
        <f>HYPERLINK("https://klasma.github.io/Logging_2305/klagomålsmail/A 49328-2023 FSC-klagomål mail.docx", "A 49328-2023")</f>
        <v/>
      </c>
      <c r="X210">
        <f>HYPERLINK("https://klasma.github.io/Logging_2305/tillsyn/A 49328-2023 tillsynsbegäran.docx", "A 49328-2023")</f>
        <v/>
      </c>
      <c r="Y210">
        <f>HYPERLINK("https://klasma.github.io/Logging_2305/tillsynsmail/A 49328-2023 tillsynsbegäran mail.docx", "A 49328-2023")</f>
        <v/>
      </c>
    </row>
    <row r="211" ht="15" customHeight="1">
      <c r="A211" t="inlineStr">
        <is>
          <t>A 55343-2023</t>
        </is>
      </c>
      <c r="B211" s="1" t="n">
        <v>45237</v>
      </c>
      <c r="C211" s="1" t="n">
        <v>45916</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2467-2025</t>
        </is>
      </c>
      <c r="B212" s="1" t="n">
        <v>45674.46979166667</v>
      </c>
      <c r="C212" s="1" t="n">
        <v>45916</v>
      </c>
      <c r="D212" t="inlineStr">
        <is>
          <t>JÄMTLANDS LÄN</t>
        </is>
      </c>
      <c r="E212" t="inlineStr">
        <is>
          <t>BRÄCKE</t>
        </is>
      </c>
      <c r="F212" t="inlineStr">
        <is>
          <t>SCA</t>
        </is>
      </c>
      <c r="G212" t="n">
        <v>5.6</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HYPERLINK("https://klasma.github.io/Logging_2305/artfynd/A 2467-2025 artfynd.xlsx", "A 2467-2025")</f>
        <v/>
      </c>
      <c r="T212">
        <f>HYPERLINK("https://klasma.github.io/Logging_2305/kartor/A 2467-2025 karta.png", "A 2467-2025")</f>
        <v/>
      </c>
      <c r="V212">
        <f>HYPERLINK("https://klasma.github.io/Logging_2305/klagomål/A 2467-2025 FSC-klagomål.docx", "A 2467-2025")</f>
        <v/>
      </c>
      <c r="W212">
        <f>HYPERLINK("https://klasma.github.io/Logging_2305/klagomålsmail/A 2467-2025 FSC-klagomål mail.docx", "A 2467-2025")</f>
        <v/>
      </c>
      <c r="X212">
        <f>HYPERLINK("https://klasma.github.io/Logging_2305/tillsyn/A 2467-2025 tillsynsbegäran.docx", "A 2467-2025")</f>
        <v/>
      </c>
      <c r="Y212">
        <f>HYPERLINK("https://klasma.github.io/Logging_2305/tillsynsmail/A 2467-2025 tillsynsbegäran mail.docx", "A 2467-2025")</f>
        <v/>
      </c>
      <c r="Z212">
        <f>HYPERLINK("https://klasma.github.io/Logging_2305/fåglar/A 2467-2025 prioriterade fågelarter.docx", "A 2467-2025")</f>
        <v/>
      </c>
    </row>
    <row r="213" ht="15" customHeight="1">
      <c r="A213" t="inlineStr">
        <is>
          <t>A 48772-2024</t>
        </is>
      </c>
      <c r="B213" s="1" t="n">
        <v>45593.61495370371</v>
      </c>
      <c r="C213" s="1" t="n">
        <v>45916</v>
      </c>
      <c r="D213" t="inlineStr">
        <is>
          <t>JÄMTLANDS LÄN</t>
        </is>
      </c>
      <c r="E213" t="inlineStr">
        <is>
          <t>BRÄCKE</t>
        </is>
      </c>
      <c r="F213" t="inlineStr">
        <is>
          <t>SCA</t>
        </is>
      </c>
      <c r="G213" t="n">
        <v>2.7</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48772-2024 artfynd.xlsx", "A 48772-2024")</f>
        <v/>
      </c>
      <c r="T213">
        <f>HYPERLINK("https://klasma.github.io/Logging_2305/kartor/A 48772-2024 karta.png", "A 48772-2024")</f>
        <v/>
      </c>
      <c r="V213">
        <f>HYPERLINK("https://klasma.github.io/Logging_2305/klagomål/A 48772-2024 FSC-klagomål.docx", "A 48772-2024")</f>
        <v/>
      </c>
      <c r="W213">
        <f>HYPERLINK("https://klasma.github.io/Logging_2305/klagomålsmail/A 48772-2024 FSC-klagomål mail.docx", "A 48772-2024")</f>
        <v/>
      </c>
      <c r="X213">
        <f>HYPERLINK("https://klasma.github.io/Logging_2305/tillsyn/A 48772-2024 tillsynsbegäran.docx", "A 48772-2024")</f>
        <v/>
      </c>
      <c r="Y213">
        <f>HYPERLINK("https://klasma.github.io/Logging_2305/tillsynsmail/A 48772-2024 tillsynsbegäran mail.docx", "A 48772-2024")</f>
        <v/>
      </c>
    </row>
    <row r="214" ht="15" customHeight="1">
      <c r="A214" t="inlineStr">
        <is>
          <t>A 17992-2025</t>
        </is>
      </c>
      <c r="B214" s="1" t="n">
        <v>45761.40657407408</v>
      </c>
      <c r="C214" s="1" t="n">
        <v>45916</v>
      </c>
      <c r="D214" t="inlineStr">
        <is>
          <t>JÄMTLANDS LÄN</t>
        </is>
      </c>
      <c r="E214" t="inlineStr">
        <is>
          <t>BRÄCKE</t>
        </is>
      </c>
      <c r="F214" t="inlineStr">
        <is>
          <t>SCA</t>
        </is>
      </c>
      <c r="G214" t="n">
        <v>1.4</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17992-2025 artfynd.xlsx", "A 17992-2025")</f>
        <v/>
      </c>
      <c r="T214">
        <f>HYPERLINK("https://klasma.github.io/Logging_2305/kartor/A 17992-2025 karta.png", "A 17992-2025")</f>
        <v/>
      </c>
      <c r="V214">
        <f>HYPERLINK("https://klasma.github.io/Logging_2305/klagomål/A 17992-2025 FSC-klagomål.docx", "A 17992-2025")</f>
        <v/>
      </c>
      <c r="W214">
        <f>HYPERLINK("https://klasma.github.io/Logging_2305/klagomålsmail/A 17992-2025 FSC-klagomål mail.docx", "A 17992-2025")</f>
        <v/>
      </c>
      <c r="X214">
        <f>HYPERLINK("https://klasma.github.io/Logging_2305/tillsyn/A 17992-2025 tillsynsbegäran.docx", "A 17992-2025")</f>
        <v/>
      </c>
      <c r="Y214">
        <f>HYPERLINK("https://klasma.github.io/Logging_2305/tillsynsmail/A 17992-2025 tillsynsbegäran mail.docx", "A 17992-2025")</f>
        <v/>
      </c>
    </row>
    <row r="215" ht="15" customHeight="1">
      <c r="A215" t="inlineStr">
        <is>
          <t>A 40401-2023</t>
        </is>
      </c>
      <c r="B215" s="1" t="n">
        <v>45169</v>
      </c>
      <c r="C215" s="1" t="n">
        <v>45916</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21408-2025</t>
        </is>
      </c>
      <c r="B216" s="1" t="n">
        <v>45782.4906712963</v>
      </c>
      <c r="C216" s="1" t="n">
        <v>45916</v>
      </c>
      <c r="D216" t="inlineStr">
        <is>
          <t>JÄMTLANDS LÄN</t>
        </is>
      </c>
      <c r="E216" t="inlineStr">
        <is>
          <t>BRÄCKE</t>
        </is>
      </c>
      <c r="F216" t="inlineStr">
        <is>
          <t>SCA</t>
        </is>
      </c>
      <c r="G216" t="n">
        <v>1.2</v>
      </c>
      <c r="H216" t="n">
        <v>1</v>
      </c>
      <c r="I216" t="n">
        <v>1</v>
      </c>
      <c r="J216" t="n">
        <v>0</v>
      </c>
      <c r="K216" t="n">
        <v>0</v>
      </c>
      <c r="L216" t="n">
        <v>0</v>
      </c>
      <c r="M216" t="n">
        <v>0</v>
      </c>
      <c r="N216" t="n">
        <v>0</v>
      </c>
      <c r="O216" t="n">
        <v>0</v>
      </c>
      <c r="P216" t="n">
        <v>0</v>
      </c>
      <c r="Q216" t="n">
        <v>2</v>
      </c>
      <c r="R216" s="2" t="inlineStr">
        <is>
          <t>Underviol
Blåsippa</t>
        </is>
      </c>
      <c r="S216">
        <f>HYPERLINK("https://klasma.github.io/Logging_2305/artfynd/A 21408-2025 artfynd.xlsx", "A 21408-2025")</f>
        <v/>
      </c>
      <c r="T216">
        <f>HYPERLINK("https://klasma.github.io/Logging_2305/kartor/A 21408-2025 karta.png", "A 21408-2025")</f>
        <v/>
      </c>
      <c r="V216">
        <f>HYPERLINK("https://klasma.github.io/Logging_2305/klagomål/A 21408-2025 FSC-klagomål.docx", "A 21408-2025")</f>
        <v/>
      </c>
      <c r="W216">
        <f>HYPERLINK("https://klasma.github.io/Logging_2305/klagomålsmail/A 21408-2025 FSC-klagomål mail.docx", "A 21408-2025")</f>
        <v/>
      </c>
      <c r="X216">
        <f>HYPERLINK("https://klasma.github.io/Logging_2305/tillsyn/A 21408-2025 tillsynsbegäran.docx", "A 21408-2025")</f>
        <v/>
      </c>
      <c r="Y216">
        <f>HYPERLINK("https://klasma.github.io/Logging_2305/tillsynsmail/A 21408-2025 tillsynsbegäran mail.docx", "A 21408-2025")</f>
        <v/>
      </c>
    </row>
    <row r="217" ht="15" customHeight="1">
      <c r="A217" t="inlineStr">
        <is>
          <t>A 10105-2025</t>
        </is>
      </c>
      <c r="B217" s="1" t="n">
        <v>45719.58310185185</v>
      </c>
      <c r="C217" s="1" t="n">
        <v>45916</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5858-2025</t>
        </is>
      </c>
      <c r="B218" s="1" t="n">
        <v>45695.34447916667</v>
      </c>
      <c r="C218" s="1" t="n">
        <v>45916</v>
      </c>
      <c r="D218" t="inlineStr">
        <is>
          <t>JÄMTLANDS LÄN</t>
        </is>
      </c>
      <c r="E218" t="inlineStr">
        <is>
          <t>BRÄCKE</t>
        </is>
      </c>
      <c r="G218" t="n">
        <v>2.7</v>
      </c>
      <c r="H218" t="n">
        <v>1</v>
      </c>
      <c r="I218" t="n">
        <v>0</v>
      </c>
      <c r="J218" t="n">
        <v>0</v>
      </c>
      <c r="K218" t="n">
        <v>0</v>
      </c>
      <c r="L218" t="n">
        <v>2</v>
      </c>
      <c r="M218" t="n">
        <v>0</v>
      </c>
      <c r="N218" t="n">
        <v>0</v>
      </c>
      <c r="O218" t="n">
        <v>2</v>
      </c>
      <c r="P218" t="n">
        <v>2</v>
      </c>
      <c r="Q218" t="n">
        <v>2</v>
      </c>
      <c r="R218" s="2" t="inlineStr">
        <is>
          <t>Bredgentiana
Fältgentiana</t>
        </is>
      </c>
      <c r="S218">
        <f>HYPERLINK("https://klasma.github.io/Logging_2305/artfynd/A 5858-2025 artfynd.xlsx", "A 5858-2025")</f>
        <v/>
      </c>
      <c r="T218">
        <f>HYPERLINK("https://klasma.github.io/Logging_2305/kartor/A 5858-2025 karta.png", "A 5858-2025")</f>
        <v/>
      </c>
      <c r="V218">
        <f>HYPERLINK("https://klasma.github.io/Logging_2305/klagomål/A 5858-2025 FSC-klagomål.docx", "A 5858-2025")</f>
        <v/>
      </c>
      <c r="W218">
        <f>HYPERLINK("https://klasma.github.io/Logging_2305/klagomålsmail/A 5858-2025 FSC-klagomål mail.docx", "A 5858-2025")</f>
        <v/>
      </c>
      <c r="X218">
        <f>HYPERLINK("https://klasma.github.io/Logging_2305/tillsyn/A 5858-2025 tillsynsbegäran.docx", "A 5858-2025")</f>
        <v/>
      </c>
      <c r="Y218">
        <f>HYPERLINK("https://klasma.github.io/Logging_2305/tillsynsmail/A 5858-2025 tillsynsbegäran mail.docx", "A 5858-2025")</f>
        <v/>
      </c>
    </row>
    <row r="219" ht="15" customHeight="1">
      <c r="A219" t="inlineStr">
        <is>
          <t>A 50497-2023</t>
        </is>
      </c>
      <c r="B219" s="1" t="n">
        <v>45216</v>
      </c>
      <c r="C219" s="1" t="n">
        <v>45916</v>
      </c>
      <c r="D219" t="inlineStr">
        <is>
          <t>JÄMTLANDS LÄN</t>
        </is>
      </c>
      <c r="E219" t="inlineStr">
        <is>
          <t>BRÄCKE</t>
        </is>
      </c>
      <c r="F219" t="inlineStr">
        <is>
          <t>SCA</t>
        </is>
      </c>
      <c r="G219" t="n">
        <v>2.5</v>
      </c>
      <c r="H219" t="n">
        <v>1</v>
      </c>
      <c r="I219" t="n">
        <v>1</v>
      </c>
      <c r="J219" t="n">
        <v>0</v>
      </c>
      <c r="K219" t="n">
        <v>1</v>
      </c>
      <c r="L219" t="n">
        <v>0</v>
      </c>
      <c r="M219" t="n">
        <v>0</v>
      </c>
      <c r="N219" t="n">
        <v>0</v>
      </c>
      <c r="O219" t="n">
        <v>1</v>
      </c>
      <c r="P219" t="n">
        <v>1</v>
      </c>
      <c r="Q219" t="n">
        <v>2</v>
      </c>
      <c r="R219" s="2" t="inlineStr">
        <is>
          <t>Knärot
Skuggblåslav</t>
        </is>
      </c>
      <c r="S219">
        <f>HYPERLINK("https://klasma.github.io/Logging_2305/artfynd/A 50497-2023 artfynd.xlsx", "A 50497-2023")</f>
        <v/>
      </c>
      <c r="T219">
        <f>HYPERLINK("https://klasma.github.io/Logging_2305/kartor/A 50497-2023 karta.png", "A 50497-2023")</f>
        <v/>
      </c>
      <c r="U219">
        <f>HYPERLINK("https://klasma.github.io/Logging_2305/knärot/A 50497-2023 karta knärot.png", "A 50497-2023")</f>
        <v/>
      </c>
      <c r="V219">
        <f>HYPERLINK("https://klasma.github.io/Logging_2305/klagomål/A 50497-2023 FSC-klagomål.docx", "A 50497-2023")</f>
        <v/>
      </c>
      <c r="W219">
        <f>HYPERLINK("https://klasma.github.io/Logging_2305/klagomålsmail/A 50497-2023 FSC-klagomål mail.docx", "A 50497-2023")</f>
        <v/>
      </c>
      <c r="X219">
        <f>HYPERLINK("https://klasma.github.io/Logging_2305/tillsyn/A 50497-2023 tillsynsbegäran.docx", "A 50497-2023")</f>
        <v/>
      </c>
      <c r="Y219">
        <f>HYPERLINK("https://klasma.github.io/Logging_2305/tillsynsmail/A 50497-2023 tillsynsbegäran mail.docx", "A 50497-2023")</f>
        <v/>
      </c>
    </row>
    <row r="220" ht="15" customHeight="1">
      <c r="A220" t="inlineStr">
        <is>
          <t>A 22706-2025</t>
        </is>
      </c>
      <c r="B220" s="1" t="n">
        <v>45789.55290509259</v>
      </c>
      <c r="C220" s="1" t="n">
        <v>45916</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Kolflarnlav
Stiftgelélav</t>
        </is>
      </c>
      <c r="S220">
        <f>HYPERLINK("https://klasma.github.io/Logging_2305/artfynd/A 22706-2025 artfynd.xlsx", "A 22706-2025")</f>
        <v/>
      </c>
      <c r="T220">
        <f>HYPERLINK("https://klasma.github.io/Logging_2305/kartor/A 22706-2025 karta.png", "A 22706-2025")</f>
        <v/>
      </c>
      <c r="V220">
        <f>HYPERLINK("https://klasma.github.io/Logging_2305/klagomål/A 22706-2025 FSC-klagomål.docx", "A 22706-2025")</f>
        <v/>
      </c>
      <c r="W220">
        <f>HYPERLINK("https://klasma.github.io/Logging_2305/klagomålsmail/A 22706-2025 FSC-klagomål mail.docx", "A 22706-2025")</f>
        <v/>
      </c>
      <c r="X220">
        <f>HYPERLINK("https://klasma.github.io/Logging_2305/tillsyn/A 22706-2025 tillsynsbegäran.docx", "A 22706-2025")</f>
        <v/>
      </c>
      <c r="Y220">
        <f>HYPERLINK("https://klasma.github.io/Logging_2305/tillsynsmail/A 22706-2025 tillsynsbegäran mail.docx", "A 22706-2025")</f>
        <v/>
      </c>
    </row>
    <row r="221" ht="15" customHeight="1">
      <c r="A221" t="inlineStr">
        <is>
          <t>A 59324-2021</t>
        </is>
      </c>
      <c r="B221" s="1" t="n">
        <v>44490</v>
      </c>
      <c r="C221" s="1" t="n">
        <v>45916</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47295-2023</t>
        </is>
      </c>
      <c r="B222" s="1" t="n">
        <v>45196</v>
      </c>
      <c r="C222" s="1" t="n">
        <v>45916</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69154-2021</t>
        </is>
      </c>
      <c r="B223" s="1" t="n">
        <v>44530</v>
      </c>
      <c r="C223" s="1" t="n">
        <v>45916</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45916</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45916</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45916</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45916</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45916</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17588-2024</t>
        </is>
      </c>
      <c r="B229" s="1" t="n">
        <v>45415.94054398148</v>
      </c>
      <c r="C229" s="1" t="n">
        <v>45916</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31479-2024</t>
        </is>
      </c>
      <c r="B230" s="1" t="n">
        <v>45505.95263888889</v>
      </c>
      <c r="C230" s="1" t="n">
        <v>45916</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Violettgrå tagellav</t>
        </is>
      </c>
      <c r="S230">
        <f>HYPERLINK("https://klasma.github.io/Logging_2305/artfynd/A 31479-2024 artfynd.xlsx", "A 31479-2024")</f>
        <v/>
      </c>
      <c r="T230">
        <f>HYPERLINK("https://klasma.github.io/Logging_2305/kartor/A 31479-2024 karta.png", "A 31479-2024")</f>
        <v/>
      </c>
      <c r="V230">
        <f>HYPERLINK("https://klasma.github.io/Logging_2305/klagomål/A 31479-2024 FSC-klagomål.docx", "A 31479-2024")</f>
        <v/>
      </c>
      <c r="W230">
        <f>HYPERLINK("https://klasma.github.io/Logging_2305/klagomålsmail/A 31479-2024 FSC-klagomål mail.docx", "A 31479-2024")</f>
        <v/>
      </c>
      <c r="X230">
        <f>HYPERLINK("https://klasma.github.io/Logging_2305/tillsyn/A 31479-2024 tillsynsbegäran.docx", "A 31479-2024")</f>
        <v/>
      </c>
      <c r="Y230">
        <f>HYPERLINK("https://klasma.github.io/Logging_2305/tillsynsmail/A 31479-2024 tillsynsbegäran mail.docx", "A 31479-2024")</f>
        <v/>
      </c>
    </row>
    <row r="231" ht="15" customHeight="1">
      <c r="A231" t="inlineStr">
        <is>
          <t>A 36312-2024</t>
        </is>
      </c>
      <c r="B231" s="1" t="n">
        <v>45534.63096064814</v>
      </c>
      <c r="C231" s="1" t="n">
        <v>45916</v>
      </c>
      <c r="D231" t="inlineStr">
        <is>
          <t>JÄMTLANDS LÄN</t>
        </is>
      </c>
      <c r="E231" t="inlineStr">
        <is>
          <t>BRÄCKE</t>
        </is>
      </c>
      <c r="F231" t="inlineStr">
        <is>
          <t>SCA</t>
        </is>
      </c>
      <c r="G231" t="n">
        <v>9.9</v>
      </c>
      <c r="H231" t="n">
        <v>0</v>
      </c>
      <c r="I231" t="n">
        <v>0</v>
      </c>
      <c r="J231" t="n">
        <v>1</v>
      </c>
      <c r="K231" t="n">
        <v>0</v>
      </c>
      <c r="L231" t="n">
        <v>0</v>
      </c>
      <c r="M231" t="n">
        <v>0</v>
      </c>
      <c r="N231" t="n">
        <v>0</v>
      </c>
      <c r="O231" t="n">
        <v>1</v>
      </c>
      <c r="P231" t="n">
        <v>0</v>
      </c>
      <c r="Q231" t="n">
        <v>1</v>
      </c>
      <c r="R231" s="2" t="inlineStr">
        <is>
          <t>Lunglav</t>
        </is>
      </c>
      <c r="S231">
        <f>HYPERLINK("https://klasma.github.io/Logging_2305/artfynd/A 36312-2024 artfynd.xlsx", "A 36312-2024")</f>
        <v/>
      </c>
      <c r="T231">
        <f>HYPERLINK("https://klasma.github.io/Logging_2305/kartor/A 36312-2024 karta.png", "A 36312-2024")</f>
        <v/>
      </c>
      <c r="V231">
        <f>HYPERLINK("https://klasma.github.io/Logging_2305/klagomål/A 36312-2024 FSC-klagomål.docx", "A 36312-2024")</f>
        <v/>
      </c>
      <c r="W231">
        <f>HYPERLINK("https://klasma.github.io/Logging_2305/klagomålsmail/A 36312-2024 FSC-klagomål mail.docx", "A 36312-2024")</f>
        <v/>
      </c>
      <c r="X231">
        <f>HYPERLINK("https://klasma.github.io/Logging_2305/tillsyn/A 36312-2024 tillsynsbegäran.docx", "A 36312-2024")</f>
        <v/>
      </c>
      <c r="Y231">
        <f>HYPERLINK("https://klasma.github.io/Logging_2305/tillsynsmail/A 36312-2024 tillsynsbegäran mail.docx", "A 36312-2024")</f>
        <v/>
      </c>
    </row>
    <row r="232" ht="15" customHeight="1">
      <c r="A232" t="inlineStr">
        <is>
          <t>A 58777-2023</t>
        </is>
      </c>
      <c r="B232" s="1" t="n">
        <v>45251.96747685185</v>
      </c>
      <c r="C232" s="1" t="n">
        <v>45916</v>
      </c>
      <c r="D232" t="inlineStr">
        <is>
          <t>JÄMTLANDS LÄN</t>
        </is>
      </c>
      <c r="E232" t="inlineStr">
        <is>
          <t>BRÄCKE</t>
        </is>
      </c>
      <c r="F232" t="inlineStr">
        <is>
          <t>SCA</t>
        </is>
      </c>
      <c r="G232" t="n">
        <v>1.1</v>
      </c>
      <c r="H232" t="n">
        <v>0</v>
      </c>
      <c r="I232" t="n">
        <v>0</v>
      </c>
      <c r="J232" t="n">
        <v>1</v>
      </c>
      <c r="K232" t="n">
        <v>0</v>
      </c>
      <c r="L232" t="n">
        <v>0</v>
      </c>
      <c r="M232" t="n">
        <v>0</v>
      </c>
      <c r="N232" t="n">
        <v>0</v>
      </c>
      <c r="O232" t="n">
        <v>1</v>
      </c>
      <c r="P232" t="n">
        <v>0</v>
      </c>
      <c r="Q232" t="n">
        <v>1</v>
      </c>
      <c r="R232" s="2" t="inlineStr">
        <is>
          <t>Igelkott</t>
        </is>
      </c>
      <c r="S232">
        <f>HYPERLINK("https://klasma.github.io/Logging_2305/artfynd/A 58777-2023 artfynd.xlsx", "A 58777-2023")</f>
        <v/>
      </c>
      <c r="T232">
        <f>HYPERLINK("https://klasma.github.io/Logging_2305/kartor/A 58777-2023 karta.png", "A 58777-2023")</f>
        <v/>
      </c>
      <c r="V232">
        <f>HYPERLINK("https://klasma.github.io/Logging_2305/klagomål/A 58777-2023 FSC-klagomål.docx", "A 58777-2023")</f>
        <v/>
      </c>
      <c r="W232">
        <f>HYPERLINK("https://klasma.github.io/Logging_2305/klagomålsmail/A 58777-2023 FSC-klagomål mail.docx", "A 58777-2023")</f>
        <v/>
      </c>
      <c r="X232">
        <f>HYPERLINK("https://klasma.github.io/Logging_2305/tillsyn/A 58777-2023 tillsynsbegäran.docx", "A 58777-2023")</f>
        <v/>
      </c>
      <c r="Y232">
        <f>HYPERLINK("https://klasma.github.io/Logging_2305/tillsynsmail/A 58777-2023 tillsynsbegäran mail.docx", "A 58777-2023")</f>
        <v/>
      </c>
    </row>
    <row r="233" ht="15" customHeight="1">
      <c r="A233" t="inlineStr">
        <is>
          <t>A 23460-2025</t>
        </is>
      </c>
      <c r="B233" s="1" t="n">
        <v>45792.42776620371</v>
      </c>
      <c r="C233" s="1" t="n">
        <v>45916</v>
      </c>
      <c r="D233" t="inlineStr">
        <is>
          <t>JÄMTLANDS LÄN</t>
        </is>
      </c>
      <c r="E233" t="inlineStr">
        <is>
          <t>BRÄCKE</t>
        </is>
      </c>
      <c r="F233" t="inlineStr">
        <is>
          <t>SCA</t>
        </is>
      </c>
      <c r="G233" t="n">
        <v>2.3</v>
      </c>
      <c r="H233" t="n">
        <v>0</v>
      </c>
      <c r="I233" t="n">
        <v>1</v>
      </c>
      <c r="J233" t="n">
        <v>0</v>
      </c>
      <c r="K233" t="n">
        <v>0</v>
      </c>
      <c r="L233" t="n">
        <v>0</v>
      </c>
      <c r="M233" t="n">
        <v>0</v>
      </c>
      <c r="N233" t="n">
        <v>0</v>
      </c>
      <c r="O233" t="n">
        <v>0</v>
      </c>
      <c r="P233" t="n">
        <v>0</v>
      </c>
      <c r="Q233" t="n">
        <v>1</v>
      </c>
      <c r="R233" s="2" t="inlineStr">
        <is>
          <t>Underviol</t>
        </is>
      </c>
      <c r="S233">
        <f>HYPERLINK("https://klasma.github.io/Logging_2305/artfynd/A 23460-2025 artfynd.xlsx", "A 23460-2025")</f>
        <v/>
      </c>
      <c r="T233">
        <f>HYPERLINK("https://klasma.github.io/Logging_2305/kartor/A 23460-2025 karta.png", "A 23460-2025")</f>
        <v/>
      </c>
      <c r="V233">
        <f>HYPERLINK("https://klasma.github.io/Logging_2305/klagomål/A 23460-2025 FSC-klagomål.docx", "A 23460-2025")</f>
        <v/>
      </c>
      <c r="W233">
        <f>HYPERLINK("https://klasma.github.io/Logging_2305/klagomålsmail/A 23460-2025 FSC-klagomål mail.docx", "A 23460-2025")</f>
        <v/>
      </c>
      <c r="X233">
        <f>HYPERLINK("https://klasma.github.io/Logging_2305/tillsyn/A 23460-2025 tillsynsbegäran.docx", "A 23460-2025")</f>
        <v/>
      </c>
      <c r="Y233">
        <f>HYPERLINK("https://klasma.github.io/Logging_2305/tillsynsmail/A 23460-2025 tillsynsbegäran mail.docx", "A 23460-2025")</f>
        <v/>
      </c>
    </row>
    <row r="234" ht="15" customHeight="1">
      <c r="A234" t="inlineStr">
        <is>
          <t>A 12062-2023</t>
        </is>
      </c>
      <c r="B234" s="1" t="n">
        <v>44996</v>
      </c>
      <c r="C234" s="1" t="n">
        <v>45916</v>
      </c>
      <c r="D234" t="inlineStr">
        <is>
          <t>JÄMTLANDS LÄN</t>
        </is>
      </c>
      <c r="E234" t="inlineStr">
        <is>
          <t>BRÄCKE</t>
        </is>
      </c>
      <c r="G234" t="n">
        <v>5.4</v>
      </c>
      <c r="H234" t="n">
        <v>0</v>
      </c>
      <c r="I234" t="n">
        <v>0</v>
      </c>
      <c r="J234" t="n">
        <v>1</v>
      </c>
      <c r="K234" t="n">
        <v>0</v>
      </c>
      <c r="L234" t="n">
        <v>0</v>
      </c>
      <c r="M234" t="n">
        <v>0</v>
      </c>
      <c r="N234" t="n">
        <v>0</v>
      </c>
      <c r="O234" t="n">
        <v>1</v>
      </c>
      <c r="P234" t="n">
        <v>0</v>
      </c>
      <c r="Q234" t="n">
        <v>1</v>
      </c>
      <c r="R234" s="2" t="inlineStr">
        <is>
          <t>Lunglav</t>
        </is>
      </c>
      <c r="S234">
        <f>HYPERLINK("https://klasma.github.io/Logging_2305/artfynd/A 12062-2023 artfynd.xlsx", "A 12062-2023")</f>
        <v/>
      </c>
      <c r="T234">
        <f>HYPERLINK("https://klasma.github.io/Logging_2305/kartor/A 12062-2023 karta.png", "A 12062-2023")</f>
        <v/>
      </c>
      <c r="V234">
        <f>HYPERLINK("https://klasma.github.io/Logging_2305/klagomål/A 12062-2023 FSC-klagomål.docx", "A 12062-2023")</f>
        <v/>
      </c>
      <c r="W234">
        <f>HYPERLINK("https://klasma.github.io/Logging_2305/klagomålsmail/A 12062-2023 FSC-klagomål mail.docx", "A 12062-2023")</f>
        <v/>
      </c>
      <c r="X234">
        <f>HYPERLINK("https://klasma.github.io/Logging_2305/tillsyn/A 12062-2023 tillsynsbegäran.docx", "A 12062-2023")</f>
        <v/>
      </c>
      <c r="Y234">
        <f>HYPERLINK("https://klasma.github.io/Logging_2305/tillsynsmail/A 12062-2023 tillsynsbegäran mail.docx", "A 12062-2023")</f>
        <v/>
      </c>
    </row>
    <row r="235" ht="15" customHeight="1">
      <c r="A235" t="inlineStr">
        <is>
          <t>A 15189-2025</t>
        </is>
      </c>
      <c r="B235" s="1" t="n">
        <v>45744.55259259259</v>
      </c>
      <c r="C235" s="1" t="n">
        <v>45916</v>
      </c>
      <c r="D235" t="inlineStr">
        <is>
          <t>JÄMTLANDS LÄN</t>
        </is>
      </c>
      <c r="E235" t="inlineStr">
        <is>
          <t>BRÄCKE</t>
        </is>
      </c>
      <c r="F235" t="inlineStr">
        <is>
          <t>SCA</t>
        </is>
      </c>
      <c r="G235" t="n">
        <v>4.6</v>
      </c>
      <c r="H235" t="n">
        <v>1</v>
      </c>
      <c r="I235" t="n">
        <v>0</v>
      </c>
      <c r="J235" t="n">
        <v>1</v>
      </c>
      <c r="K235" t="n">
        <v>0</v>
      </c>
      <c r="L235" t="n">
        <v>0</v>
      </c>
      <c r="M235" t="n">
        <v>0</v>
      </c>
      <c r="N235" t="n">
        <v>0</v>
      </c>
      <c r="O235" t="n">
        <v>1</v>
      </c>
      <c r="P235" t="n">
        <v>0</v>
      </c>
      <c r="Q235" t="n">
        <v>1</v>
      </c>
      <c r="R235" s="2" t="inlineStr">
        <is>
          <t>Tretåig hackspett</t>
        </is>
      </c>
      <c r="S235">
        <f>HYPERLINK("https://klasma.github.io/Logging_2305/artfynd/A 15189-2025 artfynd.xlsx", "A 15189-2025")</f>
        <v/>
      </c>
      <c r="T235">
        <f>HYPERLINK("https://klasma.github.io/Logging_2305/kartor/A 15189-2025 karta.png", "A 15189-2025")</f>
        <v/>
      </c>
      <c r="V235">
        <f>HYPERLINK("https://klasma.github.io/Logging_2305/klagomål/A 15189-2025 FSC-klagomål.docx", "A 15189-2025")</f>
        <v/>
      </c>
      <c r="W235">
        <f>HYPERLINK("https://klasma.github.io/Logging_2305/klagomålsmail/A 15189-2025 FSC-klagomål mail.docx", "A 15189-2025")</f>
        <v/>
      </c>
      <c r="X235">
        <f>HYPERLINK("https://klasma.github.io/Logging_2305/tillsyn/A 15189-2025 tillsynsbegäran.docx", "A 15189-2025")</f>
        <v/>
      </c>
      <c r="Y235">
        <f>HYPERLINK("https://klasma.github.io/Logging_2305/tillsynsmail/A 15189-2025 tillsynsbegäran mail.docx", "A 15189-2025")</f>
        <v/>
      </c>
      <c r="Z235">
        <f>HYPERLINK("https://klasma.github.io/Logging_2305/fåglar/A 15189-2025 prioriterade fågelarter.docx", "A 15189-2025")</f>
        <v/>
      </c>
    </row>
    <row r="236" ht="15" customHeight="1">
      <c r="A236" t="inlineStr">
        <is>
          <t>A 24094-2025</t>
        </is>
      </c>
      <c r="B236" s="1" t="n">
        <v>45796.57335648148</v>
      </c>
      <c r="C236" s="1" t="n">
        <v>45916</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Vedskivlav</t>
        </is>
      </c>
      <c r="S236">
        <f>HYPERLINK("https://klasma.github.io/Logging_2305/artfynd/A 24094-2025 artfynd.xlsx", "A 24094-2025")</f>
        <v/>
      </c>
      <c r="T236">
        <f>HYPERLINK("https://klasma.github.io/Logging_2305/kartor/A 24094-2025 karta.png", "A 24094-2025")</f>
        <v/>
      </c>
      <c r="V236">
        <f>HYPERLINK("https://klasma.github.io/Logging_2305/klagomål/A 24094-2025 FSC-klagomål.docx", "A 24094-2025")</f>
        <v/>
      </c>
      <c r="W236">
        <f>HYPERLINK("https://klasma.github.io/Logging_2305/klagomålsmail/A 24094-2025 FSC-klagomål mail.docx", "A 24094-2025")</f>
        <v/>
      </c>
      <c r="X236">
        <f>HYPERLINK("https://klasma.github.io/Logging_2305/tillsyn/A 24094-2025 tillsynsbegäran.docx", "A 24094-2025")</f>
        <v/>
      </c>
      <c r="Y236">
        <f>HYPERLINK("https://klasma.github.io/Logging_2305/tillsynsmail/A 24094-2025 tillsynsbegäran mail.docx", "A 24094-2025")</f>
        <v/>
      </c>
    </row>
    <row r="237" ht="15" customHeight="1">
      <c r="A237" t="inlineStr">
        <is>
          <t>A 55931-2023</t>
        </is>
      </c>
      <c r="B237" s="1" t="n">
        <v>45239</v>
      </c>
      <c r="C237" s="1" t="n">
        <v>45916</v>
      </c>
      <c r="D237" t="inlineStr">
        <is>
          <t>JÄMTLANDS LÄN</t>
        </is>
      </c>
      <c r="E237" t="inlineStr">
        <is>
          <t>BRÄCKE</t>
        </is>
      </c>
      <c r="F237" t="inlineStr">
        <is>
          <t>Kyrkan</t>
        </is>
      </c>
      <c r="G237" t="n">
        <v>1.2</v>
      </c>
      <c r="H237" t="n">
        <v>0</v>
      </c>
      <c r="I237" t="n">
        <v>0</v>
      </c>
      <c r="J237" t="n">
        <v>1</v>
      </c>
      <c r="K237" t="n">
        <v>0</v>
      </c>
      <c r="L237" t="n">
        <v>0</v>
      </c>
      <c r="M237" t="n">
        <v>0</v>
      </c>
      <c r="N237" t="n">
        <v>0</v>
      </c>
      <c r="O237" t="n">
        <v>1</v>
      </c>
      <c r="P237" t="n">
        <v>0</v>
      </c>
      <c r="Q237" t="n">
        <v>1</v>
      </c>
      <c r="R237" s="2" t="inlineStr">
        <is>
          <t>Harticka</t>
        </is>
      </c>
      <c r="S237">
        <f>HYPERLINK("https://klasma.github.io/Logging_2305/artfynd/A 55931-2023 artfynd.xlsx", "A 55931-2023")</f>
        <v/>
      </c>
      <c r="T237">
        <f>HYPERLINK("https://klasma.github.io/Logging_2305/kartor/A 55931-2023 karta.png", "A 55931-2023")</f>
        <v/>
      </c>
      <c r="V237">
        <f>HYPERLINK("https://klasma.github.io/Logging_2305/klagomål/A 55931-2023 FSC-klagomål.docx", "A 55931-2023")</f>
        <v/>
      </c>
      <c r="W237">
        <f>HYPERLINK("https://klasma.github.io/Logging_2305/klagomålsmail/A 55931-2023 FSC-klagomål mail.docx", "A 55931-2023")</f>
        <v/>
      </c>
      <c r="X237">
        <f>HYPERLINK("https://klasma.github.io/Logging_2305/tillsyn/A 55931-2023 tillsynsbegäran.docx", "A 55931-2023")</f>
        <v/>
      </c>
      <c r="Y237">
        <f>HYPERLINK("https://klasma.github.io/Logging_2305/tillsynsmail/A 55931-2023 tillsynsbegäran mail.docx", "A 55931-2023")</f>
        <v/>
      </c>
    </row>
    <row r="238" ht="15" customHeight="1">
      <c r="A238" t="inlineStr">
        <is>
          <t>A 62079-2022</t>
        </is>
      </c>
      <c r="B238" s="1" t="n">
        <v>44918</v>
      </c>
      <c r="C238" s="1" t="n">
        <v>45916</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Garnlav</t>
        </is>
      </c>
      <c r="S238">
        <f>HYPERLINK("https://klasma.github.io/Logging_2305/artfynd/A 62079-2022 artfynd.xlsx", "A 62079-2022")</f>
        <v/>
      </c>
      <c r="T238">
        <f>HYPERLINK("https://klasma.github.io/Logging_2305/kartor/A 62079-2022 karta.png", "A 62079-2022")</f>
        <v/>
      </c>
      <c r="V238">
        <f>HYPERLINK("https://klasma.github.io/Logging_2305/klagomål/A 62079-2022 FSC-klagomål.docx", "A 62079-2022")</f>
        <v/>
      </c>
      <c r="W238">
        <f>HYPERLINK("https://klasma.github.io/Logging_2305/klagomålsmail/A 62079-2022 FSC-klagomål mail.docx", "A 62079-2022")</f>
        <v/>
      </c>
      <c r="X238">
        <f>HYPERLINK("https://klasma.github.io/Logging_2305/tillsyn/A 62079-2022 tillsynsbegäran.docx", "A 62079-2022")</f>
        <v/>
      </c>
      <c r="Y238">
        <f>HYPERLINK("https://klasma.github.io/Logging_2305/tillsynsmail/A 62079-2022 tillsynsbegäran mail.docx", "A 62079-2022")</f>
        <v/>
      </c>
    </row>
    <row r="239" ht="15" customHeight="1">
      <c r="A239" t="inlineStr">
        <is>
          <t>A 24851-2025</t>
        </is>
      </c>
      <c r="B239" s="1" t="n">
        <v>45799.46967592592</v>
      </c>
      <c r="C239" s="1" t="n">
        <v>45916</v>
      </c>
      <c r="D239" t="inlineStr">
        <is>
          <t>JÄMTLANDS LÄN</t>
        </is>
      </c>
      <c r="E239" t="inlineStr">
        <is>
          <t>BRÄCKE</t>
        </is>
      </c>
      <c r="F239" t="inlineStr">
        <is>
          <t>SCA</t>
        </is>
      </c>
      <c r="G239" t="n">
        <v>4.1</v>
      </c>
      <c r="H239" t="n">
        <v>1</v>
      </c>
      <c r="I239" t="n">
        <v>0</v>
      </c>
      <c r="J239" t="n">
        <v>0</v>
      </c>
      <c r="K239" t="n">
        <v>0</v>
      </c>
      <c r="L239" t="n">
        <v>1</v>
      </c>
      <c r="M239" t="n">
        <v>0</v>
      </c>
      <c r="N239" t="n">
        <v>0</v>
      </c>
      <c r="O239" t="n">
        <v>1</v>
      </c>
      <c r="P239" t="n">
        <v>1</v>
      </c>
      <c r="Q239" t="n">
        <v>1</v>
      </c>
      <c r="R239" s="2" t="inlineStr">
        <is>
          <t>Violett guldvinge</t>
        </is>
      </c>
      <c r="S239">
        <f>HYPERLINK("https://klasma.github.io/Logging_2305/artfynd/A 24851-2025 artfynd.xlsx", "A 24851-2025")</f>
        <v/>
      </c>
      <c r="T239">
        <f>HYPERLINK("https://klasma.github.io/Logging_2305/kartor/A 24851-2025 karta.png", "A 24851-2025")</f>
        <v/>
      </c>
      <c r="V239">
        <f>HYPERLINK("https://klasma.github.io/Logging_2305/klagomål/A 24851-2025 FSC-klagomål.docx", "A 24851-2025")</f>
        <v/>
      </c>
      <c r="W239">
        <f>HYPERLINK("https://klasma.github.io/Logging_2305/klagomålsmail/A 24851-2025 FSC-klagomål mail.docx", "A 24851-2025")</f>
        <v/>
      </c>
      <c r="X239">
        <f>HYPERLINK("https://klasma.github.io/Logging_2305/tillsyn/A 24851-2025 tillsynsbegäran.docx", "A 24851-2025")</f>
        <v/>
      </c>
      <c r="Y239">
        <f>HYPERLINK("https://klasma.github.io/Logging_2305/tillsynsmail/A 24851-2025 tillsynsbegäran mail.docx", "A 24851-2025")</f>
        <v/>
      </c>
    </row>
    <row r="240" ht="15" customHeight="1">
      <c r="A240" t="inlineStr">
        <is>
          <t>A 11614-2024</t>
        </is>
      </c>
      <c r="B240" s="1" t="n">
        <v>45373.42134259259</v>
      </c>
      <c r="C240" s="1" t="n">
        <v>45916</v>
      </c>
      <c r="D240" t="inlineStr">
        <is>
          <t>JÄMTLANDS LÄN</t>
        </is>
      </c>
      <c r="E240" t="inlineStr">
        <is>
          <t>BRÄCKE</t>
        </is>
      </c>
      <c r="G240" t="n">
        <v>4.3</v>
      </c>
      <c r="H240" t="n">
        <v>0</v>
      </c>
      <c r="I240" t="n">
        <v>1</v>
      </c>
      <c r="J240" t="n">
        <v>0</v>
      </c>
      <c r="K240" t="n">
        <v>0</v>
      </c>
      <c r="L240" t="n">
        <v>0</v>
      </c>
      <c r="M240" t="n">
        <v>0</v>
      </c>
      <c r="N240" t="n">
        <v>0</v>
      </c>
      <c r="O240" t="n">
        <v>0</v>
      </c>
      <c r="P240" t="n">
        <v>0</v>
      </c>
      <c r="Q240" t="n">
        <v>1</v>
      </c>
      <c r="R240" s="2" t="inlineStr">
        <is>
          <t>Dropptaggsvamp</t>
        </is>
      </c>
      <c r="S240">
        <f>HYPERLINK("https://klasma.github.io/Logging_2305/artfynd/A 11614-2024 artfynd.xlsx", "A 11614-2024")</f>
        <v/>
      </c>
      <c r="T240">
        <f>HYPERLINK("https://klasma.github.io/Logging_2305/kartor/A 11614-2024 karta.png", "A 11614-2024")</f>
        <v/>
      </c>
      <c r="V240">
        <f>HYPERLINK("https://klasma.github.io/Logging_2305/klagomål/A 11614-2024 FSC-klagomål.docx", "A 11614-2024")</f>
        <v/>
      </c>
      <c r="W240">
        <f>HYPERLINK("https://klasma.github.io/Logging_2305/klagomålsmail/A 11614-2024 FSC-klagomål mail.docx", "A 11614-2024")</f>
        <v/>
      </c>
      <c r="X240">
        <f>HYPERLINK("https://klasma.github.io/Logging_2305/tillsyn/A 11614-2024 tillsynsbegäran.docx", "A 11614-2024")</f>
        <v/>
      </c>
      <c r="Y240">
        <f>HYPERLINK("https://klasma.github.io/Logging_2305/tillsynsmail/A 11614-2024 tillsynsbegäran mail.docx", "A 11614-2024")</f>
        <v/>
      </c>
    </row>
    <row r="241" ht="15" customHeight="1">
      <c r="A241" t="inlineStr">
        <is>
          <t>A 20768-2024</t>
        </is>
      </c>
      <c r="B241" s="1" t="n">
        <v>45436.94594907408</v>
      </c>
      <c r="C241" s="1" t="n">
        <v>45916</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15076-2022</t>
        </is>
      </c>
      <c r="B242" s="1" t="n">
        <v>44657</v>
      </c>
      <c r="C242" s="1" t="n">
        <v>45916</v>
      </c>
      <c r="D242" t="inlineStr">
        <is>
          <t>JÄMTLANDS LÄN</t>
        </is>
      </c>
      <c r="E242" t="inlineStr">
        <is>
          <t>BRÄCKE</t>
        </is>
      </c>
      <c r="G242" t="n">
        <v>24.7</v>
      </c>
      <c r="H242" t="n">
        <v>0</v>
      </c>
      <c r="I242" t="n">
        <v>0</v>
      </c>
      <c r="J242" t="n">
        <v>1</v>
      </c>
      <c r="K242" t="n">
        <v>0</v>
      </c>
      <c r="L242" t="n">
        <v>0</v>
      </c>
      <c r="M242" t="n">
        <v>0</v>
      </c>
      <c r="N242" t="n">
        <v>0</v>
      </c>
      <c r="O242" t="n">
        <v>1</v>
      </c>
      <c r="P242" t="n">
        <v>0</v>
      </c>
      <c r="Q242" t="n">
        <v>1</v>
      </c>
      <c r="R242" s="2" t="inlineStr">
        <is>
          <t>Skrovellav</t>
        </is>
      </c>
      <c r="S242">
        <f>HYPERLINK("https://klasma.github.io/Logging_2305/artfynd/A 15076-2022 artfynd.xlsx", "A 15076-2022")</f>
        <v/>
      </c>
      <c r="T242">
        <f>HYPERLINK("https://klasma.github.io/Logging_2305/kartor/A 15076-2022 karta.png", "A 15076-2022")</f>
        <v/>
      </c>
      <c r="V242">
        <f>HYPERLINK("https://klasma.github.io/Logging_2305/klagomål/A 15076-2022 FSC-klagomål.docx", "A 15076-2022")</f>
        <v/>
      </c>
      <c r="W242">
        <f>HYPERLINK("https://klasma.github.io/Logging_2305/klagomålsmail/A 15076-2022 FSC-klagomål mail.docx", "A 15076-2022")</f>
        <v/>
      </c>
      <c r="X242">
        <f>HYPERLINK("https://klasma.github.io/Logging_2305/tillsyn/A 15076-2022 tillsynsbegäran.docx", "A 15076-2022")</f>
        <v/>
      </c>
      <c r="Y242">
        <f>HYPERLINK("https://klasma.github.io/Logging_2305/tillsynsmail/A 15076-2022 tillsynsbegäran mail.docx", "A 15076-2022")</f>
        <v/>
      </c>
    </row>
    <row r="243" ht="15" customHeight="1">
      <c r="A243" t="inlineStr">
        <is>
          <t>A 29546-2024</t>
        </is>
      </c>
      <c r="B243" s="1" t="n">
        <v>45484.50435185185</v>
      </c>
      <c r="C243" s="1" t="n">
        <v>45916</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50513-2023</t>
        </is>
      </c>
      <c r="B244" s="1" t="n">
        <v>45216</v>
      </c>
      <c r="C244" s="1" t="n">
        <v>45916</v>
      </c>
      <c r="D244" t="inlineStr">
        <is>
          <t>JÄMTLANDS LÄN</t>
        </is>
      </c>
      <c r="E244" t="inlineStr">
        <is>
          <t>BRÄCKE</t>
        </is>
      </c>
      <c r="F244" t="inlineStr">
        <is>
          <t>SCA</t>
        </is>
      </c>
      <c r="G244" t="n">
        <v>1.7</v>
      </c>
      <c r="H244" t="n">
        <v>1</v>
      </c>
      <c r="I244" t="n">
        <v>0</v>
      </c>
      <c r="J244" t="n">
        <v>0</v>
      </c>
      <c r="K244" t="n">
        <v>0</v>
      </c>
      <c r="L244" t="n">
        <v>0</v>
      </c>
      <c r="M244" t="n">
        <v>0</v>
      </c>
      <c r="N244" t="n">
        <v>0</v>
      </c>
      <c r="O244" t="n">
        <v>0</v>
      </c>
      <c r="P244" t="n">
        <v>0</v>
      </c>
      <c r="Q244" t="n">
        <v>1</v>
      </c>
      <c r="R244" s="2" t="inlineStr">
        <is>
          <t>Grönsiska</t>
        </is>
      </c>
      <c r="S244">
        <f>HYPERLINK("https://klasma.github.io/Logging_2305/artfynd/A 50513-2023 artfynd.xlsx", "A 50513-2023")</f>
        <v/>
      </c>
      <c r="T244">
        <f>HYPERLINK("https://klasma.github.io/Logging_2305/kartor/A 50513-2023 karta.png", "A 50513-2023")</f>
        <v/>
      </c>
      <c r="V244">
        <f>HYPERLINK("https://klasma.github.io/Logging_2305/klagomål/A 50513-2023 FSC-klagomål.docx", "A 50513-2023")</f>
        <v/>
      </c>
      <c r="W244">
        <f>HYPERLINK("https://klasma.github.io/Logging_2305/klagomålsmail/A 50513-2023 FSC-klagomål mail.docx", "A 50513-2023")</f>
        <v/>
      </c>
      <c r="X244">
        <f>HYPERLINK("https://klasma.github.io/Logging_2305/tillsyn/A 50513-2023 tillsynsbegäran.docx", "A 50513-2023")</f>
        <v/>
      </c>
      <c r="Y244">
        <f>HYPERLINK("https://klasma.github.io/Logging_2305/tillsynsmail/A 50513-2023 tillsynsbegäran mail.docx", "A 50513-2023")</f>
        <v/>
      </c>
      <c r="Z244">
        <f>HYPERLINK("https://klasma.github.io/Logging_2305/fåglar/A 50513-2023 prioriterade fågelarter.docx", "A 50513-2023")</f>
        <v/>
      </c>
    </row>
    <row r="245" ht="15" customHeight="1">
      <c r="A245" t="inlineStr">
        <is>
          <t>A 19431-2021</t>
        </is>
      </c>
      <c r="B245" s="1" t="n">
        <v>44309</v>
      </c>
      <c r="C245" s="1" t="n">
        <v>45916</v>
      </c>
      <c r="D245" t="inlineStr">
        <is>
          <t>JÄMTLANDS LÄN</t>
        </is>
      </c>
      <c r="E245" t="inlineStr">
        <is>
          <t>BRÄCKE</t>
        </is>
      </c>
      <c r="G245" t="n">
        <v>4.8</v>
      </c>
      <c r="H245" t="n">
        <v>1</v>
      </c>
      <c r="I245" t="n">
        <v>0</v>
      </c>
      <c r="J245" t="n">
        <v>1</v>
      </c>
      <c r="K245" t="n">
        <v>0</v>
      </c>
      <c r="L245" t="n">
        <v>0</v>
      </c>
      <c r="M245" t="n">
        <v>0</v>
      </c>
      <c r="N245" t="n">
        <v>0</v>
      </c>
      <c r="O245" t="n">
        <v>1</v>
      </c>
      <c r="P245" t="n">
        <v>0</v>
      </c>
      <c r="Q245" t="n">
        <v>1</v>
      </c>
      <c r="R245" s="2" t="inlineStr">
        <is>
          <t>Utter</t>
        </is>
      </c>
      <c r="S245">
        <f>HYPERLINK("https://klasma.github.io/Logging_2305/artfynd/A 19431-2021 artfynd.xlsx", "A 19431-2021")</f>
        <v/>
      </c>
      <c r="T245">
        <f>HYPERLINK("https://klasma.github.io/Logging_2305/kartor/A 19431-2021 karta.png", "A 19431-2021")</f>
        <v/>
      </c>
      <c r="V245">
        <f>HYPERLINK("https://klasma.github.io/Logging_2305/klagomål/A 19431-2021 FSC-klagomål.docx", "A 19431-2021")</f>
        <v/>
      </c>
      <c r="W245">
        <f>HYPERLINK("https://klasma.github.io/Logging_2305/klagomålsmail/A 19431-2021 FSC-klagomål mail.docx", "A 19431-2021")</f>
        <v/>
      </c>
      <c r="X245">
        <f>HYPERLINK("https://klasma.github.io/Logging_2305/tillsyn/A 19431-2021 tillsynsbegäran.docx", "A 19431-2021")</f>
        <v/>
      </c>
      <c r="Y245">
        <f>HYPERLINK("https://klasma.github.io/Logging_2305/tillsynsmail/A 19431-2021 tillsynsbegäran mail.docx", "A 19431-2021")</f>
        <v/>
      </c>
    </row>
    <row r="246" ht="15" customHeight="1">
      <c r="A246" t="inlineStr">
        <is>
          <t>A 2063-2024</t>
        </is>
      </c>
      <c r="B246" s="1" t="n">
        <v>45308</v>
      </c>
      <c r="C246" s="1" t="n">
        <v>45916</v>
      </c>
      <c r="D246" t="inlineStr">
        <is>
          <t>JÄMTLANDS LÄN</t>
        </is>
      </c>
      <c r="E246" t="inlineStr">
        <is>
          <t>BRÄCKE</t>
        </is>
      </c>
      <c r="F246" t="inlineStr">
        <is>
          <t>SCA</t>
        </is>
      </c>
      <c r="G246" t="n">
        <v>5.7</v>
      </c>
      <c r="H246" t="n">
        <v>0</v>
      </c>
      <c r="I246" t="n">
        <v>0</v>
      </c>
      <c r="J246" t="n">
        <v>0</v>
      </c>
      <c r="K246" t="n">
        <v>1</v>
      </c>
      <c r="L246" t="n">
        <v>0</v>
      </c>
      <c r="M246" t="n">
        <v>0</v>
      </c>
      <c r="N246" t="n">
        <v>0</v>
      </c>
      <c r="O246" t="n">
        <v>1</v>
      </c>
      <c r="P246" t="n">
        <v>1</v>
      </c>
      <c r="Q246" t="n">
        <v>1</v>
      </c>
      <c r="R246" s="2" t="inlineStr">
        <is>
          <t>Gräddporing</t>
        </is>
      </c>
      <c r="S246">
        <f>HYPERLINK("https://klasma.github.io/Logging_2305/artfynd/A 2063-2024 artfynd.xlsx", "A 2063-2024")</f>
        <v/>
      </c>
      <c r="T246">
        <f>HYPERLINK("https://klasma.github.io/Logging_2305/kartor/A 2063-2024 karta.png", "A 2063-2024")</f>
        <v/>
      </c>
      <c r="V246">
        <f>HYPERLINK("https://klasma.github.io/Logging_2305/klagomål/A 2063-2024 FSC-klagomål.docx", "A 2063-2024")</f>
        <v/>
      </c>
      <c r="W246">
        <f>HYPERLINK("https://klasma.github.io/Logging_2305/klagomålsmail/A 2063-2024 FSC-klagomål mail.docx", "A 2063-2024")</f>
        <v/>
      </c>
      <c r="X246">
        <f>HYPERLINK("https://klasma.github.io/Logging_2305/tillsyn/A 2063-2024 tillsynsbegäran.docx", "A 2063-2024")</f>
        <v/>
      </c>
      <c r="Y246">
        <f>HYPERLINK("https://klasma.github.io/Logging_2305/tillsynsmail/A 2063-2024 tillsynsbegäran mail.docx", "A 2063-2024")</f>
        <v/>
      </c>
    </row>
    <row r="247" ht="15" customHeight="1">
      <c r="A247" t="inlineStr">
        <is>
          <t>A 12525-2025</t>
        </is>
      </c>
      <c r="B247" s="1" t="n">
        <v>45730.67770833334</v>
      </c>
      <c r="C247" s="1" t="n">
        <v>45916</v>
      </c>
      <c r="D247" t="inlineStr">
        <is>
          <t>JÄMTLANDS LÄN</t>
        </is>
      </c>
      <c r="E247" t="inlineStr">
        <is>
          <t>BRÄCKE</t>
        </is>
      </c>
      <c r="F247" t="inlineStr">
        <is>
          <t>SCA</t>
        </is>
      </c>
      <c r="G247" t="n">
        <v>3.5</v>
      </c>
      <c r="H247" t="n">
        <v>1</v>
      </c>
      <c r="I247" t="n">
        <v>0</v>
      </c>
      <c r="J247" t="n">
        <v>0</v>
      </c>
      <c r="K247" t="n">
        <v>0</v>
      </c>
      <c r="L247" t="n">
        <v>0</v>
      </c>
      <c r="M247" t="n">
        <v>0</v>
      </c>
      <c r="N247" t="n">
        <v>0</v>
      </c>
      <c r="O247" t="n">
        <v>0</v>
      </c>
      <c r="P247" t="n">
        <v>0</v>
      </c>
      <c r="Q247" t="n">
        <v>1</v>
      </c>
      <c r="R247" s="2" t="inlineStr">
        <is>
          <t>Fläcknycklar</t>
        </is>
      </c>
      <c r="S247">
        <f>HYPERLINK("https://klasma.github.io/Logging_2305/artfynd/A 12525-2025 artfynd.xlsx", "A 12525-2025")</f>
        <v/>
      </c>
      <c r="T247">
        <f>HYPERLINK("https://klasma.github.io/Logging_2305/kartor/A 12525-2025 karta.png", "A 12525-2025")</f>
        <v/>
      </c>
      <c r="V247">
        <f>HYPERLINK("https://klasma.github.io/Logging_2305/klagomål/A 12525-2025 FSC-klagomål.docx", "A 12525-2025")</f>
        <v/>
      </c>
      <c r="W247">
        <f>HYPERLINK("https://klasma.github.io/Logging_2305/klagomålsmail/A 12525-2025 FSC-klagomål mail.docx", "A 12525-2025")</f>
        <v/>
      </c>
      <c r="X247">
        <f>HYPERLINK("https://klasma.github.io/Logging_2305/tillsyn/A 12525-2025 tillsynsbegäran.docx", "A 12525-2025")</f>
        <v/>
      </c>
      <c r="Y247">
        <f>HYPERLINK("https://klasma.github.io/Logging_2305/tillsynsmail/A 12525-2025 tillsynsbegäran mail.docx", "A 12525-2025")</f>
        <v/>
      </c>
    </row>
    <row r="248" ht="15" customHeight="1">
      <c r="A248" t="inlineStr">
        <is>
          <t>A 27061-2025</t>
        </is>
      </c>
      <c r="B248" s="1" t="n">
        <v>45811.6360300926</v>
      </c>
      <c r="C248" s="1" t="n">
        <v>45916</v>
      </c>
      <c r="D248" t="inlineStr">
        <is>
          <t>JÄMTLANDS LÄN</t>
        </is>
      </c>
      <c r="E248" t="inlineStr">
        <is>
          <t>BRÄCKE</t>
        </is>
      </c>
      <c r="F248" t="inlineStr">
        <is>
          <t>SCA</t>
        </is>
      </c>
      <c r="G248" t="n">
        <v>18.9</v>
      </c>
      <c r="H248" t="n">
        <v>0</v>
      </c>
      <c r="I248" t="n">
        <v>0</v>
      </c>
      <c r="J248" t="n">
        <v>1</v>
      </c>
      <c r="K248" t="n">
        <v>0</v>
      </c>
      <c r="L248" t="n">
        <v>0</v>
      </c>
      <c r="M248" t="n">
        <v>0</v>
      </c>
      <c r="N248" t="n">
        <v>0</v>
      </c>
      <c r="O248" t="n">
        <v>1</v>
      </c>
      <c r="P248" t="n">
        <v>0</v>
      </c>
      <c r="Q248" t="n">
        <v>1</v>
      </c>
      <c r="R248" s="2" t="inlineStr">
        <is>
          <t>Lunglav</t>
        </is>
      </c>
      <c r="S248">
        <f>HYPERLINK("https://klasma.github.io/Logging_2305/artfynd/A 27061-2025 artfynd.xlsx", "A 27061-2025")</f>
        <v/>
      </c>
      <c r="T248">
        <f>HYPERLINK("https://klasma.github.io/Logging_2305/kartor/A 27061-2025 karta.png", "A 27061-2025")</f>
        <v/>
      </c>
      <c r="V248">
        <f>HYPERLINK("https://klasma.github.io/Logging_2305/klagomål/A 27061-2025 FSC-klagomål.docx", "A 27061-2025")</f>
        <v/>
      </c>
      <c r="W248">
        <f>HYPERLINK("https://klasma.github.io/Logging_2305/klagomålsmail/A 27061-2025 FSC-klagomål mail.docx", "A 27061-2025")</f>
        <v/>
      </c>
      <c r="X248">
        <f>HYPERLINK("https://klasma.github.io/Logging_2305/tillsyn/A 27061-2025 tillsynsbegäran.docx", "A 27061-2025")</f>
        <v/>
      </c>
      <c r="Y248">
        <f>HYPERLINK("https://klasma.github.io/Logging_2305/tillsynsmail/A 27061-2025 tillsynsbegäran mail.docx", "A 27061-2025")</f>
        <v/>
      </c>
    </row>
    <row r="249" ht="15" customHeight="1">
      <c r="A249" t="inlineStr">
        <is>
          <t>A 53832-2024</t>
        </is>
      </c>
      <c r="B249" s="1" t="n">
        <v>45615</v>
      </c>
      <c r="C249" s="1" t="n">
        <v>45916</v>
      </c>
      <c r="D249" t="inlineStr">
        <is>
          <t>JÄMTLANDS LÄN</t>
        </is>
      </c>
      <c r="E249" t="inlineStr">
        <is>
          <t>BRÄCKE</t>
        </is>
      </c>
      <c r="F249" t="inlineStr">
        <is>
          <t>SCA</t>
        </is>
      </c>
      <c r="G249" t="n">
        <v>4</v>
      </c>
      <c r="H249" t="n">
        <v>0</v>
      </c>
      <c r="I249" t="n">
        <v>1</v>
      </c>
      <c r="J249" t="n">
        <v>0</v>
      </c>
      <c r="K249" t="n">
        <v>0</v>
      </c>
      <c r="L249" t="n">
        <v>0</v>
      </c>
      <c r="M249" t="n">
        <v>0</v>
      </c>
      <c r="N249" t="n">
        <v>0</v>
      </c>
      <c r="O249" t="n">
        <v>0</v>
      </c>
      <c r="P249" t="n">
        <v>0</v>
      </c>
      <c r="Q249" t="n">
        <v>1</v>
      </c>
      <c r="R249" s="2" t="inlineStr">
        <is>
          <t>Dropptaggsvamp</t>
        </is>
      </c>
      <c r="S249">
        <f>HYPERLINK("https://klasma.github.io/Logging_2305/artfynd/A 53832-2024 artfynd.xlsx", "A 53832-2024")</f>
        <v/>
      </c>
      <c r="T249">
        <f>HYPERLINK("https://klasma.github.io/Logging_2305/kartor/A 53832-2024 karta.png", "A 53832-2024")</f>
        <v/>
      </c>
      <c r="V249">
        <f>HYPERLINK("https://klasma.github.io/Logging_2305/klagomål/A 53832-2024 FSC-klagomål.docx", "A 53832-2024")</f>
        <v/>
      </c>
      <c r="W249">
        <f>HYPERLINK("https://klasma.github.io/Logging_2305/klagomålsmail/A 53832-2024 FSC-klagomål mail.docx", "A 53832-2024")</f>
        <v/>
      </c>
      <c r="X249">
        <f>HYPERLINK("https://klasma.github.io/Logging_2305/tillsyn/A 53832-2024 tillsynsbegäran.docx", "A 53832-2024")</f>
        <v/>
      </c>
      <c r="Y249">
        <f>HYPERLINK("https://klasma.github.io/Logging_2305/tillsynsmail/A 53832-2024 tillsynsbegäran mail.docx", "A 53832-2024")</f>
        <v/>
      </c>
    </row>
    <row r="250" ht="15" customHeight="1">
      <c r="A250" t="inlineStr">
        <is>
          <t>A 49325-2023</t>
        </is>
      </c>
      <c r="B250" s="1" t="n">
        <v>45210</v>
      </c>
      <c r="C250" s="1" t="n">
        <v>45916</v>
      </c>
      <c r="D250" t="inlineStr">
        <is>
          <t>JÄMTLANDS LÄN</t>
        </is>
      </c>
      <c r="E250" t="inlineStr">
        <is>
          <t>BRÄCKE</t>
        </is>
      </c>
      <c r="F250" t="inlineStr">
        <is>
          <t>SCA</t>
        </is>
      </c>
      <c r="G250" t="n">
        <v>7</v>
      </c>
      <c r="H250" t="n">
        <v>1</v>
      </c>
      <c r="I250" t="n">
        <v>0</v>
      </c>
      <c r="J250" t="n">
        <v>0</v>
      </c>
      <c r="K250" t="n">
        <v>1</v>
      </c>
      <c r="L250" t="n">
        <v>0</v>
      </c>
      <c r="M250" t="n">
        <v>0</v>
      </c>
      <c r="N250" t="n">
        <v>0</v>
      </c>
      <c r="O250" t="n">
        <v>1</v>
      </c>
      <c r="P250" t="n">
        <v>1</v>
      </c>
      <c r="Q250" t="n">
        <v>1</v>
      </c>
      <c r="R250" s="2" t="inlineStr">
        <is>
          <t>Doftticka</t>
        </is>
      </c>
      <c r="S250">
        <f>HYPERLINK("https://klasma.github.io/Logging_2305/artfynd/A 49325-2023 artfynd.xlsx", "A 49325-2023")</f>
        <v/>
      </c>
      <c r="T250">
        <f>HYPERLINK("https://klasma.github.io/Logging_2305/kartor/A 49325-2023 karta.png", "A 49325-2023")</f>
        <v/>
      </c>
      <c r="V250">
        <f>HYPERLINK("https://klasma.github.io/Logging_2305/klagomål/A 49325-2023 FSC-klagomål.docx", "A 49325-2023")</f>
        <v/>
      </c>
      <c r="W250">
        <f>HYPERLINK("https://klasma.github.io/Logging_2305/klagomålsmail/A 49325-2023 FSC-klagomål mail.docx", "A 49325-2023")</f>
        <v/>
      </c>
      <c r="X250">
        <f>HYPERLINK("https://klasma.github.io/Logging_2305/tillsyn/A 49325-2023 tillsynsbegäran.docx", "A 49325-2023")</f>
        <v/>
      </c>
      <c r="Y250">
        <f>HYPERLINK("https://klasma.github.io/Logging_2305/tillsynsmail/A 49325-2023 tillsynsbegäran mail.docx", "A 49325-2023")</f>
        <v/>
      </c>
    </row>
    <row r="251" ht="15" customHeight="1">
      <c r="A251" t="inlineStr">
        <is>
          <t>A 27860-2025</t>
        </is>
      </c>
      <c r="B251" s="1" t="n">
        <v>45817.41630787037</v>
      </c>
      <c r="C251" s="1" t="n">
        <v>45916</v>
      </c>
      <c r="D251" t="inlineStr">
        <is>
          <t>JÄMTLANDS LÄN</t>
        </is>
      </c>
      <c r="E251" t="inlineStr">
        <is>
          <t>BRÄCKE</t>
        </is>
      </c>
      <c r="G251" t="n">
        <v>7.9</v>
      </c>
      <c r="H251" t="n">
        <v>0</v>
      </c>
      <c r="I251" t="n">
        <v>0</v>
      </c>
      <c r="J251" t="n">
        <v>1</v>
      </c>
      <c r="K251" t="n">
        <v>0</v>
      </c>
      <c r="L251" t="n">
        <v>0</v>
      </c>
      <c r="M251" t="n">
        <v>0</v>
      </c>
      <c r="N251" t="n">
        <v>0</v>
      </c>
      <c r="O251" t="n">
        <v>1</v>
      </c>
      <c r="P251" t="n">
        <v>0</v>
      </c>
      <c r="Q251" t="n">
        <v>1</v>
      </c>
      <c r="R251" s="2" t="inlineStr">
        <is>
          <t>Blanksvart spiklav</t>
        </is>
      </c>
      <c r="S251">
        <f>HYPERLINK("https://klasma.github.io/Logging_2305/artfynd/A 27860-2025 artfynd.xlsx", "A 27860-2025")</f>
        <v/>
      </c>
      <c r="T251">
        <f>HYPERLINK("https://klasma.github.io/Logging_2305/kartor/A 27860-2025 karta.png", "A 27860-2025")</f>
        <v/>
      </c>
      <c r="V251">
        <f>HYPERLINK("https://klasma.github.io/Logging_2305/klagomål/A 27860-2025 FSC-klagomål.docx", "A 27860-2025")</f>
        <v/>
      </c>
      <c r="W251">
        <f>HYPERLINK("https://klasma.github.io/Logging_2305/klagomålsmail/A 27860-2025 FSC-klagomål mail.docx", "A 27860-2025")</f>
        <v/>
      </c>
      <c r="X251">
        <f>HYPERLINK("https://klasma.github.io/Logging_2305/tillsyn/A 27860-2025 tillsynsbegäran.docx", "A 27860-2025")</f>
        <v/>
      </c>
      <c r="Y251">
        <f>HYPERLINK("https://klasma.github.io/Logging_2305/tillsynsmail/A 27860-2025 tillsynsbegäran mail.docx", "A 27860-2025")</f>
        <v/>
      </c>
    </row>
    <row r="252" ht="15" customHeight="1">
      <c r="A252" t="inlineStr">
        <is>
          <t>A 14251-2025</t>
        </is>
      </c>
      <c r="B252" s="1" t="n">
        <v>45740.61586805555</v>
      </c>
      <c r="C252" s="1" t="n">
        <v>45916</v>
      </c>
      <c r="D252" t="inlineStr">
        <is>
          <t>JÄMTLANDS LÄN</t>
        </is>
      </c>
      <c r="E252" t="inlineStr">
        <is>
          <t>BRÄCKE</t>
        </is>
      </c>
      <c r="F252" t="inlineStr">
        <is>
          <t>SCA</t>
        </is>
      </c>
      <c r="G252" t="n">
        <v>28.5</v>
      </c>
      <c r="H252" t="n">
        <v>1</v>
      </c>
      <c r="I252" t="n">
        <v>0</v>
      </c>
      <c r="J252" t="n">
        <v>1</v>
      </c>
      <c r="K252" t="n">
        <v>0</v>
      </c>
      <c r="L252" t="n">
        <v>0</v>
      </c>
      <c r="M252" t="n">
        <v>0</v>
      </c>
      <c r="N252" t="n">
        <v>0</v>
      </c>
      <c r="O252" t="n">
        <v>1</v>
      </c>
      <c r="P252" t="n">
        <v>0</v>
      </c>
      <c r="Q252" t="n">
        <v>1</v>
      </c>
      <c r="R252" s="2" t="inlineStr">
        <is>
          <t>Järpe</t>
        </is>
      </c>
      <c r="S252">
        <f>HYPERLINK("https://klasma.github.io/Logging_2305/artfynd/A 14251-2025 artfynd.xlsx", "A 14251-2025")</f>
        <v/>
      </c>
      <c r="T252">
        <f>HYPERLINK("https://klasma.github.io/Logging_2305/kartor/A 14251-2025 karta.png", "A 14251-2025")</f>
        <v/>
      </c>
      <c r="V252">
        <f>HYPERLINK("https://klasma.github.io/Logging_2305/klagomål/A 14251-2025 FSC-klagomål.docx", "A 14251-2025")</f>
        <v/>
      </c>
      <c r="W252">
        <f>HYPERLINK("https://klasma.github.io/Logging_2305/klagomålsmail/A 14251-2025 FSC-klagomål mail.docx", "A 14251-2025")</f>
        <v/>
      </c>
      <c r="X252">
        <f>HYPERLINK("https://klasma.github.io/Logging_2305/tillsyn/A 14251-2025 tillsynsbegäran.docx", "A 14251-2025")</f>
        <v/>
      </c>
      <c r="Y252">
        <f>HYPERLINK("https://klasma.github.io/Logging_2305/tillsynsmail/A 14251-2025 tillsynsbegäran mail.docx", "A 14251-2025")</f>
        <v/>
      </c>
      <c r="Z252">
        <f>HYPERLINK("https://klasma.github.io/Logging_2305/fåglar/A 14251-2025 prioriterade fågelarter.docx", "A 14251-2025")</f>
        <v/>
      </c>
    </row>
    <row r="253" ht="15" customHeight="1">
      <c r="A253" t="inlineStr">
        <is>
          <t>A 28676-2025</t>
        </is>
      </c>
      <c r="B253" s="1" t="n">
        <v>45819.67771990741</v>
      </c>
      <c r="C253" s="1" t="n">
        <v>45916</v>
      </c>
      <c r="D253" t="inlineStr">
        <is>
          <t>JÄMTLANDS LÄN</t>
        </is>
      </c>
      <c r="E253" t="inlineStr">
        <is>
          <t>BRÄCKE</t>
        </is>
      </c>
      <c r="G253" t="n">
        <v>1.2</v>
      </c>
      <c r="H253" t="n">
        <v>0</v>
      </c>
      <c r="I253" t="n">
        <v>1</v>
      </c>
      <c r="J253" t="n">
        <v>0</v>
      </c>
      <c r="K253" t="n">
        <v>0</v>
      </c>
      <c r="L253" t="n">
        <v>0</v>
      </c>
      <c r="M253" t="n">
        <v>0</v>
      </c>
      <c r="N253" t="n">
        <v>0</v>
      </c>
      <c r="O253" t="n">
        <v>0</v>
      </c>
      <c r="P253" t="n">
        <v>0</v>
      </c>
      <c r="Q253" t="n">
        <v>1</v>
      </c>
      <c r="R253" s="2" t="inlineStr">
        <is>
          <t>Rödgul trumpetsvamp</t>
        </is>
      </c>
      <c r="S253">
        <f>HYPERLINK("https://klasma.github.io/Logging_2305/artfynd/A 28676-2025 artfynd.xlsx", "A 28676-2025")</f>
        <v/>
      </c>
      <c r="T253">
        <f>HYPERLINK("https://klasma.github.io/Logging_2305/kartor/A 28676-2025 karta.png", "A 28676-2025")</f>
        <v/>
      </c>
      <c r="V253">
        <f>HYPERLINK("https://klasma.github.io/Logging_2305/klagomål/A 28676-2025 FSC-klagomål.docx", "A 28676-2025")</f>
        <v/>
      </c>
      <c r="W253">
        <f>HYPERLINK("https://klasma.github.io/Logging_2305/klagomålsmail/A 28676-2025 FSC-klagomål mail.docx", "A 28676-2025")</f>
        <v/>
      </c>
      <c r="X253">
        <f>HYPERLINK("https://klasma.github.io/Logging_2305/tillsyn/A 28676-2025 tillsynsbegäran.docx", "A 28676-2025")</f>
        <v/>
      </c>
      <c r="Y253">
        <f>HYPERLINK("https://klasma.github.io/Logging_2305/tillsynsmail/A 28676-2025 tillsynsbegäran mail.docx", "A 28676-2025")</f>
        <v/>
      </c>
    </row>
    <row r="254" ht="15" customHeight="1">
      <c r="A254" t="inlineStr">
        <is>
          <t>A 11553-2024</t>
        </is>
      </c>
      <c r="B254" s="1" t="n">
        <v>45372.95811342593</v>
      </c>
      <c r="C254" s="1" t="n">
        <v>45916</v>
      </c>
      <c r="D254" t="inlineStr">
        <is>
          <t>JÄMTLANDS LÄN</t>
        </is>
      </c>
      <c r="E254" t="inlineStr">
        <is>
          <t>BRÄCKE</t>
        </is>
      </c>
      <c r="F254" t="inlineStr">
        <is>
          <t>Naturvårdsverket</t>
        </is>
      </c>
      <c r="G254" t="n">
        <v>1.9</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11553-2024 artfynd.xlsx", "A 11553-2024")</f>
        <v/>
      </c>
      <c r="T254">
        <f>HYPERLINK("https://klasma.github.io/Logging_2305/kartor/A 11553-2024 karta.png", "A 11553-2024")</f>
        <v/>
      </c>
      <c r="V254">
        <f>HYPERLINK("https://klasma.github.io/Logging_2305/klagomål/A 11553-2024 FSC-klagomål.docx", "A 11553-2024")</f>
        <v/>
      </c>
      <c r="W254">
        <f>HYPERLINK("https://klasma.github.io/Logging_2305/klagomålsmail/A 11553-2024 FSC-klagomål mail.docx", "A 11553-2024")</f>
        <v/>
      </c>
      <c r="X254">
        <f>HYPERLINK("https://klasma.github.io/Logging_2305/tillsyn/A 11553-2024 tillsynsbegäran.docx", "A 11553-2024")</f>
        <v/>
      </c>
      <c r="Y254">
        <f>HYPERLINK("https://klasma.github.io/Logging_2305/tillsynsmail/A 11553-2024 tillsynsbegäran mail.docx", "A 11553-2024")</f>
        <v/>
      </c>
    </row>
    <row r="255" ht="15" customHeight="1">
      <c r="A255" t="inlineStr">
        <is>
          <t>A 31450-2025</t>
        </is>
      </c>
      <c r="B255" s="1" t="n">
        <v>45833.53162037037</v>
      </c>
      <c r="C255" s="1" t="n">
        <v>45916</v>
      </c>
      <c r="D255" t="inlineStr">
        <is>
          <t>JÄMTLANDS LÄN</t>
        </is>
      </c>
      <c r="E255" t="inlineStr">
        <is>
          <t>BRÄCKE</t>
        </is>
      </c>
      <c r="F255" t="inlineStr">
        <is>
          <t>SCA</t>
        </is>
      </c>
      <c r="G255" t="n">
        <v>1.6</v>
      </c>
      <c r="H255" t="n">
        <v>1</v>
      </c>
      <c r="I255" t="n">
        <v>1</v>
      </c>
      <c r="J255" t="n">
        <v>0</v>
      </c>
      <c r="K255" t="n">
        <v>0</v>
      </c>
      <c r="L255" t="n">
        <v>0</v>
      </c>
      <c r="M255" t="n">
        <v>0</v>
      </c>
      <c r="N255" t="n">
        <v>0</v>
      </c>
      <c r="O255" t="n">
        <v>0</v>
      </c>
      <c r="P255" t="n">
        <v>0</v>
      </c>
      <c r="Q255" t="n">
        <v>1</v>
      </c>
      <c r="R255" s="2" t="inlineStr">
        <is>
          <t>Plattlummer</t>
        </is>
      </c>
      <c r="S255">
        <f>HYPERLINK("https://klasma.github.io/Logging_2305/artfynd/A 31450-2025 artfynd.xlsx", "A 31450-2025")</f>
        <v/>
      </c>
      <c r="T255">
        <f>HYPERLINK("https://klasma.github.io/Logging_2305/kartor/A 31450-2025 karta.png", "A 31450-2025")</f>
        <v/>
      </c>
      <c r="V255">
        <f>HYPERLINK("https://klasma.github.io/Logging_2305/klagomål/A 31450-2025 FSC-klagomål.docx", "A 31450-2025")</f>
        <v/>
      </c>
      <c r="W255">
        <f>HYPERLINK("https://klasma.github.io/Logging_2305/klagomålsmail/A 31450-2025 FSC-klagomål mail.docx", "A 31450-2025")</f>
        <v/>
      </c>
      <c r="X255">
        <f>HYPERLINK("https://klasma.github.io/Logging_2305/tillsyn/A 31450-2025 tillsynsbegäran.docx", "A 31450-2025")</f>
        <v/>
      </c>
      <c r="Y255">
        <f>HYPERLINK("https://klasma.github.io/Logging_2305/tillsynsmail/A 31450-2025 tillsynsbegäran mail.docx", "A 31450-2025")</f>
        <v/>
      </c>
    </row>
    <row r="256" ht="15" customHeight="1">
      <c r="A256" t="inlineStr">
        <is>
          <t>A 2466-2025</t>
        </is>
      </c>
      <c r="B256" s="1" t="n">
        <v>45674.46958333333</v>
      </c>
      <c r="C256" s="1" t="n">
        <v>45916</v>
      </c>
      <c r="D256" t="inlineStr">
        <is>
          <t>JÄMTLANDS LÄN</t>
        </is>
      </c>
      <c r="E256" t="inlineStr">
        <is>
          <t>BRÄCKE</t>
        </is>
      </c>
      <c r="F256" t="inlineStr">
        <is>
          <t>SCA</t>
        </is>
      </c>
      <c r="G256" t="n">
        <v>2.4</v>
      </c>
      <c r="H256" t="n">
        <v>0</v>
      </c>
      <c r="I256" t="n">
        <v>0</v>
      </c>
      <c r="J256" t="n">
        <v>1</v>
      </c>
      <c r="K256" t="n">
        <v>0</v>
      </c>
      <c r="L256" t="n">
        <v>0</v>
      </c>
      <c r="M256" t="n">
        <v>0</v>
      </c>
      <c r="N256" t="n">
        <v>0</v>
      </c>
      <c r="O256" t="n">
        <v>1</v>
      </c>
      <c r="P256" t="n">
        <v>0</v>
      </c>
      <c r="Q256" t="n">
        <v>1</v>
      </c>
      <c r="R256" s="2" t="inlineStr">
        <is>
          <t>Lunglav</t>
        </is>
      </c>
      <c r="S256">
        <f>HYPERLINK("https://klasma.github.io/Logging_2305/artfynd/A 2466-2025 artfynd.xlsx", "A 2466-2025")</f>
        <v/>
      </c>
      <c r="T256">
        <f>HYPERLINK("https://klasma.github.io/Logging_2305/kartor/A 2466-2025 karta.png", "A 2466-2025")</f>
        <v/>
      </c>
      <c r="V256">
        <f>HYPERLINK("https://klasma.github.io/Logging_2305/klagomål/A 2466-2025 FSC-klagomål.docx", "A 2466-2025")</f>
        <v/>
      </c>
      <c r="W256">
        <f>HYPERLINK("https://klasma.github.io/Logging_2305/klagomålsmail/A 2466-2025 FSC-klagomål mail.docx", "A 2466-2025")</f>
        <v/>
      </c>
      <c r="X256">
        <f>HYPERLINK("https://klasma.github.io/Logging_2305/tillsyn/A 2466-2025 tillsynsbegäran.docx", "A 2466-2025")</f>
        <v/>
      </c>
      <c r="Y256">
        <f>HYPERLINK("https://klasma.github.io/Logging_2305/tillsynsmail/A 2466-2025 tillsynsbegäran mail.docx", "A 2466-2025")</f>
        <v/>
      </c>
    </row>
    <row r="257" ht="15" customHeight="1">
      <c r="A257" t="inlineStr">
        <is>
          <t>A 2882-2025</t>
        </is>
      </c>
      <c r="B257" s="1" t="n">
        <v>45677.69878472222</v>
      </c>
      <c r="C257" s="1" t="n">
        <v>45916</v>
      </c>
      <c r="D257" t="inlineStr">
        <is>
          <t>JÄMTLANDS LÄN</t>
        </is>
      </c>
      <c r="E257" t="inlineStr">
        <is>
          <t>BRÄCKE</t>
        </is>
      </c>
      <c r="F257" t="inlineStr">
        <is>
          <t>SCA</t>
        </is>
      </c>
      <c r="G257" t="n">
        <v>2.7</v>
      </c>
      <c r="H257" t="n">
        <v>0</v>
      </c>
      <c r="I257" t="n">
        <v>0</v>
      </c>
      <c r="J257" t="n">
        <v>1</v>
      </c>
      <c r="K257" t="n">
        <v>0</v>
      </c>
      <c r="L257" t="n">
        <v>0</v>
      </c>
      <c r="M257" t="n">
        <v>0</v>
      </c>
      <c r="N257" t="n">
        <v>0</v>
      </c>
      <c r="O257" t="n">
        <v>1</v>
      </c>
      <c r="P257" t="n">
        <v>0</v>
      </c>
      <c r="Q257" t="n">
        <v>1</v>
      </c>
      <c r="R257" s="2" t="inlineStr">
        <is>
          <t>Dvärgbägarlav</t>
        </is>
      </c>
      <c r="S257">
        <f>HYPERLINK("https://klasma.github.io/Logging_2305/artfynd/A 2882-2025 artfynd.xlsx", "A 2882-2025")</f>
        <v/>
      </c>
      <c r="T257">
        <f>HYPERLINK("https://klasma.github.io/Logging_2305/kartor/A 2882-2025 karta.png", "A 2882-2025")</f>
        <v/>
      </c>
      <c r="V257">
        <f>HYPERLINK("https://klasma.github.io/Logging_2305/klagomål/A 2882-2025 FSC-klagomål.docx", "A 2882-2025")</f>
        <v/>
      </c>
      <c r="W257">
        <f>HYPERLINK("https://klasma.github.io/Logging_2305/klagomålsmail/A 2882-2025 FSC-klagomål mail.docx", "A 2882-2025")</f>
        <v/>
      </c>
      <c r="X257">
        <f>HYPERLINK("https://klasma.github.io/Logging_2305/tillsyn/A 2882-2025 tillsynsbegäran.docx", "A 2882-2025")</f>
        <v/>
      </c>
      <c r="Y257">
        <f>HYPERLINK("https://klasma.github.io/Logging_2305/tillsynsmail/A 2882-2025 tillsynsbegäran mail.docx", "A 2882-2025")</f>
        <v/>
      </c>
    </row>
    <row r="258" ht="15" customHeight="1">
      <c r="A258" t="inlineStr">
        <is>
          <t>A 37248-2025</t>
        </is>
      </c>
      <c r="B258" s="1" t="n">
        <v>45876.40665509259</v>
      </c>
      <c r="C258" s="1" t="n">
        <v>45916</v>
      </c>
      <c r="D258" t="inlineStr">
        <is>
          <t>JÄMTLANDS LÄN</t>
        </is>
      </c>
      <c r="E258" t="inlineStr">
        <is>
          <t>BRÄCKE</t>
        </is>
      </c>
      <c r="F258" t="inlineStr">
        <is>
          <t>SCA</t>
        </is>
      </c>
      <c r="G258" t="n">
        <v>5</v>
      </c>
      <c r="H258" t="n">
        <v>0</v>
      </c>
      <c r="I258" t="n">
        <v>1</v>
      </c>
      <c r="J258" t="n">
        <v>0</v>
      </c>
      <c r="K258" t="n">
        <v>0</v>
      </c>
      <c r="L258" t="n">
        <v>0</v>
      </c>
      <c r="M258" t="n">
        <v>0</v>
      </c>
      <c r="N258" t="n">
        <v>0</v>
      </c>
      <c r="O258" t="n">
        <v>0</v>
      </c>
      <c r="P258" t="n">
        <v>0</v>
      </c>
      <c r="Q258" t="n">
        <v>1</v>
      </c>
      <c r="R258" s="2" t="inlineStr">
        <is>
          <t>Vedticka</t>
        </is>
      </c>
      <c r="S258">
        <f>HYPERLINK("https://klasma.github.io/Logging_2305/artfynd/A 37248-2025 artfynd.xlsx", "A 37248-2025")</f>
        <v/>
      </c>
      <c r="T258">
        <f>HYPERLINK("https://klasma.github.io/Logging_2305/kartor/A 37248-2025 karta.png", "A 37248-2025")</f>
        <v/>
      </c>
      <c r="V258">
        <f>HYPERLINK("https://klasma.github.io/Logging_2305/klagomål/A 37248-2025 FSC-klagomål.docx", "A 37248-2025")</f>
        <v/>
      </c>
      <c r="W258">
        <f>HYPERLINK("https://klasma.github.io/Logging_2305/klagomålsmail/A 37248-2025 FSC-klagomål mail.docx", "A 37248-2025")</f>
        <v/>
      </c>
      <c r="X258">
        <f>HYPERLINK("https://klasma.github.io/Logging_2305/tillsyn/A 37248-2025 tillsynsbegäran.docx", "A 37248-2025")</f>
        <v/>
      </c>
      <c r="Y258">
        <f>HYPERLINK("https://klasma.github.io/Logging_2305/tillsynsmail/A 37248-2025 tillsynsbegäran mail.docx", "A 37248-2025")</f>
        <v/>
      </c>
    </row>
    <row r="259" ht="15" customHeight="1">
      <c r="A259" t="inlineStr">
        <is>
          <t>A 37922-2025</t>
        </is>
      </c>
      <c r="B259" s="1" t="n">
        <v>45881.5750462963</v>
      </c>
      <c r="C259" s="1" t="n">
        <v>45916</v>
      </c>
      <c r="D259" t="inlineStr">
        <is>
          <t>JÄMTLANDS LÄN</t>
        </is>
      </c>
      <c r="E259" t="inlineStr">
        <is>
          <t>BRÄCKE</t>
        </is>
      </c>
      <c r="F259" t="inlineStr">
        <is>
          <t>SCA</t>
        </is>
      </c>
      <c r="G259" t="n">
        <v>2.1</v>
      </c>
      <c r="H259" t="n">
        <v>1</v>
      </c>
      <c r="I259" t="n">
        <v>1</v>
      </c>
      <c r="J259" t="n">
        <v>0</v>
      </c>
      <c r="K259" t="n">
        <v>0</v>
      </c>
      <c r="L259" t="n">
        <v>0</v>
      </c>
      <c r="M259" t="n">
        <v>0</v>
      </c>
      <c r="N259" t="n">
        <v>0</v>
      </c>
      <c r="O259" t="n">
        <v>0</v>
      </c>
      <c r="P259" t="n">
        <v>0</v>
      </c>
      <c r="Q259" t="n">
        <v>1</v>
      </c>
      <c r="R259" s="2" t="inlineStr">
        <is>
          <t>Plattlummer</t>
        </is>
      </c>
      <c r="S259">
        <f>HYPERLINK("https://klasma.github.io/Logging_2305/artfynd/A 37922-2025 artfynd.xlsx", "A 37922-2025")</f>
        <v/>
      </c>
      <c r="T259">
        <f>HYPERLINK("https://klasma.github.io/Logging_2305/kartor/A 37922-2025 karta.png", "A 37922-2025")</f>
        <v/>
      </c>
      <c r="V259">
        <f>HYPERLINK("https://klasma.github.io/Logging_2305/klagomål/A 37922-2025 FSC-klagomål.docx", "A 37922-2025")</f>
        <v/>
      </c>
      <c r="W259">
        <f>HYPERLINK("https://klasma.github.io/Logging_2305/klagomålsmail/A 37922-2025 FSC-klagomål mail.docx", "A 37922-2025")</f>
        <v/>
      </c>
      <c r="X259">
        <f>HYPERLINK("https://klasma.github.io/Logging_2305/tillsyn/A 37922-2025 tillsynsbegäran.docx", "A 37922-2025")</f>
        <v/>
      </c>
      <c r="Y259">
        <f>HYPERLINK("https://klasma.github.io/Logging_2305/tillsynsmail/A 37922-2025 tillsynsbegäran mail.docx", "A 37922-2025")</f>
        <v/>
      </c>
    </row>
    <row r="260" ht="15" customHeight="1">
      <c r="A260" t="inlineStr">
        <is>
          <t>A 235-2022</t>
        </is>
      </c>
      <c r="B260" s="1" t="n">
        <v>44564</v>
      </c>
      <c r="C260" s="1" t="n">
        <v>45916</v>
      </c>
      <c r="D260" t="inlineStr">
        <is>
          <t>JÄMTLANDS LÄN</t>
        </is>
      </c>
      <c r="E260" t="inlineStr">
        <is>
          <t>BRÄCKE</t>
        </is>
      </c>
      <c r="F260" t="inlineStr">
        <is>
          <t>SCA</t>
        </is>
      </c>
      <c r="G260" t="n">
        <v>5.8</v>
      </c>
      <c r="H260" t="n">
        <v>0</v>
      </c>
      <c r="I260" t="n">
        <v>0</v>
      </c>
      <c r="J260" t="n">
        <v>1</v>
      </c>
      <c r="K260" t="n">
        <v>0</v>
      </c>
      <c r="L260" t="n">
        <v>0</v>
      </c>
      <c r="M260" t="n">
        <v>0</v>
      </c>
      <c r="N260" t="n">
        <v>0</v>
      </c>
      <c r="O260" t="n">
        <v>1</v>
      </c>
      <c r="P260" t="n">
        <v>0</v>
      </c>
      <c r="Q260" t="n">
        <v>1</v>
      </c>
      <c r="R260" s="2" t="inlineStr">
        <is>
          <t>Harticka</t>
        </is>
      </c>
      <c r="S260">
        <f>HYPERLINK("https://klasma.github.io/Logging_2305/artfynd/A 235-2022 artfynd.xlsx", "A 235-2022")</f>
        <v/>
      </c>
      <c r="T260">
        <f>HYPERLINK("https://klasma.github.io/Logging_2305/kartor/A 235-2022 karta.png", "A 235-2022")</f>
        <v/>
      </c>
      <c r="V260">
        <f>HYPERLINK("https://klasma.github.io/Logging_2305/klagomål/A 235-2022 FSC-klagomål.docx", "A 235-2022")</f>
        <v/>
      </c>
      <c r="W260">
        <f>HYPERLINK("https://klasma.github.io/Logging_2305/klagomålsmail/A 235-2022 FSC-klagomål mail.docx", "A 235-2022")</f>
        <v/>
      </c>
      <c r="X260">
        <f>HYPERLINK("https://klasma.github.io/Logging_2305/tillsyn/A 235-2022 tillsynsbegäran.docx", "A 235-2022")</f>
        <v/>
      </c>
      <c r="Y260">
        <f>HYPERLINK("https://klasma.github.io/Logging_2305/tillsynsmail/A 235-2022 tillsynsbegäran mail.docx", "A 235-2022")</f>
        <v/>
      </c>
    </row>
    <row r="261" ht="15" customHeight="1">
      <c r="A261" t="inlineStr">
        <is>
          <t>A 37976-2025</t>
        </is>
      </c>
      <c r="B261" s="1" t="n">
        <v>45881.67775462963</v>
      </c>
      <c r="C261" s="1" t="n">
        <v>45916</v>
      </c>
      <c r="D261" t="inlineStr">
        <is>
          <t>JÄMTLANDS LÄN</t>
        </is>
      </c>
      <c r="E261" t="inlineStr">
        <is>
          <t>BRÄCKE</t>
        </is>
      </c>
      <c r="F261" t="inlineStr">
        <is>
          <t>SCA</t>
        </is>
      </c>
      <c r="G261" t="n">
        <v>11.3</v>
      </c>
      <c r="H261" t="n">
        <v>0</v>
      </c>
      <c r="I261" t="n">
        <v>0</v>
      </c>
      <c r="J261" t="n">
        <v>1</v>
      </c>
      <c r="K261" t="n">
        <v>0</v>
      </c>
      <c r="L261" t="n">
        <v>0</v>
      </c>
      <c r="M261" t="n">
        <v>0</v>
      </c>
      <c r="N261" t="n">
        <v>0</v>
      </c>
      <c r="O261" t="n">
        <v>1</v>
      </c>
      <c r="P261" t="n">
        <v>0</v>
      </c>
      <c r="Q261" t="n">
        <v>1</v>
      </c>
      <c r="R261" s="2" t="inlineStr">
        <is>
          <t>Lunglav</t>
        </is>
      </c>
      <c r="S261">
        <f>HYPERLINK("https://klasma.github.io/Logging_2305/artfynd/A 37976-2025 artfynd.xlsx", "A 37976-2025")</f>
        <v/>
      </c>
      <c r="T261">
        <f>HYPERLINK("https://klasma.github.io/Logging_2305/kartor/A 37976-2025 karta.png", "A 37976-2025")</f>
        <v/>
      </c>
      <c r="V261">
        <f>HYPERLINK("https://klasma.github.io/Logging_2305/klagomål/A 37976-2025 FSC-klagomål.docx", "A 37976-2025")</f>
        <v/>
      </c>
      <c r="W261">
        <f>HYPERLINK("https://klasma.github.io/Logging_2305/klagomålsmail/A 37976-2025 FSC-klagomål mail.docx", "A 37976-2025")</f>
        <v/>
      </c>
      <c r="X261">
        <f>HYPERLINK("https://klasma.github.io/Logging_2305/tillsyn/A 37976-2025 tillsynsbegäran.docx", "A 37976-2025")</f>
        <v/>
      </c>
      <c r="Y261">
        <f>HYPERLINK("https://klasma.github.io/Logging_2305/tillsynsmail/A 37976-2025 tillsynsbegäran mail.docx", "A 37976-2025")</f>
        <v/>
      </c>
    </row>
    <row r="262" ht="15" customHeight="1">
      <c r="A262" t="inlineStr">
        <is>
          <t>A 698-2025</t>
        </is>
      </c>
      <c r="B262" s="1" t="n">
        <v>45665.34416666667</v>
      </c>
      <c r="C262" s="1" t="n">
        <v>45916</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698-2025 artfynd.xlsx", "A 698-2025")</f>
        <v/>
      </c>
      <c r="T262">
        <f>HYPERLINK("https://klasma.github.io/Logging_2305/kartor/A 698-2025 karta.png", "A 698-2025")</f>
        <v/>
      </c>
      <c r="V262">
        <f>HYPERLINK("https://klasma.github.io/Logging_2305/klagomål/A 698-2025 FSC-klagomål.docx", "A 698-2025")</f>
        <v/>
      </c>
      <c r="W262">
        <f>HYPERLINK("https://klasma.github.io/Logging_2305/klagomålsmail/A 698-2025 FSC-klagomål mail.docx", "A 698-2025")</f>
        <v/>
      </c>
      <c r="X262">
        <f>HYPERLINK("https://klasma.github.io/Logging_2305/tillsyn/A 698-2025 tillsynsbegäran.docx", "A 698-2025")</f>
        <v/>
      </c>
      <c r="Y262">
        <f>HYPERLINK("https://klasma.github.io/Logging_2305/tillsynsmail/A 698-2025 tillsynsbegäran mail.docx", "A 698-2025")</f>
        <v/>
      </c>
    </row>
    <row r="263" ht="15" customHeight="1">
      <c r="A263" t="inlineStr">
        <is>
          <t>A 38158-2025</t>
        </is>
      </c>
      <c r="B263" s="1" t="n">
        <v>45882.61518518518</v>
      </c>
      <c r="C263" s="1" t="n">
        <v>45916</v>
      </c>
      <c r="D263" t="inlineStr">
        <is>
          <t>JÄMTLANDS LÄN</t>
        </is>
      </c>
      <c r="E263" t="inlineStr">
        <is>
          <t>BRÄCKE</t>
        </is>
      </c>
      <c r="F263" t="inlineStr">
        <is>
          <t>SCA</t>
        </is>
      </c>
      <c r="G263" t="n">
        <v>19.9</v>
      </c>
      <c r="H263" t="n">
        <v>0</v>
      </c>
      <c r="I263" t="n">
        <v>0</v>
      </c>
      <c r="J263" t="n">
        <v>1</v>
      </c>
      <c r="K263" t="n">
        <v>0</v>
      </c>
      <c r="L263" t="n">
        <v>0</v>
      </c>
      <c r="M263" t="n">
        <v>0</v>
      </c>
      <c r="N263" t="n">
        <v>0</v>
      </c>
      <c r="O263" t="n">
        <v>1</v>
      </c>
      <c r="P263" t="n">
        <v>0</v>
      </c>
      <c r="Q263" t="n">
        <v>1</v>
      </c>
      <c r="R263" s="2" t="inlineStr">
        <is>
          <t>Rödbrun klubbdyna</t>
        </is>
      </c>
      <c r="S263">
        <f>HYPERLINK("https://klasma.github.io/Logging_2305/artfynd/A 38158-2025 artfynd.xlsx", "A 38158-2025")</f>
        <v/>
      </c>
      <c r="T263">
        <f>HYPERLINK("https://klasma.github.io/Logging_2305/kartor/A 38158-2025 karta.png", "A 38158-2025")</f>
        <v/>
      </c>
      <c r="V263">
        <f>HYPERLINK("https://klasma.github.io/Logging_2305/klagomål/A 38158-2025 FSC-klagomål.docx", "A 38158-2025")</f>
        <v/>
      </c>
      <c r="W263">
        <f>HYPERLINK("https://klasma.github.io/Logging_2305/klagomålsmail/A 38158-2025 FSC-klagomål mail.docx", "A 38158-2025")</f>
        <v/>
      </c>
      <c r="X263">
        <f>HYPERLINK("https://klasma.github.io/Logging_2305/tillsyn/A 38158-2025 tillsynsbegäran.docx", "A 38158-2025")</f>
        <v/>
      </c>
      <c r="Y263">
        <f>HYPERLINK("https://klasma.github.io/Logging_2305/tillsynsmail/A 38158-2025 tillsynsbegäran mail.docx", "A 38158-2025")</f>
        <v/>
      </c>
    </row>
    <row r="264" ht="15" customHeight="1">
      <c r="A264" t="inlineStr">
        <is>
          <t>A 29215-2024</t>
        </is>
      </c>
      <c r="B264" s="1" t="n">
        <v>45482.67827546296</v>
      </c>
      <c r="C264" s="1" t="n">
        <v>45916</v>
      </c>
      <c r="D264" t="inlineStr">
        <is>
          <t>JÄMTLANDS LÄN</t>
        </is>
      </c>
      <c r="E264" t="inlineStr">
        <is>
          <t>BRÄCKE</t>
        </is>
      </c>
      <c r="F264" t="inlineStr">
        <is>
          <t>Övriga Aktiebolag</t>
        </is>
      </c>
      <c r="G264" t="n">
        <v>7.3</v>
      </c>
      <c r="H264" t="n">
        <v>1</v>
      </c>
      <c r="I264" t="n">
        <v>0</v>
      </c>
      <c r="J264" t="n">
        <v>0</v>
      </c>
      <c r="K264" t="n">
        <v>0</v>
      </c>
      <c r="L264" t="n">
        <v>0</v>
      </c>
      <c r="M264" t="n">
        <v>0</v>
      </c>
      <c r="N264" t="n">
        <v>0</v>
      </c>
      <c r="O264" t="n">
        <v>0</v>
      </c>
      <c r="P264" t="n">
        <v>0</v>
      </c>
      <c r="Q264" t="n">
        <v>1</v>
      </c>
      <c r="R264" s="2" t="inlineStr">
        <is>
          <t>Sparvuggla</t>
        </is>
      </c>
      <c r="S264">
        <f>HYPERLINK("https://klasma.github.io/Logging_2305/artfynd/A 29215-2024 artfynd.xlsx", "A 29215-2024")</f>
        <v/>
      </c>
      <c r="T264">
        <f>HYPERLINK("https://klasma.github.io/Logging_2305/kartor/A 29215-2024 karta.png", "A 29215-2024")</f>
        <v/>
      </c>
      <c r="V264">
        <f>HYPERLINK("https://klasma.github.io/Logging_2305/klagomål/A 29215-2024 FSC-klagomål.docx", "A 29215-2024")</f>
        <v/>
      </c>
      <c r="W264">
        <f>HYPERLINK("https://klasma.github.io/Logging_2305/klagomålsmail/A 29215-2024 FSC-klagomål mail.docx", "A 29215-2024")</f>
        <v/>
      </c>
      <c r="X264">
        <f>HYPERLINK("https://klasma.github.io/Logging_2305/tillsyn/A 29215-2024 tillsynsbegäran.docx", "A 29215-2024")</f>
        <v/>
      </c>
      <c r="Y264">
        <f>HYPERLINK("https://klasma.github.io/Logging_2305/tillsynsmail/A 29215-2024 tillsynsbegäran mail.docx", "A 29215-2024")</f>
        <v/>
      </c>
      <c r="Z264">
        <f>HYPERLINK("https://klasma.github.io/Logging_2305/fåglar/A 29215-2024 prioriterade fågelarter.docx", "A 29215-2024")</f>
        <v/>
      </c>
    </row>
    <row r="265" ht="15" customHeight="1">
      <c r="A265" t="inlineStr">
        <is>
          <t>A 789-2025</t>
        </is>
      </c>
      <c r="B265" s="1" t="n">
        <v>45665.51072916666</v>
      </c>
      <c r="C265" s="1" t="n">
        <v>45916</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789-2025 artfynd.xlsx", "A 789-2025")</f>
        <v/>
      </c>
      <c r="T265">
        <f>HYPERLINK("https://klasma.github.io/Logging_2305/kartor/A 789-2025 karta.png", "A 789-2025")</f>
        <v/>
      </c>
      <c r="V265">
        <f>HYPERLINK("https://klasma.github.io/Logging_2305/klagomål/A 789-2025 FSC-klagomål.docx", "A 789-2025")</f>
        <v/>
      </c>
      <c r="W265">
        <f>HYPERLINK("https://klasma.github.io/Logging_2305/klagomålsmail/A 789-2025 FSC-klagomål mail.docx", "A 789-2025")</f>
        <v/>
      </c>
      <c r="X265">
        <f>HYPERLINK("https://klasma.github.io/Logging_2305/tillsyn/A 789-2025 tillsynsbegäran.docx", "A 789-2025")</f>
        <v/>
      </c>
      <c r="Y265">
        <f>HYPERLINK("https://klasma.github.io/Logging_2305/tillsynsmail/A 789-2025 tillsynsbegäran mail.docx", "A 789-2025")</f>
        <v/>
      </c>
    </row>
    <row r="266" ht="15" customHeight="1">
      <c r="A266" t="inlineStr">
        <is>
          <t>A 34226-2025</t>
        </is>
      </c>
      <c r="B266" s="1" t="n">
        <v>45845.656875</v>
      </c>
      <c r="C266" s="1" t="n">
        <v>45916</v>
      </c>
      <c r="D266" t="inlineStr">
        <is>
          <t>JÄMTLANDS LÄN</t>
        </is>
      </c>
      <c r="E266" t="inlineStr">
        <is>
          <t>BRÄCKE</t>
        </is>
      </c>
      <c r="F266" t="inlineStr">
        <is>
          <t>SCA</t>
        </is>
      </c>
      <c r="G266" t="n">
        <v>9</v>
      </c>
      <c r="H266" t="n">
        <v>1</v>
      </c>
      <c r="I266" t="n">
        <v>0</v>
      </c>
      <c r="J266" t="n">
        <v>1</v>
      </c>
      <c r="K266" t="n">
        <v>0</v>
      </c>
      <c r="L266" t="n">
        <v>0</v>
      </c>
      <c r="M266" t="n">
        <v>0</v>
      </c>
      <c r="N266" t="n">
        <v>0</v>
      </c>
      <c r="O266" t="n">
        <v>1</v>
      </c>
      <c r="P266" t="n">
        <v>0</v>
      </c>
      <c r="Q266" t="n">
        <v>1</v>
      </c>
      <c r="R266" s="2" t="inlineStr">
        <is>
          <t>Talltita</t>
        </is>
      </c>
      <c r="S266">
        <f>HYPERLINK("https://klasma.github.io/Logging_2305/artfynd/A 34226-2025 artfynd.xlsx", "A 34226-2025")</f>
        <v/>
      </c>
      <c r="T266">
        <f>HYPERLINK("https://klasma.github.io/Logging_2305/kartor/A 34226-2025 karta.png", "A 34226-2025")</f>
        <v/>
      </c>
      <c r="V266">
        <f>HYPERLINK("https://klasma.github.io/Logging_2305/klagomål/A 34226-2025 FSC-klagomål.docx", "A 34226-2025")</f>
        <v/>
      </c>
      <c r="W266">
        <f>HYPERLINK("https://klasma.github.io/Logging_2305/klagomålsmail/A 34226-2025 FSC-klagomål mail.docx", "A 34226-2025")</f>
        <v/>
      </c>
      <c r="X266">
        <f>HYPERLINK("https://klasma.github.io/Logging_2305/tillsyn/A 34226-2025 tillsynsbegäran.docx", "A 34226-2025")</f>
        <v/>
      </c>
      <c r="Y266">
        <f>HYPERLINK("https://klasma.github.io/Logging_2305/tillsynsmail/A 34226-2025 tillsynsbegäran mail.docx", "A 34226-2025")</f>
        <v/>
      </c>
      <c r="Z266">
        <f>HYPERLINK("https://klasma.github.io/Logging_2305/fåglar/A 34226-2025 prioriterade fågelarter.docx", "A 34226-2025")</f>
        <v/>
      </c>
    </row>
    <row r="267" ht="15" customHeight="1">
      <c r="A267" t="inlineStr">
        <is>
          <t>A 9204-2025</t>
        </is>
      </c>
      <c r="B267" s="1" t="n">
        <v>45714.48988425926</v>
      </c>
      <c r="C267" s="1" t="n">
        <v>45916</v>
      </c>
      <c r="D267" t="inlineStr">
        <is>
          <t>JÄMTLANDS LÄN</t>
        </is>
      </c>
      <c r="E267" t="inlineStr">
        <is>
          <t>BRÄCKE</t>
        </is>
      </c>
      <c r="F267" t="inlineStr">
        <is>
          <t>SCA</t>
        </is>
      </c>
      <c r="G267" t="n">
        <v>3.6</v>
      </c>
      <c r="H267" t="n">
        <v>1</v>
      </c>
      <c r="I267" t="n">
        <v>0</v>
      </c>
      <c r="J267" t="n">
        <v>1</v>
      </c>
      <c r="K267" t="n">
        <v>0</v>
      </c>
      <c r="L267" t="n">
        <v>0</v>
      </c>
      <c r="M267" t="n">
        <v>0</v>
      </c>
      <c r="N267" t="n">
        <v>0</v>
      </c>
      <c r="O267" t="n">
        <v>1</v>
      </c>
      <c r="P267" t="n">
        <v>0</v>
      </c>
      <c r="Q267" t="n">
        <v>1</v>
      </c>
      <c r="R267" s="2" t="inlineStr">
        <is>
          <t>Talltita</t>
        </is>
      </c>
      <c r="S267">
        <f>HYPERLINK("https://klasma.github.io/Logging_2305/artfynd/A 9204-2025 artfynd.xlsx", "A 9204-2025")</f>
        <v/>
      </c>
      <c r="T267">
        <f>HYPERLINK("https://klasma.github.io/Logging_2305/kartor/A 9204-2025 karta.png", "A 9204-2025")</f>
        <v/>
      </c>
      <c r="V267">
        <f>HYPERLINK("https://klasma.github.io/Logging_2305/klagomål/A 9204-2025 FSC-klagomål.docx", "A 9204-2025")</f>
        <v/>
      </c>
      <c r="W267">
        <f>HYPERLINK("https://klasma.github.io/Logging_2305/klagomålsmail/A 9204-2025 FSC-klagomål mail.docx", "A 9204-2025")</f>
        <v/>
      </c>
      <c r="X267">
        <f>HYPERLINK("https://klasma.github.io/Logging_2305/tillsyn/A 9204-2025 tillsynsbegäran.docx", "A 9204-2025")</f>
        <v/>
      </c>
      <c r="Y267">
        <f>HYPERLINK("https://klasma.github.io/Logging_2305/tillsynsmail/A 9204-2025 tillsynsbegäran mail.docx", "A 9204-2025")</f>
        <v/>
      </c>
      <c r="Z267">
        <f>HYPERLINK("https://klasma.github.io/Logging_2305/fåglar/A 9204-2025 prioriterade fågelarter.docx", "A 9204-2025")</f>
        <v/>
      </c>
    </row>
    <row r="268" ht="15" customHeight="1">
      <c r="A268" t="inlineStr">
        <is>
          <t>A 14374-2024</t>
        </is>
      </c>
      <c r="B268" s="1" t="n">
        <v>45393</v>
      </c>
      <c r="C268" s="1" t="n">
        <v>45916</v>
      </c>
      <c r="D268" t="inlineStr">
        <is>
          <t>JÄMTLANDS LÄN</t>
        </is>
      </c>
      <c r="E268" t="inlineStr">
        <is>
          <t>BRÄCKE</t>
        </is>
      </c>
      <c r="F268" t="inlineStr">
        <is>
          <t>SCA</t>
        </is>
      </c>
      <c r="G268" t="n">
        <v>0.8</v>
      </c>
      <c r="H268" t="n">
        <v>1</v>
      </c>
      <c r="I268" t="n">
        <v>0</v>
      </c>
      <c r="J268" t="n">
        <v>1</v>
      </c>
      <c r="K268" t="n">
        <v>0</v>
      </c>
      <c r="L268" t="n">
        <v>0</v>
      </c>
      <c r="M268" t="n">
        <v>0</v>
      </c>
      <c r="N268" t="n">
        <v>0</v>
      </c>
      <c r="O268" t="n">
        <v>1</v>
      </c>
      <c r="P268" t="n">
        <v>0</v>
      </c>
      <c r="Q268" t="n">
        <v>1</v>
      </c>
      <c r="R268" s="2" t="inlineStr">
        <is>
          <t>Kungsörn</t>
        </is>
      </c>
      <c r="S268">
        <f>HYPERLINK("https://klasma.github.io/Logging_2305/artfynd/A 14374-2024 artfynd.xlsx", "A 14374-2024")</f>
        <v/>
      </c>
      <c r="T268">
        <f>HYPERLINK("https://klasma.github.io/Logging_2305/kartor/A 14374-2024 karta.png", "A 14374-2024")</f>
        <v/>
      </c>
      <c r="V268">
        <f>HYPERLINK("https://klasma.github.io/Logging_2305/klagomål/A 14374-2024 FSC-klagomål.docx", "A 14374-2024")</f>
        <v/>
      </c>
      <c r="W268">
        <f>HYPERLINK("https://klasma.github.io/Logging_2305/klagomålsmail/A 14374-2024 FSC-klagomål mail.docx", "A 14374-2024")</f>
        <v/>
      </c>
      <c r="X268">
        <f>HYPERLINK("https://klasma.github.io/Logging_2305/tillsyn/A 14374-2024 tillsynsbegäran.docx", "A 14374-2024")</f>
        <v/>
      </c>
      <c r="Y268">
        <f>HYPERLINK("https://klasma.github.io/Logging_2305/tillsynsmail/A 14374-2024 tillsynsbegäran mail.docx", "A 14374-2024")</f>
        <v/>
      </c>
      <c r="Z268">
        <f>HYPERLINK("https://klasma.github.io/Logging_2305/fåglar/A 14374-2024 prioriterade fågelarter.docx", "A 14374-2024")</f>
        <v/>
      </c>
    </row>
    <row r="269" ht="15" customHeight="1">
      <c r="A269" t="inlineStr">
        <is>
          <t>A 22101-2024</t>
        </is>
      </c>
      <c r="B269" s="1" t="n">
        <v>45443.95077546296</v>
      </c>
      <c r="C269" s="1" t="n">
        <v>45916</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16573-2023</t>
        </is>
      </c>
      <c r="B270" s="1" t="n">
        <v>45029</v>
      </c>
      <c r="C270" s="1" t="n">
        <v>45916</v>
      </c>
      <c r="D270" t="inlineStr">
        <is>
          <t>JÄMTLANDS LÄN</t>
        </is>
      </c>
      <c r="E270" t="inlineStr">
        <is>
          <t>BRÄCKE</t>
        </is>
      </c>
      <c r="F270" t="inlineStr">
        <is>
          <t>SCA</t>
        </is>
      </c>
      <c r="G270" t="n">
        <v>9.5</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16573-2023 artfynd.xlsx", "A 16573-2023")</f>
        <v/>
      </c>
      <c r="T270">
        <f>HYPERLINK("https://klasma.github.io/Logging_2305/kartor/A 16573-2023 karta.png", "A 16573-2023")</f>
        <v/>
      </c>
      <c r="V270">
        <f>HYPERLINK("https://klasma.github.io/Logging_2305/klagomål/A 16573-2023 FSC-klagomål.docx", "A 16573-2023")</f>
        <v/>
      </c>
      <c r="W270">
        <f>HYPERLINK("https://klasma.github.io/Logging_2305/klagomålsmail/A 16573-2023 FSC-klagomål mail.docx", "A 16573-2023")</f>
        <v/>
      </c>
      <c r="X270">
        <f>HYPERLINK("https://klasma.github.io/Logging_2305/tillsyn/A 16573-2023 tillsynsbegäran.docx", "A 16573-2023")</f>
        <v/>
      </c>
      <c r="Y270">
        <f>HYPERLINK("https://klasma.github.io/Logging_2305/tillsynsmail/A 16573-2023 tillsynsbegäran mail.docx", "A 16573-2023")</f>
        <v/>
      </c>
      <c r="Z270">
        <f>HYPERLINK("https://klasma.github.io/Logging_2305/fåglar/A 16573-2023 prioriterade fågelarter.docx", "A 16573-2023")</f>
        <v/>
      </c>
    </row>
    <row r="271" ht="15" customHeight="1">
      <c r="A271" t="inlineStr">
        <is>
          <t>A 34615-2025</t>
        </is>
      </c>
      <c r="B271" s="1" t="n">
        <v>45847.6778125</v>
      </c>
      <c r="C271" s="1" t="n">
        <v>45916</v>
      </c>
      <c r="D271" t="inlineStr">
        <is>
          <t>JÄMTLANDS LÄN</t>
        </is>
      </c>
      <c r="E271" t="inlineStr">
        <is>
          <t>BRÄCKE</t>
        </is>
      </c>
      <c r="F271" t="inlineStr">
        <is>
          <t>SCA</t>
        </is>
      </c>
      <c r="G271" t="n">
        <v>2.7</v>
      </c>
      <c r="H271" t="n">
        <v>0</v>
      </c>
      <c r="I271" t="n">
        <v>0</v>
      </c>
      <c r="J271" t="n">
        <v>0</v>
      </c>
      <c r="K271" t="n">
        <v>1</v>
      </c>
      <c r="L271" t="n">
        <v>0</v>
      </c>
      <c r="M271" t="n">
        <v>0</v>
      </c>
      <c r="N271" t="n">
        <v>0</v>
      </c>
      <c r="O271" t="n">
        <v>1</v>
      </c>
      <c r="P271" t="n">
        <v>1</v>
      </c>
      <c r="Q271" t="n">
        <v>1</v>
      </c>
      <c r="R271" s="2" t="inlineStr">
        <is>
          <t>Jättemusseron</t>
        </is>
      </c>
      <c r="S271">
        <f>HYPERLINK("https://klasma.github.io/Logging_2305/artfynd/A 34615-2025 artfynd.xlsx", "A 34615-2025")</f>
        <v/>
      </c>
      <c r="T271">
        <f>HYPERLINK("https://klasma.github.io/Logging_2305/kartor/A 34615-2025 karta.png", "A 34615-2025")</f>
        <v/>
      </c>
      <c r="V271">
        <f>HYPERLINK("https://klasma.github.io/Logging_2305/klagomål/A 34615-2025 FSC-klagomål.docx", "A 34615-2025")</f>
        <v/>
      </c>
      <c r="W271">
        <f>HYPERLINK("https://klasma.github.io/Logging_2305/klagomålsmail/A 34615-2025 FSC-klagomål mail.docx", "A 34615-2025")</f>
        <v/>
      </c>
      <c r="X271">
        <f>HYPERLINK("https://klasma.github.io/Logging_2305/tillsyn/A 34615-2025 tillsynsbegäran.docx", "A 34615-2025")</f>
        <v/>
      </c>
      <c r="Y271">
        <f>HYPERLINK("https://klasma.github.io/Logging_2305/tillsynsmail/A 34615-2025 tillsynsbegäran mail.docx", "A 34615-2025")</f>
        <v/>
      </c>
    </row>
    <row r="272" ht="15" customHeight="1">
      <c r="A272" t="inlineStr">
        <is>
          <t>A 39085-2025</t>
        </is>
      </c>
      <c r="B272" s="1" t="n">
        <v>45888.49021990741</v>
      </c>
      <c r="C272" s="1" t="n">
        <v>45916</v>
      </c>
      <c r="D272" t="inlineStr">
        <is>
          <t>JÄMTLANDS LÄN</t>
        </is>
      </c>
      <c r="E272" t="inlineStr">
        <is>
          <t>BRÄCKE</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HYPERLINK("https://klasma.github.io/Logging_2305/artfynd/A 39085-2025 artfynd.xlsx", "A 39085-2025")</f>
        <v/>
      </c>
      <c r="T272">
        <f>HYPERLINK("https://klasma.github.io/Logging_2305/kartor/A 39085-2025 karta.png", "A 39085-2025")</f>
        <v/>
      </c>
      <c r="V272">
        <f>HYPERLINK("https://klasma.github.io/Logging_2305/klagomål/A 39085-2025 FSC-klagomål.docx", "A 39085-2025")</f>
        <v/>
      </c>
      <c r="W272">
        <f>HYPERLINK("https://klasma.github.io/Logging_2305/klagomålsmail/A 39085-2025 FSC-klagomål mail.docx", "A 39085-2025")</f>
        <v/>
      </c>
      <c r="X272">
        <f>HYPERLINK("https://klasma.github.io/Logging_2305/tillsyn/A 39085-2025 tillsynsbegäran.docx", "A 39085-2025")</f>
        <v/>
      </c>
      <c r="Y272">
        <f>HYPERLINK("https://klasma.github.io/Logging_2305/tillsynsmail/A 39085-2025 tillsynsbegäran mail.docx", "A 39085-2025")</f>
        <v/>
      </c>
    </row>
    <row r="273" ht="15" customHeight="1">
      <c r="A273" t="inlineStr">
        <is>
          <t>A 34911-2025</t>
        </is>
      </c>
      <c r="B273" s="1" t="n">
        <v>45849.53545138889</v>
      </c>
      <c r="C273" s="1" t="n">
        <v>45916</v>
      </c>
      <c r="D273" t="inlineStr">
        <is>
          <t>JÄMTLANDS LÄN</t>
        </is>
      </c>
      <c r="E273" t="inlineStr">
        <is>
          <t>BRÄCKE</t>
        </is>
      </c>
      <c r="F273" t="inlineStr">
        <is>
          <t>Sveaskog</t>
        </is>
      </c>
      <c r="G273" t="n">
        <v>7.2</v>
      </c>
      <c r="H273" t="n">
        <v>1</v>
      </c>
      <c r="I273" t="n">
        <v>1</v>
      </c>
      <c r="J273" t="n">
        <v>0</v>
      </c>
      <c r="K273" t="n">
        <v>0</v>
      </c>
      <c r="L273" t="n">
        <v>0</v>
      </c>
      <c r="M273" t="n">
        <v>0</v>
      </c>
      <c r="N273" t="n">
        <v>0</v>
      </c>
      <c r="O273" t="n">
        <v>0</v>
      </c>
      <c r="P273" t="n">
        <v>0</v>
      </c>
      <c r="Q273" t="n">
        <v>1</v>
      </c>
      <c r="R273" s="2" t="inlineStr">
        <is>
          <t>Guckusko</t>
        </is>
      </c>
      <c r="S273">
        <f>HYPERLINK("https://klasma.github.io/Logging_2305/artfynd/A 34911-2025 artfynd.xlsx", "A 34911-2025")</f>
        <v/>
      </c>
      <c r="T273">
        <f>HYPERLINK("https://klasma.github.io/Logging_2305/kartor/A 34911-2025 karta.png", "A 34911-2025")</f>
        <v/>
      </c>
      <c r="V273">
        <f>HYPERLINK("https://klasma.github.io/Logging_2305/klagomål/A 34911-2025 FSC-klagomål.docx", "A 34911-2025")</f>
        <v/>
      </c>
      <c r="W273">
        <f>HYPERLINK("https://klasma.github.io/Logging_2305/klagomålsmail/A 34911-2025 FSC-klagomål mail.docx", "A 34911-2025")</f>
        <v/>
      </c>
      <c r="X273">
        <f>HYPERLINK("https://klasma.github.io/Logging_2305/tillsyn/A 34911-2025 tillsynsbegäran.docx", "A 34911-2025")</f>
        <v/>
      </c>
      <c r="Y273">
        <f>HYPERLINK("https://klasma.github.io/Logging_2305/tillsynsmail/A 34911-2025 tillsynsbegäran mail.docx", "A 34911-2025")</f>
        <v/>
      </c>
    </row>
    <row r="274" ht="15" customHeight="1">
      <c r="A274" t="inlineStr">
        <is>
          <t>A 48064-2023</t>
        </is>
      </c>
      <c r="B274" s="1" t="n">
        <v>45204</v>
      </c>
      <c r="C274" s="1" t="n">
        <v>45916</v>
      </c>
      <c r="D274" t="inlineStr">
        <is>
          <t>JÄMTLANDS LÄN</t>
        </is>
      </c>
      <c r="E274" t="inlineStr">
        <is>
          <t>BRÄCKE</t>
        </is>
      </c>
      <c r="G274" t="n">
        <v>2.3</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48064-2023 artfynd.xlsx", "A 48064-2023")</f>
        <v/>
      </c>
      <c r="T274">
        <f>HYPERLINK("https://klasma.github.io/Logging_2305/kartor/A 48064-2023 karta.png", "A 48064-2023")</f>
        <v/>
      </c>
      <c r="V274">
        <f>HYPERLINK("https://klasma.github.io/Logging_2305/klagomål/A 48064-2023 FSC-klagomål.docx", "A 48064-2023")</f>
        <v/>
      </c>
      <c r="W274">
        <f>HYPERLINK("https://klasma.github.io/Logging_2305/klagomålsmail/A 48064-2023 FSC-klagomål mail.docx", "A 48064-2023")</f>
        <v/>
      </c>
      <c r="X274">
        <f>HYPERLINK("https://klasma.github.io/Logging_2305/tillsyn/A 48064-2023 tillsynsbegäran.docx", "A 48064-2023")</f>
        <v/>
      </c>
      <c r="Y274">
        <f>HYPERLINK("https://klasma.github.io/Logging_2305/tillsynsmail/A 48064-2023 tillsynsbegäran mail.docx", "A 48064-2023")</f>
        <v/>
      </c>
      <c r="Z274">
        <f>HYPERLINK("https://klasma.github.io/Logging_2305/fåglar/A 48064-2023 prioriterade fågelarter.docx", "A 48064-2023")</f>
        <v/>
      </c>
    </row>
    <row r="275" ht="15" customHeight="1">
      <c r="A275" t="inlineStr">
        <is>
          <t>A 4851-2025</t>
        </is>
      </c>
      <c r="B275" s="1" t="n">
        <v>45688.67340277778</v>
      </c>
      <c r="C275" s="1" t="n">
        <v>45916</v>
      </c>
      <c r="D275" t="inlineStr">
        <is>
          <t>JÄMTLANDS LÄN</t>
        </is>
      </c>
      <c r="E275" t="inlineStr">
        <is>
          <t>BRÄCKE</t>
        </is>
      </c>
      <c r="F275" t="inlineStr">
        <is>
          <t>SCA</t>
        </is>
      </c>
      <c r="G275" t="n">
        <v>9.9</v>
      </c>
      <c r="H275" t="n">
        <v>0</v>
      </c>
      <c r="I275" t="n">
        <v>0</v>
      </c>
      <c r="J275" t="n">
        <v>1</v>
      </c>
      <c r="K275" t="n">
        <v>0</v>
      </c>
      <c r="L275" t="n">
        <v>0</v>
      </c>
      <c r="M275" t="n">
        <v>0</v>
      </c>
      <c r="N275" t="n">
        <v>0</v>
      </c>
      <c r="O275" t="n">
        <v>1</v>
      </c>
      <c r="P275" t="n">
        <v>0</v>
      </c>
      <c r="Q275" t="n">
        <v>1</v>
      </c>
      <c r="R275" s="2" t="inlineStr">
        <is>
          <t>Lunglav</t>
        </is>
      </c>
      <c r="S275">
        <f>HYPERLINK("https://klasma.github.io/Logging_2305/artfynd/A 4851-2025 artfynd.xlsx", "A 4851-2025")</f>
        <v/>
      </c>
      <c r="T275">
        <f>HYPERLINK("https://klasma.github.io/Logging_2305/kartor/A 4851-2025 karta.png", "A 4851-2025")</f>
        <v/>
      </c>
      <c r="V275">
        <f>HYPERLINK("https://klasma.github.io/Logging_2305/klagomål/A 4851-2025 FSC-klagomål.docx", "A 4851-2025")</f>
        <v/>
      </c>
      <c r="W275">
        <f>HYPERLINK("https://klasma.github.io/Logging_2305/klagomålsmail/A 4851-2025 FSC-klagomål mail.docx", "A 4851-2025")</f>
        <v/>
      </c>
      <c r="X275">
        <f>HYPERLINK("https://klasma.github.io/Logging_2305/tillsyn/A 4851-2025 tillsynsbegäran.docx", "A 4851-2025")</f>
        <v/>
      </c>
      <c r="Y275">
        <f>HYPERLINK("https://klasma.github.io/Logging_2305/tillsynsmail/A 4851-2025 tillsynsbegäran mail.docx", "A 4851-2025")</f>
        <v/>
      </c>
    </row>
    <row r="276" ht="15" customHeight="1">
      <c r="A276" t="inlineStr">
        <is>
          <t>A 16366-2023</t>
        </is>
      </c>
      <c r="B276" s="1" t="n">
        <v>45028</v>
      </c>
      <c r="C276" s="1" t="n">
        <v>45916</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35210-2025</t>
        </is>
      </c>
      <c r="B277" s="1" t="n">
        <v>45853.44842592593</v>
      </c>
      <c r="C277" s="1" t="n">
        <v>45916</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35210-2025 artfynd.xlsx", "A 35210-2025")</f>
        <v/>
      </c>
      <c r="T277">
        <f>HYPERLINK("https://klasma.github.io/Logging_2305/kartor/A 35210-2025 karta.png", "A 35210-2025")</f>
        <v/>
      </c>
      <c r="V277">
        <f>HYPERLINK("https://klasma.github.io/Logging_2305/klagomål/A 35210-2025 FSC-klagomål.docx", "A 35210-2025")</f>
        <v/>
      </c>
      <c r="W277">
        <f>HYPERLINK("https://klasma.github.io/Logging_2305/klagomålsmail/A 35210-2025 FSC-klagomål mail.docx", "A 35210-2025")</f>
        <v/>
      </c>
      <c r="X277">
        <f>HYPERLINK("https://klasma.github.io/Logging_2305/tillsyn/A 35210-2025 tillsynsbegäran.docx", "A 35210-2025")</f>
        <v/>
      </c>
      <c r="Y277">
        <f>HYPERLINK("https://klasma.github.io/Logging_2305/tillsynsmail/A 35210-2025 tillsynsbegäran mail.docx", "A 35210-2025")</f>
        <v/>
      </c>
    </row>
    <row r="278" ht="15" customHeight="1">
      <c r="A278" t="inlineStr">
        <is>
          <t>A 35328-2025</t>
        </is>
      </c>
      <c r="B278" s="1" t="n">
        <v>45854.53034722222</v>
      </c>
      <c r="C278" s="1" t="n">
        <v>45916</v>
      </c>
      <c r="D278" t="inlineStr">
        <is>
          <t>JÄMTLANDS LÄN</t>
        </is>
      </c>
      <c r="E278" t="inlineStr">
        <is>
          <t>BRÄCKE</t>
        </is>
      </c>
      <c r="F278" t="inlineStr">
        <is>
          <t>Sveaskog</t>
        </is>
      </c>
      <c r="G278" t="n">
        <v>4.8</v>
      </c>
      <c r="H278" t="n">
        <v>0</v>
      </c>
      <c r="I278" t="n">
        <v>0</v>
      </c>
      <c r="J278" t="n">
        <v>1</v>
      </c>
      <c r="K278" t="n">
        <v>0</v>
      </c>
      <c r="L278" t="n">
        <v>0</v>
      </c>
      <c r="M278" t="n">
        <v>0</v>
      </c>
      <c r="N278" t="n">
        <v>0</v>
      </c>
      <c r="O278" t="n">
        <v>1</v>
      </c>
      <c r="P278" t="n">
        <v>0</v>
      </c>
      <c r="Q278" t="n">
        <v>1</v>
      </c>
      <c r="R278" s="2" t="inlineStr">
        <is>
          <t>Lunglav</t>
        </is>
      </c>
      <c r="S278">
        <f>HYPERLINK("https://klasma.github.io/Logging_2305/artfynd/A 35328-2025 artfynd.xlsx", "A 35328-2025")</f>
        <v/>
      </c>
      <c r="T278">
        <f>HYPERLINK("https://klasma.github.io/Logging_2305/kartor/A 35328-2025 karta.png", "A 35328-2025")</f>
        <v/>
      </c>
      <c r="V278">
        <f>HYPERLINK("https://klasma.github.io/Logging_2305/klagomål/A 35328-2025 FSC-klagomål.docx", "A 35328-2025")</f>
        <v/>
      </c>
      <c r="W278">
        <f>HYPERLINK("https://klasma.github.io/Logging_2305/klagomålsmail/A 35328-2025 FSC-klagomål mail.docx", "A 35328-2025")</f>
        <v/>
      </c>
      <c r="X278">
        <f>HYPERLINK("https://klasma.github.io/Logging_2305/tillsyn/A 35328-2025 tillsynsbegäran.docx", "A 35328-2025")</f>
        <v/>
      </c>
      <c r="Y278">
        <f>HYPERLINK("https://klasma.github.io/Logging_2305/tillsynsmail/A 35328-2025 tillsynsbegäran mail.docx", "A 35328-2025")</f>
        <v/>
      </c>
    </row>
    <row r="279" ht="15" customHeight="1">
      <c r="A279" t="inlineStr">
        <is>
          <t>A 40835-2025</t>
        </is>
      </c>
      <c r="B279" s="1" t="n">
        <v>45897.5114699074</v>
      </c>
      <c r="C279" s="1" t="n">
        <v>45916</v>
      </c>
      <c r="D279" t="inlineStr">
        <is>
          <t>JÄMTLANDS LÄN</t>
        </is>
      </c>
      <c r="E279" t="inlineStr">
        <is>
          <t>BRÄCKE</t>
        </is>
      </c>
      <c r="F279" t="inlineStr">
        <is>
          <t>SCA</t>
        </is>
      </c>
      <c r="G279" t="n">
        <v>1.3</v>
      </c>
      <c r="H279" t="n">
        <v>0</v>
      </c>
      <c r="I279" t="n">
        <v>0</v>
      </c>
      <c r="J279" t="n">
        <v>1</v>
      </c>
      <c r="K279" t="n">
        <v>0</v>
      </c>
      <c r="L279" t="n">
        <v>0</v>
      </c>
      <c r="M279" t="n">
        <v>0</v>
      </c>
      <c r="N279" t="n">
        <v>0</v>
      </c>
      <c r="O279" t="n">
        <v>1</v>
      </c>
      <c r="P279" t="n">
        <v>0</v>
      </c>
      <c r="Q279" t="n">
        <v>1</v>
      </c>
      <c r="R279" s="2" t="inlineStr">
        <is>
          <t>Kolflarnlav</t>
        </is>
      </c>
      <c r="S279">
        <f>HYPERLINK("https://klasma.github.io/Logging_2305/artfynd/A 40835-2025 artfynd.xlsx", "A 40835-2025")</f>
        <v/>
      </c>
      <c r="T279">
        <f>HYPERLINK("https://klasma.github.io/Logging_2305/kartor/A 40835-2025 karta.png", "A 40835-2025")</f>
        <v/>
      </c>
      <c r="V279">
        <f>HYPERLINK("https://klasma.github.io/Logging_2305/klagomål/A 40835-2025 FSC-klagomål.docx", "A 40835-2025")</f>
        <v/>
      </c>
      <c r="W279">
        <f>HYPERLINK("https://klasma.github.io/Logging_2305/klagomålsmail/A 40835-2025 FSC-klagomål mail.docx", "A 40835-2025")</f>
        <v/>
      </c>
      <c r="X279">
        <f>HYPERLINK("https://klasma.github.io/Logging_2305/tillsyn/A 40835-2025 tillsynsbegäran.docx", "A 40835-2025")</f>
        <v/>
      </c>
      <c r="Y279">
        <f>HYPERLINK("https://klasma.github.io/Logging_2305/tillsynsmail/A 40835-2025 tillsynsbegäran mail.docx", "A 40835-2025")</f>
        <v/>
      </c>
    </row>
    <row r="280" ht="15" customHeight="1">
      <c r="A280" t="inlineStr">
        <is>
          <t>A 40792-2025</t>
        </is>
      </c>
      <c r="B280" s="1" t="n">
        <v>45897.44855324074</v>
      </c>
      <c r="C280" s="1" t="n">
        <v>45916</v>
      </c>
      <c r="D280" t="inlineStr">
        <is>
          <t>JÄMTLANDS LÄN</t>
        </is>
      </c>
      <c r="E280" t="inlineStr">
        <is>
          <t>BRÄCKE</t>
        </is>
      </c>
      <c r="F280" t="inlineStr">
        <is>
          <t>SCA</t>
        </is>
      </c>
      <c r="G280" t="n">
        <v>1.7</v>
      </c>
      <c r="H280" t="n">
        <v>0</v>
      </c>
      <c r="I280" t="n">
        <v>0</v>
      </c>
      <c r="J280" t="n">
        <v>1</v>
      </c>
      <c r="K280" t="n">
        <v>0</v>
      </c>
      <c r="L280" t="n">
        <v>0</v>
      </c>
      <c r="M280" t="n">
        <v>0</v>
      </c>
      <c r="N280" t="n">
        <v>0</v>
      </c>
      <c r="O280" t="n">
        <v>1</v>
      </c>
      <c r="P280" t="n">
        <v>0</v>
      </c>
      <c r="Q280" t="n">
        <v>1</v>
      </c>
      <c r="R280" s="2" t="inlineStr">
        <is>
          <t>Lunglav</t>
        </is>
      </c>
      <c r="S280">
        <f>HYPERLINK("https://klasma.github.io/Logging_2305/artfynd/A 40792-2025 artfynd.xlsx", "A 40792-2025")</f>
        <v/>
      </c>
      <c r="T280">
        <f>HYPERLINK("https://klasma.github.io/Logging_2305/kartor/A 40792-2025 karta.png", "A 40792-2025")</f>
        <v/>
      </c>
      <c r="V280">
        <f>HYPERLINK("https://klasma.github.io/Logging_2305/klagomål/A 40792-2025 FSC-klagomål.docx", "A 40792-2025")</f>
        <v/>
      </c>
      <c r="W280">
        <f>HYPERLINK("https://klasma.github.io/Logging_2305/klagomålsmail/A 40792-2025 FSC-klagomål mail.docx", "A 40792-2025")</f>
        <v/>
      </c>
      <c r="X280">
        <f>HYPERLINK("https://klasma.github.io/Logging_2305/tillsyn/A 40792-2025 tillsynsbegäran.docx", "A 40792-2025")</f>
        <v/>
      </c>
      <c r="Y280">
        <f>HYPERLINK("https://klasma.github.io/Logging_2305/tillsynsmail/A 40792-2025 tillsynsbegäran mail.docx", "A 40792-2025")</f>
        <v/>
      </c>
    </row>
    <row r="281" ht="15" customHeight="1">
      <c r="A281" t="inlineStr">
        <is>
          <t>A 40842-2025</t>
        </is>
      </c>
      <c r="B281" s="1" t="n">
        <v>45897.53200231482</v>
      </c>
      <c r="C281" s="1" t="n">
        <v>45916</v>
      </c>
      <c r="D281" t="inlineStr">
        <is>
          <t>JÄMTLANDS LÄN</t>
        </is>
      </c>
      <c r="E281" t="inlineStr">
        <is>
          <t>BRÄCKE</t>
        </is>
      </c>
      <c r="F281" t="inlineStr">
        <is>
          <t>SCA</t>
        </is>
      </c>
      <c r="G281" t="n">
        <v>0.5</v>
      </c>
      <c r="H281" t="n">
        <v>0</v>
      </c>
      <c r="I281" t="n">
        <v>0</v>
      </c>
      <c r="J281" t="n">
        <v>1</v>
      </c>
      <c r="K281" t="n">
        <v>0</v>
      </c>
      <c r="L281" t="n">
        <v>0</v>
      </c>
      <c r="M281" t="n">
        <v>0</v>
      </c>
      <c r="N281" t="n">
        <v>0</v>
      </c>
      <c r="O281" t="n">
        <v>1</v>
      </c>
      <c r="P281" t="n">
        <v>0</v>
      </c>
      <c r="Q281" t="n">
        <v>1</v>
      </c>
      <c r="R281" s="2" t="inlineStr">
        <is>
          <t>Lunglav</t>
        </is>
      </c>
      <c r="S281">
        <f>HYPERLINK("https://klasma.github.io/Logging_2305/artfynd/A 40842-2025 artfynd.xlsx", "A 40842-2025")</f>
        <v/>
      </c>
      <c r="T281">
        <f>HYPERLINK("https://klasma.github.io/Logging_2305/kartor/A 40842-2025 karta.png", "A 40842-2025")</f>
        <v/>
      </c>
      <c r="V281">
        <f>HYPERLINK("https://klasma.github.io/Logging_2305/klagomål/A 40842-2025 FSC-klagomål.docx", "A 40842-2025")</f>
        <v/>
      </c>
      <c r="W281">
        <f>HYPERLINK("https://klasma.github.io/Logging_2305/klagomålsmail/A 40842-2025 FSC-klagomål mail.docx", "A 40842-2025")</f>
        <v/>
      </c>
      <c r="X281">
        <f>HYPERLINK("https://klasma.github.io/Logging_2305/tillsyn/A 40842-2025 tillsynsbegäran.docx", "A 40842-2025")</f>
        <v/>
      </c>
      <c r="Y281">
        <f>HYPERLINK("https://klasma.github.io/Logging_2305/tillsynsmail/A 40842-2025 tillsynsbegäran mail.docx", "A 40842-2025")</f>
        <v/>
      </c>
    </row>
    <row r="282" ht="15" customHeight="1">
      <c r="A282" t="inlineStr">
        <is>
          <t>A 40914-2025</t>
        </is>
      </c>
      <c r="B282" s="1" t="n">
        <v>45897.61741898148</v>
      </c>
      <c r="C282" s="1" t="n">
        <v>45916</v>
      </c>
      <c r="D282" t="inlineStr">
        <is>
          <t>JÄMTLANDS LÄN</t>
        </is>
      </c>
      <c r="E282" t="inlineStr">
        <is>
          <t>BRÄCKE</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HYPERLINK("https://klasma.github.io/Logging_2305/artfynd/A 40914-2025 artfynd.xlsx", "A 40914-2025")</f>
        <v/>
      </c>
      <c r="T282">
        <f>HYPERLINK("https://klasma.github.io/Logging_2305/kartor/A 40914-2025 karta.png", "A 40914-2025")</f>
        <v/>
      </c>
      <c r="V282">
        <f>HYPERLINK("https://klasma.github.io/Logging_2305/klagomål/A 40914-2025 FSC-klagomål.docx", "A 40914-2025")</f>
        <v/>
      </c>
      <c r="W282">
        <f>HYPERLINK("https://klasma.github.io/Logging_2305/klagomålsmail/A 40914-2025 FSC-klagomål mail.docx", "A 40914-2025")</f>
        <v/>
      </c>
      <c r="X282">
        <f>HYPERLINK("https://klasma.github.io/Logging_2305/tillsyn/A 40914-2025 tillsynsbegäran.docx", "A 40914-2025")</f>
        <v/>
      </c>
      <c r="Y282">
        <f>HYPERLINK("https://klasma.github.io/Logging_2305/tillsynsmail/A 40914-2025 tillsynsbegäran mail.docx", "A 40914-2025")</f>
        <v/>
      </c>
    </row>
    <row r="283" ht="15" customHeight="1">
      <c r="A283" t="inlineStr">
        <is>
          <t>A 35579-2025</t>
        </is>
      </c>
      <c r="B283" s="1" t="n">
        <v>45856.67818287037</v>
      </c>
      <c r="C283" s="1" t="n">
        <v>45916</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24552-2022</t>
        </is>
      </c>
      <c r="B284" s="1" t="n">
        <v>44726</v>
      </c>
      <c r="C284" s="1" t="n">
        <v>45916</v>
      </c>
      <c r="D284" t="inlineStr">
        <is>
          <t>JÄMTLANDS LÄN</t>
        </is>
      </c>
      <c r="E284" t="inlineStr">
        <is>
          <t>BRÄCKE</t>
        </is>
      </c>
      <c r="G284" t="n">
        <v>2.6</v>
      </c>
      <c r="H284" t="n">
        <v>0</v>
      </c>
      <c r="I284" t="n">
        <v>0</v>
      </c>
      <c r="J284" t="n">
        <v>1</v>
      </c>
      <c r="K284" t="n">
        <v>0</v>
      </c>
      <c r="L284" t="n">
        <v>0</v>
      </c>
      <c r="M284" t="n">
        <v>0</v>
      </c>
      <c r="N284" t="n">
        <v>0</v>
      </c>
      <c r="O284" t="n">
        <v>1</v>
      </c>
      <c r="P284" t="n">
        <v>0</v>
      </c>
      <c r="Q284" t="n">
        <v>1</v>
      </c>
      <c r="R284" s="2" t="inlineStr">
        <is>
          <t>Bredbrämad bastardsvärmare</t>
        </is>
      </c>
      <c r="S284">
        <f>HYPERLINK("https://klasma.github.io/Logging_2305/artfynd/A 24552-2022 artfynd.xlsx", "A 24552-2022")</f>
        <v/>
      </c>
      <c r="T284">
        <f>HYPERLINK("https://klasma.github.io/Logging_2305/kartor/A 24552-2022 karta.png", "A 24552-2022")</f>
        <v/>
      </c>
      <c r="V284">
        <f>HYPERLINK("https://klasma.github.io/Logging_2305/klagomål/A 24552-2022 FSC-klagomål.docx", "A 24552-2022")</f>
        <v/>
      </c>
      <c r="W284">
        <f>HYPERLINK("https://klasma.github.io/Logging_2305/klagomålsmail/A 24552-2022 FSC-klagomål mail.docx", "A 24552-2022")</f>
        <v/>
      </c>
      <c r="X284">
        <f>HYPERLINK("https://klasma.github.io/Logging_2305/tillsyn/A 24552-2022 tillsynsbegäran.docx", "A 24552-2022")</f>
        <v/>
      </c>
      <c r="Y284">
        <f>HYPERLINK("https://klasma.github.io/Logging_2305/tillsynsmail/A 24552-2022 tillsynsbegäran mail.docx", "A 24552-2022")</f>
        <v/>
      </c>
    </row>
    <row r="285" ht="15" customHeight="1">
      <c r="A285" t="inlineStr">
        <is>
          <t>A 41059-2025</t>
        </is>
      </c>
      <c r="B285" s="1" t="n">
        <v>45898.40703703704</v>
      </c>
      <c r="C285" s="1" t="n">
        <v>45916</v>
      </c>
      <c r="D285" t="inlineStr">
        <is>
          <t>JÄMTLANDS LÄN</t>
        </is>
      </c>
      <c r="E285" t="inlineStr">
        <is>
          <t>BRÄCKE</t>
        </is>
      </c>
      <c r="F285" t="inlineStr">
        <is>
          <t>SCA</t>
        </is>
      </c>
      <c r="G285" t="n">
        <v>8.9</v>
      </c>
      <c r="H285" t="n">
        <v>0</v>
      </c>
      <c r="I285" t="n">
        <v>0</v>
      </c>
      <c r="J285" t="n">
        <v>1</v>
      </c>
      <c r="K285" t="n">
        <v>0</v>
      </c>
      <c r="L285" t="n">
        <v>0</v>
      </c>
      <c r="M285" t="n">
        <v>0</v>
      </c>
      <c r="N285" t="n">
        <v>0</v>
      </c>
      <c r="O285" t="n">
        <v>1</v>
      </c>
      <c r="P285" t="n">
        <v>0</v>
      </c>
      <c r="Q285" t="n">
        <v>1</v>
      </c>
      <c r="R285" s="2" t="inlineStr">
        <is>
          <t>Lunglav</t>
        </is>
      </c>
      <c r="S285">
        <f>HYPERLINK("https://klasma.github.io/Logging_2305/artfynd/A 41059-2025 artfynd.xlsx", "A 41059-2025")</f>
        <v/>
      </c>
      <c r="T285">
        <f>HYPERLINK("https://klasma.github.io/Logging_2305/kartor/A 41059-2025 karta.png", "A 41059-2025")</f>
        <v/>
      </c>
      <c r="V285">
        <f>HYPERLINK("https://klasma.github.io/Logging_2305/klagomål/A 41059-2025 FSC-klagomål.docx", "A 41059-2025")</f>
        <v/>
      </c>
      <c r="W285">
        <f>HYPERLINK("https://klasma.github.io/Logging_2305/klagomålsmail/A 41059-2025 FSC-klagomål mail.docx", "A 41059-2025")</f>
        <v/>
      </c>
      <c r="X285">
        <f>HYPERLINK("https://klasma.github.io/Logging_2305/tillsyn/A 41059-2025 tillsynsbegäran.docx", "A 41059-2025")</f>
        <v/>
      </c>
      <c r="Y285">
        <f>HYPERLINK("https://klasma.github.io/Logging_2305/tillsynsmail/A 41059-2025 tillsynsbegäran mail.docx", "A 41059-2025")</f>
        <v/>
      </c>
    </row>
    <row r="286" ht="15" customHeight="1">
      <c r="A286" t="inlineStr">
        <is>
          <t>A 10736-2025</t>
        </is>
      </c>
      <c r="B286" s="1" t="n">
        <v>45722.40664351852</v>
      </c>
      <c r="C286" s="1" t="n">
        <v>45916</v>
      </c>
      <c r="D286" t="inlineStr">
        <is>
          <t>JÄMTLANDS LÄN</t>
        </is>
      </c>
      <c r="E286" t="inlineStr">
        <is>
          <t>BRÄCKE</t>
        </is>
      </c>
      <c r="F286" t="inlineStr">
        <is>
          <t>SCA</t>
        </is>
      </c>
      <c r="G286" t="n">
        <v>5</v>
      </c>
      <c r="H286" t="n">
        <v>1</v>
      </c>
      <c r="I286" t="n">
        <v>0</v>
      </c>
      <c r="J286" t="n">
        <v>0</v>
      </c>
      <c r="K286" t="n">
        <v>0</v>
      </c>
      <c r="L286" t="n">
        <v>0</v>
      </c>
      <c r="M286" t="n">
        <v>0</v>
      </c>
      <c r="N286" t="n">
        <v>0</v>
      </c>
      <c r="O286" t="n">
        <v>0</v>
      </c>
      <c r="P286" t="n">
        <v>0</v>
      </c>
      <c r="Q286" t="n">
        <v>1</v>
      </c>
      <c r="R286" s="2" t="inlineStr">
        <is>
          <t>Järnsparv</t>
        </is>
      </c>
      <c r="S286">
        <f>HYPERLINK("https://klasma.github.io/Logging_2305/artfynd/A 10736-2025 artfynd.xlsx", "A 10736-2025")</f>
        <v/>
      </c>
      <c r="T286">
        <f>HYPERLINK("https://klasma.github.io/Logging_2305/kartor/A 10736-2025 karta.png", "A 10736-2025")</f>
        <v/>
      </c>
      <c r="V286">
        <f>HYPERLINK("https://klasma.github.io/Logging_2305/klagomål/A 10736-2025 FSC-klagomål.docx", "A 10736-2025")</f>
        <v/>
      </c>
      <c r="W286">
        <f>HYPERLINK("https://klasma.github.io/Logging_2305/klagomålsmail/A 10736-2025 FSC-klagomål mail.docx", "A 10736-2025")</f>
        <v/>
      </c>
      <c r="X286">
        <f>HYPERLINK("https://klasma.github.io/Logging_2305/tillsyn/A 10736-2025 tillsynsbegäran.docx", "A 10736-2025")</f>
        <v/>
      </c>
      <c r="Y286">
        <f>HYPERLINK("https://klasma.github.io/Logging_2305/tillsynsmail/A 10736-2025 tillsynsbegäran mail.docx", "A 10736-2025")</f>
        <v/>
      </c>
      <c r="Z286">
        <f>HYPERLINK("https://klasma.github.io/Logging_2305/fåglar/A 10736-2025 prioriterade fågelarter.docx", "A 10736-2025")</f>
        <v/>
      </c>
    </row>
    <row r="287" ht="15" customHeight="1">
      <c r="A287" t="inlineStr">
        <is>
          <t>A 50837-2023</t>
        </is>
      </c>
      <c r="B287" s="1" t="n">
        <v>45217</v>
      </c>
      <c r="C287" s="1" t="n">
        <v>45916</v>
      </c>
      <c r="D287" t="inlineStr">
        <is>
          <t>JÄMTLANDS LÄN</t>
        </is>
      </c>
      <c r="E287" t="inlineStr">
        <is>
          <t>BRÄCKE</t>
        </is>
      </c>
      <c r="F287" t="inlineStr">
        <is>
          <t>SCA</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HYPERLINK("https://klasma.github.io/Logging_2305/artfynd/A 50837-2023 artfynd.xlsx", "A 50837-2023")</f>
        <v/>
      </c>
      <c r="T287">
        <f>HYPERLINK("https://klasma.github.io/Logging_2305/kartor/A 50837-2023 karta.png", "A 50837-2023")</f>
        <v/>
      </c>
      <c r="V287">
        <f>HYPERLINK("https://klasma.github.io/Logging_2305/klagomål/A 50837-2023 FSC-klagomål.docx", "A 50837-2023")</f>
        <v/>
      </c>
      <c r="W287">
        <f>HYPERLINK("https://klasma.github.io/Logging_2305/klagomålsmail/A 50837-2023 FSC-klagomål mail.docx", "A 50837-2023")</f>
        <v/>
      </c>
      <c r="X287">
        <f>HYPERLINK("https://klasma.github.io/Logging_2305/tillsyn/A 50837-2023 tillsynsbegäran.docx", "A 50837-2023")</f>
        <v/>
      </c>
      <c r="Y287">
        <f>HYPERLINK("https://klasma.github.io/Logging_2305/tillsynsmail/A 50837-2023 tillsynsbegäran mail.docx", "A 50837-2023")</f>
        <v/>
      </c>
      <c r="Z287">
        <f>HYPERLINK("https://klasma.github.io/Logging_2305/fåglar/A 50837-2023 prioriterade fågelarter.docx", "A 50837-2023")</f>
        <v/>
      </c>
    </row>
    <row r="288" ht="15" customHeight="1">
      <c r="A288" t="inlineStr">
        <is>
          <t>A 30336-2024</t>
        </is>
      </c>
      <c r="B288" s="1" t="n">
        <v>45490.95415509259</v>
      </c>
      <c r="C288" s="1" t="n">
        <v>45916</v>
      </c>
      <c r="D288" t="inlineStr">
        <is>
          <t>JÄMTLANDS LÄN</t>
        </is>
      </c>
      <c r="E288" t="inlineStr">
        <is>
          <t>BRÄCKE</t>
        </is>
      </c>
      <c r="F288" t="inlineStr">
        <is>
          <t>SCA</t>
        </is>
      </c>
      <c r="G288" t="n">
        <v>2.8</v>
      </c>
      <c r="H288" t="n">
        <v>0</v>
      </c>
      <c r="I288" t="n">
        <v>1</v>
      </c>
      <c r="J288" t="n">
        <v>0</v>
      </c>
      <c r="K288" t="n">
        <v>0</v>
      </c>
      <c r="L288" t="n">
        <v>0</v>
      </c>
      <c r="M288" t="n">
        <v>0</v>
      </c>
      <c r="N288" t="n">
        <v>0</v>
      </c>
      <c r="O288" t="n">
        <v>0</v>
      </c>
      <c r="P288" t="n">
        <v>0</v>
      </c>
      <c r="Q288" t="n">
        <v>1</v>
      </c>
      <c r="R288" s="2" t="inlineStr">
        <is>
          <t>Skinnlav</t>
        </is>
      </c>
      <c r="S288">
        <f>HYPERLINK("https://klasma.github.io/Logging_2305/artfynd/A 30336-2024 artfynd.xlsx", "A 30336-2024")</f>
        <v/>
      </c>
      <c r="T288">
        <f>HYPERLINK("https://klasma.github.io/Logging_2305/kartor/A 30336-2024 karta.png", "A 30336-2024")</f>
        <v/>
      </c>
      <c r="V288">
        <f>HYPERLINK("https://klasma.github.io/Logging_2305/klagomål/A 30336-2024 FSC-klagomål.docx", "A 30336-2024")</f>
        <v/>
      </c>
      <c r="W288">
        <f>HYPERLINK("https://klasma.github.io/Logging_2305/klagomålsmail/A 30336-2024 FSC-klagomål mail.docx", "A 30336-2024")</f>
        <v/>
      </c>
      <c r="X288">
        <f>HYPERLINK("https://klasma.github.io/Logging_2305/tillsyn/A 30336-2024 tillsynsbegäran.docx", "A 30336-2024")</f>
        <v/>
      </c>
      <c r="Y288">
        <f>HYPERLINK("https://klasma.github.io/Logging_2305/tillsynsmail/A 30336-2024 tillsynsbegäran mail.docx", "A 30336-2024")</f>
        <v/>
      </c>
    </row>
    <row r="289" ht="15" customHeight="1">
      <c r="A289" t="inlineStr">
        <is>
          <t>A 33479-2024</t>
        </is>
      </c>
      <c r="B289" s="1" t="n">
        <v>45519.60824074074</v>
      </c>
      <c r="C289" s="1" t="n">
        <v>45916</v>
      </c>
      <c r="D289" t="inlineStr">
        <is>
          <t>JÄMTLANDS LÄN</t>
        </is>
      </c>
      <c r="E289" t="inlineStr">
        <is>
          <t>BRÄCKE</t>
        </is>
      </c>
      <c r="F289" t="inlineStr">
        <is>
          <t>SCA</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HYPERLINK("https://klasma.github.io/Logging_2305/artfynd/A 33479-2024 artfynd.xlsx", "A 33479-2024")</f>
        <v/>
      </c>
      <c r="T289">
        <f>HYPERLINK("https://klasma.github.io/Logging_2305/kartor/A 33479-2024 karta.png", "A 33479-2024")</f>
        <v/>
      </c>
      <c r="V289">
        <f>HYPERLINK("https://klasma.github.io/Logging_2305/klagomål/A 33479-2024 FSC-klagomål.docx", "A 33479-2024")</f>
        <v/>
      </c>
      <c r="W289">
        <f>HYPERLINK("https://klasma.github.io/Logging_2305/klagomålsmail/A 33479-2024 FSC-klagomål mail.docx", "A 33479-2024")</f>
        <v/>
      </c>
      <c r="X289">
        <f>HYPERLINK("https://klasma.github.io/Logging_2305/tillsyn/A 33479-2024 tillsynsbegäran.docx", "A 33479-2024")</f>
        <v/>
      </c>
      <c r="Y289">
        <f>HYPERLINK("https://klasma.github.io/Logging_2305/tillsynsmail/A 33479-2024 tillsynsbegäran mail.docx", "A 33479-2024")</f>
        <v/>
      </c>
    </row>
    <row r="290" ht="15" customHeight="1">
      <c r="A290" t="inlineStr">
        <is>
          <t>A 15462-2025</t>
        </is>
      </c>
      <c r="B290" s="1" t="n">
        <v>45747.51086805556</v>
      </c>
      <c r="C290" s="1" t="n">
        <v>45916</v>
      </c>
      <c r="D290" t="inlineStr">
        <is>
          <t>JÄMTLANDS LÄN</t>
        </is>
      </c>
      <c r="E290" t="inlineStr">
        <is>
          <t>BRÄCKE</t>
        </is>
      </c>
      <c r="F290" t="inlineStr">
        <is>
          <t>SCA</t>
        </is>
      </c>
      <c r="G290" t="n">
        <v>1.6</v>
      </c>
      <c r="H290" t="n">
        <v>0</v>
      </c>
      <c r="I290" t="n">
        <v>0</v>
      </c>
      <c r="J290" t="n">
        <v>0</v>
      </c>
      <c r="K290" t="n">
        <v>1</v>
      </c>
      <c r="L290" t="n">
        <v>0</v>
      </c>
      <c r="M290" t="n">
        <v>0</v>
      </c>
      <c r="N290" t="n">
        <v>0</v>
      </c>
      <c r="O290" t="n">
        <v>1</v>
      </c>
      <c r="P290" t="n">
        <v>1</v>
      </c>
      <c r="Q290" t="n">
        <v>1</v>
      </c>
      <c r="R290" s="2" t="inlineStr">
        <is>
          <t>Smalskaftslav</t>
        </is>
      </c>
      <c r="S290">
        <f>HYPERLINK("https://klasma.github.io/Logging_2305/artfynd/A 15462-2025 artfynd.xlsx", "A 15462-2025")</f>
        <v/>
      </c>
      <c r="T290">
        <f>HYPERLINK("https://klasma.github.io/Logging_2305/kartor/A 15462-2025 karta.png", "A 15462-2025")</f>
        <v/>
      </c>
      <c r="V290">
        <f>HYPERLINK("https://klasma.github.io/Logging_2305/klagomål/A 15462-2025 FSC-klagomål.docx", "A 15462-2025")</f>
        <v/>
      </c>
      <c r="W290">
        <f>HYPERLINK("https://klasma.github.io/Logging_2305/klagomålsmail/A 15462-2025 FSC-klagomål mail.docx", "A 15462-2025")</f>
        <v/>
      </c>
      <c r="X290">
        <f>HYPERLINK("https://klasma.github.io/Logging_2305/tillsyn/A 15462-2025 tillsynsbegäran.docx", "A 15462-2025")</f>
        <v/>
      </c>
      <c r="Y290">
        <f>HYPERLINK("https://klasma.github.io/Logging_2305/tillsynsmail/A 15462-2025 tillsynsbegäran mail.docx", "A 15462-2025")</f>
        <v/>
      </c>
    </row>
    <row r="291" ht="15" customHeight="1">
      <c r="A291" t="inlineStr">
        <is>
          <t>A 2463-2025</t>
        </is>
      </c>
      <c r="B291" s="1" t="n">
        <v>45674.46915509259</v>
      </c>
      <c r="C291" s="1" t="n">
        <v>45916</v>
      </c>
      <c r="D291" t="inlineStr">
        <is>
          <t>JÄMTLANDS LÄN</t>
        </is>
      </c>
      <c r="E291" t="inlineStr">
        <is>
          <t>BRÄCKE</t>
        </is>
      </c>
      <c r="F291" t="inlineStr">
        <is>
          <t>SCA</t>
        </is>
      </c>
      <c r="G291" t="n">
        <v>3.9</v>
      </c>
      <c r="H291" t="n">
        <v>0</v>
      </c>
      <c r="I291" t="n">
        <v>1</v>
      </c>
      <c r="J291" t="n">
        <v>0</v>
      </c>
      <c r="K291" t="n">
        <v>0</v>
      </c>
      <c r="L291" t="n">
        <v>0</v>
      </c>
      <c r="M291" t="n">
        <v>0</v>
      </c>
      <c r="N291" t="n">
        <v>0</v>
      </c>
      <c r="O291" t="n">
        <v>0</v>
      </c>
      <c r="P291" t="n">
        <v>0</v>
      </c>
      <c r="Q291" t="n">
        <v>1</v>
      </c>
      <c r="R291" s="2" t="inlineStr">
        <is>
          <t>Vedticka</t>
        </is>
      </c>
      <c r="S291">
        <f>HYPERLINK("https://klasma.github.io/Logging_2305/artfynd/A 2463-2025 artfynd.xlsx", "A 2463-2025")</f>
        <v/>
      </c>
      <c r="T291">
        <f>HYPERLINK("https://klasma.github.io/Logging_2305/kartor/A 2463-2025 karta.png", "A 2463-2025")</f>
        <v/>
      </c>
      <c r="V291">
        <f>HYPERLINK("https://klasma.github.io/Logging_2305/klagomål/A 2463-2025 FSC-klagomål.docx", "A 2463-2025")</f>
        <v/>
      </c>
      <c r="W291">
        <f>HYPERLINK("https://klasma.github.io/Logging_2305/klagomålsmail/A 2463-2025 FSC-klagomål mail.docx", "A 2463-2025")</f>
        <v/>
      </c>
      <c r="X291">
        <f>HYPERLINK("https://klasma.github.io/Logging_2305/tillsyn/A 2463-2025 tillsynsbegäran.docx", "A 2463-2025")</f>
        <v/>
      </c>
      <c r="Y291">
        <f>HYPERLINK("https://klasma.github.io/Logging_2305/tillsynsmail/A 2463-2025 tillsynsbegäran mail.docx", "A 2463-2025")</f>
        <v/>
      </c>
    </row>
    <row r="292" ht="15" customHeight="1">
      <c r="A292" t="inlineStr">
        <is>
          <t>A 14628-2022</t>
        </is>
      </c>
      <c r="B292" s="1" t="n">
        <v>44655</v>
      </c>
      <c r="C292" s="1" t="n">
        <v>45916</v>
      </c>
      <c r="D292" t="inlineStr">
        <is>
          <t>JÄMTLANDS LÄN</t>
        </is>
      </c>
      <c r="E292" t="inlineStr">
        <is>
          <t>BRÄCKE</t>
        </is>
      </c>
      <c r="G292" t="n">
        <v>4.7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14628-2022 artfynd.xlsx", "A 14628-2022")</f>
        <v/>
      </c>
      <c r="T292">
        <f>HYPERLINK("https://klasma.github.io/Logging_2305/kartor/A 14628-2022 karta.png", "A 14628-2022")</f>
        <v/>
      </c>
      <c r="V292">
        <f>HYPERLINK("https://klasma.github.io/Logging_2305/klagomål/A 14628-2022 FSC-klagomål.docx", "A 14628-2022")</f>
        <v/>
      </c>
      <c r="W292">
        <f>HYPERLINK("https://klasma.github.io/Logging_2305/klagomålsmail/A 14628-2022 FSC-klagomål mail.docx", "A 14628-2022")</f>
        <v/>
      </c>
      <c r="X292">
        <f>HYPERLINK("https://klasma.github.io/Logging_2305/tillsyn/A 14628-2022 tillsynsbegäran.docx", "A 14628-2022")</f>
        <v/>
      </c>
      <c r="Y292">
        <f>HYPERLINK("https://klasma.github.io/Logging_2305/tillsynsmail/A 14628-2022 tillsynsbegäran mail.docx", "A 14628-2022")</f>
        <v/>
      </c>
    </row>
    <row r="293" ht="15" customHeight="1">
      <c r="A293" t="inlineStr">
        <is>
          <t>A 44214-2025</t>
        </is>
      </c>
      <c r="B293" s="1" t="n">
        <v>45915.63579861111</v>
      </c>
      <c r="C293" s="1" t="n">
        <v>45916</v>
      </c>
      <c r="D293" t="inlineStr">
        <is>
          <t>JÄMTLANDS LÄN</t>
        </is>
      </c>
      <c r="E293" t="inlineStr">
        <is>
          <t>BRÄCKE</t>
        </is>
      </c>
      <c r="F293" t="inlineStr">
        <is>
          <t>SCA</t>
        </is>
      </c>
      <c r="G293" t="n">
        <v>4.9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44214-2025 artfynd.xlsx", "A 44214-2025")</f>
        <v/>
      </c>
      <c r="T293">
        <f>HYPERLINK("https://klasma.github.io/Logging_2305/kartor/A 44214-2025 karta.png", "A 44214-2025")</f>
        <v/>
      </c>
      <c r="V293">
        <f>HYPERLINK("https://klasma.github.io/Logging_2305/klagomål/A 44214-2025 FSC-klagomål.docx", "A 44214-2025")</f>
        <v/>
      </c>
      <c r="W293">
        <f>HYPERLINK("https://klasma.github.io/Logging_2305/klagomålsmail/A 44214-2025 FSC-klagomål mail.docx", "A 44214-2025")</f>
        <v/>
      </c>
      <c r="X293">
        <f>HYPERLINK("https://klasma.github.io/Logging_2305/tillsyn/A 44214-2025 tillsynsbegäran.docx", "A 44214-2025")</f>
        <v/>
      </c>
      <c r="Y293">
        <f>HYPERLINK("https://klasma.github.io/Logging_2305/tillsynsmail/A 44214-2025 tillsynsbegäran mail.docx", "A 44214-2025")</f>
        <v/>
      </c>
    </row>
    <row r="294" ht="15" customHeight="1">
      <c r="A294" t="inlineStr">
        <is>
          <t>A 49863-2022</t>
        </is>
      </c>
      <c r="B294" s="1" t="n">
        <v>44862</v>
      </c>
      <c r="C294" s="1" t="n">
        <v>45916</v>
      </c>
      <c r="D294" t="inlineStr">
        <is>
          <t>JÄMTLANDS LÄN</t>
        </is>
      </c>
      <c r="E294" t="inlineStr">
        <is>
          <t>BRÄCKE</t>
        </is>
      </c>
      <c r="F294" t="inlineStr">
        <is>
          <t>SCA</t>
        </is>
      </c>
      <c r="G294" t="n">
        <v>3.9</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49863-2022 artfynd.xlsx", "A 49863-2022")</f>
        <v/>
      </c>
      <c r="T294">
        <f>HYPERLINK("https://klasma.github.io/Logging_2305/kartor/A 49863-2022 karta.png", "A 49863-2022")</f>
        <v/>
      </c>
      <c r="V294">
        <f>HYPERLINK("https://klasma.github.io/Logging_2305/klagomål/A 49863-2022 FSC-klagomål.docx", "A 49863-2022")</f>
        <v/>
      </c>
      <c r="W294">
        <f>HYPERLINK("https://klasma.github.io/Logging_2305/klagomålsmail/A 49863-2022 FSC-klagomål mail.docx", "A 49863-2022")</f>
        <v/>
      </c>
      <c r="X294">
        <f>HYPERLINK("https://klasma.github.io/Logging_2305/tillsyn/A 49863-2022 tillsynsbegäran.docx", "A 49863-2022")</f>
        <v/>
      </c>
      <c r="Y294">
        <f>HYPERLINK("https://klasma.github.io/Logging_2305/tillsynsmail/A 49863-2022 tillsynsbegäran mail.docx", "A 49863-2022")</f>
        <v/>
      </c>
    </row>
    <row r="295" ht="15" customHeight="1">
      <c r="A295" t="inlineStr">
        <is>
          <t>A 57553-2024</t>
        </is>
      </c>
      <c r="B295" s="1" t="n">
        <v>45630.44898148148</v>
      </c>
      <c r="C295" s="1" t="n">
        <v>45916</v>
      </c>
      <c r="D295" t="inlineStr">
        <is>
          <t>JÄMTLANDS LÄN</t>
        </is>
      </c>
      <c r="E295" t="inlineStr">
        <is>
          <t>BRÄCKE</t>
        </is>
      </c>
      <c r="F295" t="inlineStr">
        <is>
          <t>SCA</t>
        </is>
      </c>
      <c r="G295" t="n">
        <v>8</v>
      </c>
      <c r="H295" t="n">
        <v>0</v>
      </c>
      <c r="I295" t="n">
        <v>0</v>
      </c>
      <c r="J295" t="n">
        <v>1</v>
      </c>
      <c r="K295" t="n">
        <v>0</v>
      </c>
      <c r="L295" t="n">
        <v>0</v>
      </c>
      <c r="M295" t="n">
        <v>0</v>
      </c>
      <c r="N295" t="n">
        <v>0</v>
      </c>
      <c r="O295" t="n">
        <v>1</v>
      </c>
      <c r="P295" t="n">
        <v>0</v>
      </c>
      <c r="Q295" t="n">
        <v>1</v>
      </c>
      <c r="R295" s="2" t="inlineStr">
        <is>
          <t>Lunglav</t>
        </is>
      </c>
      <c r="S295">
        <f>HYPERLINK("https://klasma.github.io/Logging_2305/artfynd/A 57553-2024 artfynd.xlsx", "A 57553-2024")</f>
        <v/>
      </c>
      <c r="T295">
        <f>HYPERLINK("https://klasma.github.io/Logging_2305/kartor/A 57553-2024 karta.png", "A 57553-2024")</f>
        <v/>
      </c>
      <c r="V295">
        <f>HYPERLINK("https://klasma.github.io/Logging_2305/klagomål/A 57553-2024 FSC-klagomål.docx", "A 57553-2024")</f>
        <v/>
      </c>
      <c r="W295">
        <f>HYPERLINK("https://klasma.github.io/Logging_2305/klagomålsmail/A 57553-2024 FSC-klagomål mail.docx", "A 57553-2024")</f>
        <v/>
      </c>
      <c r="X295">
        <f>HYPERLINK("https://klasma.github.io/Logging_2305/tillsyn/A 57553-2024 tillsynsbegäran.docx", "A 57553-2024")</f>
        <v/>
      </c>
      <c r="Y295">
        <f>HYPERLINK("https://klasma.github.io/Logging_2305/tillsynsmail/A 57553-2024 tillsynsbegäran mail.docx", "A 57553-2024")</f>
        <v/>
      </c>
    </row>
    <row r="296" ht="15" customHeight="1">
      <c r="A296" t="inlineStr">
        <is>
          <t>A 51910-2024</t>
        </is>
      </c>
      <c r="B296" s="1" t="n">
        <v>45607.59954861111</v>
      </c>
      <c r="C296" s="1" t="n">
        <v>45916</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12296-2025</t>
        </is>
      </c>
      <c r="B297" s="1" t="n">
        <v>45729.69829861111</v>
      </c>
      <c r="C297" s="1" t="n">
        <v>45916</v>
      </c>
      <c r="D297" t="inlineStr">
        <is>
          <t>JÄMTLANDS LÄN</t>
        </is>
      </c>
      <c r="E297" t="inlineStr">
        <is>
          <t>BRÄCKE</t>
        </is>
      </c>
      <c r="F297" t="inlineStr">
        <is>
          <t>SCA</t>
        </is>
      </c>
      <c r="G297" t="n">
        <v>2.2</v>
      </c>
      <c r="H297" t="n">
        <v>0</v>
      </c>
      <c r="I297" t="n">
        <v>0</v>
      </c>
      <c r="J297" t="n">
        <v>1</v>
      </c>
      <c r="K297" t="n">
        <v>0</v>
      </c>
      <c r="L297" t="n">
        <v>0</v>
      </c>
      <c r="M297" t="n">
        <v>0</v>
      </c>
      <c r="N297" t="n">
        <v>0</v>
      </c>
      <c r="O297" t="n">
        <v>1</v>
      </c>
      <c r="P297" t="n">
        <v>0</v>
      </c>
      <c r="Q297" t="n">
        <v>1</v>
      </c>
      <c r="R297" s="2" t="inlineStr">
        <is>
          <t>Lunglav</t>
        </is>
      </c>
      <c r="S297">
        <f>HYPERLINK("https://klasma.github.io/Logging_2305/artfynd/A 12296-2025 artfynd.xlsx", "A 12296-2025")</f>
        <v/>
      </c>
      <c r="T297">
        <f>HYPERLINK("https://klasma.github.io/Logging_2305/kartor/A 12296-2025 karta.png", "A 12296-2025")</f>
        <v/>
      </c>
      <c r="V297">
        <f>HYPERLINK("https://klasma.github.io/Logging_2305/klagomål/A 12296-2025 FSC-klagomål.docx", "A 12296-2025")</f>
        <v/>
      </c>
      <c r="W297">
        <f>HYPERLINK("https://klasma.github.io/Logging_2305/klagomålsmail/A 12296-2025 FSC-klagomål mail.docx", "A 12296-2025")</f>
        <v/>
      </c>
      <c r="X297">
        <f>HYPERLINK("https://klasma.github.io/Logging_2305/tillsyn/A 12296-2025 tillsynsbegäran.docx", "A 12296-2025")</f>
        <v/>
      </c>
      <c r="Y297">
        <f>HYPERLINK("https://klasma.github.io/Logging_2305/tillsynsmail/A 12296-2025 tillsynsbegäran mail.docx", "A 12296-2025")</f>
        <v/>
      </c>
    </row>
    <row r="298" ht="15" customHeight="1">
      <c r="A298" t="inlineStr">
        <is>
          <t>A 3234-2025</t>
        </is>
      </c>
      <c r="B298" s="1" t="n">
        <v>45679.49020833334</v>
      </c>
      <c r="C298" s="1" t="n">
        <v>45916</v>
      </c>
      <c r="D298" t="inlineStr">
        <is>
          <t>JÄMTLANDS LÄN</t>
        </is>
      </c>
      <c r="E298" t="inlineStr">
        <is>
          <t>BRÄCKE</t>
        </is>
      </c>
      <c r="F298" t="inlineStr">
        <is>
          <t>SCA</t>
        </is>
      </c>
      <c r="G298" t="n">
        <v>1.7</v>
      </c>
      <c r="H298" t="n">
        <v>1</v>
      </c>
      <c r="I298" t="n">
        <v>0</v>
      </c>
      <c r="J298" t="n">
        <v>1</v>
      </c>
      <c r="K298" t="n">
        <v>0</v>
      </c>
      <c r="L298" t="n">
        <v>0</v>
      </c>
      <c r="M298" t="n">
        <v>0</v>
      </c>
      <c r="N298" t="n">
        <v>0</v>
      </c>
      <c r="O298" t="n">
        <v>1</v>
      </c>
      <c r="P298" t="n">
        <v>0</v>
      </c>
      <c r="Q298" t="n">
        <v>1</v>
      </c>
      <c r="R298" s="2" t="inlineStr">
        <is>
          <t>Utter</t>
        </is>
      </c>
      <c r="S298">
        <f>HYPERLINK("https://klasma.github.io/Logging_2305/artfynd/A 3234-2025 artfynd.xlsx", "A 3234-2025")</f>
        <v/>
      </c>
      <c r="T298">
        <f>HYPERLINK("https://klasma.github.io/Logging_2305/kartor/A 3234-2025 karta.png", "A 3234-2025")</f>
        <v/>
      </c>
      <c r="V298">
        <f>HYPERLINK("https://klasma.github.io/Logging_2305/klagomål/A 3234-2025 FSC-klagomål.docx", "A 3234-2025")</f>
        <v/>
      </c>
      <c r="W298">
        <f>HYPERLINK("https://klasma.github.io/Logging_2305/klagomålsmail/A 3234-2025 FSC-klagomål mail.docx", "A 3234-2025")</f>
        <v/>
      </c>
      <c r="X298">
        <f>HYPERLINK("https://klasma.github.io/Logging_2305/tillsyn/A 3234-2025 tillsynsbegäran.docx", "A 3234-2025")</f>
        <v/>
      </c>
      <c r="Y298">
        <f>HYPERLINK("https://klasma.github.io/Logging_2305/tillsynsmail/A 3234-2025 tillsynsbegäran mail.docx", "A 3234-2025")</f>
        <v/>
      </c>
    </row>
    <row r="299" ht="15" customHeight="1">
      <c r="A299" t="inlineStr">
        <is>
          <t>A 15366-2022</t>
        </is>
      </c>
      <c r="B299" s="1" t="n">
        <v>44659</v>
      </c>
      <c r="C299" s="1" t="n">
        <v>45916</v>
      </c>
      <c r="D299" t="inlineStr">
        <is>
          <t>JÄMTLANDS LÄN</t>
        </is>
      </c>
      <c r="E299" t="inlineStr">
        <is>
          <t>BRÄCKE</t>
        </is>
      </c>
      <c r="G299" t="n">
        <v>3.3</v>
      </c>
      <c r="H299" t="n">
        <v>1</v>
      </c>
      <c r="I299" t="n">
        <v>0</v>
      </c>
      <c r="J299" t="n">
        <v>0</v>
      </c>
      <c r="K299" t="n">
        <v>0</v>
      </c>
      <c r="L299" t="n">
        <v>0</v>
      </c>
      <c r="M299" t="n">
        <v>0</v>
      </c>
      <c r="N299" t="n">
        <v>0</v>
      </c>
      <c r="O299" t="n">
        <v>0</v>
      </c>
      <c r="P299" t="n">
        <v>0</v>
      </c>
      <c r="Q299" t="n">
        <v>1</v>
      </c>
      <c r="R299" s="2" t="inlineStr">
        <is>
          <t>Brudsporre</t>
        </is>
      </c>
      <c r="S299">
        <f>HYPERLINK("https://klasma.github.io/Logging_2305/artfynd/A 15366-2022 artfynd.xlsx", "A 15366-2022")</f>
        <v/>
      </c>
      <c r="T299">
        <f>HYPERLINK("https://klasma.github.io/Logging_2305/kartor/A 15366-2022 karta.png", "A 15366-2022")</f>
        <v/>
      </c>
      <c r="V299">
        <f>HYPERLINK("https://klasma.github.io/Logging_2305/klagomål/A 15366-2022 FSC-klagomål.docx", "A 15366-2022")</f>
        <v/>
      </c>
      <c r="W299">
        <f>HYPERLINK("https://klasma.github.io/Logging_2305/klagomålsmail/A 15366-2022 FSC-klagomål mail.docx", "A 15366-2022")</f>
        <v/>
      </c>
      <c r="X299">
        <f>HYPERLINK("https://klasma.github.io/Logging_2305/tillsyn/A 15366-2022 tillsynsbegäran.docx", "A 15366-2022")</f>
        <v/>
      </c>
      <c r="Y299">
        <f>HYPERLINK("https://klasma.github.io/Logging_2305/tillsynsmail/A 15366-2022 tillsynsbegäran mail.docx", "A 15366-2022")</f>
        <v/>
      </c>
    </row>
    <row r="300" ht="15" customHeight="1">
      <c r="A300" t="inlineStr">
        <is>
          <t>A 45800-2024</t>
        </is>
      </c>
      <c r="B300" s="1" t="n">
        <v>45579.67771990741</v>
      </c>
      <c r="C300" s="1" t="n">
        <v>45916</v>
      </c>
      <c r="D300" t="inlineStr">
        <is>
          <t>JÄMTLANDS LÄN</t>
        </is>
      </c>
      <c r="E300" t="inlineStr">
        <is>
          <t>BRÄCKE</t>
        </is>
      </c>
      <c r="F300" t="inlineStr">
        <is>
          <t>SCA</t>
        </is>
      </c>
      <c r="G300" t="n">
        <v>5.3</v>
      </c>
      <c r="H300" t="n">
        <v>0</v>
      </c>
      <c r="I300" t="n">
        <v>0</v>
      </c>
      <c r="J300" t="n">
        <v>1</v>
      </c>
      <c r="K300" t="n">
        <v>0</v>
      </c>
      <c r="L300" t="n">
        <v>0</v>
      </c>
      <c r="M300" t="n">
        <v>0</v>
      </c>
      <c r="N300" t="n">
        <v>0</v>
      </c>
      <c r="O300" t="n">
        <v>1</v>
      </c>
      <c r="P300" t="n">
        <v>0</v>
      </c>
      <c r="Q300" t="n">
        <v>1</v>
      </c>
      <c r="R300" s="2" t="inlineStr">
        <is>
          <t>Garnlav</t>
        </is>
      </c>
      <c r="S300">
        <f>HYPERLINK("https://klasma.github.io/Logging_2305/artfynd/A 45800-2024 artfynd.xlsx", "A 45800-2024")</f>
        <v/>
      </c>
      <c r="T300">
        <f>HYPERLINK("https://klasma.github.io/Logging_2305/kartor/A 45800-2024 karta.png", "A 45800-2024")</f>
        <v/>
      </c>
      <c r="V300">
        <f>HYPERLINK("https://klasma.github.io/Logging_2305/klagomål/A 45800-2024 FSC-klagomål.docx", "A 45800-2024")</f>
        <v/>
      </c>
      <c r="W300">
        <f>HYPERLINK("https://klasma.github.io/Logging_2305/klagomålsmail/A 45800-2024 FSC-klagomål mail.docx", "A 45800-2024")</f>
        <v/>
      </c>
      <c r="X300">
        <f>HYPERLINK("https://klasma.github.io/Logging_2305/tillsyn/A 45800-2024 tillsynsbegäran.docx", "A 45800-2024")</f>
        <v/>
      </c>
      <c r="Y300">
        <f>HYPERLINK("https://klasma.github.io/Logging_2305/tillsynsmail/A 45800-2024 tillsynsbegäran mail.docx", "A 45800-2024")</f>
        <v/>
      </c>
    </row>
    <row r="301" ht="15" customHeight="1">
      <c r="A301" t="inlineStr">
        <is>
          <t>A 8730-2025</t>
        </is>
      </c>
      <c r="B301" s="1" t="n">
        <v>45712.53157407408</v>
      </c>
      <c r="C301" s="1" t="n">
        <v>45916</v>
      </c>
      <c r="D301" t="inlineStr">
        <is>
          <t>JÄMTLANDS LÄN</t>
        </is>
      </c>
      <c r="E301" t="inlineStr">
        <is>
          <t>BRÄCKE</t>
        </is>
      </c>
      <c r="F301" t="inlineStr">
        <is>
          <t>SCA</t>
        </is>
      </c>
      <c r="G301" t="n">
        <v>7.7</v>
      </c>
      <c r="H301" t="n">
        <v>0</v>
      </c>
      <c r="I301" t="n">
        <v>0</v>
      </c>
      <c r="J301" t="n">
        <v>1</v>
      </c>
      <c r="K301" t="n">
        <v>0</v>
      </c>
      <c r="L301" t="n">
        <v>0</v>
      </c>
      <c r="M301" t="n">
        <v>0</v>
      </c>
      <c r="N301" t="n">
        <v>0</v>
      </c>
      <c r="O301" t="n">
        <v>1</v>
      </c>
      <c r="P301" t="n">
        <v>0</v>
      </c>
      <c r="Q301" t="n">
        <v>1</v>
      </c>
      <c r="R301" s="2" t="inlineStr">
        <is>
          <t>Lunglav</t>
        </is>
      </c>
      <c r="S301">
        <f>HYPERLINK("https://klasma.github.io/Logging_2305/artfynd/A 8730-2025 artfynd.xlsx", "A 8730-2025")</f>
        <v/>
      </c>
      <c r="T301">
        <f>HYPERLINK("https://klasma.github.io/Logging_2305/kartor/A 8730-2025 karta.png", "A 8730-2025")</f>
        <v/>
      </c>
      <c r="V301">
        <f>HYPERLINK("https://klasma.github.io/Logging_2305/klagomål/A 8730-2025 FSC-klagomål.docx", "A 8730-2025")</f>
        <v/>
      </c>
      <c r="W301">
        <f>HYPERLINK("https://klasma.github.io/Logging_2305/klagomålsmail/A 8730-2025 FSC-klagomål mail.docx", "A 8730-2025")</f>
        <v/>
      </c>
      <c r="X301">
        <f>HYPERLINK("https://klasma.github.io/Logging_2305/tillsyn/A 8730-2025 tillsynsbegäran.docx", "A 8730-2025")</f>
        <v/>
      </c>
      <c r="Y301">
        <f>HYPERLINK("https://klasma.github.io/Logging_2305/tillsynsmail/A 8730-2025 tillsynsbegäran mail.docx", "A 8730-2025")</f>
        <v/>
      </c>
    </row>
    <row r="302" ht="15" customHeight="1">
      <c r="A302" t="inlineStr">
        <is>
          <t>A 49040-2023</t>
        </is>
      </c>
      <c r="B302" s="1" t="n">
        <v>45209</v>
      </c>
      <c r="C302" s="1" t="n">
        <v>45916</v>
      </c>
      <c r="D302" t="inlineStr">
        <is>
          <t>JÄMTLANDS LÄN</t>
        </is>
      </c>
      <c r="E302" t="inlineStr">
        <is>
          <t>BRÄCKE</t>
        </is>
      </c>
      <c r="F302" t="inlineStr">
        <is>
          <t>SCA</t>
        </is>
      </c>
      <c r="G302" t="n">
        <v>4.2</v>
      </c>
      <c r="H302" t="n">
        <v>0</v>
      </c>
      <c r="I302" t="n">
        <v>0</v>
      </c>
      <c r="J302" t="n">
        <v>1</v>
      </c>
      <c r="K302" t="n">
        <v>0</v>
      </c>
      <c r="L302" t="n">
        <v>0</v>
      </c>
      <c r="M302" t="n">
        <v>0</v>
      </c>
      <c r="N302" t="n">
        <v>0</v>
      </c>
      <c r="O302" t="n">
        <v>1</v>
      </c>
      <c r="P302" t="n">
        <v>0</v>
      </c>
      <c r="Q302" t="n">
        <v>1</v>
      </c>
      <c r="R302" s="2" t="inlineStr">
        <is>
          <t>Lunglav</t>
        </is>
      </c>
      <c r="S302">
        <f>HYPERLINK("https://klasma.github.io/Logging_2305/artfynd/A 49040-2023 artfynd.xlsx", "A 49040-2023")</f>
        <v/>
      </c>
      <c r="T302">
        <f>HYPERLINK("https://klasma.github.io/Logging_2305/kartor/A 49040-2023 karta.png", "A 49040-2023")</f>
        <v/>
      </c>
      <c r="V302">
        <f>HYPERLINK("https://klasma.github.io/Logging_2305/klagomål/A 49040-2023 FSC-klagomål.docx", "A 49040-2023")</f>
        <v/>
      </c>
      <c r="W302">
        <f>HYPERLINK("https://klasma.github.io/Logging_2305/klagomålsmail/A 49040-2023 FSC-klagomål mail.docx", "A 49040-2023")</f>
        <v/>
      </c>
      <c r="X302">
        <f>HYPERLINK("https://klasma.github.io/Logging_2305/tillsyn/A 49040-2023 tillsynsbegäran.docx", "A 49040-2023")</f>
        <v/>
      </c>
      <c r="Y302">
        <f>HYPERLINK("https://klasma.github.io/Logging_2305/tillsynsmail/A 49040-2023 tillsynsbegäran mail.docx", "A 49040-2023")</f>
        <v/>
      </c>
    </row>
    <row r="303" ht="15" customHeight="1">
      <c r="A303" t="inlineStr">
        <is>
          <t>A 17996-2025</t>
        </is>
      </c>
      <c r="B303" s="1" t="n">
        <v>45761.40716435185</v>
      </c>
      <c r="C303" s="1" t="n">
        <v>45916</v>
      </c>
      <c r="D303" t="inlineStr">
        <is>
          <t>JÄMTLANDS LÄN</t>
        </is>
      </c>
      <c r="E303" t="inlineStr">
        <is>
          <t>BRÄCKE</t>
        </is>
      </c>
      <c r="F303" t="inlineStr">
        <is>
          <t>SCA</t>
        </is>
      </c>
      <c r="G303" t="n">
        <v>1.3</v>
      </c>
      <c r="H303" t="n">
        <v>0</v>
      </c>
      <c r="I303" t="n">
        <v>1</v>
      </c>
      <c r="J303" t="n">
        <v>0</v>
      </c>
      <c r="K303" t="n">
        <v>0</v>
      </c>
      <c r="L303" t="n">
        <v>0</v>
      </c>
      <c r="M303" t="n">
        <v>0</v>
      </c>
      <c r="N303" t="n">
        <v>0</v>
      </c>
      <c r="O303" t="n">
        <v>0</v>
      </c>
      <c r="P303" t="n">
        <v>0</v>
      </c>
      <c r="Q303" t="n">
        <v>1</v>
      </c>
      <c r="R303" s="2" t="inlineStr">
        <is>
          <t>Rödgul trumpetsvamp</t>
        </is>
      </c>
      <c r="S303">
        <f>HYPERLINK("https://klasma.github.io/Logging_2305/artfynd/A 17996-2025 artfynd.xlsx", "A 17996-2025")</f>
        <v/>
      </c>
      <c r="T303">
        <f>HYPERLINK("https://klasma.github.io/Logging_2305/kartor/A 17996-2025 karta.png", "A 17996-2025")</f>
        <v/>
      </c>
      <c r="V303">
        <f>HYPERLINK("https://klasma.github.io/Logging_2305/klagomål/A 17996-2025 FSC-klagomål.docx", "A 17996-2025")</f>
        <v/>
      </c>
      <c r="W303">
        <f>HYPERLINK("https://klasma.github.io/Logging_2305/klagomålsmail/A 17996-2025 FSC-klagomål mail.docx", "A 17996-2025")</f>
        <v/>
      </c>
      <c r="X303">
        <f>HYPERLINK("https://klasma.github.io/Logging_2305/tillsyn/A 17996-2025 tillsynsbegäran.docx", "A 17996-2025")</f>
        <v/>
      </c>
      <c r="Y303">
        <f>HYPERLINK("https://klasma.github.io/Logging_2305/tillsynsmail/A 17996-2025 tillsynsbegäran mail.docx", "A 17996-2025")</f>
        <v/>
      </c>
    </row>
    <row r="304" ht="15" customHeight="1">
      <c r="A304" t="inlineStr">
        <is>
          <t>A 7686-2025</t>
        </is>
      </c>
      <c r="B304" s="1" t="n">
        <v>45706.38579861111</v>
      </c>
      <c r="C304" s="1" t="n">
        <v>45916</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40869-2024</t>
        </is>
      </c>
      <c r="B305" s="1" t="n">
        <v>45558.59409722222</v>
      </c>
      <c r="C305" s="1" t="n">
        <v>45916</v>
      </c>
      <c r="D305" t="inlineStr">
        <is>
          <t>JÄMTLANDS LÄN</t>
        </is>
      </c>
      <c r="E305" t="inlineStr">
        <is>
          <t>BRÄCKE</t>
        </is>
      </c>
      <c r="F305" t="inlineStr">
        <is>
          <t>Naturvårdsverket</t>
        </is>
      </c>
      <c r="G305" t="n">
        <v>1.8</v>
      </c>
      <c r="H305" t="n">
        <v>0</v>
      </c>
      <c r="I305" t="n">
        <v>0</v>
      </c>
      <c r="J305" t="n">
        <v>1</v>
      </c>
      <c r="K305" t="n">
        <v>0</v>
      </c>
      <c r="L305" t="n">
        <v>0</v>
      </c>
      <c r="M305" t="n">
        <v>0</v>
      </c>
      <c r="N305" t="n">
        <v>0</v>
      </c>
      <c r="O305" t="n">
        <v>1</v>
      </c>
      <c r="P305" t="n">
        <v>0</v>
      </c>
      <c r="Q305" t="n">
        <v>1</v>
      </c>
      <c r="R305" s="2" t="inlineStr">
        <is>
          <t>Lunglav</t>
        </is>
      </c>
      <c r="S305">
        <f>HYPERLINK("https://klasma.github.io/Logging_2305/artfynd/A 40869-2024 artfynd.xlsx", "A 40869-2024")</f>
        <v/>
      </c>
      <c r="T305">
        <f>HYPERLINK("https://klasma.github.io/Logging_2305/kartor/A 40869-2024 karta.png", "A 40869-2024")</f>
        <v/>
      </c>
      <c r="V305">
        <f>HYPERLINK("https://klasma.github.io/Logging_2305/klagomål/A 40869-2024 FSC-klagomål.docx", "A 40869-2024")</f>
        <v/>
      </c>
      <c r="W305">
        <f>HYPERLINK("https://klasma.github.io/Logging_2305/klagomålsmail/A 40869-2024 FSC-klagomål mail.docx", "A 40869-2024")</f>
        <v/>
      </c>
      <c r="X305">
        <f>HYPERLINK("https://klasma.github.io/Logging_2305/tillsyn/A 40869-2024 tillsynsbegäran.docx", "A 40869-2024")</f>
        <v/>
      </c>
      <c r="Y305">
        <f>HYPERLINK("https://klasma.github.io/Logging_2305/tillsynsmail/A 40869-2024 tillsynsbegäran mail.docx", "A 40869-2024")</f>
        <v/>
      </c>
    </row>
    <row r="306" ht="15" customHeight="1">
      <c r="A306" t="inlineStr">
        <is>
          <t>A 57797-2023</t>
        </is>
      </c>
      <c r="B306" s="1" t="n">
        <v>45246</v>
      </c>
      <c r="C306" s="1" t="n">
        <v>45916</v>
      </c>
      <c r="D306" t="inlineStr">
        <is>
          <t>JÄMTLANDS LÄN</t>
        </is>
      </c>
      <c r="E306" t="inlineStr">
        <is>
          <t>BRÄCKE</t>
        </is>
      </c>
      <c r="F306" t="inlineStr">
        <is>
          <t>SCA</t>
        </is>
      </c>
      <c r="G306" t="n">
        <v>2.7</v>
      </c>
      <c r="H306" t="n">
        <v>0</v>
      </c>
      <c r="I306" t="n">
        <v>1</v>
      </c>
      <c r="J306" t="n">
        <v>0</v>
      </c>
      <c r="K306" t="n">
        <v>0</v>
      </c>
      <c r="L306" t="n">
        <v>0</v>
      </c>
      <c r="M306" t="n">
        <v>0</v>
      </c>
      <c r="N306" t="n">
        <v>0</v>
      </c>
      <c r="O306" t="n">
        <v>0</v>
      </c>
      <c r="P306" t="n">
        <v>0</v>
      </c>
      <c r="Q306" t="n">
        <v>1</v>
      </c>
      <c r="R306" s="2" t="inlineStr">
        <is>
          <t>Korallblylav</t>
        </is>
      </c>
      <c r="S306">
        <f>HYPERLINK("https://klasma.github.io/Logging_2305/artfynd/A 57797-2023 artfynd.xlsx", "A 57797-2023")</f>
        <v/>
      </c>
      <c r="T306">
        <f>HYPERLINK("https://klasma.github.io/Logging_2305/kartor/A 57797-2023 karta.png", "A 57797-2023")</f>
        <v/>
      </c>
      <c r="V306">
        <f>HYPERLINK("https://klasma.github.io/Logging_2305/klagomål/A 57797-2023 FSC-klagomål.docx", "A 57797-2023")</f>
        <v/>
      </c>
      <c r="W306">
        <f>HYPERLINK("https://klasma.github.io/Logging_2305/klagomålsmail/A 57797-2023 FSC-klagomål mail.docx", "A 57797-2023")</f>
        <v/>
      </c>
      <c r="X306">
        <f>HYPERLINK("https://klasma.github.io/Logging_2305/tillsyn/A 57797-2023 tillsynsbegäran.docx", "A 57797-2023")</f>
        <v/>
      </c>
      <c r="Y306">
        <f>HYPERLINK("https://klasma.github.io/Logging_2305/tillsynsmail/A 57797-2023 tillsynsbegäran mail.docx", "A 57797-2023")</f>
        <v/>
      </c>
    </row>
    <row r="307" ht="15" customHeight="1">
      <c r="A307" t="inlineStr">
        <is>
          <t>A 11549-2025</t>
        </is>
      </c>
      <c r="B307" s="1" t="n">
        <v>45727.34460648148</v>
      </c>
      <c r="C307" s="1" t="n">
        <v>45916</v>
      </c>
      <c r="D307" t="inlineStr">
        <is>
          <t>JÄMTLANDS LÄN</t>
        </is>
      </c>
      <c r="E307" t="inlineStr">
        <is>
          <t>BRÄCKE</t>
        </is>
      </c>
      <c r="F307" t="inlineStr">
        <is>
          <t>SCA</t>
        </is>
      </c>
      <c r="G307" t="n">
        <v>6.4</v>
      </c>
      <c r="H307" t="n">
        <v>0</v>
      </c>
      <c r="I307" t="n">
        <v>0</v>
      </c>
      <c r="J307" t="n">
        <v>1</v>
      </c>
      <c r="K307" t="n">
        <v>0</v>
      </c>
      <c r="L307" t="n">
        <v>0</v>
      </c>
      <c r="M307" t="n">
        <v>0</v>
      </c>
      <c r="N307" t="n">
        <v>0</v>
      </c>
      <c r="O307" t="n">
        <v>1</v>
      </c>
      <c r="P307" t="n">
        <v>0</v>
      </c>
      <c r="Q307" t="n">
        <v>1</v>
      </c>
      <c r="R307" s="2" t="inlineStr">
        <is>
          <t>Vedtrappmossa</t>
        </is>
      </c>
      <c r="S307">
        <f>HYPERLINK("https://klasma.github.io/Logging_2305/artfynd/A 11549-2025 artfynd.xlsx", "A 11549-2025")</f>
        <v/>
      </c>
      <c r="T307">
        <f>HYPERLINK("https://klasma.github.io/Logging_2305/kartor/A 11549-2025 karta.png", "A 11549-2025")</f>
        <v/>
      </c>
      <c r="V307">
        <f>HYPERLINK("https://klasma.github.io/Logging_2305/klagomål/A 11549-2025 FSC-klagomål.docx", "A 11549-2025")</f>
        <v/>
      </c>
      <c r="W307">
        <f>HYPERLINK("https://klasma.github.io/Logging_2305/klagomålsmail/A 11549-2025 FSC-klagomål mail.docx", "A 11549-2025")</f>
        <v/>
      </c>
      <c r="X307">
        <f>HYPERLINK("https://klasma.github.io/Logging_2305/tillsyn/A 11549-2025 tillsynsbegäran.docx", "A 11549-2025")</f>
        <v/>
      </c>
      <c r="Y307">
        <f>HYPERLINK("https://klasma.github.io/Logging_2305/tillsynsmail/A 11549-2025 tillsynsbegäran mail.docx", "A 11549-2025")</f>
        <v/>
      </c>
    </row>
    <row r="308" ht="15" customHeight="1">
      <c r="A308" t="inlineStr">
        <is>
          <t>A 44323-2023</t>
        </is>
      </c>
      <c r="B308" s="1" t="n">
        <v>45188</v>
      </c>
      <c r="C308" s="1" t="n">
        <v>45916</v>
      </c>
      <c r="D308" t="inlineStr">
        <is>
          <t>JÄMTLANDS LÄN</t>
        </is>
      </c>
      <c r="E308" t="inlineStr">
        <is>
          <t>BRÄCKE</t>
        </is>
      </c>
      <c r="F308" t="inlineStr">
        <is>
          <t>Sveaskog</t>
        </is>
      </c>
      <c r="G308" t="n">
        <v>3.7</v>
      </c>
      <c r="H308" t="n">
        <v>0</v>
      </c>
      <c r="I308" t="n">
        <v>0</v>
      </c>
      <c r="J308" t="n">
        <v>1</v>
      </c>
      <c r="K308" t="n">
        <v>0</v>
      </c>
      <c r="L308" t="n">
        <v>0</v>
      </c>
      <c r="M308" t="n">
        <v>0</v>
      </c>
      <c r="N308" t="n">
        <v>0</v>
      </c>
      <c r="O308" t="n">
        <v>1</v>
      </c>
      <c r="P308" t="n">
        <v>0</v>
      </c>
      <c r="Q308" t="n">
        <v>1</v>
      </c>
      <c r="R308" s="2" t="inlineStr">
        <is>
          <t>Lunglav</t>
        </is>
      </c>
      <c r="S308">
        <f>HYPERLINK("https://klasma.github.io/Logging_2305/artfynd/A 44323-2023 artfynd.xlsx", "A 44323-2023")</f>
        <v/>
      </c>
      <c r="T308">
        <f>HYPERLINK("https://klasma.github.io/Logging_2305/kartor/A 44323-2023 karta.png", "A 44323-2023")</f>
        <v/>
      </c>
      <c r="V308">
        <f>HYPERLINK("https://klasma.github.io/Logging_2305/klagomål/A 44323-2023 FSC-klagomål.docx", "A 44323-2023")</f>
        <v/>
      </c>
      <c r="W308">
        <f>HYPERLINK("https://klasma.github.io/Logging_2305/klagomålsmail/A 44323-2023 FSC-klagomål mail.docx", "A 44323-2023")</f>
        <v/>
      </c>
      <c r="X308">
        <f>HYPERLINK("https://klasma.github.io/Logging_2305/tillsyn/A 44323-2023 tillsynsbegäran.docx", "A 44323-2023")</f>
        <v/>
      </c>
      <c r="Y308">
        <f>HYPERLINK("https://klasma.github.io/Logging_2305/tillsynsmail/A 44323-2023 tillsynsbegäran mail.docx", "A 44323-2023")</f>
        <v/>
      </c>
    </row>
    <row r="309" ht="15" customHeight="1">
      <c r="A309" t="inlineStr">
        <is>
          <t>A 725-2023</t>
        </is>
      </c>
      <c r="B309" s="1" t="n">
        <v>44930</v>
      </c>
      <c r="C309" s="1" t="n">
        <v>45916</v>
      </c>
      <c r="D309" t="inlineStr">
        <is>
          <t>JÄMTLANDS LÄN</t>
        </is>
      </c>
      <c r="E309" t="inlineStr">
        <is>
          <t>BRÄCKE</t>
        </is>
      </c>
      <c r="F309" t="inlineStr">
        <is>
          <t>SCA</t>
        </is>
      </c>
      <c r="G309" t="n">
        <v>0.9</v>
      </c>
      <c r="H309" t="n">
        <v>0</v>
      </c>
      <c r="I309" t="n">
        <v>0</v>
      </c>
      <c r="J309" t="n">
        <v>1</v>
      </c>
      <c r="K309" t="n">
        <v>0</v>
      </c>
      <c r="L309" t="n">
        <v>0</v>
      </c>
      <c r="M309" t="n">
        <v>0</v>
      </c>
      <c r="N309" t="n">
        <v>0</v>
      </c>
      <c r="O309" t="n">
        <v>1</v>
      </c>
      <c r="P309" t="n">
        <v>0</v>
      </c>
      <c r="Q309" t="n">
        <v>1</v>
      </c>
      <c r="R309" s="2" t="inlineStr">
        <is>
          <t>Kolflarnlav</t>
        </is>
      </c>
      <c r="S309">
        <f>HYPERLINK("https://klasma.github.io/Logging_2305/artfynd/A 725-2023 artfynd.xlsx", "A 725-2023")</f>
        <v/>
      </c>
      <c r="T309">
        <f>HYPERLINK("https://klasma.github.io/Logging_2305/kartor/A 725-2023 karta.png", "A 725-2023")</f>
        <v/>
      </c>
      <c r="V309">
        <f>HYPERLINK("https://klasma.github.io/Logging_2305/klagomål/A 725-2023 FSC-klagomål.docx", "A 725-2023")</f>
        <v/>
      </c>
      <c r="W309">
        <f>HYPERLINK("https://klasma.github.io/Logging_2305/klagomålsmail/A 725-2023 FSC-klagomål mail.docx", "A 725-2023")</f>
        <v/>
      </c>
      <c r="X309">
        <f>HYPERLINK("https://klasma.github.io/Logging_2305/tillsyn/A 725-2023 tillsynsbegäran.docx", "A 725-2023")</f>
        <v/>
      </c>
      <c r="Y309">
        <f>HYPERLINK("https://klasma.github.io/Logging_2305/tillsynsmail/A 725-2023 tillsynsbegäran mail.docx", "A 725-2023")</f>
        <v/>
      </c>
    </row>
    <row r="310" ht="15" customHeight="1">
      <c r="A310" t="inlineStr">
        <is>
          <t>A 40100-2023</t>
        </is>
      </c>
      <c r="B310" s="1" t="n">
        <v>45168</v>
      </c>
      <c r="C310" s="1" t="n">
        <v>45916</v>
      </c>
      <c r="D310" t="inlineStr">
        <is>
          <t>JÄMTLANDS LÄN</t>
        </is>
      </c>
      <c r="E310" t="inlineStr">
        <is>
          <t>BRÄCKE</t>
        </is>
      </c>
      <c r="F310" t="inlineStr">
        <is>
          <t>SCA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HYPERLINK("https://klasma.github.io/Logging_2305/artfynd/A 40100-2023 artfynd.xlsx", "A 40100-2023")</f>
        <v/>
      </c>
      <c r="T310">
        <f>HYPERLINK("https://klasma.github.io/Logging_2305/kartor/A 40100-2023 karta.png", "A 40100-2023")</f>
        <v/>
      </c>
      <c r="U310">
        <f>HYPERLINK("https://klasma.github.io/Logging_2305/knärot/A 40100-2023 karta knärot.png", "A 40100-2023")</f>
        <v/>
      </c>
      <c r="V310">
        <f>HYPERLINK("https://klasma.github.io/Logging_2305/klagomål/A 40100-2023 FSC-klagomål.docx", "A 40100-2023")</f>
        <v/>
      </c>
      <c r="W310">
        <f>HYPERLINK("https://klasma.github.io/Logging_2305/klagomålsmail/A 40100-2023 FSC-klagomål mail.docx", "A 40100-2023")</f>
        <v/>
      </c>
      <c r="X310">
        <f>HYPERLINK("https://klasma.github.io/Logging_2305/tillsyn/A 40100-2023 tillsynsbegäran.docx", "A 40100-2023")</f>
        <v/>
      </c>
      <c r="Y310">
        <f>HYPERLINK("https://klasma.github.io/Logging_2305/tillsynsmail/A 40100-2023 tillsynsbegäran mail.docx", "A 40100-2023")</f>
        <v/>
      </c>
    </row>
    <row r="311" ht="15" customHeight="1">
      <c r="A311" t="inlineStr">
        <is>
          <t>A 724-2023</t>
        </is>
      </c>
      <c r="B311" s="1" t="n">
        <v>44930.94215277778</v>
      </c>
      <c r="C311" s="1" t="n">
        <v>45916</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40097-2023</t>
        </is>
      </c>
      <c r="B312" s="1" t="n">
        <v>45168</v>
      </c>
      <c r="C312" s="1" t="n">
        <v>45916</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41486-2024</t>
        </is>
      </c>
      <c r="B313" s="1" t="n">
        <v>45560.44907407407</v>
      </c>
      <c r="C313" s="1" t="n">
        <v>45916</v>
      </c>
      <c r="D313" t="inlineStr">
        <is>
          <t>JÄMTLANDS LÄN</t>
        </is>
      </c>
      <c r="E313" t="inlineStr">
        <is>
          <t>BRÄCKE</t>
        </is>
      </c>
      <c r="F313" t="inlineStr">
        <is>
          <t>SCA</t>
        </is>
      </c>
      <c r="G313" t="n">
        <v>5.3</v>
      </c>
      <c r="H313" t="n">
        <v>0</v>
      </c>
      <c r="I313" t="n">
        <v>0</v>
      </c>
      <c r="J313" t="n">
        <v>1</v>
      </c>
      <c r="K313" t="n">
        <v>0</v>
      </c>
      <c r="L313" t="n">
        <v>0</v>
      </c>
      <c r="M313" t="n">
        <v>0</v>
      </c>
      <c r="N313" t="n">
        <v>0</v>
      </c>
      <c r="O313" t="n">
        <v>1</v>
      </c>
      <c r="P313" t="n">
        <v>0</v>
      </c>
      <c r="Q313" t="n">
        <v>1</v>
      </c>
      <c r="R313" s="2" t="inlineStr">
        <is>
          <t>Lunglav</t>
        </is>
      </c>
      <c r="S313">
        <f>HYPERLINK("https://klasma.github.io/Logging_2305/artfynd/A 41486-2024 artfynd.xlsx", "A 41486-2024")</f>
        <v/>
      </c>
      <c r="T313">
        <f>HYPERLINK("https://klasma.github.io/Logging_2305/kartor/A 41486-2024 karta.png", "A 41486-2024")</f>
        <v/>
      </c>
      <c r="V313">
        <f>HYPERLINK("https://klasma.github.io/Logging_2305/klagomål/A 41486-2024 FSC-klagomål.docx", "A 41486-2024")</f>
        <v/>
      </c>
      <c r="W313">
        <f>HYPERLINK("https://klasma.github.io/Logging_2305/klagomålsmail/A 41486-2024 FSC-klagomål mail.docx", "A 41486-2024")</f>
        <v/>
      </c>
      <c r="X313">
        <f>HYPERLINK("https://klasma.github.io/Logging_2305/tillsyn/A 41486-2024 tillsynsbegäran.docx", "A 41486-2024")</f>
        <v/>
      </c>
      <c r="Y313">
        <f>HYPERLINK("https://klasma.github.io/Logging_2305/tillsynsmail/A 41486-2024 tillsynsbegäran mail.docx", "A 41486-2024")</f>
        <v/>
      </c>
    </row>
    <row r="314" ht="15" customHeight="1">
      <c r="A314" t="inlineStr">
        <is>
          <t>A 20866-2025</t>
        </is>
      </c>
      <c r="B314" s="1" t="n">
        <v>45777.34456018519</v>
      </c>
      <c r="C314" s="1" t="n">
        <v>45916</v>
      </c>
      <c r="D314" t="inlineStr">
        <is>
          <t>JÄMTLANDS LÄN</t>
        </is>
      </c>
      <c r="E314" t="inlineStr">
        <is>
          <t>BRÄCKE</t>
        </is>
      </c>
      <c r="F314" t="inlineStr">
        <is>
          <t>SCA</t>
        </is>
      </c>
      <c r="G314" t="n">
        <v>2.8</v>
      </c>
      <c r="H314" t="n">
        <v>0</v>
      </c>
      <c r="I314" t="n">
        <v>0</v>
      </c>
      <c r="J314" t="n">
        <v>1</v>
      </c>
      <c r="K314" t="n">
        <v>0</v>
      </c>
      <c r="L314" t="n">
        <v>0</v>
      </c>
      <c r="M314" t="n">
        <v>0</v>
      </c>
      <c r="N314" t="n">
        <v>0</v>
      </c>
      <c r="O314" t="n">
        <v>1</v>
      </c>
      <c r="P314" t="n">
        <v>0</v>
      </c>
      <c r="Q314" t="n">
        <v>1</v>
      </c>
      <c r="R314" s="2" t="inlineStr">
        <is>
          <t>Violettgrå tagellav</t>
        </is>
      </c>
      <c r="S314">
        <f>HYPERLINK("https://klasma.github.io/Logging_2305/artfynd/A 20866-2025 artfynd.xlsx", "A 20866-2025")</f>
        <v/>
      </c>
      <c r="T314">
        <f>HYPERLINK("https://klasma.github.io/Logging_2305/kartor/A 20866-2025 karta.png", "A 20866-2025")</f>
        <v/>
      </c>
      <c r="V314">
        <f>HYPERLINK("https://klasma.github.io/Logging_2305/klagomål/A 20866-2025 FSC-klagomål.docx", "A 20866-2025")</f>
        <v/>
      </c>
      <c r="W314">
        <f>HYPERLINK("https://klasma.github.io/Logging_2305/klagomålsmail/A 20866-2025 FSC-klagomål mail.docx", "A 20866-2025")</f>
        <v/>
      </c>
      <c r="X314">
        <f>HYPERLINK("https://klasma.github.io/Logging_2305/tillsyn/A 20866-2025 tillsynsbegäran.docx", "A 20866-2025")</f>
        <v/>
      </c>
      <c r="Y314">
        <f>HYPERLINK("https://klasma.github.io/Logging_2305/tillsynsmail/A 20866-2025 tillsynsbegäran mail.docx", "A 20866-2025")</f>
        <v/>
      </c>
    </row>
    <row r="315" ht="15" customHeight="1">
      <c r="A315" t="inlineStr">
        <is>
          <t>A 21428-2025</t>
        </is>
      </c>
      <c r="B315" s="1" t="n">
        <v>45782.51072916666</v>
      </c>
      <c r="C315" s="1" t="n">
        <v>45916</v>
      </c>
      <c r="D315" t="inlineStr">
        <is>
          <t>JÄMTLANDS LÄN</t>
        </is>
      </c>
      <c r="E315" t="inlineStr">
        <is>
          <t>BRÄCKE</t>
        </is>
      </c>
      <c r="F315" t="inlineStr">
        <is>
          <t>SCA</t>
        </is>
      </c>
      <c r="G315" t="n">
        <v>3</v>
      </c>
      <c r="H315" t="n">
        <v>0</v>
      </c>
      <c r="I315" t="n">
        <v>0</v>
      </c>
      <c r="J315" t="n">
        <v>1</v>
      </c>
      <c r="K315" t="n">
        <v>0</v>
      </c>
      <c r="L315" t="n">
        <v>0</v>
      </c>
      <c r="M315" t="n">
        <v>0</v>
      </c>
      <c r="N315" t="n">
        <v>0</v>
      </c>
      <c r="O315" t="n">
        <v>1</v>
      </c>
      <c r="P315" t="n">
        <v>0</v>
      </c>
      <c r="Q315" t="n">
        <v>1</v>
      </c>
      <c r="R315" s="2" t="inlineStr">
        <is>
          <t>Lunglav</t>
        </is>
      </c>
      <c r="S315">
        <f>HYPERLINK("https://klasma.github.io/Logging_2305/artfynd/A 21428-2025 artfynd.xlsx", "A 21428-2025")</f>
        <v/>
      </c>
      <c r="T315">
        <f>HYPERLINK("https://klasma.github.io/Logging_2305/kartor/A 21428-2025 karta.png", "A 21428-2025")</f>
        <v/>
      </c>
      <c r="V315">
        <f>HYPERLINK("https://klasma.github.io/Logging_2305/klagomål/A 21428-2025 FSC-klagomål.docx", "A 21428-2025")</f>
        <v/>
      </c>
      <c r="W315">
        <f>HYPERLINK("https://klasma.github.io/Logging_2305/klagomålsmail/A 21428-2025 FSC-klagomål mail.docx", "A 21428-2025")</f>
        <v/>
      </c>
      <c r="X315">
        <f>HYPERLINK("https://klasma.github.io/Logging_2305/tillsyn/A 21428-2025 tillsynsbegäran.docx", "A 21428-2025")</f>
        <v/>
      </c>
      <c r="Y315">
        <f>HYPERLINK("https://klasma.github.io/Logging_2305/tillsynsmail/A 21428-2025 tillsynsbegäran mail.docx", "A 21428-2025")</f>
        <v/>
      </c>
    </row>
    <row r="316" ht="15" customHeight="1">
      <c r="A316" t="inlineStr">
        <is>
          <t>A 22651-2025</t>
        </is>
      </c>
      <c r="B316" s="1" t="n">
        <v>45789.46907407408</v>
      </c>
      <c r="C316" s="1" t="n">
        <v>45916</v>
      </c>
      <c r="D316" t="inlineStr">
        <is>
          <t>JÄMTLANDS LÄN</t>
        </is>
      </c>
      <c r="E316" t="inlineStr">
        <is>
          <t>BRÄCKE</t>
        </is>
      </c>
      <c r="F316" t="inlineStr">
        <is>
          <t>SCA</t>
        </is>
      </c>
      <c r="G316" t="n">
        <v>2.3</v>
      </c>
      <c r="H316" t="n">
        <v>1</v>
      </c>
      <c r="I316" t="n">
        <v>1</v>
      </c>
      <c r="J316" t="n">
        <v>0</v>
      </c>
      <c r="K316" t="n">
        <v>0</v>
      </c>
      <c r="L316" t="n">
        <v>0</v>
      </c>
      <c r="M316" t="n">
        <v>0</v>
      </c>
      <c r="N316" t="n">
        <v>0</v>
      </c>
      <c r="O316" t="n">
        <v>0</v>
      </c>
      <c r="P316" t="n">
        <v>0</v>
      </c>
      <c r="Q316" t="n">
        <v>1</v>
      </c>
      <c r="R316" s="2" t="inlineStr">
        <is>
          <t>Guckusko</t>
        </is>
      </c>
      <c r="S316">
        <f>HYPERLINK("https://klasma.github.io/Logging_2305/artfynd/A 22651-2025 artfynd.xlsx", "A 22651-2025")</f>
        <v/>
      </c>
      <c r="T316">
        <f>HYPERLINK("https://klasma.github.io/Logging_2305/kartor/A 22651-2025 karta.png", "A 22651-2025")</f>
        <v/>
      </c>
      <c r="V316">
        <f>HYPERLINK("https://klasma.github.io/Logging_2305/klagomål/A 22651-2025 FSC-klagomål.docx", "A 22651-2025")</f>
        <v/>
      </c>
      <c r="W316">
        <f>HYPERLINK("https://klasma.github.io/Logging_2305/klagomålsmail/A 22651-2025 FSC-klagomål mail.docx", "A 22651-2025")</f>
        <v/>
      </c>
      <c r="X316">
        <f>HYPERLINK("https://klasma.github.io/Logging_2305/tillsyn/A 22651-2025 tillsynsbegäran.docx", "A 22651-2025")</f>
        <v/>
      </c>
      <c r="Y316">
        <f>HYPERLINK("https://klasma.github.io/Logging_2305/tillsynsmail/A 22651-2025 tillsynsbegäran mail.docx", "A 22651-2025")</f>
        <v/>
      </c>
    </row>
    <row r="317" ht="15" customHeight="1">
      <c r="A317" t="inlineStr">
        <is>
          <t>A 56156-2024</t>
        </is>
      </c>
      <c r="B317" s="1" t="n">
        <v>45624.53180555555</v>
      </c>
      <c r="C317" s="1" t="n">
        <v>45916</v>
      </c>
      <c r="D317" t="inlineStr">
        <is>
          <t>JÄMTLANDS LÄN</t>
        </is>
      </c>
      <c r="E317" t="inlineStr">
        <is>
          <t>BRÄCKE</t>
        </is>
      </c>
      <c r="F317" t="inlineStr">
        <is>
          <t>SCA</t>
        </is>
      </c>
      <c r="G317" t="n">
        <v>4.4</v>
      </c>
      <c r="H317" t="n">
        <v>0</v>
      </c>
      <c r="I317" t="n">
        <v>0</v>
      </c>
      <c r="J317" t="n">
        <v>1</v>
      </c>
      <c r="K317" t="n">
        <v>0</v>
      </c>
      <c r="L317" t="n">
        <v>0</v>
      </c>
      <c r="M317" t="n">
        <v>0</v>
      </c>
      <c r="N317" t="n">
        <v>0</v>
      </c>
      <c r="O317" t="n">
        <v>1</v>
      </c>
      <c r="P317" t="n">
        <v>0</v>
      </c>
      <c r="Q317" t="n">
        <v>1</v>
      </c>
      <c r="R317" s="2" t="inlineStr">
        <is>
          <t>Flattoppad klubbsvamp</t>
        </is>
      </c>
      <c r="S317">
        <f>HYPERLINK("https://klasma.github.io/Logging_2305/artfynd/A 56156-2024 artfynd.xlsx", "A 56156-2024")</f>
        <v/>
      </c>
      <c r="T317">
        <f>HYPERLINK("https://klasma.github.io/Logging_2305/kartor/A 56156-2024 karta.png", "A 56156-2024")</f>
        <v/>
      </c>
      <c r="V317">
        <f>HYPERLINK("https://klasma.github.io/Logging_2305/klagomål/A 56156-2024 FSC-klagomål.docx", "A 56156-2024")</f>
        <v/>
      </c>
      <c r="W317">
        <f>HYPERLINK("https://klasma.github.io/Logging_2305/klagomålsmail/A 56156-2024 FSC-klagomål mail.docx", "A 56156-2024")</f>
        <v/>
      </c>
      <c r="X317">
        <f>HYPERLINK("https://klasma.github.io/Logging_2305/tillsyn/A 56156-2024 tillsynsbegäran.docx", "A 56156-2024")</f>
        <v/>
      </c>
      <c r="Y317">
        <f>HYPERLINK("https://klasma.github.io/Logging_2305/tillsynsmail/A 56156-2024 tillsynsbegäran mail.docx", "A 56156-2024")</f>
        <v/>
      </c>
    </row>
    <row r="318" ht="15" customHeight="1">
      <c r="A318" t="inlineStr">
        <is>
          <t>A 35023-2022</t>
        </is>
      </c>
      <c r="B318" s="1" t="n">
        <v>44796</v>
      </c>
      <c r="C318" s="1" t="n">
        <v>45916</v>
      </c>
      <c r="D318" t="inlineStr">
        <is>
          <t>JÄMTLANDS LÄN</t>
        </is>
      </c>
      <c r="E318" t="inlineStr">
        <is>
          <t>BRÄCKE</t>
        </is>
      </c>
      <c r="F318" t="inlineStr">
        <is>
          <t>SCA</t>
        </is>
      </c>
      <c r="G318" t="n">
        <v>4.8</v>
      </c>
      <c r="H318" t="n">
        <v>0</v>
      </c>
      <c r="I318" t="n">
        <v>0</v>
      </c>
      <c r="J318" t="n">
        <v>1</v>
      </c>
      <c r="K318" t="n">
        <v>0</v>
      </c>
      <c r="L318" t="n">
        <v>0</v>
      </c>
      <c r="M318" t="n">
        <v>0</v>
      </c>
      <c r="N318" t="n">
        <v>0</v>
      </c>
      <c r="O318" t="n">
        <v>1</v>
      </c>
      <c r="P318" t="n">
        <v>0</v>
      </c>
      <c r="Q318" t="n">
        <v>1</v>
      </c>
      <c r="R318" s="2" t="inlineStr">
        <is>
          <t>Dvärgbägarlav</t>
        </is>
      </c>
      <c r="S318">
        <f>HYPERLINK("https://klasma.github.io/Logging_2305/artfynd/A 35023-2022 artfynd.xlsx", "A 35023-2022")</f>
        <v/>
      </c>
      <c r="T318">
        <f>HYPERLINK("https://klasma.github.io/Logging_2305/kartor/A 35023-2022 karta.png", "A 35023-2022")</f>
        <v/>
      </c>
      <c r="V318">
        <f>HYPERLINK("https://klasma.github.io/Logging_2305/klagomål/A 35023-2022 FSC-klagomål.docx", "A 35023-2022")</f>
        <v/>
      </c>
      <c r="W318">
        <f>HYPERLINK("https://klasma.github.io/Logging_2305/klagomålsmail/A 35023-2022 FSC-klagomål mail.docx", "A 35023-2022")</f>
        <v/>
      </c>
      <c r="X318">
        <f>HYPERLINK("https://klasma.github.io/Logging_2305/tillsyn/A 35023-2022 tillsynsbegäran.docx", "A 35023-2022")</f>
        <v/>
      </c>
      <c r="Y318">
        <f>HYPERLINK("https://klasma.github.io/Logging_2305/tillsynsmail/A 35023-2022 tillsynsbegäran mail.docx", "A 35023-2022")</f>
        <v/>
      </c>
    </row>
    <row r="319" ht="15" customHeight="1">
      <c r="A319" t="inlineStr">
        <is>
          <t>A 39701-2022</t>
        </is>
      </c>
      <c r="B319" s="1" t="n">
        <v>44818</v>
      </c>
      <c r="C319" s="1" t="n">
        <v>45916</v>
      </c>
      <c r="D319" t="inlineStr">
        <is>
          <t>JÄMTLANDS LÄN</t>
        </is>
      </c>
      <c r="E319" t="inlineStr">
        <is>
          <t>BRÄCKE</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48799-2020</t>
        </is>
      </c>
      <c r="B320" s="1" t="n">
        <v>44103</v>
      </c>
      <c r="C320" s="1" t="n">
        <v>45916</v>
      </c>
      <c r="D320" t="inlineStr">
        <is>
          <t>JÄMTLANDS LÄN</t>
        </is>
      </c>
      <c r="E320" t="inlineStr">
        <is>
          <t>BRÄCKE</t>
        </is>
      </c>
      <c r="F320" t="inlineStr">
        <is>
          <t>SCA</t>
        </is>
      </c>
      <c r="G320" t="n">
        <v>5.7</v>
      </c>
      <c r="H320" t="n">
        <v>0</v>
      </c>
      <c r="I320" t="n">
        <v>0</v>
      </c>
      <c r="J320" t="n">
        <v>0</v>
      </c>
      <c r="K320" t="n">
        <v>0</v>
      </c>
      <c r="L320" t="n">
        <v>0</v>
      </c>
      <c r="M320" t="n">
        <v>0</v>
      </c>
      <c r="N320" t="n">
        <v>0</v>
      </c>
      <c r="O320" t="n">
        <v>0</v>
      </c>
      <c r="P320" t="n">
        <v>0</v>
      </c>
      <c r="Q320" t="n">
        <v>0</v>
      </c>
      <c r="R320" s="2" t="inlineStr"/>
    </row>
    <row r="321" ht="15" customHeight="1">
      <c r="A321" t="inlineStr">
        <is>
          <t>A 53196-2020</t>
        </is>
      </c>
      <c r="B321" s="1" t="n">
        <v>44122.43391203704</v>
      </c>
      <c r="C321" s="1" t="n">
        <v>45916</v>
      </c>
      <c r="D321" t="inlineStr">
        <is>
          <t>JÄMTLANDS LÄN</t>
        </is>
      </c>
      <c r="E321" t="inlineStr">
        <is>
          <t>BRÄCKE</t>
        </is>
      </c>
      <c r="G321" t="n">
        <v>1</v>
      </c>
      <c r="H321" t="n">
        <v>0</v>
      </c>
      <c r="I321" t="n">
        <v>0</v>
      </c>
      <c r="J321" t="n">
        <v>0</v>
      </c>
      <c r="K321" t="n">
        <v>0</v>
      </c>
      <c r="L321" t="n">
        <v>0</v>
      </c>
      <c r="M321" t="n">
        <v>0</v>
      </c>
      <c r="N321" t="n">
        <v>0</v>
      </c>
      <c r="O321" t="n">
        <v>0</v>
      </c>
      <c r="P321" t="n">
        <v>0</v>
      </c>
      <c r="Q321" t="n">
        <v>0</v>
      </c>
      <c r="R321" s="2" t="inlineStr"/>
    </row>
    <row r="322" ht="15" customHeight="1">
      <c r="A322" t="inlineStr">
        <is>
          <t>A 14079-2021</t>
        </is>
      </c>
      <c r="B322" s="1" t="n">
        <v>44277</v>
      </c>
      <c r="C322" s="1" t="n">
        <v>45916</v>
      </c>
      <c r="D322" t="inlineStr">
        <is>
          <t>JÄMTLANDS LÄN</t>
        </is>
      </c>
      <c r="E322" t="inlineStr">
        <is>
          <t>BRÄCKE</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64809-2020</t>
        </is>
      </c>
      <c r="B323" s="1" t="n">
        <v>44169</v>
      </c>
      <c r="C323" s="1" t="n">
        <v>45916</v>
      </c>
      <c r="D323" t="inlineStr">
        <is>
          <t>JÄMTLANDS LÄN</t>
        </is>
      </c>
      <c r="E323" t="inlineStr">
        <is>
          <t>BRÄCKE</t>
        </is>
      </c>
      <c r="F323" t="inlineStr">
        <is>
          <t>SCA</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1087-2022</t>
        </is>
      </c>
      <c r="B324" s="1" t="n">
        <v>44571</v>
      </c>
      <c r="C324" s="1" t="n">
        <v>45916</v>
      </c>
      <c r="D324" t="inlineStr">
        <is>
          <t>JÄMTLANDS LÄN</t>
        </is>
      </c>
      <c r="E324" t="inlineStr">
        <is>
          <t>BRÄCKE</t>
        </is>
      </c>
      <c r="G324" t="n">
        <v>3.7</v>
      </c>
      <c r="H324" t="n">
        <v>0</v>
      </c>
      <c r="I324" t="n">
        <v>0</v>
      </c>
      <c r="J324" t="n">
        <v>0</v>
      </c>
      <c r="K324" t="n">
        <v>0</v>
      </c>
      <c r="L324" t="n">
        <v>0</v>
      </c>
      <c r="M324" t="n">
        <v>0</v>
      </c>
      <c r="N324" t="n">
        <v>0</v>
      </c>
      <c r="O324" t="n">
        <v>0</v>
      </c>
      <c r="P324" t="n">
        <v>0</v>
      </c>
      <c r="Q324" t="n">
        <v>0</v>
      </c>
      <c r="R324" s="2" t="inlineStr"/>
    </row>
    <row r="325" ht="15" customHeight="1">
      <c r="A325" t="inlineStr">
        <is>
          <t>A 62970-2020</t>
        </is>
      </c>
      <c r="B325" s="1" t="n">
        <v>44162</v>
      </c>
      <c r="C325" s="1" t="n">
        <v>45916</v>
      </c>
      <c r="D325" t="inlineStr">
        <is>
          <t>JÄMTLANDS LÄN</t>
        </is>
      </c>
      <c r="E325" t="inlineStr">
        <is>
          <t>BRÄCKE</t>
        </is>
      </c>
      <c r="G325" t="n">
        <v>2.4</v>
      </c>
      <c r="H325" t="n">
        <v>0</v>
      </c>
      <c r="I325" t="n">
        <v>0</v>
      </c>
      <c r="J325" t="n">
        <v>0</v>
      </c>
      <c r="K325" t="n">
        <v>0</v>
      </c>
      <c r="L325" t="n">
        <v>0</v>
      </c>
      <c r="M325" t="n">
        <v>0</v>
      </c>
      <c r="N325" t="n">
        <v>0</v>
      </c>
      <c r="O325" t="n">
        <v>0</v>
      </c>
      <c r="P325" t="n">
        <v>0</v>
      </c>
      <c r="Q325" t="n">
        <v>0</v>
      </c>
      <c r="R325" s="2" t="inlineStr"/>
    </row>
    <row r="326" ht="15" customHeight="1">
      <c r="A326" t="inlineStr">
        <is>
          <t>A 36840-2022</t>
        </is>
      </c>
      <c r="B326" s="1" t="n">
        <v>44805</v>
      </c>
      <c r="C326" s="1" t="n">
        <v>45916</v>
      </c>
      <c r="D326" t="inlineStr">
        <is>
          <t>JÄMTLANDS LÄN</t>
        </is>
      </c>
      <c r="E326" t="inlineStr">
        <is>
          <t>BRÄCKE</t>
        </is>
      </c>
      <c r="G326" t="n">
        <v>1.2</v>
      </c>
      <c r="H326" t="n">
        <v>0</v>
      </c>
      <c r="I326" t="n">
        <v>0</v>
      </c>
      <c r="J326" t="n">
        <v>0</v>
      </c>
      <c r="K326" t="n">
        <v>0</v>
      </c>
      <c r="L326" t="n">
        <v>0</v>
      </c>
      <c r="M326" t="n">
        <v>0</v>
      </c>
      <c r="N326" t="n">
        <v>0</v>
      </c>
      <c r="O326" t="n">
        <v>0</v>
      </c>
      <c r="P326" t="n">
        <v>0</v>
      </c>
      <c r="Q326" t="n">
        <v>0</v>
      </c>
      <c r="R326" s="2" t="inlineStr"/>
    </row>
    <row r="327" ht="15" customHeight="1">
      <c r="A327" t="inlineStr">
        <is>
          <t>A 51022-2022</t>
        </is>
      </c>
      <c r="B327" s="1" t="n">
        <v>44867</v>
      </c>
      <c r="C327" s="1" t="n">
        <v>45916</v>
      </c>
      <c r="D327" t="inlineStr">
        <is>
          <t>JÄMTLANDS LÄN</t>
        </is>
      </c>
      <c r="E327" t="inlineStr">
        <is>
          <t>BRÄCKE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44752-2022</t>
        </is>
      </c>
      <c r="B328" s="1" t="n">
        <v>44840</v>
      </c>
      <c r="C328" s="1" t="n">
        <v>45916</v>
      </c>
      <c r="D328" t="inlineStr">
        <is>
          <t>JÄMTLANDS LÄN</t>
        </is>
      </c>
      <c r="E328" t="inlineStr">
        <is>
          <t>BRÄCKE</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54829-2022</t>
        </is>
      </c>
      <c r="B329" s="1" t="n">
        <v>44883</v>
      </c>
      <c r="C329" s="1" t="n">
        <v>45916</v>
      </c>
      <c r="D329" t="inlineStr">
        <is>
          <t>JÄMTLANDS LÄN</t>
        </is>
      </c>
      <c r="E329" t="inlineStr">
        <is>
          <t>BRÄCKE</t>
        </is>
      </c>
      <c r="F329" t="inlineStr">
        <is>
          <t>SCA</t>
        </is>
      </c>
      <c r="G329" t="n">
        <v>7.5</v>
      </c>
      <c r="H329" t="n">
        <v>0</v>
      </c>
      <c r="I329" t="n">
        <v>0</v>
      </c>
      <c r="J329" t="n">
        <v>0</v>
      </c>
      <c r="K329" t="n">
        <v>0</v>
      </c>
      <c r="L329" t="n">
        <v>0</v>
      </c>
      <c r="M329" t="n">
        <v>0</v>
      </c>
      <c r="N329" t="n">
        <v>0</v>
      </c>
      <c r="O329" t="n">
        <v>0</v>
      </c>
      <c r="P329" t="n">
        <v>0</v>
      </c>
      <c r="Q329" t="n">
        <v>0</v>
      </c>
      <c r="R329" s="2" t="inlineStr"/>
    </row>
    <row r="330" ht="15" customHeight="1">
      <c r="A330" t="inlineStr">
        <is>
          <t>A 52022-2021</t>
        </is>
      </c>
      <c r="B330" s="1" t="n">
        <v>44463</v>
      </c>
      <c r="C330" s="1" t="n">
        <v>45916</v>
      </c>
      <c r="D330" t="inlineStr">
        <is>
          <t>JÄMTLANDS LÄN</t>
        </is>
      </c>
      <c r="E330" t="inlineStr">
        <is>
          <t>BRÄCKE</t>
        </is>
      </c>
      <c r="G330" t="n">
        <v>8.4</v>
      </c>
      <c r="H330" t="n">
        <v>0</v>
      </c>
      <c r="I330" t="n">
        <v>0</v>
      </c>
      <c r="J330" t="n">
        <v>0</v>
      </c>
      <c r="K330" t="n">
        <v>0</v>
      </c>
      <c r="L330" t="n">
        <v>0</v>
      </c>
      <c r="M330" t="n">
        <v>0</v>
      </c>
      <c r="N330" t="n">
        <v>0</v>
      </c>
      <c r="O330" t="n">
        <v>0</v>
      </c>
      <c r="P330" t="n">
        <v>0</v>
      </c>
      <c r="Q330" t="n">
        <v>0</v>
      </c>
      <c r="R330" s="2" t="inlineStr"/>
    </row>
    <row r="331" ht="15" customHeight="1">
      <c r="A331" t="inlineStr">
        <is>
          <t>A 50983-2020</t>
        </is>
      </c>
      <c r="B331" s="1" t="n">
        <v>44111</v>
      </c>
      <c r="C331" s="1" t="n">
        <v>45916</v>
      </c>
      <c r="D331" t="inlineStr">
        <is>
          <t>JÄMTLANDS LÄN</t>
        </is>
      </c>
      <c r="E331" t="inlineStr">
        <is>
          <t>BRÄCKE</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59322-2021</t>
        </is>
      </c>
      <c r="B332" s="1" t="n">
        <v>44490.94116898148</v>
      </c>
      <c r="C332" s="1" t="n">
        <v>45916</v>
      </c>
      <c r="D332" t="inlineStr">
        <is>
          <t>JÄMTLANDS LÄN</t>
        </is>
      </c>
      <c r="E332" t="inlineStr">
        <is>
          <t>BRÄCKE</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66443-2020</t>
        </is>
      </c>
      <c r="B333" s="1" t="n">
        <v>44176</v>
      </c>
      <c r="C333" s="1" t="n">
        <v>45916</v>
      </c>
      <c r="D333" t="inlineStr">
        <is>
          <t>JÄMTLANDS LÄN</t>
        </is>
      </c>
      <c r="E333" t="inlineStr">
        <is>
          <t>BRÄCKE</t>
        </is>
      </c>
      <c r="G333" t="n">
        <v>2.8</v>
      </c>
      <c r="H333" t="n">
        <v>0</v>
      </c>
      <c r="I333" t="n">
        <v>0</v>
      </c>
      <c r="J333" t="n">
        <v>0</v>
      </c>
      <c r="K333" t="n">
        <v>0</v>
      </c>
      <c r="L333" t="n">
        <v>0</v>
      </c>
      <c r="M333" t="n">
        <v>0</v>
      </c>
      <c r="N333" t="n">
        <v>0</v>
      </c>
      <c r="O333" t="n">
        <v>0</v>
      </c>
      <c r="P333" t="n">
        <v>0</v>
      </c>
      <c r="Q333" t="n">
        <v>0</v>
      </c>
      <c r="R333" s="2" t="inlineStr"/>
    </row>
    <row r="334" ht="15" customHeight="1">
      <c r="A334" t="inlineStr">
        <is>
          <t>A 18006-2021</t>
        </is>
      </c>
      <c r="B334" s="1" t="n">
        <v>44301</v>
      </c>
      <c r="C334" s="1" t="n">
        <v>45916</v>
      </c>
      <c r="D334" t="inlineStr">
        <is>
          <t>JÄMTLANDS LÄN</t>
        </is>
      </c>
      <c r="E334" t="inlineStr">
        <is>
          <t>BRÄCKE</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1027-2021</t>
        </is>
      </c>
      <c r="B335" s="1" t="n">
        <v>44207</v>
      </c>
      <c r="C335" s="1" t="n">
        <v>45916</v>
      </c>
      <c r="D335" t="inlineStr">
        <is>
          <t>JÄMTLANDS LÄN</t>
        </is>
      </c>
      <c r="E335" t="inlineStr">
        <is>
          <t>BRÄCKE</t>
        </is>
      </c>
      <c r="G335" t="n">
        <v>2.7</v>
      </c>
      <c r="H335" t="n">
        <v>0</v>
      </c>
      <c r="I335" t="n">
        <v>0</v>
      </c>
      <c r="J335" t="n">
        <v>0</v>
      </c>
      <c r="K335" t="n">
        <v>0</v>
      </c>
      <c r="L335" t="n">
        <v>0</v>
      </c>
      <c r="M335" t="n">
        <v>0</v>
      </c>
      <c r="N335" t="n">
        <v>0</v>
      </c>
      <c r="O335" t="n">
        <v>0</v>
      </c>
      <c r="P335" t="n">
        <v>0</v>
      </c>
      <c r="Q335" t="n">
        <v>0</v>
      </c>
      <c r="R335" s="2" t="inlineStr"/>
    </row>
    <row r="336" ht="15" customHeight="1">
      <c r="A336" t="inlineStr">
        <is>
          <t>A 63590-2021</t>
        </is>
      </c>
      <c r="B336" s="1" t="n">
        <v>44508.92332175926</v>
      </c>
      <c r="C336" s="1" t="n">
        <v>45916</v>
      </c>
      <c r="D336" t="inlineStr">
        <is>
          <t>JÄMTLANDS LÄN</t>
        </is>
      </c>
      <c r="E336" t="inlineStr">
        <is>
          <t>BRÄCKE</t>
        </is>
      </c>
      <c r="G336" t="n">
        <v>9.1</v>
      </c>
      <c r="H336" t="n">
        <v>0</v>
      </c>
      <c r="I336" t="n">
        <v>0</v>
      </c>
      <c r="J336" t="n">
        <v>0</v>
      </c>
      <c r="K336" t="n">
        <v>0</v>
      </c>
      <c r="L336" t="n">
        <v>0</v>
      </c>
      <c r="M336" t="n">
        <v>0</v>
      </c>
      <c r="N336" t="n">
        <v>0</v>
      </c>
      <c r="O336" t="n">
        <v>0</v>
      </c>
      <c r="P336" t="n">
        <v>0</v>
      </c>
      <c r="Q336" t="n">
        <v>0</v>
      </c>
      <c r="R336" s="2" t="inlineStr"/>
    </row>
    <row r="337" ht="15" customHeight="1">
      <c r="A337" t="inlineStr">
        <is>
          <t>A 5380-2022</t>
        </is>
      </c>
      <c r="B337" s="1" t="n">
        <v>44594</v>
      </c>
      <c r="C337" s="1" t="n">
        <v>45916</v>
      </c>
      <c r="D337" t="inlineStr">
        <is>
          <t>JÄMTLANDS LÄN</t>
        </is>
      </c>
      <c r="E337" t="inlineStr">
        <is>
          <t>BRÄCKE</t>
        </is>
      </c>
      <c r="F337" t="inlineStr">
        <is>
          <t>SCA</t>
        </is>
      </c>
      <c r="G337" t="n">
        <v>18.3</v>
      </c>
      <c r="H337" t="n">
        <v>0</v>
      </c>
      <c r="I337" t="n">
        <v>0</v>
      </c>
      <c r="J337" t="n">
        <v>0</v>
      </c>
      <c r="K337" t="n">
        <v>0</v>
      </c>
      <c r="L337" t="n">
        <v>0</v>
      </c>
      <c r="M337" t="n">
        <v>0</v>
      </c>
      <c r="N337" t="n">
        <v>0</v>
      </c>
      <c r="O337" t="n">
        <v>0</v>
      </c>
      <c r="P337" t="n">
        <v>0</v>
      </c>
      <c r="Q337" t="n">
        <v>0</v>
      </c>
      <c r="R337" s="2" t="inlineStr"/>
      <c r="U337">
        <f>HYPERLINK("https://klasma.github.io/Logging_2305/knärot/A 5380-2022 karta knärot.png", "A 5380-2022")</f>
        <v/>
      </c>
      <c r="V337">
        <f>HYPERLINK("https://klasma.github.io/Logging_2305/klagomål/A 5380-2022 FSC-klagomål.docx", "A 5380-2022")</f>
        <v/>
      </c>
      <c r="W337">
        <f>HYPERLINK("https://klasma.github.io/Logging_2305/klagomålsmail/A 5380-2022 FSC-klagomål mail.docx", "A 5380-2022")</f>
        <v/>
      </c>
      <c r="X337">
        <f>HYPERLINK("https://klasma.github.io/Logging_2305/tillsyn/A 5380-2022 tillsynsbegäran.docx", "A 5380-2022")</f>
        <v/>
      </c>
      <c r="Y337">
        <f>HYPERLINK("https://klasma.github.io/Logging_2305/tillsynsmail/A 5380-2022 tillsynsbegäran mail.docx", "A 5380-2022")</f>
        <v/>
      </c>
    </row>
    <row r="338" ht="15" customHeight="1">
      <c r="A338" t="inlineStr">
        <is>
          <t>A 43421-2022</t>
        </is>
      </c>
      <c r="B338" s="1" t="n">
        <v>44834</v>
      </c>
      <c r="C338" s="1" t="n">
        <v>45916</v>
      </c>
      <c r="D338" t="inlineStr">
        <is>
          <t>JÄMTLANDS LÄN</t>
        </is>
      </c>
      <c r="E338" t="inlineStr">
        <is>
          <t>BRÄCKE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41474-2021</t>
        </is>
      </c>
      <c r="B339" s="1" t="n">
        <v>44424</v>
      </c>
      <c r="C339" s="1" t="n">
        <v>45916</v>
      </c>
      <c r="D339" t="inlineStr">
        <is>
          <t>JÄMTLANDS LÄN</t>
        </is>
      </c>
      <c r="E339" t="inlineStr">
        <is>
          <t>BRÄCKE</t>
        </is>
      </c>
      <c r="G339" t="n">
        <v>2.3</v>
      </c>
      <c r="H339" t="n">
        <v>0</v>
      </c>
      <c r="I339" t="n">
        <v>0</v>
      </c>
      <c r="J339" t="n">
        <v>0</v>
      </c>
      <c r="K339" t="n">
        <v>0</v>
      </c>
      <c r="L339" t="n">
        <v>0</v>
      </c>
      <c r="M339" t="n">
        <v>0</v>
      </c>
      <c r="N339" t="n">
        <v>0</v>
      </c>
      <c r="O339" t="n">
        <v>0</v>
      </c>
      <c r="P339" t="n">
        <v>0</v>
      </c>
      <c r="Q339" t="n">
        <v>0</v>
      </c>
      <c r="R339" s="2" t="inlineStr"/>
    </row>
    <row r="340" ht="15" customHeight="1">
      <c r="A340" t="inlineStr">
        <is>
          <t>A 30810-2022</t>
        </is>
      </c>
      <c r="B340" s="1" t="n">
        <v>44764.94164351852</v>
      </c>
      <c r="C340" s="1" t="n">
        <v>45916</v>
      </c>
      <c r="D340" t="inlineStr">
        <is>
          <t>JÄMTLANDS LÄN</t>
        </is>
      </c>
      <c r="E340" t="inlineStr">
        <is>
          <t>BRÄCKE</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39702-2022</t>
        </is>
      </c>
      <c r="B341" s="1" t="n">
        <v>44818</v>
      </c>
      <c r="C341" s="1" t="n">
        <v>45916</v>
      </c>
      <c r="D341" t="inlineStr">
        <is>
          <t>JÄMTLANDS LÄN</t>
        </is>
      </c>
      <c r="E341" t="inlineStr">
        <is>
          <t>BRÄCKE</t>
        </is>
      </c>
      <c r="F341" t="inlineStr">
        <is>
          <t>SCA</t>
        </is>
      </c>
      <c r="G341" t="n">
        <v>5.6</v>
      </c>
      <c r="H341" t="n">
        <v>0</v>
      </c>
      <c r="I341" t="n">
        <v>0</v>
      </c>
      <c r="J341" t="n">
        <v>0</v>
      </c>
      <c r="K341" t="n">
        <v>0</v>
      </c>
      <c r="L341" t="n">
        <v>0</v>
      </c>
      <c r="M341" t="n">
        <v>0</v>
      </c>
      <c r="N341" t="n">
        <v>0</v>
      </c>
      <c r="O341" t="n">
        <v>0</v>
      </c>
      <c r="P341" t="n">
        <v>0</v>
      </c>
      <c r="Q341" t="n">
        <v>0</v>
      </c>
      <c r="R341" s="2" t="inlineStr"/>
    </row>
    <row r="342" ht="15" customHeight="1">
      <c r="A342" t="inlineStr">
        <is>
          <t>A 27261-2021</t>
        </is>
      </c>
      <c r="B342" s="1" t="n">
        <v>44350.93945601852</v>
      </c>
      <c r="C342" s="1" t="n">
        <v>45916</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37232-2022</t>
        </is>
      </c>
      <c r="B343" s="1" t="n">
        <v>44806</v>
      </c>
      <c r="C343" s="1" t="n">
        <v>45916</v>
      </c>
      <c r="D343" t="inlineStr">
        <is>
          <t>JÄMTLANDS LÄN</t>
        </is>
      </c>
      <c r="E343" t="inlineStr">
        <is>
          <t>BRÄCKE</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48927-2022</t>
        </is>
      </c>
      <c r="B344" s="1" t="n">
        <v>44859.95621527778</v>
      </c>
      <c r="C344" s="1" t="n">
        <v>45916</v>
      </c>
      <c r="D344" t="inlineStr">
        <is>
          <t>JÄMTLANDS LÄN</t>
        </is>
      </c>
      <c r="E344" t="inlineStr">
        <is>
          <t>BRÄCKE</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63600-2021</t>
        </is>
      </c>
      <c r="B345" s="1" t="n">
        <v>44508</v>
      </c>
      <c r="C345" s="1" t="n">
        <v>45916</v>
      </c>
      <c r="D345" t="inlineStr">
        <is>
          <t>JÄMTLANDS LÄN</t>
        </is>
      </c>
      <c r="E345" t="inlineStr">
        <is>
          <t>BRÄCKE</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49858-2022</t>
        </is>
      </c>
      <c r="B346" s="1" t="n">
        <v>44862</v>
      </c>
      <c r="C346" s="1" t="n">
        <v>45916</v>
      </c>
      <c r="D346" t="inlineStr">
        <is>
          <t>JÄMTLANDS LÄN</t>
        </is>
      </c>
      <c r="E346" t="inlineStr">
        <is>
          <t>BRÄCKE</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41175-2022</t>
        </is>
      </c>
      <c r="B347" s="1" t="n">
        <v>44825.94803240741</v>
      </c>
      <c r="C347" s="1" t="n">
        <v>45916</v>
      </c>
      <c r="D347" t="inlineStr">
        <is>
          <t>JÄMTLANDS LÄN</t>
        </is>
      </c>
      <c r="E347" t="inlineStr">
        <is>
          <t>BRÄCKE</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51095-2021</t>
        </is>
      </c>
      <c r="B348" s="1" t="n">
        <v>44461.38387731482</v>
      </c>
      <c r="C348" s="1" t="n">
        <v>45916</v>
      </c>
      <c r="D348" t="inlineStr">
        <is>
          <t>JÄMTLANDS LÄN</t>
        </is>
      </c>
      <c r="E348" t="inlineStr">
        <is>
          <t>BRÄCKE</t>
        </is>
      </c>
      <c r="G348" t="n">
        <v>0.8</v>
      </c>
      <c r="H348" t="n">
        <v>0</v>
      </c>
      <c r="I348" t="n">
        <v>0</v>
      </c>
      <c r="J348" t="n">
        <v>0</v>
      </c>
      <c r="K348" t="n">
        <v>0</v>
      </c>
      <c r="L348" t="n">
        <v>0</v>
      </c>
      <c r="M348" t="n">
        <v>0</v>
      </c>
      <c r="N348" t="n">
        <v>0</v>
      </c>
      <c r="O348" t="n">
        <v>0</v>
      </c>
      <c r="P348" t="n">
        <v>0</v>
      </c>
      <c r="Q348" t="n">
        <v>0</v>
      </c>
      <c r="R348" s="2" t="inlineStr"/>
    </row>
    <row r="349" ht="15" customHeight="1">
      <c r="A349" t="inlineStr">
        <is>
          <t>A 69155-2021</t>
        </is>
      </c>
      <c r="B349" s="1" t="n">
        <v>44530.94708333333</v>
      </c>
      <c r="C349" s="1" t="n">
        <v>45916</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21722-2022</t>
        </is>
      </c>
      <c r="B350" s="1" t="n">
        <v>44706</v>
      </c>
      <c r="C350" s="1" t="n">
        <v>45916</v>
      </c>
      <c r="D350" t="inlineStr">
        <is>
          <t>JÄMTLANDS LÄN</t>
        </is>
      </c>
      <c r="E350" t="inlineStr">
        <is>
          <t>BRÄCKE</t>
        </is>
      </c>
      <c r="G350" t="n">
        <v>1.5</v>
      </c>
      <c r="H350" t="n">
        <v>0</v>
      </c>
      <c r="I350" t="n">
        <v>0</v>
      </c>
      <c r="J350" t="n">
        <v>0</v>
      </c>
      <c r="K350" t="n">
        <v>0</v>
      </c>
      <c r="L350" t="n">
        <v>0</v>
      </c>
      <c r="M350" t="n">
        <v>0</v>
      </c>
      <c r="N350" t="n">
        <v>0</v>
      </c>
      <c r="O350" t="n">
        <v>0</v>
      </c>
      <c r="P350" t="n">
        <v>0</v>
      </c>
      <c r="Q350" t="n">
        <v>0</v>
      </c>
      <c r="R350" s="2" t="inlineStr"/>
    </row>
    <row r="351" ht="15" customHeight="1">
      <c r="A351" t="inlineStr">
        <is>
          <t>A 49838-2022</t>
        </is>
      </c>
      <c r="B351" s="1" t="n">
        <v>44862.92952546296</v>
      </c>
      <c r="C351" s="1" t="n">
        <v>45916</v>
      </c>
      <c r="D351" t="inlineStr">
        <is>
          <t>JÄMTLANDS LÄN</t>
        </is>
      </c>
      <c r="E351" t="inlineStr">
        <is>
          <t>BRÄCKE</t>
        </is>
      </c>
      <c r="G351" t="n">
        <v>1.1</v>
      </c>
      <c r="H351" t="n">
        <v>0</v>
      </c>
      <c r="I351" t="n">
        <v>0</v>
      </c>
      <c r="J351" t="n">
        <v>0</v>
      </c>
      <c r="K351" t="n">
        <v>0</v>
      </c>
      <c r="L351" t="n">
        <v>0</v>
      </c>
      <c r="M351" t="n">
        <v>0</v>
      </c>
      <c r="N351" t="n">
        <v>0</v>
      </c>
      <c r="O351" t="n">
        <v>0</v>
      </c>
      <c r="P351" t="n">
        <v>0</v>
      </c>
      <c r="Q351" t="n">
        <v>0</v>
      </c>
      <c r="R351" s="2" t="inlineStr"/>
    </row>
    <row r="352" ht="15" customHeight="1">
      <c r="A352" t="inlineStr">
        <is>
          <t>A 33993-2022</t>
        </is>
      </c>
      <c r="B352" s="1" t="n">
        <v>44790</v>
      </c>
      <c r="C352" s="1" t="n">
        <v>45916</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54668-2022</t>
        </is>
      </c>
      <c r="B353" s="1" t="n">
        <v>44883</v>
      </c>
      <c r="C353" s="1" t="n">
        <v>45916</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49839-2022</t>
        </is>
      </c>
      <c r="B354" s="1" t="n">
        <v>44862.92956018518</v>
      </c>
      <c r="C354" s="1" t="n">
        <v>45916</v>
      </c>
      <c r="D354" t="inlineStr">
        <is>
          <t>JÄMTLANDS LÄN</t>
        </is>
      </c>
      <c r="E354" t="inlineStr">
        <is>
          <t>BRÄCKE</t>
        </is>
      </c>
      <c r="G354" t="n">
        <v>0.9</v>
      </c>
      <c r="H354" t="n">
        <v>0</v>
      </c>
      <c r="I354" t="n">
        <v>0</v>
      </c>
      <c r="J354" t="n">
        <v>0</v>
      </c>
      <c r="K354" t="n">
        <v>0</v>
      </c>
      <c r="L354" t="n">
        <v>0</v>
      </c>
      <c r="M354" t="n">
        <v>0</v>
      </c>
      <c r="N354" t="n">
        <v>0</v>
      </c>
      <c r="O354" t="n">
        <v>0</v>
      </c>
      <c r="P354" t="n">
        <v>0</v>
      </c>
      <c r="Q354" t="n">
        <v>0</v>
      </c>
      <c r="R354" s="2" t="inlineStr"/>
    </row>
    <row r="355" ht="15" customHeight="1">
      <c r="A355" t="inlineStr">
        <is>
          <t>A 48479-2020</t>
        </is>
      </c>
      <c r="B355" s="1" t="n">
        <v>44102.94109953703</v>
      </c>
      <c r="C355" s="1" t="n">
        <v>45916</v>
      </c>
      <c r="D355" t="inlineStr">
        <is>
          <t>JÄMTLANDS LÄN</t>
        </is>
      </c>
      <c r="E355" t="inlineStr">
        <is>
          <t>BRÄCKE</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38593-2021</t>
        </is>
      </c>
      <c r="B356" s="1" t="n">
        <v>44407</v>
      </c>
      <c r="C356" s="1" t="n">
        <v>45916</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57716-2020</t>
        </is>
      </c>
      <c r="B357" s="1" t="n">
        <v>44140</v>
      </c>
      <c r="C357" s="1" t="n">
        <v>45916</v>
      </c>
      <c r="D357" t="inlineStr">
        <is>
          <t>JÄMTLANDS LÄN</t>
        </is>
      </c>
      <c r="E357" t="inlineStr">
        <is>
          <t>BRÄCKE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67622-2020</t>
        </is>
      </c>
      <c r="B358" s="1" t="n">
        <v>44181</v>
      </c>
      <c r="C358" s="1" t="n">
        <v>45916</v>
      </c>
      <c r="D358" t="inlineStr">
        <is>
          <t>JÄMTLANDS LÄN</t>
        </is>
      </c>
      <c r="E358" t="inlineStr">
        <is>
          <t>BRÄCKE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22612-2022</t>
        </is>
      </c>
      <c r="B359" s="1" t="n">
        <v>44714.40349537037</v>
      </c>
      <c r="C359" s="1" t="n">
        <v>45916</v>
      </c>
      <c r="D359" t="inlineStr">
        <is>
          <t>JÄMTLANDS LÄN</t>
        </is>
      </c>
      <c r="E359" t="inlineStr">
        <is>
          <t>BRÄCKE</t>
        </is>
      </c>
      <c r="G359" t="n">
        <v>6.3</v>
      </c>
      <c r="H359" t="n">
        <v>0</v>
      </c>
      <c r="I359" t="n">
        <v>0</v>
      </c>
      <c r="J359" t="n">
        <v>0</v>
      </c>
      <c r="K359" t="n">
        <v>0</v>
      </c>
      <c r="L359" t="n">
        <v>0</v>
      </c>
      <c r="M359" t="n">
        <v>0</v>
      </c>
      <c r="N359" t="n">
        <v>0</v>
      </c>
      <c r="O359" t="n">
        <v>0</v>
      </c>
      <c r="P359" t="n">
        <v>0</v>
      </c>
      <c r="Q359" t="n">
        <v>0</v>
      </c>
      <c r="R359" s="2" t="inlineStr"/>
    </row>
    <row r="360" ht="15" customHeight="1">
      <c r="A360" t="inlineStr">
        <is>
          <t>A 47256-2022</t>
        </is>
      </c>
      <c r="B360" s="1" t="n">
        <v>44852.94697916666</v>
      </c>
      <c r="C360" s="1" t="n">
        <v>45916</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47264-2022</t>
        </is>
      </c>
      <c r="B361" s="1" t="n">
        <v>44852.94967592593</v>
      </c>
      <c r="C361" s="1" t="n">
        <v>45916</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56758-2020</t>
        </is>
      </c>
      <c r="B362" s="1" t="n">
        <v>44137</v>
      </c>
      <c r="C362" s="1" t="n">
        <v>45916</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41182-2022</t>
        </is>
      </c>
      <c r="B363" s="1" t="n">
        <v>44825.94918981481</v>
      </c>
      <c r="C363" s="1" t="n">
        <v>45916</v>
      </c>
      <c r="D363" t="inlineStr">
        <is>
          <t>JÄMTLANDS LÄN</t>
        </is>
      </c>
      <c r="E363" t="inlineStr">
        <is>
          <t>BRÄCKE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63534-2021</t>
        </is>
      </c>
      <c r="B364" s="1" t="n">
        <v>44508.6696875</v>
      </c>
      <c r="C364" s="1" t="n">
        <v>45916</v>
      </c>
      <c r="D364" t="inlineStr">
        <is>
          <t>JÄMTLANDS LÄN</t>
        </is>
      </c>
      <c r="E364" t="inlineStr">
        <is>
          <t>BRÄCKE</t>
        </is>
      </c>
      <c r="G364" t="n">
        <v>6.6</v>
      </c>
      <c r="H364" t="n">
        <v>0</v>
      </c>
      <c r="I364" t="n">
        <v>0</v>
      </c>
      <c r="J364" t="n">
        <v>0</v>
      </c>
      <c r="K364" t="n">
        <v>0</v>
      </c>
      <c r="L364" t="n">
        <v>0</v>
      </c>
      <c r="M364" t="n">
        <v>0</v>
      </c>
      <c r="N364" t="n">
        <v>0</v>
      </c>
      <c r="O364" t="n">
        <v>0</v>
      </c>
      <c r="P364" t="n">
        <v>0</v>
      </c>
      <c r="Q364" t="n">
        <v>0</v>
      </c>
      <c r="R364" s="2" t="inlineStr"/>
    </row>
    <row r="365" ht="15" customHeight="1">
      <c r="A365" t="inlineStr">
        <is>
          <t>A 43142-2022</t>
        </is>
      </c>
      <c r="B365" s="1" t="n">
        <v>44833.95155092593</v>
      </c>
      <c r="C365" s="1" t="n">
        <v>45916</v>
      </c>
      <c r="D365" t="inlineStr">
        <is>
          <t>JÄMTLANDS LÄN</t>
        </is>
      </c>
      <c r="E365" t="inlineStr">
        <is>
          <t>BRÄCKE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68362-2020</t>
        </is>
      </c>
      <c r="B366" s="1" t="n">
        <v>44186</v>
      </c>
      <c r="C366" s="1" t="n">
        <v>45916</v>
      </c>
      <c r="D366" t="inlineStr">
        <is>
          <t>JÄMTLANDS LÄN</t>
        </is>
      </c>
      <c r="E366" t="inlineStr">
        <is>
          <t>BRÄCKE</t>
        </is>
      </c>
      <c r="G366" t="n">
        <v>4.5</v>
      </c>
      <c r="H366" t="n">
        <v>0</v>
      </c>
      <c r="I366" t="n">
        <v>0</v>
      </c>
      <c r="J366" t="n">
        <v>0</v>
      </c>
      <c r="K366" t="n">
        <v>0</v>
      </c>
      <c r="L366" t="n">
        <v>0</v>
      </c>
      <c r="M366" t="n">
        <v>0</v>
      </c>
      <c r="N366" t="n">
        <v>0</v>
      </c>
      <c r="O366" t="n">
        <v>0</v>
      </c>
      <c r="P366" t="n">
        <v>0</v>
      </c>
      <c r="Q366" t="n">
        <v>0</v>
      </c>
      <c r="R366" s="2" t="inlineStr"/>
    </row>
    <row r="367" ht="15" customHeight="1">
      <c r="A367" t="inlineStr">
        <is>
          <t>A 31093-2021</t>
        </is>
      </c>
      <c r="B367" s="1" t="n">
        <v>44368</v>
      </c>
      <c r="C367" s="1" t="n">
        <v>45916</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29930-2021</t>
        </is>
      </c>
      <c r="B368" s="1" t="n">
        <v>44362</v>
      </c>
      <c r="C368" s="1" t="n">
        <v>45916</v>
      </c>
      <c r="D368" t="inlineStr">
        <is>
          <t>JÄMTLANDS LÄN</t>
        </is>
      </c>
      <c r="E368" t="inlineStr">
        <is>
          <t>BRÄCKE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42806-2021</t>
        </is>
      </c>
      <c r="B369" s="1" t="n">
        <v>44428.94063657407</v>
      </c>
      <c r="C369" s="1" t="n">
        <v>45916</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38956-2021</t>
        </is>
      </c>
      <c r="B370" s="1" t="n">
        <v>44411</v>
      </c>
      <c r="C370" s="1" t="n">
        <v>45916</v>
      </c>
      <c r="D370" t="inlineStr">
        <is>
          <t>JÄMTLANDS LÄN</t>
        </is>
      </c>
      <c r="E370" t="inlineStr">
        <is>
          <t>BRÄCKE</t>
        </is>
      </c>
      <c r="G370" t="n">
        <v>1.6</v>
      </c>
      <c r="H370" t="n">
        <v>0</v>
      </c>
      <c r="I370" t="n">
        <v>0</v>
      </c>
      <c r="J370" t="n">
        <v>0</v>
      </c>
      <c r="K370" t="n">
        <v>0</v>
      </c>
      <c r="L370" t="n">
        <v>0</v>
      </c>
      <c r="M370" t="n">
        <v>0</v>
      </c>
      <c r="N370" t="n">
        <v>0</v>
      </c>
      <c r="O370" t="n">
        <v>0</v>
      </c>
      <c r="P370" t="n">
        <v>0</v>
      </c>
      <c r="Q370" t="n">
        <v>0</v>
      </c>
      <c r="R370" s="2" t="inlineStr"/>
    </row>
    <row r="371" ht="15" customHeight="1">
      <c r="A371" t="inlineStr">
        <is>
          <t>A 28617-2021</t>
        </is>
      </c>
      <c r="B371" s="1" t="n">
        <v>44356</v>
      </c>
      <c r="C371" s="1" t="n">
        <v>45916</v>
      </c>
      <c r="D371" t="inlineStr">
        <is>
          <t>JÄMTLANDS LÄN</t>
        </is>
      </c>
      <c r="E371" t="inlineStr">
        <is>
          <t>BRÄCKE</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47183-2022</t>
        </is>
      </c>
      <c r="B372" s="1" t="n">
        <v>44851</v>
      </c>
      <c r="C372" s="1" t="n">
        <v>45916</v>
      </c>
      <c r="D372" t="inlineStr">
        <is>
          <t>JÄMTLANDS LÄN</t>
        </is>
      </c>
      <c r="E372" t="inlineStr">
        <is>
          <t>BRÄCKE</t>
        </is>
      </c>
      <c r="G372" t="n">
        <v>2</v>
      </c>
      <c r="H372" t="n">
        <v>0</v>
      </c>
      <c r="I372" t="n">
        <v>0</v>
      </c>
      <c r="J372" t="n">
        <v>0</v>
      </c>
      <c r="K372" t="n">
        <v>0</v>
      </c>
      <c r="L372" t="n">
        <v>0</v>
      </c>
      <c r="M372" t="n">
        <v>0</v>
      </c>
      <c r="N372" t="n">
        <v>0</v>
      </c>
      <c r="O372" t="n">
        <v>0</v>
      </c>
      <c r="P372" t="n">
        <v>0</v>
      </c>
      <c r="Q372" t="n">
        <v>0</v>
      </c>
      <c r="R372" s="2" t="inlineStr"/>
    </row>
    <row r="373" ht="15" customHeight="1">
      <c r="A373" t="inlineStr">
        <is>
          <t>A 37234-2022</t>
        </is>
      </c>
      <c r="B373" s="1" t="n">
        <v>44806.94603009259</v>
      </c>
      <c r="C373" s="1" t="n">
        <v>45916</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29603-2021</t>
        </is>
      </c>
      <c r="B374" s="1" t="n">
        <v>44361</v>
      </c>
      <c r="C374" s="1" t="n">
        <v>45916</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51957-2021</t>
        </is>
      </c>
      <c r="B375" s="1" t="n">
        <v>44462.95658564815</v>
      </c>
      <c r="C375" s="1" t="n">
        <v>45916</v>
      </c>
      <c r="D375" t="inlineStr">
        <is>
          <t>JÄMTLANDS LÄN</t>
        </is>
      </c>
      <c r="E375" t="inlineStr">
        <is>
          <t>BRÄCKE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56774-2020</t>
        </is>
      </c>
      <c r="B376" s="1" t="n">
        <v>44137</v>
      </c>
      <c r="C376" s="1" t="n">
        <v>45916</v>
      </c>
      <c r="D376" t="inlineStr">
        <is>
          <t>JÄMTLANDS LÄN</t>
        </is>
      </c>
      <c r="E376" t="inlineStr">
        <is>
          <t>BRÄCKE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56776-2020</t>
        </is>
      </c>
      <c r="B377" s="1" t="n">
        <v>44137</v>
      </c>
      <c r="C377" s="1" t="n">
        <v>45916</v>
      </c>
      <c r="D377" t="inlineStr">
        <is>
          <t>JÄMTLANDS LÄN</t>
        </is>
      </c>
      <c r="E377" t="inlineStr">
        <is>
          <t>BRÄCKE</t>
        </is>
      </c>
      <c r="F377" t="inlineStr">
        <is>
          <t>SCA</t>
        </is>
      </c>
      <c r="G377" t="n">
        <v>6.7</v>
      </c>
      <c r="H377" t="n">
        <v>0</v>
      </c>
      <c r="I377" t="n">
        <v>0</v>
      </c>
      <c r="J377" t="n">
        <v>0</v>
      </c>
      <c r="K377" t="n">
        <v>0</v>
      </c>
      <c r="L377" t="n">
        <v>0</v>
      </c>
      <c r="M377" t="n">
        <v>0</v>
      </c>
      <c r="N377" t="n">
        <v>0</v>
      </c>
      <c r="O377" t="n">
        <v>0</v>
      </c>
      <c r="P377" t="n">
        <v>0</v>
      </c>
      <c r="Q377" t="n">
        <v>0</v>
      </c>
      <c r="R377" s="2" t="inlineStr"/>
    </row>
    <row r="378" ht="15" customHeight="1">
      <c r="A378" t="inlineStr">
        <is>
          <t>A 56778-2020</t>
        </is>
      </c>
      <c r="B378" s="1" t="n">
        <v>44137</v>
      </c>
      <c r="C378" s="1" t="n">
        <v>45916</v>
      </c>
      <c r="D378" t="inlineStr">
        <is>
          <t>JÄMTLANDS LÄN</t>
        </is>
      </c>
      <c r="E378" t="inlineStr">
        <is>
          <t>BRÄCKE</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63995-2021</t>
        </is>
      </c>
      <c r="B379" s="1" t="n">
        <v>44509</v>
      </c>
      <c r="C379" s="1" t="n">
        <v>45916</v>
      </c>
      <c r="D379" t="inlineStr">
        <is>
          <t>JÄMTLANDS LÄN</t>
        </is>
      </c>
      <c r="E379" t="inlineStr">
        <is>
          <t>BRÄCKE</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64002-2021</t>
        </is>
      </c>
      <c r="B380" s="1" t="n">
        <v>44509.97879629629</v>
      </c>
      <c r="C380" s="1" t="n">
        <v>45916</v>
      </c>
      <c r="D380" t="inlineStr">
        <is>
          <t>JÄMTLANDS LÄN</t>
        </is>
      </c>
      <c r="E380" t="inlineStr">
        <is>
          <t>BRÄCKE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56639-2021</t>
        </is>
      </c>
      <c r="B381" s="1" t="n">
        <v>44480</v>
      </c>
      <c r="C381" s="1" t="n">
        <v>45916</v>
      </c>
      <c r="D381" t="inlineStr">
        <is>
          <t>JÄMTLANDS LÄN</t>
        </is>
      </c>
      <c r="E381" t="inlineStr">
        <is>
          <t>BRÄCKE</t>
        </is>
      </c>
      <c r="G381" t="n">
        <v>1.3</v>
      </c>
      <c r="H381" t="n">
        <v>0</v>
      </c>
      <c r="I381" t="n">
        <v>0</v>
      </c>
      <c r="J381" t="n">
        <v>0</v>
      </c>
      <c r="K381" t="n">
        <v>0</v>
      </c>
      <c r="L381" t="n">
        <v>0</v>
      </c>
      <c r="M381" t="n">
        <v>0</v>
      </c>
      <c r="N381" t="n">
        <v>0</v>
      </c>
      <c r="O381" t="n">
        <v>0</v>
      </c>
      <c r="P381" t="n">
        <v>0</v>
      </c>
      <c r="Q381" t="n">
        <v>0</v>
      </c>
      <c r="R381" s="2" t="inlineStr"/>
    </row>
    <row r="382" ht="15" customHeight="1">
      <c r="A382" t="inlineStr">
        <is>
          <t>A 29929-2021</t>
        </is>
      </c>
      <c r="B382" s="1" t="n">
        <v>44362</v>
      </c>
      <c r="C382" s="1" t="n">
        <v>45916</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21019-2021</t>
        </is>
      </c>
      <c r="B383" s="1" t="n">
        <v>44319.62415509259</v>
      </c>
      <c r="C383" s="1" t="n">
        <v>45916</v>
      </c>
      <c r="D383" t="inlineStr">
        <is>
          <t>JÄMTLANDS LÄN</t>
        </is>
      </c>
      <c r="E383" t="inlineStr">
        <is>
          <t>BRÄCKE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49164-2020</t>
        </is>
      </c>
      <c r="B384" s="1" t="n">
        <v>44104</v>
      </c>
      <c r="C384" s="1" t="n">
        <v>45916</v>
      </c>
      <c r="D384" t="inlineStr">
        <is>
          <t>JÄMTLANDS LÄN</t>
        </is>
      </c>
      <c r="E384" t="inlineStr">
        <is>
          <t>BRÄCKE</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70812-2021</t>
        </is>
      </c>
      <c r="B385" s="1" t="n">
        <v>44537</v>
      </c>
      <c r="C385" s="1" t="n">
        <v>45916</v>
      </c>
      <c r="D385" t="inlineStr">
        <is>
          <t>JÄMTLANDS LÄN</t>
        </is>
      </c>
      <c r="E385" t="inlineStr">
        <is>
          <t>BRÄCKE</t>
        </is>
      </c>
      <c r="G385" t="n">
        <v>3.4</v>
      </c>
      <c r="H385" t="n">
        <v>0</v>
      </c>
      <c r="I385" t="n">
        <v>0</v>
      </c>
      <c r="J385" t="n">
        <v>0</v>
      </c>
      <c r="K385" t="n">
        <v>0</v>
      </c>
      <c r="L385" t="n">
        <v>0</v>
      </c>
      <c r="M385" t="n">
        <v>0</v>
      </c>
      <c r="N385" t="n">
        <v>0</v>
      </c>
      <c r="O385" t="n">
        <v>0</v>
      </c>
      <c r="P385" t="n">
        <v>0</v>
      </c>
      <c r="Q385" t="n">
        <v>0</v>
      </c>
      <c r="R385" s="2" t="inlineStr"/>
    </row>
    <row r="386" ht="15" customHeight="1">
      <c r="A386" t="inlineStr">
        <is>
          <t>A 70813-2021</t>
        </is>
      </c>
      <c r="B386" s="1" t="n">
        <v>44537</v>
      </c>
      <c r="C386" s="1" t="n">
        <v>45916</v>
      </c>
      <c r="D386" t="inlineStr">
        <is>
          <t>JÄMTLANDS LÄN</t>
        </is>
      </c>
      <c r="E386" t="inlineStr">
        <is>
          <t>BRÄCKE</t>
        </is>
      </c>
      <c r="G386" t="n">
        <v>5.2</v>
      </c>
      <c r="H386" t="n">
        <v>0</v>
      </c>
      <c r="I386" t="n">
        <v>0</v>
      </c>
      <c r="J386" t="n">
        <v>0</v>
      </c>
      <c r="K386" t="n">
        <v>0</v>
      </c>
      <c r="L386" t="n">
        <v>0</v>
      </c>
      <c r="M386" t="n">
        <v>0</v>
      </c>
      <c r="N386" t="n">
        <v>0</v>
      </c>
      <c r="O386" t="n">
        <v>0</v>
      </c>
      <c r="P386" t="n">
        <v>0</v>
      </c>
      <c r="Q386" t="n">
        <v>0</v>
      </c>
      <c r="R386" s="2" t="inlineStr"/>
    </row>
    <row r="387" ht="15" customHeight="1">
      <c r="A387" t="inlineStr">
        <is>
          <t>A 56114-2021</t>
        </is>
      </c>
      <c r="B387" s="1" t="n">
        <v>44477.58694444445</v>
      </c>
      <c r="C387" s="1" t="n">
        <v>45916</v>
      </c>
      <c r="D387" t="inlineStr">
        <is>
          <t>JÄMTLANDS LÄN</t>
        </is>
      </c>
      <c r="E387" t="inlineStr">
        <is>
          <t>BRÄCKE</t>
        </is>
      </c>
      <c r="G387" t="n">
        <v>12.7</v>
      </c>
      <c r="H387" t="n">
        <v>0</v>
      </c>
      <c r="I387" t="n">
        <v>0</v>
      </c>
      <c r="J387" t="n">
        <v>0</v>
      </c>
      <c r="K387" t="n">
        <v>0</v>
      </c>
      <c r="L387" t="n">
        <v>0</v>
      </c>
      <c r="M387" t="n">
        <v>0</v>
      </c>
      <c r="N387" t="n">
        <v>0</v>
      </c>
      <c r="O387" t="n">
        <v>0</v>
      </c>
      <c r="P387" t="n">
        <v>0</v>
      </c>
      <c r="Q387" t="n">
        <v>0</v>
      </c>
      <c r="R387" s="2" t="inlineStr"/>
    </row>
    <row r="388" ht="15" customHeight="1">
      <c r="A388" t="inlineStr">
        <is>
          <t>A 40481-2021</t>
        </is>
      </c>
      <c r="B388" s="1" t="n">
        <v>44419.94328703704</v>
      </c>
      <c r="C388" s="1" t="n">
        <v>45916</v>
      </c>
      <c r="D388" t="inlineStr">
        <is>
          <t>JÄMTLANDS LÄN</t>
        </is>
      </c>
      <c r="E388" t="inlineStr">
        <is>
          <t>BRÄCKE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21034-2021</t>
        </is>
      </c>
      <c r="B389" s="1" t="n">
        <v>44319</v>
      </c>
      <c r="C389" s="1" t="n">
        <v>45916</v>
      </c>
      <c r="D389" t="inlineStr">
        <is>
          <t>JÄMTLANDS LÄN</t>
        </is>
      </c>
      <c r="E389" t="inlineStr">
        <is>
          <t>BRÄCKE</t>
        </is>
      </c>
      <c r="G389" t="n">
        <v>3.3</v>
      </c>
      <c r="H389" t="n">
        <v>0</v>
      </c>
      <c r="I389" t="n">
        <v>0</v>
      </c>
      <c r="J389" t="n">
        <v>0</v>
      </c>
      <c r="K389" t="n">
        <v>0</v>
      </c>
      <c r="L389" t="n">
        <v>0</v>
      </c>
      <c r="M389" t="n">
        <v>0</v>
      </c>
      <c r="N389" t="n">
        <v>0</v>
      </c>
      <c r="O389" t="n">
        <v>0</v>
      </c>
      <c r="P389" t="n">
        <v>0</v>
      </c>
      <c r="Q389" t="n">
        <v>0</v>
      </c>
      <c r="R389" s="2" t="inlineStr"/>
    </row>
    <row r="390" ht="15" customHeight="1">
      <c r="A390" t="inlineStr">
        <is>
          <t>A 17173-2021</t>
        </is>
      </c>
      <c r="B390" s="1" t="n">
        <v>44295</v>
      </c>
      <c r="C390" s="1" t="n">
        <v>45916</v>
      </c>
      <c r="D390" t="inlineStr">
        <is>
          <t>JÄMTLANDS LÄN</t>
        </is>
      </c>
      <c r="E390" t="inlineStr">
        <is>
          <t>BRÄCKE</t>
        </is>
      </c>
      <c r="G390" t="n">
        <v>4.3</v>
      </c>
      <c r="H390" t="n">
        <v>0</v>
      </c>
      <c r="I390" t="n">
        <v>0</v>
      </c>
      <c r="J390" t="n">
        <v>0</v>
      </c>
      <c r="K390" t="n">
        <v>0</v>
      </c>
      <c r="L390" t="n">
        <v>0</v>
      </c>
      <c r="M390" t="n">
        <v>0</v>
      </c>
      <c r="N390" t="n">
        <v>0</v>
      </c>
      <c r="O390" t="n">
        <v>0</v>
      </c>
      <c r="P390" t="n">
        <v>0</v>
      </c>
      <c r="Q390" t="n">
        <v>0</v>
      </c>
      <c r="R390" s="2" t="inlineStr"/>
    </row>
    <row r="391" ht="15" customHeight="1">
      <c r="A391" t="inlineStr">
        <is>
          <t>A 48555-2022</t>
        </is>
      </c>
      <c r="B391" s="1" t="n">
        <v>44859</v>
      </c>
      <c r="C391" s="1" t="n">
        <v>45916</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51020-2022</t>
        </is>
      </c>
      <c r="B392" s="1" t="n">
        <v>44867.95071759259</v>
      </c>
      <c r="C392" s="1" t="n">
        <v>45916</v>
      </c>
      <c r="D392" t="inlineStr">
        <is>
          <t>JÄMTLANDS LÄN</t>
        </is>
      </c>
      <c r="E392" t="inlineStr">
        <is>
          <t>BRÄCKE</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45916</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37032-2022</t>
        </is>
      </c>
      <c r="B394" s="1" t="n">
        <v>44806</v>
      </c>
      <c r="C394" s="1" t="n">
        <v>45916</v>
      </c>
      <c r="D394" t="inlineStr">
        <is>
          <t>JÄMTLANDS LÄN</t>
        </is>
      </c>
      <c r="E394" t="inlineStr">
        <is>
          <t>BRÄCKE</t>
        </is>
      </c>
      <c r="G394" t="n">
        <v>0.7</v>
      </c>
      <c r="H394" t="n">
        <v>0</v>
      </c>
      <c r="I394" t="n">
        <v>0</v>
      </c>
      <c r="J394" t="n">
        <v>0</v>
      </c>
      <c r="K394" t="n">
        <v>0</v>
      </c>
      <c r="L394" t="n">
        <v>0</v>
      </c>
      <c r="M394" t="n">
        <v>0</v>
      </c>
      <c r="N394" t="n">
        <v>0</v>
      </c>
      <c r="O394" t="n">
        <v>0</v>
      </c>
      <c r="P394" t="n">
        <v>0</v>
      </c>
      <c r="Q394" t="n">
        <v>0</v>
      </c>
      <c r="R394" s="2" t="inlineStr"/>
    </row>
    <row r="395" ht="15" customHeight="1">
      <c r="A395" t="inlineStr">
        <is>
          <t>A 62954-2021</t>
        </is>
      </c>
      <c r="B395" s="1" t="n">
        <v>44504</v>
      </c>
      <c r="C395" s="1" t="n">
        <v>45916</v>
      </c>
      <c r="D395" t="inlineStr">
        <is>
          <t>JÄMTLANDS LÄN</t>
        </is>
      </c>
      <c r="E395" t="inlineStr">
        <is>
          <t>BRÄCKE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66285-2021</t>
        </is>
      </c>
      <c r="B396" s="1" t="n">
        <v>44518</v>
      </c>
      <c r="C396" s="1" t="n">
        <v>45916</v>
      </c>
      <c r="D396" t="inlineStr">
        <is>
          <t>JÄMTLANDS LÄN</t>
        </is>
      </c>
      <c r="E396" t="inlineStr">
        <is>
          <t>BRÄCKE</t>
        </is>
      </c>
      <c r="G396" t="n">
        <v>11.9</v>
      </c>
      <c r="H396" t="n">
        <v>0</v>
      </c>
      <c r="I396" t="n">
        <v>0</v>
      </c>
      <c r="J396" t="n">
        <v>0</v>
      </c>
      <c r="K396" t="n">
        <v>0</v>
      </c>
      <c r="L396" t="n">
        <v>0</v>
      </c>
      <c r="M396" t="n">
        <v>0</v>
      </c>
      <c r="N396" t="n">
        <v>0</v>
      </c>
      <c r="O396" t="n">
        <v>0</v>
      </c>
      <c r="P396" t="n">
        <v>0</v>
      </c>
      <c r="Q396" t="n">
        <v>0</v>
      </c>
      <c r="R396" s="2" t="inlineStr"/>
    </row>
    <row r="397" ht="15" customHeight="1">
      <c r="A397" t="inlineStr">
        <is>
          <t>A 43832-2021</t>
        </is>
      </c>
      <c r="B397" s="1" t="n">
        <v>44433.9410300926</v>
      </c>
      <c r="C397" s="1" t="n">
        <v>45916</v>
      </c>
      <c r="D397" t="inlineStr">
        <is>
          <t>JÄMTLANDS LÄN</t>
        </is>
      </c>
      <c r="E397" t="inlineStr">
        <is>
          <t>BRÄCKE</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19810-2022</t>
        </is>
      </c>
      <c r="B398" s="1" t="n">
        <v>44694.93921296296</v>
      </c>
      <c r="C398" s="1" t="n">
        <v>45916</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59331-2020</t>
        </is>
      </c>
      <c r="B399" s="1" t="n">
        <v>44147.9399537037</v>
      </c>
      <c r="C399" s="1" t="n">
        <v>45916</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62953-2021</t>
        </is>
      </c>
      <c r="B400" s="1" t="n">
        <v>44504</v>
      </c>
      <c r="C400" s="1" t="n">
        <v>45916</v>
      </c>
      <c r="D400" t="inlineStr">
        <is>
          <t>JÄMTLANDS LÄN</t>
        </is>
      </c>
      <c r="E400" t="inlineStr">
        <is>
          <t>BRÄCKE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31978-2022</t>
        </is>
      </c>
      <c r="B401" s="1" t="n">
        <v>44777.95574074074</v>
      </c>
      <c r="C401" s="1" t="n">
        <v>45916</v>
      </c>
      <c r="D401" t="inlineStr">
        <is>
          <t>JÄMTLANDS LÄN</t>
        </is>
      </c>
      <c r="E401" t="inlineStr">
        <is>
          <t>BRÄCKE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48667-2020</t>
        </is>
      </c>
      <c r="B402" s="1" t="n">
        <v>44098</v>
      </c>
      <c r="C402" s="1" t="n">
        <v>45916</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56005-2020</t>
        </is>
      </c>
      <c r="B403" s="1" t="n">
        <v>44133</v>
      </c>
      <c r="C403" s="1" t="n">
        <v>45916</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10536-2022</t>
        </is>
      </c>
      <c r="B404" s="1" t="n">
        <v>44623.92185185185</v>
      </c>
      <c r="C404" s="1" t="n">
        <v>45916</v>
      </c>
      <c r="D404" t="inlineStr">
        <is>
          <t>JÄMTLANDS LÄN</t>
        </is>
      </c>
      <c r="E404" t="inlineStr">
        <is>
          <t>BRÄCKE</t>
        </is>
      </c>
      <c r="G404" t="n">
        <v>3.1</v>
      </c>
      <c r="H404" t="n">
        <v>0</v>
      </c>
      <c r="I404" t="n">
        <v>0</v>
      </c>
      <c r="J404" t="n">
        <v>0</v>
      </c>
      <c r="K404" t="n">
        <v>0</v>
      </c>
      <c r="L404" t="n">
        <v>0</v>
      </c>
      <c r="M404" t="n">
        <v>0</v>
      </c>
      <c r="N404" t="n">
        <v>0</v>
      </c>
      <c r="O404" t="n">
        <v>0</v>
      </c>
      <c r="P404" t="n">
        <v>0</v>
      </c>
      <c r="Q404" t="n">
        <v>0</v>
      </c>
      <c r="R404" s="2" t="inlineStr"/>
    </row>
    <row r="405" ht="15" customHeight="1">
      <c r="A405" t="inlineStr">
        <is>
          <t>A 32964-2022</t>
        </is>
      </c>
      <c r="B405" s="1" t="n">
        <v>44784.9250462963</v>
      </c>
      <c r="C405" s="1" t="n">
        <v>45916</v>
      </c>
      <c r="D405" t="inlineStr">
        <is>
          <t>JÄMTLANDS LÄN</t>
        </is>
      </c>
      <c r="E405" t="inlineStr">
        <is>
          <t>BRÄCKE</t>
        </is>
      </c>
      <c r="G405" t="n">
        <v>2.6</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45916</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56598-2020</t>
        </is>
      </c>
      <c r="B407" s="1" t="n">
        <v>44137</v>
      </c>
      <c r="C407" s="1" t="n">
        <v>45916</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41817-2022</t>
        </is>
      </c>
      <c r="B408" s="1" t="n">
        <v>44827</v>
      </c>
      <c r="C408" s="1" t="n">
        <v>45916</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45916</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30483-2022</t>
        </is>
      </c>
      <c r="B410" s="1" t="n">
        <v>44761.94037037037</v>
      </c>
      <c r="C410" s="1" t="n">
        <v>45916</v>
      </c>
      <c r="D410" t="inlineStr">
        <is>
          <t>JÄMTLANDS LÄN</t>
        </is>
      </c>
      <c r="E410" t="inlineStr">
        <is>
          <t>BRÄCKE</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45916</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58269-2021</t>
        </is>
      </c>
      <c r="B412" s="1" t="n">
        <v>44487</v>
      </c>
      <c r="C412" s="1" t="n">
        <v>45916</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58272-2021</t>
        </is>
      </c>
      <c r="B413" s="1" t="n">
        <v>44487</v>
      </c>
      <c r="C413" s="1" t="n">
        <v>45916</v>
      </c>
      <c r="D413" t="inlineStr">
        <is>
          <t>JÄMTLANDS LÄN</t>
        </is>
      </c>
      <c r="E413" t="inlineStr">
        <is>
          <t>BRÄCKE</t>
        </is>
      </c>
      <c r="F413" t="inlineStr">
        <is>
          <t>SCA</t>
        </is>
      </c>
      <c r="G413" t="n">
        <v>6.1</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45916</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45916</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50981-2020</t>
        </is>
      </c>
      <c r="B416" s="1" t="n">
        <v>44111</v>
      </c>
      <c r="C416" s="1" t="n">
        <v>45916</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54567-2022</t>
        </is>
      </c>
      <c r="B417" s="1" t="n">
        <v>44882.95473379629</v>
      </c>
      <c r="C417" s="1" t="n">
        <v>45916</v>
      </c>
      <c r="D417" t="inlineStr">
        <is>
          <t>JÄMTLANDS LÄN</t>
        </is>
      </c>
      <c r="E417" t="inlineStr">
        <is>
          <t>BRÄCKE</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24950-2021</t>
        </is>
      </c>
      <c r="B418" s="1" t="n">
        <v>44341</v>
      </c>
      <c r="C418" s="1" t="n">
        <v>45916</v>
      </c>
      <c r="D418" t="inlineStr">
        <is>
          <t>JÄMTLANDS LÄN</t>
        </is>
      </c>
      <c r="E418" t="inlineStr">
        <is>
          <t>BRÄCKE</t>
        </is>
      </c>
      <c r="F418" t="inlineStr">
        <is>
          <t>Kyrkan</t>
        </is>
      </c>
      <c r="G418" t="n">
        <v>15.3</v>
      </c>
      <c r="H418" t="n">
        <v>0</v>
      </c>
      <c r="I418" t="n">
        <v>0</v>
      </c>
      <c r="J418" t="n">
        <v>0</v>
      </c>
      <c r="K418" t="n">
        <v>0</v>
      </c>
      <c r="L418" t="n">
        <v>0</v>
      </c>
      <c r="M418" t="n">
        <v>0</v>
      </c>
      <c r="N418" t="n">
        <v>0</v>
      </c>
      <c r="O418" t="n">
        <v>0</v>
      </c>
      <c r="P418" t="n">
        <v>0</v>
      </c>
      <c r="Q418" t="n">
        <v>0</v>
      </c>
      <c r="R418" s="2" t="inlineStr"/>
    </row>
    <row r="419" ht="15" customHeight="1">
      <c r="A419" t="inlineStr">
        <is>
          <t>A 53662-2022</t>
        </is>
      </c>
      <c r="B419" s="1" t="n">
        <v>44879.95628472222</v>
      </c>
      <c r="C419" s="1" t="n">
        <v>45916</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45916</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45916</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40278-2022</t>
        </is>
      </c>
      <c r="B422" s="1" t="n">
        <v>44820</v>
      </c>
      <c r="C422" s="1" t="n">
        <v>45916</v>
      </c>
      <c r="D422" t="inlineStr">
        <is>
          <t>JÄMTLANDS LÄN</t>
        </is>
      </c>
      <c r="E422" t="inlineStr">
        <is>
          <t>BRÄCKE</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27258-2021</t>
        </is>
      </c>
      <c r="B423" s="1" t="n">
        <v>44350.93927083333</v>
      </c>
      <c r="C423" s="1" t="n">
        <v>45916</v>
      </c>
      <c r="D423" t="inlineStr">
        <is>
          <t>JÄMTLANDS LÄN</t>
        </is>
      </c>
      <c r="E423" t="inlineStr">
        <is>
          <t>BRÄCKE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54809-2021</t>
        </is>
      </c>
      <c r="B424" s="1" t="n">
        <v>44473.94386574074</v>
      </c>
      <c r="C424" s="1" t="n">
        <v>45916</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56648-2021</t>
        </is>
      </c>
      <c r="B425" s="1" t="n">
        <v>44480.92122685185</v>
      </c>
      <c r="C425" s="1" t="n">
        <v>45916</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63346-2021</t>
        </is>
      </c>
      <c r="B426" s="1" t="n">
        <v>44508.47607638889</v>
      </c>
      <c r="C426" s="1" t="n">
        <v>45916</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16733-2021</t>
        </is>
      </c>
      <c r="B427" s="1" t="n">
        <v>44293</v>
      </c>
      <c r="C427" s="1" t="n">
        <v>45916</v>
      </c>
      <c r="D427" t="inlineStr">
        <is>
          <t>JÄMTLANDS LÄN</t>
        </is>
      </c>
      <c r="E427" t="inlineStr">
        <is>
          <t>BRÄCKE</t>
        </is>
      </c>
      <c r="G427" t="n">
        <v>4</v>
      </c>
      <c r="H427" t="n">
        <v>0</v>
      </c>
      <c r="I427" t="n">
        <v>0</v>
      </c>
      <c r="J427" t="n">
        <v>0</v>
      </c>
      <c r="K427" t="n">
        <v>0</v>
      </c>
      <c r="L427" t="n">
        <v>0</v>
      </c>
      <c r="M427" t="n">
        <v>0</v>
      </c>
      <c r="N427" t="n">
        <v>0</v>
      </c>
      <c r="O427" t="n">
        <v>0</v>
      </c>
      <c r="P427" t="n">
        <v>0</v>
      </c>
      <c r="Q427" t="n">
        <v>0</v>
      </c>
      <c r="R427" s="2" t="inlineStr"/>
    </row>
    <row r="428" ht="15" customHeight="1">
      <c r="A428" t="inlineStr">
        <is>
          <t>A 55900-2022</t>
        </is>
      </c>
      <c r="B428" s="1" t="n">
        <v>44888.95368055555</v>
      </c>
      <c r="C428" s="1" t="n">
        <v>45916</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18221-2022</t>
        </is>
      </c>
      <c r="B429" s="1" t="n">
        <v>44685</v>
      </c>
      <c r="C429" s="1" t="n">
        <v>45916</v>
      </c>
      <c r="D429" t="inlineStr">
        <is>
          <t>JÄMTLANDS LÄN</t>
        </is>
      </c>
      <c r="E429" t="inlineStr">
        <is>
          <t>BRÄCKE</t>
        </is>
      </c>
      <c r="G429" t="n">
        <v>1.5</v>
      </c>
      <c r="H429" t="n">
        <v>0</v>
      </c>
      <c r="I429" t="n">
        <v>0</v>
      </c>
      <c r="J429" t="n">
        <v>0</v>
      </c>
      <c r="K429" t="n">
        <v>0</v>
      </c>
      <c r="L429" t="n">
        <v>0</v>
      </c>
      <c r="M429" t="n">
        <v>0</v>
      </c>
      <c r="N429" t="n">
        <v>0</v>
      </c>
      <c r="O429" t="n">
        <v>0</v>
      </c>
      <c r="P429" t="n">
        <v>0</v>
      </c>
      <c r="Q429" t="n">
        <v>0</v>
      </c>
      <c r="R429" s="2" t="inlineStr"/>
    </row>
    <row r="430" ht="15" customHeight="1">
      <c r="A430" t="inlineStr">
        <is>
          <t>A 42656-2022</t>
        </is>
      </c>
      <c r="B430" s="1" t="n">
        <v>44831</v>
      </c>
      <c r="C430" s="1" t="n">
        <v>45916</v>
      </c>
      <c r="D430" t="inlineStr">
        <is>
          <t>JÄMTLANDS LÄN</t>
        </is>
      </c>
      <c r="E430" t="inlineStr">
        <is>
          <t>BRÄCKE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37828-2022</t>
        </is>
      </c>
      <c r="B431" s="1" t="n">
        <v>44810.9428587963</v>
      </c>
      <c r="C431" s="1" t="n">
        <v>45916</v>
      </c>
      <c r="D431" t="inlineStr">
        <is>
          <t>JÄMTLANDS LÄN</t>
        </is>
      </c>
      <c r="E431" t="inlineStr">
        <is>
          <t>BRÄCKE</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37829-2022</t>
        </is>
      </c>
      <c r="B432" s="1" t="n">
        <v>44810.94292824074</v>
      </c>
      <c r="C432" s="1" t="n">
        <v>45916</v>
      </c>
      <c r="D432" t="inlineStr">
        <is>
          <t>JÄMTLANDS LÄN</t>
        </is>
      </c>
      <c r="E432" t="inlineStr">
        <is>
          <t>BRÄCKE</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30490-2022</t>
        </is>
      </c>
      <c r="B433" s="1" t="n">
        <v>44761</v>
      </c>
      <c r="C433" s="1" t="n">
        <v>45916</v>
      </c>
      <c r="D433" t="inlineStr">
        <is>
          <t>JÄMTLANDS LÄN</t>
        </is>
      </c>
      <c r="E433" t="inlineStr">
        <is>
          <t>BRÄCKE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28285-2022</t>
        </is>
      </c>
      <c r="B434" s="1" t="n">
        <v>44746</v>
      </c>
      <c r="C434" s="1" t="n">
        <v>45916</v>
      </c>
      <c r="D434" t="inlineStr">
        <is>
          <t>JÄMTLANDS LÄN</t>
        </is>
      </c>
      <c r="E434" t="inlineStr">
        <is>
          <t>BRÄCKE</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21654-2022</t>
        </is>
      </c>
      <c r="B435" s="1" t="n">
        <v>44706.94207175926</v>
      </c>
      <c r="C435" s="1" t="n">
        <v>45916</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21656-2022</t>
        </is>
      </c>
      <c r="B436" s="1" t="n">
        <v>44706.9421875</v>
      </c>
      <c r="C436" s="1" t="n">
        <v>45916</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45916</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63579-2021</t>
        </is>
      </c>
      <c r="B438" s="1" t="n">
        <v>44508</v>
      </c>
      <c r="C438" s="1" t="n">
        <v>45916</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56416-2020</t>
        </is>
      </c>
      <c r="B439" s="1" t="n">
        <v>44137</v>
      </c>
      <c r="C439" s="1" t="n">
        <v>45916</v>
      </c>
      <c r="D439" t="inlineStr">
        <is>
          <t>JÄMTLANDS LÄN</t>
        </is>
      </c>
      <c r="E439" t="inlineStr">
        <is>
          <t>BRÄCKE</t>
        </is>
      </c>
      <c r="G439" t="n">
        <v>0.5</v>
      </c>
      <c r="H439" t="n">
        <v>0</v>
      </c>
      <c r="I439" t="n">
        <v>0</v>
      </c>
      <c r="J439" t="n">
        <v>0</v>
      </c>
      <c r="K439" t="n">
        <v>0</v>
      </c>
      <c r="L439" t="n">
        <v>0</v>
      </c>
      <c r="M439" t="n">
        <v>0</v>
      </c>
      <c r="N439" t="n">
        <v>0</v>
      </c>
      <c r="O439" t="n">
        <v>0</v>
      </c>
      <c r="P439" t="n">
        <v>0</v>
      </c>
      <c r="Q439" t="n">
        <v>0</v>
      </c>
      <c r="R439" s="2" t="inlineStr"/>
    </row>
    <row r="440" ht="15" customHeight="1">
      <c r="A440" t="inlineStr">
        <is>
          <t>A 27351-2022</t>
        </is>
      </c>
      <c r="B440" s="1" t="n">
        <v>44742.42644675926</v>
      </c>
      <c r="C440" s="1" t="n">
        <v>45916</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17738-2022</t>
        </is>
      </c>
      <c r="B441" s="1" t="n">
        <v>44680.95217592592</v>
      </c>
      <c r="C441" s="1" t="n">
        <v>45916</v>
      </c>
      <c r="D441" t="inlineStr">
        <is>
          <t>JÄMTLANDS LÄN</t>
        </is>
      </c>
      <c r="E441" t="inlineStr">
        <is>
          <t>BRÄCKE</t>
        </is>
      </c>
      <c r="F441" t="inlineStr">
        <is>
          <t>SCA</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45916</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47559-2021</t>
        </is>
      </c>
      <c r="B443" s="1" t="n">
        <v>44447</v>
      </c>
      <c r="C443" s="1" t="n">
        <v>45916</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20069-2022</t>
        </is>
      </c>
      <c r="B444" s="1" t="n">
        <v>44697.94190972222</v>
      </c>
      <c r="C444" s="1" t="n">
        <v>45916</v>
      </c>
      <c r="D444" t="inlineStr">
        <is>
          <t>JÄMTLANDS LÄN</t>
        </is>
      </c>
      <c r="E444" t="inlineStr">
        <is>
          <t>BRÄCKE</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46602-2022</t>
        </is>
      </c>
      <c r="B445" s="1" t="n">
        <v>44848</v>
      </c>
      <c r="C445" s="1" t="n">
        <v>45916</v>
      </c>
      <c r="D445" t="inlineStr">
        <is>
          <t>JÄMTLANDS LÄN</t>
        </is>
      </c>
      <c r="E445" t="inlineStr">
        <is>
          <t>BRÄCKE</t>
        </is>
      </c>
      <c r="G445" t="n">
        <v>1.6</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45916</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52022-2022</t>
        </is>
      </c>
      <c r="B447" s="1" t="n">
        <v>44872.95662037037</v>
      </c>
      <c r="C447" s="1" t="n">
        <v>45916</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47838-2020</t>
        </is>
      </c>
      <c r="B448" s="1" t="n">
        <v>44098</v>
      </c>
      <c r="C448" s="1" t="n">
        <v>45916</v>
      </c>
      <c r="D448" t="inlineStr">
        <is>
          <t>JÄMTLANDS LÄN</t>
        </is>
      </c>
      <c r="E448" t="inlineStr">
        <is>
          <t>BRÄCKE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45916</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32101-2021</t>
        </is>
      </c>
      <c r="B450" s="1" t="n">
        <v>44370.94097222222</v>
      </c>
      <c r="C450" s="1" t="n">
        <v>45916</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46793-2021</t>
        </is>
      </c>
      <c r="B451" s="1" t="n">
        <v>44445</v>
      </c>
      <c r="C451" s="1" t="n">
        <v>45916</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41825-2024</t>
        </is>
      </c>
      <c r="B452" s="1" t="n">
        <v>45561.39943287037</v>
      </c>
      <c r="C452" s="1" t="n">
        <v>45916</v>
      </c>
      <c r="D452" t="inlineStr">
        <is>
          <t>JÄMTLANDS LÄN</t>
        </is>
      </c>
      <c r="E452" t="inlineStr">
        <is>
          <t>BRÄCKE</t>
        </is>
      </c>
      <c r="G452" t="n">
        <v>0.9</v>
      </c>
      <c r="H452" t="n">
        <v>0</v>
      </c>
      <c r="I452" t="n">
        <v>0</v>
      </c>
      <c r="J452" t="n">
        <v>0</v>
      </c>
      <c r="K452" t="n">
        <v>0</v>
      </c>
      <c r="L452" t="n">
        <v>0</v>
      </c>
      <c r="M452" t="n">
        <v>0</v>
      </c>
      <c r="N452" t="n">
        <v>0</v>
      </c>
      <c r="O452" t="n">
        <v>0</v>
      </c>
      <c r="P452" t="n">
        <v>0</v>
      </c>
      <c r="Q452" t="n">
        <v>0</v>
      </c>
      <c r="R452" s="2" t="inlineStr"/>
    </row>
    <row r="453" ht="15" customHeight="1">
      <c r="A453" t="inlineStr">
        <is>
          <t>A 9553-2024</t>
        </is>
      </c>
      <c r="B453" s="1" t="n">
        <v>45360.03491898148</v>
      </c>
      <c r="C453" s="1" t="n">
        <v>45916</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31342-2021</t>
        </is>
      </c>
      <c r="B454" s="1" t="n">
        <v>44368.93855324074</v>
      </c>
      <c r="C454" s="1" t="n">
        <v>45916</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46024-2022</t>
        </is>
      </c>
      <c r="B455" s="1" t="n">
        <v>44846.92635416667</v>
      </c>
      <c r="C455" s="1" t="n">
        <v>45916</v>
      </c>
      <c r="D455" t="inlineStr">
        <is>
          <t>JÄMTLANDS LÄN</t>
        </is>
      </c>
      <c r="E455" t="inlineStr">
        <is>
          <t>BRÄCKE</t>
        </is>
      </c>
      <c r="G455" t="n">
        <v>3</v>
      </c>
      <c r="H455" t="n">
        <v>0</v>
      </c>
      <c r="I455" t="n">
        <v>0</v>
      </c>
      <c r="J455" t="n">
        <v>0</v>
      </c>
      <c r="K455" t="n">
        <v>0</v>
      </c>
      <c r="L455" t="n">
        <v>0</v>
      </c>
      <c r="M455" t="n">
        <v>0</v>
      </c>
      <c r="N455" t="n">
        <v>0</v>
      </c>
      <c r="O455" t="n">
        <v>0</v>
      </c>
      <c r="P455" t="n">
        <v>0</v>
      </c>
      <c r="Q455" t="n">
        <v>0</v>
      </c>
      <c r="R455" s="2" t="inlineStr"/>
    </row>
    <row r="456" ht="15" customHeight="1">
      <c r="A456" t="inlineStr">
        <is>
          <t>A 48079-2023</t>
        </is>
      </c>
      <c r="B456" s="1" t="n">
        <v>45204</v>
      </c>
      <c r="C456" s="1" t="n">
        <v>45916</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72025-2021</t>
        </is>
      </c>
      <c r="B457" s="1" t="n">
        <v>44540</v>
      </c>
      <c r="C457" s="1" t="n">
        <v>45916</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20070-2022</t>
        </is>
      </c>
      <c r="B458" s="1" t="n">
        <v>44697.94195601852</v>
      </c>
      <c r="C458" s="1" t="n">
        <v>45916</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45916</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58503-2022</t>
        </is>
      </c>
      <c r="B460" s="1" t="n">
        <v>44902.38313657408</v>
      </c>
      <c r="C460" s="1" t="n">
        <v>45916</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37375-2021</t>
        </is>
      </c>
      <c r="B461" s="1" t="n">
        <v>44397</v>
      </c>
      <c r="C461" s="1" t="n">
        <v>45916</v>
      </c>
      <c r="D461" t="inlineStr">
        <is>
          <t>JÄMTLANDS LÄN</t>
        </is>
      </c>
      <c r="E461" t="inlineStr">
        <is>
          <t>BRÄCKE</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35010-2022</t>
        </is>
      </c>
      <c r="B462" s="1" t="n">
        <v>44796.94616898148</v>
      </c>
      <c r="C462" s="1" t="n">
        <v>45916</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2621-2024</t>
        </is>
      </c>
      <c r="B463" s="1" t="n">
        <v>45313.94908564815</v>
      </c>
      <c r="C463" s="1" t="n">
        <v>45916</v>
      </c>
      <c r="D463" t="inlineStr">
        <is>
          <t>JÄMTLANDS LÄN</t>
        </is>
      </c>
      <c r="E463" t="inlineStr">
        <is>
          <t>BRÄCKE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47257-2022</t>
        </is>
      </c>
      <c r="B464" s="1" t="n">
        <v>44852</v>
      </c>
      <c r="C464" s="1" t="n">
        <v>45916</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70807-2021</t>
        </is>
      </c>
      <c r="B465" s="1" t="n">
        <v>44537</v>
      </c>
      <c r="C465" s="1" t="n">
        <v>45916</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22121-2024</t>
        </is>
      </c>
      <c r="B466" s="1" t="n">
        <v>45443.95271990741</v>
      </c>
      <c r="C466" s="1" t="n">
        <v>45916</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45691-2022</t>
        </is>
      </c>
      <c r="B467" s="1" t="n">
        <v>44845.95319444445</v>
      </c>
      <c r="C467" s="1" t="n">
        <v>45916</v>
      </c>
      <c r="D467" t="inlineStr">
        <is>
          <t>JÄMTLANDS LÄN</t>
        </is>
      </c>
      <c r="E467" t="inlineStr">
        <is>
          <t>BRÄCKE</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55523-2022</t>
        </is>
      </c>
      <c r="B468" s="1" t="n">
        <v>44887.94924768519</v>
      </c>
      <c r="C468" s="1" t="n">
        <v>45916</v>
      </c>
      <c r="D468" t="inlineStr">
        <is>
          <t>JÄMTLANDS LÄN</t>
        </is>
      </c>
      <c r="E468" t="inlineStr">
        <is>
          <t>BRÄCKE</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49032-2024</t>
        </is>
      </c>
      <c r="B469" s="1" t="n">
        <v>45594.53152777778</v>
      </c>
      <c r="C469" s="1" t="n">
        <v>45916</v>
      </c>
      <c r="D469" t="inlineStr">
        <is>
          <t>JÄMTLANDS LÄN</t>
        </is>
      </c>
      <c r="E469" t="inlineStr">
        <is>
          <t>BRÄCKE</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58086-2024</t>
        </is>
      </c>
      <c r="B470" s="1" t="n">
        <v>45632.34436342592</v>
      </c>
      <c r="C470" s="1" t="n">
        <v>45916</v>
      </c>
      <c r="D470" t="inlineStr">
        <is>
          <t>JÄMTLANDS LÄN</t>
        </is>
      </c>
      <c r="E470" t="inlineStr">
        <is>
          <t>BRÄCKE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4542-2022</t>
        </is>
      </c>
      <c r="B471" s="1" t="n">
        <v>44590</v>
      </c>
      <c r="C471" s="1" t="n">
        <v>45916</v>
      </c>
      <c r="D471" t="inlineStr">
        <is>
          <t>JÄMTLANDS LÄN</t>
        </is>
      </c>
      <c r="E471" t="inlineStr">
        <is>
          <t>BRÄCKE</t>
        </is>
      </c>
      <c r="G471" t="n">
        <v>18.5</v>
      </c>
      <c r="H471" t="n">
        <v>0</v>
      </c>
      <c r="I471" t="n">
        <v>0</v>
      </c>
      <c r="J471" t="n">
        <v>0</v>
      </c>
      <c r="K471" t="n">
        <v>0</v>
      </c>
      <c r="L471" t="n">
        <v>0</v>
      </c>
      <c r="M471" t="n">
        <v>0</v>
      </c>
      <c r="N471" t="n">
        <v>0</v>
      </c>
      <c r="O471" t="n">
        <v>0</v>
      </c>
      <c r="P471" t="n">
        <v>0</v>
      </c>
      <c r="Q471" t="n">
        <v>0</v>
      </c>
      <c r="R471" s="2" t="inlineStr"/>
    </row>
    <row r="472" ht="15" customHeight="1">
      <c r="A472" t="inlineStr">
        <is>
          <t>A 55663-2023</t>
        </is>
      </c>
      <c r="B472" s="1" t="n">
        <v>45238.96738425926</v>
      </c>
      <c r="C472" s="1" t="n">
        <v>45916</v>
      </c>
      <c r="D472" t="inlineStr">
        <is>
          <t>JÄMTLANDS LÄN</t>
        </is>
      </c>
      <c r="E472" t="inlineStr">
        <is>
          <t>BRÄCKE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9707-2025</t>
        </is>
      </c>
      <c r="B473" s="1" t="n">
        <v>45716.38592592593</v>
      </c>
      <c r="C473" s="1" t="n">
        <v>45916</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45916</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45251.93006944445</v>
      </c>
      <c r="C475" s="1" t="n">
        <v>45916</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783-2025</t>
        </is>
      </c>
      <c r="B476" s="1" t="n">
        <v>45665.49290509259</v>
      </c>
      <c r="C476" s="1" t="n">
        <v>45916</v>
      </c>
      <c r="D476" t="inlineStr">
        <is>
          <t>JÄMTLANDS LÄN</t>
        </is>
      </c>
      <c r="E476" t="inlineStr">
        <is>
          <t>BRÄCKE</t>
        </is>
      </c>
      <c r="G476" t="n">
        <v>4</v>
      </c>
      <c r="H476" t="n">
        <v>0</v>
      </c>
      <c r="I476" t="n">
        <v>0</v>
      </c>
      <c r="J476" t="n">
        <v>0</v>
      </c>
      <c r="K476" t="n">
        <v>0</v>
      </c>
      <c r="L476" t="n">
        <v>0</v>
      </c>
      <c r="M476" t="n">
        <v>0</v>
      </c>
      <c r="N476" t="n">
        <v>0</v>
      </c>
      <c r="O476" t="n">
        <v>0</v>
      </c>
      <c r="P476" t="n">
        <v>0</v>
      </c>
      <c r="Q476" t="n">
        <v>0</v>
      </c>
      <c r="R476" s="2" t="inlineStr"/>
    </row>
    <row r="477" ht="15" customHeight="1">
      <c r="A477" t="inlineStr">
        <is>
          <t>A 16117-2021</t>
        </is>
      </c>
      <c r="B477" s="1" t="n">
        <v>44291</v>
      </c>
      <c r="C477" s="1" t="n">
        <v>45916</v>
      </c>
      <c r="D477" t="inlineStr">
        <is>
          <t>JÄMTLANDS LÄN</t>
        </is>
      </c>
      <c r="E477" t="inlineStr">
        <is>
          <t>BRÄCKE</t>
        </is>
      </c>
      <c r="G477" t="n">
        <v>3.6</v>
      </c>
      <c r="H477" t="n">
        <v>0</v>
      </c>
      <c r="I477" t="n">
        <v>0</v>
      </c>
      <c r="J477" t="n">
        <v>0</v>
      </c>
      <c r="K477" t="n">
        <v>0</v>
      </c>
      <c r="L477" t="n">
        <v>0</v>
      </c>
      <c r="M477" t="n">
        <v>0</v>
      </c>
      <c r="N477" t="n">
        <v>0</v>
      </c>
      <c r="O477" t="n">
        <v>0</v>
      </c>
      <c r="P477" t="n">
        <v>0</v>
      </c>
      <c r="Q477" t="n">
        <v>0</v>
      </c>
      <c r="R477" s="2" t="inlineStr"/>
    </row>
    <row r="478" ht="15" customHeight="1">
      <c r="A478" t="inlineStr">
        <is>
          <t>A 13244-2023</t>
        </is>
      </c>
      <c r="B478" s="1" t="n">
        <v>45002</v>
      </c>
      <c r="C478" s="1" t="n">
        <v>45916</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37048-2021</t>
        </is>
      </c>
      <c r="B479" s="1" t="n">
        <v>44393.93534722222</v>
      </c>
      <c r="C479" s="1" t="n">
        <v>45916</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56491-2024</t>
        </is>
      </c>
      <c r="B480" s="1" t="n">
        <v>45625.48987268518</v>
      </c>
      <c r="C480" s="1" t="n">
        <v>45916</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25934-2024</t>
        </is>
      </c>
      <c r="B481" s="1" t="n">
        <v>45467.62287037037</v>
      </c>
      <c r="C481" s="1" t="n">
        <v>45916</v>
      </c>
      <c r="D481" t="inlineStr">
        <is>
          <t>JÄMTLANDS LÄN</t>
        </is>
      </c>
      <c r="E481" t="inlineStr">
        <is>
          <t>BRÄCKE</t>
        </is>
      </c>
      <c r="G481" t="n">
        <v>1.6</v>
      </c>
      <c r="H481" t="n">
        <v>0</v>
      </c>
      <c r="I481" t="n">
        <v>0</v>
      </c>
      <c r="J481" t="n">
        <v>0</v>
      </c>
      <c r="K481" t="n">
        <v>0</v>
      </c>
      <c r="L481" t="n">
        <v>0</v>
      </c>
      <c r="M481" t="n">
        <v>0</v>
      </c>
      <c r="N481" t="n">
        <v>0</v>
      </c>
      <c r="O481" t="n">
        <v>0</v>
      </c>
      <c r="P481" t="n">
        <v>0</v>
      </c>
      <c r="Q481" t="n">
        <v>0</v>
      </c>
      <c r="R481" s="2" t="inlineStr"/>
    </row>
    <row r="482" ht="15" customHeight="1">
      <c r="A482" t="inlineStr">
        <is>
          <t>A 55512-2022</t>
        </is>
      </c>
      <c r="B482" s="1" t="n">
        <v>44887</v>
      </c>
      <c r="C482" s="1" t="n">
        <v>45916</v>
      </c>
      <c r="D482" t="inlineStr">
        <is>
          <t>JÄMTLANDS LÄN</t>
        </is>
      </c>
      <c r="E482" t="inlineStr">
        <is>
          <t>BRÄCKE</t>
        </is>
      </c>
      <c r="G482" t="n">
        <v>3.9</v>
      </c>
      <c r="H482" t="n">
        <v>0</v>
      </c>
      <c r="I482" t="n">
        <v>0</v>
      </c>
      <c r="J482" t="n">
        <v>0</v>
      </c>
      <c r="K482" t="n">
        <v>0</v>
      </c>
      <c r="L482" t="n">
        <v>0</v>
      </c>
      <c r="M482" t="n">
        <v>0</v>
      </c>
      <c r="N482" t="n">
        <v>0</v>
      </c>
      <c r="O482" t="n">
        <v>0</v>
      </c>
      <c r="P482" t="n">
        <v>0</v>
      </c>
      <c r="Q482" t="n">
        <v>0</v>
      </c>
      <c r="R482" s="2" t="inlineStr"/>
    </row>
    <row r="483" ht="15" customHeight="1">
      <c r="A483" t="inlineStr">
        <is>
          <t>A 19667-2025</t>
        </is>
      </c>
      <c r="B483" s="1" t="n">
        <v>45770.69820601852</v>
      </c>
      <c r="C483" s="1" t="n">
        <v>45916</v>
      </c>
      <c r="D483" t="inlineStr">
        <is>
          <t>JÄMTLANDS LÄN</t>
        </is>
      </c>
      <c r="E483" t="inlineStr">
        <is>
          <t>BRÄCKE</t>
        </is>
      </c>
      <c r="F483" t="inlineStr">
        <is>
          <t>Kyrkan</t>
        </is>
      </c>
      <c r="G483" t="n">
        <v>1</v>
      </c>
      <c r="H483" t="n">
        <v>0</v>
      </c>
      <c r="I483" t="n">
        <v>0</v>
      </c>
      <c r="J483" t="n">
        <v>0</v>
      </c>
      <c r="K483" t="n">
        <v>0</v>
      </c>
      <c r="L483" t="n">
        <v>0</v>
      </c>
      <c r="M483" t="n">
        <v>0</v>
      </c>
      <c r="N483" t="n">
        <v>0</v>
      </c>
      <c r="O483" t="n">
        <v>0</v>
      </c>
      <c r="P483" t="n">
        <v>0</v>
      </c>
      <c r="Q483" t="n">
        <v>0</v>
      </c>
      <c r="R483" s="2" t="inlineStr"/>
    </row>
    <row r="484" ht="15" customHeight="1">
      <c r="A484" t="inlineStr">
        <is>
          <t>A 63534-2023</t>
        </is>
      </c>
      <c r="B484" s="1" t="n">
        <v>45274.94905092593</v>
      </c>
      <c r="C484" s="1" t="n">
        <v>45916</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45577-2023</t>
        </is>
      </c>
      <c r="B485" s="1" t="n">
        <v>45194</v>
      </c>
      <c r="C485" s="1" t="n">
        <v>45916</v>
      </c>
      <c r="D485" t="inlineStr">
        <is>
          <t>JÄMTLANDS LÄN</t>
        </is>
      </c>
      <c r="E485" t="inlineStr">
        <is>
          <t>BRÄCKE</t>
        </is>
      </c>
      <c r="G485" t="n">
        <v>2.6</v>
      </c>
      <c r="H485" t="n">
        <v>0</v>
      </c>
      <c r="I485" t="n">
        <v>0</v>
      </c>
      <c r="J485" t="n">
        <v>0</v>
      </c>
      <c r="K485" t="n">
        <v>0</v>
      </c>
      <c r="L485" t="n">
        <v>0</v>
      </c>
      <c r="M485" t="n">
        <v>0</v>
      </c>
      <c r="N485" t="n">
        <v>0</v>
      </c>
      <c r="O485" t="n">
        <v>0</v>
      </c>
      <c r="P485" t="n">
        <v>0</v>
      </c>
      <c r="Q485" t="n">
        <v>0</v>
      </c>
      <c r="R485" s="2" t="inlineStr"/>
    </row>
    <row r="486" ht="15" customHeight="1">
      <c r="A486" t="inlineStr">
        <is>
          <t>A 73106-2021</t>
        </is>
      </c>
      <c r="B486" s="1" t="n">
        <v>44550.45646990741</v>
      </c>
      <c r="C486" s="1" t="n">
        <v>45916</v>
      </c>
      <c r="D486" t="inlineStr">
        <is>
          <t>JÄMTLANDS LÄN</t>
        </is>
      </c>
      <c r="E486" t="inlineStr">
        <is>
          <t>BRÄCKE</t>
        </is>
      </c>
      <c r="F486" t="inlineStr">
        <is>
          <t>Sveaskog</t>
        </is>
      </c>
      <c r="G486" t="n">
        <v>5.4</v>
      </c>
      <c r="H486" t="n">
        <v>0</v>
      </c>
      <c r="I486" t="n">
        <v>0</v>
      </c>
      <c r="J486" t="n">
        <v>0</v>
      </c>
      <c r="K486" t="n">
        <v>0</v>
      </c>
      <c r="L486" t="n">
        <v>0</v>
      </c>
      <c r="M486" t="n">
        <v>0</v>
      </c>
      <c r="N486" t="n">
        <v>0</v>
      </c>
      <c r="O486" t="n">
        <v>0</v>
      </c>
      <c r="P486" t="n">
        <v>0</v>
      </c>
      <c r="Q486" t="n">
        <v>0</v>
      </c>
      <c r="R486" s="2" t="inlineStr"/>
    </row>
    <row r="487" ht="15" customHeight="1">
      <c r="A487" t="inlineStr">
        <is>
          <t>A 2064-2024</t>
        </is>
      </c>
      <c r="B487" s="1" t="n">
        <v>45308</v>
      </c>
      <c r="C487" s="1" t="n">
        <v>45916</v>
      </c>
      <c r="D487" t="inlineStr">
        <is>
          <t>JÄMTLANDS LÄN</t>
        </is>
      </c>
      <c r="E487" t="inlineStr">
        <is>
          <t>BRÄCKE</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53522-2023</t>
        </is>
      </c>
      <c r="B488" s="1" t="n">
        <v>45223</v>
      </c>
      <c r="C488" s="1" t="n">
        <v>45916</v>
      </c>
      <c r="D488" t="inlineStr">
        <is>
          <t>JÄMTLANDS LÄN</t>
        </is>
      </c>
      <c r="E488" t="inlineStr">
        <is>
          <t>BRÄCKE</t>
        </is>
      </c>
      <c r="G488" t="n">
        <v>1.4</v>
      </c>
      <c r="H488" t="n">
        <v>0</v>
      </c>
      <c r="I488" t="n">
        <v>0</v>
      </c>
      <c r="J488" t="n">
        <v>0</v>
      </c>
      <c r="K488" t="n">
        <v>0</v>
      </c>
      <c r="L488" t="n">
        <v>0</v>
      </c>
      <c r="M488" t="n">
        <v>0</v>
      </c>
      <c r="N488" t="n">
        <v>0</v>
      </c>
      <c r="O488" t="n">
        <v>0</v>
      </c>
      <c r="P488" t="n">
        <v>0</v>
      </c>
      <c r="Q488" t="n">
        <v>0</v>
      </c>
      <c r="R488" s="2" t="inlineStr"/>
    </row>
    <row r="489" ht="15" customHeight="1">
      <c r="A489" t="inlineStr">
        <is>
          <t>A 34410-2021</t>
        </is>
      </c>
      <c r="B489" s="1" t="n">
        <v>44379.94194444444</v>
      </c>
      <c r="C489" s="1" t="n">
        <v>45916</v>
      </c>
      <c r="D489" t="inlineStr">
        <is>
          <t>JÄMTLANDS LÄN</t>
        </is>
      </c>
      <c r="E489" t="inlineStr">
        <is>
          <t>BRÄCKE</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58039-2021</t>
        </is>
      </c>
      <c r="B490" s="1" t="n">
        <v>44487</v>
      </c>
      <c r="C490" s="1" t="n">
        <v>45916</v>
      </c>
      <c r="D490" t="inlineStr">
        <is>
          <t>JÄMTLANDS LÄN</t>
        </is>
      </c>
      <c r="E490" t="inlineStr">
        <is>
          <t>BRÄCKE</t>
        </is>
      </c>
      <c r="G490" t="n">
        <v>7.4</v>
      </c>
      <c r="H490" t="n">
        <v>0</v>
      </c>
      <c r="I490" t="n">
        <v>0</v>
      </c>
      <c r="J490" t="n">
        <v>0</v>
      </c>
      <c r="K490" t="n">
        <v>0</v>
      </c>
      <c r="L490" t="n">
        <v>0</v>
      </c>
      <c r="M490" t="n">
        <v>0</v>
      </c>
      <c r="N490" t="n">
        <v>0</v>
      </c>
      <c r="O490" t="n">
        <v>0</v>
      </c>
      <c r="P490" t="n">
        <v>0</v>
      </c>
      <c r="Q490" t="n">
        <v>0</v>
      </c>
      <c r="R490" s="2" t="inlineStr"/>
    </row>
    <row r="491" ht="15" customHeight="1">
      <c r="A491" t="inlineStr">
        <is>
          <t>A 9386-2025</t>
        </is>
      </c>
      <c r="B491" s="1" t="n">
        <v>45715.34450231482</v>
      </c>
      <c r="C491" s="1" t="n">
        <v>45916</v>
      </c>
      <c r="D491" t="inlineStr">
        <is>
          <t>JÄMTLANDS LÄN</t>
        </is>
      </c>
      <c r="E491" t="inlineStr">
        <is>
          <t>BRÄCKE</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9467-2025</t>
        </is>
      </c>
      <c r="B492" s="1" t="n">
        <v>45715.46903935185</v>
      </c>
      <c r="C492" s="1" t="n">
        <v>45916</v>
      </c>
      <c r="D492" t="inlineStr">
        <is>
          <t>JÄMTLANDS LÄN</t>
        </is>
      </c>
      <c r="E492" t="inlineStr">
        <is>
          <t>BRÄCKE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39509-2023</t>
        </is>
      </c>
      <c r="B493" s="1" t="n">
        <v>45166.95824074074</v>
      </c>
      <c r="C493" s="1" t="n">
        <v>45916</v>
      </c>
      <c r="D493" t="inlineStr">
        <is>
          <t>JÄMTLANDS LÄN</t>
        </is>
      </c>
      <c r="E493" t="inlineStr">
        <is>
          <t>BRÄCKE</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27256-2021</t>
        </is>
      </c>
      <c r="B494" s="1" t="n">
        <v>44350</v>
      </c>
      <c r="C494" s="1" t="n">
        <v>45916</v>
      </c>
      <c r="D494" t="inlineStr">
        <is>
          <t>JÄMTLANDS LÄN</t>
        </is>
      </c>
      <c r="E494" t="inlineStr">
        <is>
          <t>BRÄCKE</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5004-2023</t>
        </is>
      </c>
      <c r="B495" s="1" t="n">
        <v>44956</v>
      </c>
      <c r="C495" s="1" t="n">
        <v>45916</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34138-2023</t>
        </is>
      </c>
      <c r="B496" s="1" t="n">
        <v>45135</v>
      </c>
      <c r="C496" s="1" t="n">
        <v>45916</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21380-2024</t>
        </is>
      </c>
      <c r="B497" s="1" t="n">
        <v>45440</v>
      </c>
      <c r="C497" s="1" t="n">
        <v>45916</v>
      </c>
      <c r="D497" t="inlineStr">
        <is>
          <t>JÄMTLANDS LÄN</t>
        </is>
      </c>
      <c r="E497" t="inlineStr">
        <is>
          <t>BRÄCKE</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21381-2024</t>
        </is>
      </c>
      <c r="B498" s="1" t="n">
        <v>45440.95402777778</v>
      </c>
      <c r="C498" s="1" t="n">
        <v>45916</v>
      </c>
      <c r="D498" t="inlineStr">
        <is>
          <t>JÄMTLANDS LÄN</t>
        </is>
      </c>
      <c r="E498" t="inlineStr">
        <is>
          <t>BRÄCKE</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64037-2023</t>
        </is>
      </c>
      <c r="B499" s="1" t="n">
        <v>45278.94344907408</v>
      </c>
      <c r="C499" s="1" t="n">
        <v>45916</v>
      </c>
      <c r="D499" t="inlineStr">
        <is>
          <t>JÄMTLANDS LÄN</t>
        </is>
      </c>
      <c r="E499" t="inlineStr">
        <is>
          <t>BRÄCKE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40711-2022</t>
        </is>
      </c>
      <c r="B500" s="1" t="n">
        <v>44820</v>
      </c>
      <c r="C500" s="1" t="n">
        <v>45916</v>
      </c>
      <c r="D500" t="inlineStr">
        <is>
          <t>JÄMTLANDS LÄN</t>
        </is>
      </c>
      <c r="E500" t="inlineStr">
        <is>
          <t>BRÄCKE</t>
        </is>
      </c>
      <c r="G500" t="n">
        <v>5.4</v>
      </c>
      <c r="H500" t="n">
        <v>0</v>
      </c>
      <c r="I500" t="n">
        <v>0</v>
      </c>
      <c r="J500" t="n">
        <v>0</v>
      </c>
      <c r="K500" t="n">
        <v>0</v>
      </c>
      <c r="L500" t="n">
        <v>0</v>
      </c>
      <c r="M500" t="n">
        <v>0</v>
      </c>
      <c r="N500" t="n">
        <v>0</v>
      </c>
      <c r="O500" t="n">
        <v>0</v>
      </c>
      <c r="P500" t="n">
        <v>0</v>
      </c>
      <c r="Q500" t="n">
        <v>0</v>
      </c>
      <c r="R500" s="2" t="inlineStr"/>
    </row>
    <row r="501" ht="15" customHeight="1">
      <c r="A501" t="inlineStr">
        <is>
          <t>A 1864-2022</t>
        </is>
      </c>
      <c r="B501" s="1" t="n">
        <v>44574</v>
      </c>
      <c r="C501" s="1" t="n">
        <v>45916</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26302-2024</t>
        </is>
      </c>
      <c r="B502" s="1" t="n">
        <v>45468.9328587963</v>
      </c>
      <c r="C502" s="1" t="n">
        <v>45916</v>
      </c>
      <c r="D502" t="inlineStr">
        <is>
          <t>JÄMTLANDS LÄN</t>
        </is>
      </c>
      <c r="E502" t="inlineStr">
        <is>
          <t>BRÄCKE</t>
        </is>
      </c>
      <c r="G502" t="n">
        <v>0.5</v>
      </c>
      <c r="H502" t="n">
        <v>0</v>
      </c>
      <c r="I502" t="n">
        <v>0</v>
      </c>
      <c r="J502" t="n">
        <v>0</v>
      </c>
      <c r="K502" t="n">
        <v>0</v>
      </c>
      <c r="L502" t="n">
        <v>0</v>
      </c>
      <c r="M502" t="n">
        <v>0</v>
      </c>
      <c r="N502" t="n">
        <v>0</v>
      </c>
      <c r="O502" t="n">
        <v>0</v>
      </c>
      <c r="P502" t="n">
        <v>0</v>
      </c>
      <c r="Q502" t="n">
        <v>0</v>
      </c>
      <c r="R502" s="2" t="inlineStr"/>
    </row>
    <row r="503" ht="15" customHeight="1">
      <c r="A503" t="inlineStr">
        <is>
          <t>A 16336-2021</t>
        </is>
      </c>
      <c r="B503" s="1" t="n">
        <v>44292.93416666667</v>
      </c>
      <c r="C503" s="1" t="n">
        <v>45916</v>
      </c>
      <c r="D503" t="inlineStr">
        <is>
          <t>JÄMTLANDS LÄN</t>
        </is>
      </c>
      <c r="E503" t="inlineStr">
        <is>
          <t>BRÄCKE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46623-2022</t>
        </is>
      </c>
      <c r="B504" s="1" t="n">
        <v>44848.95137731481</v>
      </c>
      <c r="C504" s="1" t="n">
        <v>45916</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34137-2023</t>
        </is>
      </c>
      <c r="B505" s="1" t="n">
        <v>45135</v>
      </c>
      <c r="C505" s="1" t="n">
        <v>45916</v>
      </c>
      <c r="D505" t="inlineStr">
        <is>
          <t>JÄMTLANDS LÄN</t>
        </is>
      </c>
      <c r="E505" t="inlineStr">
        <is>
          <t>BRÄCKE</t>
        </is>
      </c>
      <c r="F505" t="inlineStr">
        <is>
          <t>SCA</t>
        </is>
      </c>
      <c r="G505" t="n">
        <v>0.3</v>
      </c>
      <c r="H505" t="n">
        <v>0</v>
      </c>
      <c r="I505" t="n">
        <v>0</v>
      </c>
      <c r="J505" t="n">
        <v>0</v>
      </c>
      <c r="K505" t="n">
        <v>0</v>
      </c>
      <c r="L505" t="n">
        <v>0</v>
      </c>
      <c r="M505" t="n">
        <v>0</v>
      </c>
      <c r="N505" t="n">
        <v>0</v>
      </c>
      <c r="O505" t="n">
        <v>0</v>
      </c>
      <c r="P505" t="n">
        <v>0</v>
      </c>
      <c r="Q505" t="n">
        <v>0</v>
      </c>
      <c r="R505" s="2" t="inlineStr"/>
    </row>
    <row r="506" ht="15" customHeight="1">
      <c r="A506" t="inlineStr">
        <is>
          <t>A 18057-2025</t>
        </is>
      </c>
      <c r="B506" s="1" t="n">
        <v>45761.47681712963</v>
      </c>
      <c r="C506" s="1" t="n">
        <v>45916</v>
      </c>
      <c r="D506" t="inlineStr">
        <is>
          <t>JÄMTLANDS LÄN</t>
        </is>
      </c>
      <c r="E506" t="inlineStr">
        <is>
          <t>BRÄCKE</t>
        </is>
      </c>
      <c r="G506" t="n">
        <v>4.3</v>
      </c>
      <c r="H506" t="n">
        <v>0</v>
      </c>
      <c r="I506" t="n">
        <v>0</v>
      </c>
      <c r="J506" t="n">
        <v>0</v>
      </c>
      <c r="K506" t="n">
        <v>0</v>
      </c>
      <c r="L506" t="n">
        <v>0</v>
      </c>
      <c r="M506" t="n">
        <v>0</v>
      </c>
      <c r="N506" t="n">
        <v>0</v>
      </c>
      <c r="O506" t="n">
        <v>0</v>
      </c>
      <c r="P506" t="n">
        <v>0</v>
      </c>
      <c r="Q506" t="n">
        <v>0</v>
      </c>
      <c r="R506" s="2" t="inlineStr"/>
    </row>
    <row r="507" ht="15" customHeight="1">
      <c r="A507" t="inlineStr">
        <is>
          <t>A 18065-2025</t>
        </is>
      </c>
      <c r="B507" s="1" t="n">
        <v>45761.48989583334</v>
      </c>
      <c r="C507" s="1" t="n">
        <v>45916</v>
      </c>
      <c r="D507" t="inlineStr">
        <is>
          <t>JÄMTLANDS LÄN</t>
        </is>
      </c>
      <c r="E507" t="inlineStr">
        <is>
          <t>BRÄCKE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3179-2024</t>
        </is>
      </c>
      <c r="B508" s="1" t="n">
        <v>45316</v>
      </c>
      <c r="C508" s="1" t="n">
        <v>45916</v>
      </c>
      <c r="D508" t="inlineStr">
        <is>
          <t>JÄMTLANDS LÄN</t>
        </is>
      </c>
      <c r="E508" t="inlineStr">
        <is>
          <t>BRÄCKE</t>
        </is>
      </c>
      <c r="G508" t="n">
        <v>1.5</v>
      </c>
      <c r="H508" t="n">
        <v>0</v>
      </c>
      <c r="I508" t="n">
        <v>0</v>
      </c>
      <c r="J508" t="n">
        <v>0</v>
      </c>
      <c r="K508" t="n">
        <v>0</v>
      </c>
      <c r="L508" t="n">
        <v>0</v>
      </c>
      <c r="M508" t="n">
        <v>0</v>
      </c>
      <c r="N508" t="n">
        <v>0</v>
      </c>
      <c r="O508" t="n">
        <v>0</v>
      </c>
      <c r="P508" t="n">
        <v>0</v>
      </c>
      <c r="Q508" t="n">
        <v>0</v>
      </c>
      <c r="R508" s="2" t="inlineStr"/>
    </row>
    <row r="509" ht="15" customHeight="1">
      <c r="A509" t="inlineStr">
        <is>
          <t>A 1504-2025</t>
        </is>
      </c>
      <c r="B509" s="1" t="n">
        <v>45670.42738425926</v>
      </c>
      <c r="C509" s="1" t="n">
        <v>45916</v>
      </c>
      <c r="D509" t="inlineStr">
        <is>
          <t>JÄMTLANDS LÄN</t>
        </is>
      </c>
      <c r="E509" t="inlineStr">
        <is>
          <t>BRÄCKE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26139-2022</t>
        </is>
      </c>
      <c r="B510" s="1" t="n">
        <v>44734</v>
      </c>
      <c r="C510" s="1" t="n">
        <v>45916</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40693-2024</t>
        </is>
      </c>
      <c r="B511" s="1" t="n">
        <v>45558.40670138889</v>
      </c>
      <c r="C511" s="1" t="n">
        <v>45916</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49043-2023</t>
        </is>
      </c>
      <c r="B512" s="1" t="n">
        <v>45209.95743055556</v>
      </c>
      <c r="C512" s="1" t="n">
        <v>45916</v>
      </c>
      <c r="D512" t="inlineStr">
        <is>
          <t>JÄMTLANDS LÄN</t>
        </is>
      </c>
      <c r="E512" t="inlineStr">
        <is>
          <t>BRÄCKE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44324-2023</t>
        </is>
      </c>
      <c r="B513" s="1" t="n">
        <v>45188</v>
      </c>
      <c r="C513" s="1" t="n">
        <v>45916</v>
      </c>
      <c r="D513" t="inlineStr">
        <is>
          <t>JÄMTLANDS LÄN</t>
        </is>
      </c>
      <c r="E513" t="inlineStr">
        <is>
          <t>BRÄCKE</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20093-2023</t>
        </is>
      </c>
      <c r="B514" s="1" t="n">
        <v>45054.94181712963</v>
      </c>
      <c r="C514" s="1" t="n">
        <v>45916</v>
      </c>
      <c r="D514" t="inlineStr">
        <is>
          <t>JÄMTLANDS LÄN</t>
        </is>
      </c>
      <c r="E514" t="inlineStr">
        <is>
          <t>BRÄCKE</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52023-2022</t>
        </is>
      </c>
      <c r="B515" s="1" t="n">
        <v>44872.95675925926</v>
      </c>
      <c r="C515" s="1" t="n">
        <v>45916</v>
      </c>
      <c r="D515" t="inlineStr">
        <is>
          <t>JÄMTLANDS LÄN</t>
        </is>
      </c>
      <c r="E515" t="inlineStr">
        <is>
          <t>BRÄCKE</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23320-2025</t>
        </is>
      </c>
      <c r="B516" s="1" t="n">
        <v>45791.61528935185</v>
      </c>
      <c r="C516" s="1" t="n">
        <v>45916</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24717-2022</t>
        </is>
      </c>
      <c r="B517" s="1" t="n">
        <v>44727</v>
      </c>
      <c r="C517" s="1" t="n">
        <v>45916</v>
      </c>
      <c r="D517" t="inlineStr">
        <is>
          <t>JÄMTLANDS LÄN</t>
        </is>
      </c>
      <c r="E517" t="inlineStr">
        <is>
          <t>BRÄCKE</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23298-2025</t>
        </is>
      </c>
      <c r="B518" s="1" t="n">
        <v>45791.59456018519</v>
      </c>
      <c r="C518" s="1" t="n">
        <v>45916</v>
      </c>
      <c r="D518" t="inlineStr">
        <is>
          <t>JÄMTLANDS LÄN</t>
        </is>
      </c>
      <c r="E518" t="inlineStr">
        <is>
          <t>BRÄCKE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29835-2022</t>
        </is>
      </c>
      <c r="B519" s="1" t="n">
        <v>44755.94592592592</v>
      </c>
      <c r="C519" s="1" t="n">
        <v>45916</v>
      </c>
      <c r="D519" t="inlineStr">
        <is>
          <t>JÄMTLANDS LÄN</t>
        </is>
      </c>
      <c r="E519" t="inlineStr">
        <is>
          <t>BRÄCKE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30480-2022</t>
        </is>
      </c>
      <c r="B520" s="1" t="n">
        <v>44761.94019675926</v>
      </c>
      <c r="C520" s="1" t="n">
        <v>45916</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57586-2024</t>
        </is>
      </c>
      <c r="B521" s="1" t="n">
        <v>45630.49229166667</v>
      </c>
      <c r="C521" s="1" t="n">
        <v>45916</v>
      </c>
      <c r="D521" t="inlineStr">
        <is>
          <t>JÄMTLANDS LÄN</t>
        </is>
      </c>
      <c r="E521" t="inlineStr">
        <is>
          <t>BRÄCKE</t>
        </is>
      </c>
      <c r="G521" t="n">
        <v>0.1</v>
      </c>
      <c r="H521" t="n">
        <v>0</v>
      </c>
      <c r="I521" t="n">
        <v>0</v>
      </c>
      <c r="J521" t="n">
        <v>0</v>
      </c>
      <c r="K521" t="n">
        <v>0</v>
      </c>
      <c r="L521" t="n">
        <v>0</v>
      </c>
      <c r="M521" t="n">
        <v>0</v>
      </c>
      <c r="N521" t="n">
        <v>0</v>
      </c>
      <c r="O521" t="n">
        <v>0</v>
      </c>
      <c r="P521" t="n">
        <v>0</v>
      </c>
      <c r="Q521" t="n">
        <v>0</v>
      </c>
      <c r="R521" s="2" t="inlineStr"/>
    </row>
    <row r="522" ht="15" customHeight="1">
      <c r="A522" t="inlineStr">
        <is>
          <t>A 57942-2023</t>
        </is>
      </c>
      <c r="B522" s="1" t="n">
        <v>45244</v>
      </c>
      <c r="C522" s="1" t="n">
        <v>45916</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17182-2024</t>
        </is>
      </c>
      <c r="B523" s="1" t="n">
        <v>45412.97984953703</v>
      </c>
      <c r="C523" s="1" t="n">
        <v>45916</v>
      </c>
      <c r="D523" t="inlineStr">
        <is>
          <t>JÄMTLANDS LÄN</t>
        </is>
      </c>
      <c r="E523" t="inlineStr">
        <is>
          <t>BRÄCKE</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11093-2022</t>
        </is>
      </c>
      <c r="B524" s="1" t="n">
        <v>44628</v>
      </c>
      <c r="C524" s="1" t="n">
        <v>45916</v>
      </c>
      <c r="D524" t="inlineStr">
        <is>
          <t>JÄMTLANDS LÄN</t>
        </is>
      </c>
      <c r="E524" t="inlineStr">
        <is>
          <t>BRÄCKE</t>
        </is>
      </c>
      <c r="G524" t="n">
        <v>16.4</v>
      </c>
      <c r="H524" t="n">
        <v>0</v>
      </c>
      <c r="I524" t="n">
        <v>0</v>
      </c>
      <c r="J524" t="n">
        <v>0</v>
      </c>
      <c r="K524" t="n">
        <v>0</v>
      </c>
      <c r="L524" t="n">
        <v>0</v>
      </c>
      <c r="M524" t="n">
        <v>0</v>
      </c>
      <c r="N524" t="n">
        <v>0</v>
      </c>
      <c r="O524" t="n">
        <v>0</v>
      </c>
      <c r="P524" t="n">
        <v>0</v>
      </c>
      <c r="Q524" t="n">
        <v>0</v>
      </c>
      <c r="R524" s="2" t="inlineStr"/>
    </row>
    <row r="525" ht="15" customHeight="1">
      <c r="A525" t="inlineStr">
        <is>
          <t>A 33033-2023</t>
        </is>
      </c>
      <c r="B525" s="1" t="n">
        <v>45125.95037037037</v>
      </c>
      <c r="C525" s="1" t="n">
        <v>45916</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23583-2025</t>
        </is>
      </c>
      <c r="B526" s="1" t="n">
        <v>45792.63043981481</v>
      </c>
      <c r="C526" s="1" t="n">
        <v>45916</v>
      </c>
      <c r="D526" t="inlineStr">
        <is>
          <t>JÄMTLANDS LÄN</t>
        </is>
      </c>
      <c r="E526" t="inlineStr">
        <is>
          <t>BRÄCKE</t>
        </is>
      </c>
      <c r="G526" t="n">
        <v>3</v>
      </c>
      <c r="H526" t="n">
        <v>0</v>
      </c>
      <c r="I526" t="n">
        <v>0</v>
      </c>
      <c r="J526" t="n">
        <v>0</v>
      </c>
      <c r="K526" t="n">
        <v>0</v>
      </c>
      <c r="L526" t="n">
        <v>0</v>
      </c>
      <c r="M526" t="n">
        <v>0</v>
      </c>
      <c r="N526" t="n">
        <v>0</v>
      </c>
      <c r="O526" t="n">
        <v>0</v>
      </c>
      <c r="P526" t="n">
        <v>0</v>
      </c>
      <c r="Q526" t="n">
        <v>0</v>
      </c>
      <c r="R526" s="2" t="inlineStr"/>
    </row>
    <row r="527" ht="15" customHeight="1">
      <c r="A527" t="inlineStr">
        <is>
          <t>A 23771-2023</t>
        </is>
      </c>
      <c r="B527" s="1" t="n">
        <v>45077</v>
      </c>
      <c r="C527" s="1" t="n">
        <v>45916</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23842-2025</t>
        </is>
      </c>
      <c r="B528" s="1" t="n">
        <v>45793.61534722222</v>
      </c>
      <c r="C528" s="1" t="n">
        <v>45916</v>
      </c>
      <c r="D528" t="inlineStr">
        <is>
          <t>JÄMTLANDS LÄN</t>
        </is>
      </c>
      <c r="E528" t="inlineStr">
        <is>
          <t>BRÄCKE</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23723-2025</t>
        </is>
      </c>
      <c r="B529" s="1" t="n">
        <v>45793.40664351852</v>
      </c>
      <c r="C529" s="1" t="n">
        <v>45916</v>
      </c>
      <c r="D529" t="inlineStr">
        <is>
          <t>JÄMTLANDS LÄN</t>
        </is>
      </c>
      <c r="E529" t="inlineStr">
        <is>
          <t>BRÄCKE</t>
        </is>
      </c>
      <c r="F529" t="inlineStr">
        <is>
          <t>SCA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2197-2025</t>
        </is>
      </c>
      <c r="B530" s="1" t="n">
        <v>45673.38782407407</v>
      </c>
      <c r="C530" s="1" t="n">
        <v>45916</v>
      </c>
      <c r="D530" t="inlineStr">
        <is>
          <t>JÄMTLANDS LÄN</t>
        </is>
      </c>
      <c r="E530" t="inlineStr">
        <is>
          <t>BRÄCKE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31843-2022</t>
        </is>
      </c>
      <c r="B531" s="1" t="n">
        <v>44776.94121527778</v>
      </c>
      <c r="C531" s="1" t="n">
        <v>45916</v>
      </c>
      <c r="D531" t="inlineStr">
        <is>
          <t>JÄMTLANDS LÄN</t>
        </is>
      </c>
      <c r="E531" t="inlineStr">
        <is>
          <t>BRÄCKE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31853-2022</t>
        </is>
      </c>
      <c r="B532" s="1" t="n">
        <v>44776</v>
      </c>
      <c r="C532" s="1" t="n">
        <v>45916</v>
      </c>
      <c r="D532" t="inlineStr">
        <is>
          <t>JÄMTLANDS LÄN</t>
        </is>
      </c>
      <c r="E532" t="inlineStr">
        <is>
          <t>BRÄCKE</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23458-2025</t>
        </is>
      </c>
      <c r="B533" s="1" t="n">
        <v>45792.42756944444</v>
      </c>
      <c r="C533" s="1" t="n">
        <v>45916</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16158-2024</t>
        </is>
      </c>
      <c r="B534" s="1" t="n">
        <v>45406.5909837963</v>
      </c>
      <c r="C534" s="1" t="n">
        <v>45916</v>
      </c>
      <c r="D534" t="inlineStr">
        <is>
          <t>JÄMTLANDS LÄN</t>
        </is>
      </c>
      <c r="E534" t="inlineStr">
        <is>
          <t>BRÄCKE</t>
        </is>
      </c>
      <c r="G534" t="n">
        <v>5</v>
      </c>
      <c r="H534" t="n">
        <v>0</v>
      </c>
      <c r="I534" t="n">
        <v>0</v>
      </c>
      <c r="J534" t="n">
        <v>0</v>
      </c>
      <c r="K534" t="n">
        <v>0</v>
      </c>
      <c r="L534" t="n">
        <v>0</v>
      </c>
      <c r="M534" t="n">
        <v>0</v>
      </c>
      <c r="N534" t="n">
        <v>0</v>
      </c>
      <c r="O534" t="n">
        <v>0</v>
      </c>
      <c r="P534" t="n">
        <v>0</v>
      </c>
      <c r="Q534" t="n">
        <v>0</v>
      </c>
      <c r="R534" s="2" t="inlineStr"/>
    </row>
    <row r="535" ht="15" customHeight="1">
      <c r="A535" t="inlineStr">
        <is>
          <t>A 23491-2025</t>
        </is>
      </c>
      <c r="B535" s="1" t="n">
        <v>45792.46924768519</v>
      </c>
      <c r="C535" s="1" t="n">
        <v>45916</v>
      </c>
      <c r="D535" t="inlineStr">
        <is>
          <t>JÄMTLANDS LÄN</t>
        </is>
      </c>
      <c r="E535" t="inlineStr">
        <is>
          <t>BRÄCKE</t>
        </is>
      </c>
      <c r="F535" t="inlineStr">
        <is>
          <t>SCA</t>
        </is>
      </c>
      <c r="G535" t="n">
        <v>11.8</v>
      </c>
      <c r="H535" t="n">
        <v>0</v>
      </c>
      <c r="I535" t="n">
        <v>0</v>
      </c>
      <c r="J535" t="n">
        <v>0</v>
      </c>
      <c r="K535" t="n">
        <v>0</v>
      </c>
      <c r="L535" t="n">
        <v>0</v>
      </c>
      <c r="M535" t="n">
        <v>0</v>
      </c>
      <c r="N535" t="n">
        <v>0</v>
      </c>
      <c r="O535" t="n">
        <v>0</v>
      </c>
      <c r="P535" t="n">
        <v>0</v>
      </c>
      <c r="Q535" t="n">
        <v>0</v>
      </c>
      <c r="R535" s="2" t="inlineStr"/>
    </row>
    <row r="536" ht="15" customHeight="1">
      <c r="A536" t="inlineStr">
        <is>
          <t>A 35972-2023</t>
        </is>
      </c>
      <c r="B536" s="1" t="n">
        <v>45148</v>
      </c>
      <c r="C536" s="1" t="n">
        <v>45916</v>
      </c>
      <c r="D536" t="inlineStr">
        <is>
          <t>JÄMTLANDS LÄN</t>
        </is>
      </c>
      <c r="E536" t="inlineStr">
        <is>
          <t>BRÄCKE</t>
        </is>
      </c>
      <c r="G536" t="n">
        <v>2.2</v>
      </c>
      <c r="H536" t="n">
        <v>0</v>
      </c>
      <c r="I536" t="n">
        <v>0</v>
      </c>
      <c r="J536" t="n">
        <v>0</v>
      </c>
      <c r="K536" t="n">
        <v>0</v>
      </c>
      <c r="L536" t="n">
        <v>0</v>
      </c>
      <c r="M536" t="n">
        <v>0</v>
      </c>
      <c r="N536" t="n">
        <v>0</v>
      </c>
      <c r="O536" t="n">
        <v>0</v>
      </c>
      <c r="P536" t="n">
        <v>0</v>
      </c>
      <c r="Q536" t="n">
        <v>0</v>
      </c>
      <c r="R536" s="2" t="inlineStr"/>
    </row>
    <row r="537" ht="15" customHeight="1">
      <c r="A537" t="inlineStr">
        <is>
          <t>A 172-2025</t>
        </is>
      </c>
      <c r="B537" s="1" t="n">
        <v>45659.6565625</v>
      </c>
      <c r="C537" s="1" t="n">
        <v>45916</v>
      </c>
      <c r="D537" t="inlineStr">
        <is>
          <t>JÄMTLANDS LÄN</t>
        </is>
      </c>
      <c r="E537" t="inlineStr">
        <is>
          <t>BRÄCKE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18983-2025</t>
        </is>
      </c>
      <c r="B538" s="1" t="n">
        <v>45764.55618055556</v>
      </c>
      <c r="C538" s="1" t="n">
        <v>45916</v>
      </c>
      <c r="D538" t="inlineStr">
        <is>
          <t>JÄMTLANDS LÄN</t>
        </is>
      </c>
      <c r="E538" t="inlineStr">
        <is>
          <t>BRÄCKE</t>
        </is>
      </c>
      <c r="G538" t="n">
        <v>23.8</v>
      </c>
      <c r="H538" t="n">
        <v>0</v>
      </c>
      <c r="I538" t="n">
        <v>0</v>
      </c>
      <c r="J538" t="n">
        <v>0</v>
      </c>
      <c r="K538" t="n">
        <v>0</v>
      </c>
      <c r="L538" t="n">
        <v>0</v>
      </c>
      <c r="M538" t="n">
        <v>0</v>
      </c>
      <c r="N538" t="n">
        <v>0</v>
      </c>
      <c r="O538" t="n">
        <v>0</v>
      </c>
      <c r="P538" t="n">
        <v>0</v>
      </c>
      <c r="Q538" t="n">
        <v>0</v>
      </c>
      <c r="R538" s="2" t="inlineStr"/>
    </row>
    <row r="539" ht="15" customHeight="1">
      <c r="A539" t="inlineStr">
        <is>
          <t>A 46939-2023</t>
        </is>
      </c>
      <c r="B539" s="1" t="n">
        <v>45195</v>
      </c>
      <c r="C539" s="1" t="n">
        <v>45916</v>
      </c>
      <c r="D539" t="inlineStr">
        <is>
          <t>JÄMTLANDS LÄN</t>
        </is>
      </c>
      <c r="E539" t="inlineStr">
        <is>
          <t>BRÄCKE</t>
        </is>
      </c>
      <c r="G539" t="n">
        <v>13.4</v>
      </c>
      <c r="H539" t="n">
        <v>0</v>
      </c>
      <c r="I539" t="n">
        <v>0</v>
      </c>
      <c r="J539" t="n">
        <v>0</v>
      </c>
      <c r="K539" t="n">
        <v>0</v>
      </c>
      <c r="L539" t="n">
        <v>0</v>
      </c>
      <c r="M539" t="n">
        <v>0</v>
      </c>
      <c r="N539" t="n">
        <v>0</v>
      </c>
      <c r="O539" t="n">
        <v>0</v>
      </c>
      <c r="P539" t="n">
        <v>0</v>
      </c>
      <c r="Q539" t="n">
        <v>0</v>
      </c>
      <c r="R539" s="2" t="inlineStr"/>
    </row>
    <row r="540" ht="15" customHeight="1">
      <c r="A540" t="inlineStr">
        <is>
          <t>A 27460-2024</t>
        </is>
      </c>
      <c r="B540" s="1" t="n">
        <v>45474.44785879629</v>
      </c>
      <c r="C540" s="1" t="n">
        <v>45916</v>
      </c>
      <c r="D540" t="inlineStr">
        <is>
          <t>JÄMTLANDS LÄN</t>
        </is>
      </c>
      <c r="E540" t="inlineStr">
        <is>
          <t>BRÄCKE</t>
        </is>
      </c>
      <c r="G540" t="n">
        <v>11.5</v>
      </c>
      <c r="H540" t="n">
        <v>0</v>
      </c>
      <c r="I540" t="n">
        <v>0</v>
      </c>
      <c r="J540" t="n">
        <v>0</v>
      </c>
      <c r="K540" t="n">
        <v>0</v>
      </c>
      <c r="L540" t="n">
        <v>0</v>
      </c>
      <c r="M540" t="n">
        <v>0</v>
      </c>
      <c r="N540" t="n">
        <v>0</v>
      </c>
      <c r="O540" t="n">
        <v>0</v>
      </c>
      <c r="P540" t="n">
        <v>0</v>
      </c>
      <c r="Q540" t="n">
        <v>0</v>
      </c>
      <c r="R540" s="2" t="inlineStr"/>
    </row>
    <row r="541" ht="15" customHeight="1">
      <c r="A541" t="inlineStr">
        <is>
          <t>A 27455-2024</t>
        </is>
      </c>
      <c r="B541" s="1" t="n">
        <v>45474.43834490741</v>
      </c>
      <c r="C541" s="1" t="n">
        <v>45916</v>
      </c>
      <c r="D541" t="inlineStr">
        <is>
          <t>JÄMTLANDS LÄN</t>
        </is>
      </c>
      <c r="E541" t="inlineStr">
        <is>
          <t>BRÄCKE</t>
        </is>
      </c>
      <c r="G541" t="n">
        <v>4.4</v>
      </c>
      <c r="H541" t="n">
        <v>0</v>
      </c>
      <c r="I541" t="n">
        <v>0</v>
      </c>
      <c r="J541" t="n">
        <v>0</v>
      </c>
      <c r="K541" t="n">
        <v>0</v>
      </c>
      <c r="L541" t="n">
        <v>0</v>
      </c>
      <c r="M541" t="n">
        <v>0</v>
      </c>
      <c r="N541" t="n">
        <v>0</v>
      </c>
      <c r="O541" t="n">
        <v>0</v>
      </c>
      <c r="P541" t="n">
        <v>0</v>
      </c>
      <c r="Q541" t="n">
        <v>0</v>
      </c>
      <c r="R541" s="2" t="inlineStr"/>
    </row>
    <row r="542" ht="15" customHeight="1">
      <c r="A542" t="inlineStr">
        <is>
          <t>A 44082-2024</t>
        </is>
      </c>
      <c r="B542" s="1" t="n">
        <v>45572.61549768518</v>
      </c>
      <c r="C542" s="1" t="n">
        <v>45916</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1201-2022</t>
        </is>
      </c>
      <c r="B543" s="1" t="n">
        <v>44572</v>
      </c>
      <c r="C543" s="1" t="n">
        <v>45916</v>
      </c>
      <c r="D543" t="inlineStr">
        <is>
          <t>JÄMTLANDS LÄN</t>
        </is>
      </c>
      <c r="E543" t="inlineStr">
        <is>
          <t>BRÄCKE</t>
        </is>
      </c>
      <c r="G543" t="n">
        <v>13.7</v>
      </c>
      <c r="H543" t="n">
        <v>0</v>
      </c>
      <c r="I543" t="n">
        <v>0</v>
      </c>
      <c r="J543" t="n">
        <v>0</v>
      </c>
      <c r="K543" t="n">
        <v>0</v>
      </c>
      <c r="L543" t="n">
        <v>0</v>
      </c>
      <c r="M543" t="n">
        <v>0</v>
      </c>
      <c r="N543" t="n">
        <v>0</v>
      </c>
      <c r="O543" t="n">
        <v>0</v>
      </c>
      <c r="P543" t="n">
        <v>0</v>
      </c>
      <c r="Q543" t="n">
        <v>0</v>
      </c>
      <c r="R543" s="2" t="inlineStr"/>
    </row>
    <row r="544" ht="15" customHeight="1">
      <c r="A544" t="inlineStr">
        <is>
          <t>A 48425-2023</t>
        </is>
      </c>
      <c r="B544" s="1" t="n">
        <v>45205</v>
      </c>
      <c r="C544" s="1" t="n">
        <v>45916</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8853-2025</t>
        </is>
      </c>
      <c r="B545" s="1" t="n">
        <v>45713.34482638889</v>
      </c>
      <c r="C545" s="1" t="n">
        <v>45916</v>
      </c>
      <c r="D545" t="inlineStr">
        <is>
          <t>JÄMTLANDS LÄN</t>
        </is>
      </c>
      <c r="E545" t="inlineStr">
        <is>
          <t>BRÄCKE</t>
        </is>
      </c>
      <c r="F545" t="inlineStr">
        <is>
          <t>SCA</t>
        </is>
      </c>
      <c r="G545" t="n">
        <v>15.7</v>
      </c>
      <c r="H545" t="n">
        <v>0</v>
      </c>
      <c r="I545" t="n">
        <v>0</v>
      </c>
      <c r="J545" t="n">
        <v>0</v>
      </c>
      <c r="K545" t="n">
        <v>0</v>
      </c>
      <c r="L545" t="n">
        <v>0</v>
      </c>
      <c r="M545" t="n">
        <v>0</v>
      </c>
      <c r="N545" t="n">
        <v>0</v>
      </c>
      <c r="O545" t="n">
        <v>0</v>
      </c>
      <c r="P545" t="n">
        <v>0</v>
      </c>
      <c r="Q545" t="n">
        <v>0</v>
      </c>
      <c r="R545" s="2" t="inlineStr"/>
    </row>
    <row r="546" ht="15" customHeight="1">
      <c r="A546" t="inlineStr">
        <is>
          <t>A 12900-2023</t>
        </is>
      </c>
      <c r="B546" s="1" t="n">
        <v>45001</v>
      </c>
      <c r="C546" s="1" t="n">
        <v>45916</v>
      </c>
      <c r="D546" t="inlineStr">
        <is>
          <t>JÄMTLANDS LÄN</t>
        </is>
      </c>
      <c r="E546" t="inlineStr">
        <is>
          <t>BRÄCKE</t>
        </is>
      </c>
      <c r="G546" t="n">
        <v>1.3</v>
      </c>
      <c r="H546" t="n">
        <v>0</v>
      </c>
      <c r="I546" t="n">
        <v>0</v>
      </c>
      <c r="J546" t="n">
        <v>0</v>
      </c>
      <c r="K546" t="n">
        <v>0</v>
      </c>
      <c r="L546" t="n">
        <v>0</v>
      </c>
      <c r="M546" t="n">
        <v>0</v>
      </c>
      <c r="N546" t="n">
        <v>0</v>
      </c>
      <c r="O546" t="n">
        <v>0</v>
      </c>
      <c r="P546" t="n">
        <v>0</v>
      </c>
      <c r="Q546" t="n">
        <v>0</v>
      </c>
      <c r="R546" s="2" t="inlineStr"/>
    </row>
    <row r="547" ht="15" customHeight="1">
      <c r="A547" t="inlineStr">
        <is>
          <t>A 32671-2024</t>
        </is>
      </c>
      <c r="B547" s="1" t="n">
        <v>45514.59587962963</v>
      </c>
      <c r="C547" s="1" t="n">
        <v>45916</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13762-2024</t>
        </is>
      </c>
      <c r="B548" s="1" t="n">
        <v>45390</v>
      </c>
      <c r="C548" s="1" t="n">
        <v>45916</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47486-2023</t>
        </is>
      </c>
      <c r="B549" s="1" t="n">
        <v>45202.94155092593</v>
      </c>
      <c r="C549" s="1" t="n">
        <v>45916</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47487-2023</t>
        </is>
      </c>
      <c r="B550" s="1" t="n">
        <v>45202.94162037037</v>
      </c>
      <c r="C550" s="1" t="n">
        <v>45916</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41831-2024</t>
        </is>
      </c>
      <c r="B551" s="1" t="n">
        <v>45561.40703703704</v>
      </c>
      <c r="C551" s="1" t="n">
        <v>45916</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4882-2025</t>
        </is>
      </c>
      <c r="B552" s="1" t="n">
        <v>45688.67729166667</v>
      </c>
      <c r="C552" s="1" t="n">
        <v>45916</v>
      </c>
      <c r="D552" t="inlineStr">
        <is>
          <t>JÄMTLANDS LÄN</t>
        </is>
      </c>
      <c r="E552" t="inlineStr">
        <is>
          <t>BRÄCKE</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55221-2024</t>
        </is>
      </c>
      <c r="B553" s="1" t="n">
        <v>45621.57369212963</v>
      </c>
      <c r="C553" s="1" t="n">
        <v>45916</v>
      </c>
      <c r="D553" t="inlineStr">
        <is>
          <t>JÄMTLANDS LÄN</t>
        </is>
      </c>
      <c r="E553" t="inlineStr">
        <is>
          <t>BRÄCKE</t>
        </is>
      </c>
      <c r="G553" t="n">
        <v>2.8</v>
      </c>
      <c r="H553" t="n">
        <v>0</v>
      </c>
      <c r="I553" t="n">
        <v>0</v>
      </c>
      <c r="J553" t="n">
        <v>0</v>
      </c>
      <c r="K553" t="n">
        <v>0</v>
      </c>
      <c r="L553" t="n">
        <v>0</v>
      </c>
      <c r="M553" t="n">
        <v>0</v>
      </c>
      <c r="N553" t="n">
        <v>0</v>
      </c>
      <c r="O553" t="n">
        <v>0</v>
      </c>
      <c r="P553" t="n">
        <v>0</v>
      </c>
      <c r="Q553" t="n">
        <v>0</v>
      </c>
      <c r="R553" s="2" t="inlineStr"/>
    </row>
    <row r="554" ht="15" customHeight="1">
      <c r="A554" t="inlineStr">
        <is>
          <t>A 33998-2023</t>
        </is>
      </c>
      <c r="B554" s="1" t="n">
        <v>45134</v>
      </c>
      <c r="C554" s="1" t="n">
        <v>45916</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1347-2025</t>
        </is>
      </c>
      <c r="B555" s="1" t="n">
        <v>45667.61490740741</v>
      </c>
      <c r="C555" s="1" t="n">
        <v>45916</v>
      </c>
      <c r="D555" t="inlineStr">
        <is>
          <t>JÄMTLANDS LÄN</t>
        </is>
      </c>
      <c r="E555" t="inlineStr">
        <is>
          <t>BRÄCKE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11331-2024</t>
        </is>
      </c>
      <c r="B556" s="1" t="n">
        <v>45372.04696759259</v>
      </c>
      <c r="C556" s="1" t="n">
        <v>45916</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4915-2025</t>
        </is>
      </c>
      <c r="B557" s="1" t="n">
        <v>45688.68184027778</v>
      </c>
      <c r="C557" s="1" t="n">
        <v>45916</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24154-2025</t>
        </is>
      </c>
      <c r="B558" s="1" t="n">
        <v>45796.65685185185</v>
      </c>
      <c r="C558" s="1" t="n">
        <v>45916</v>
      </c>
      <c r="D558" t="inlineStr">
        <is>
          <t>JÄMTLANDS LÄN</t>
        </is>
      </c>
      <c r="E558" t="inlineStr">
        <is>
          <t>BRÄCKE</t>
        </is>
      </c>
      <c r="F558" t="inlineStr">
        <is>
          <t>SCA</t>
        </is>
      </c>
      <c r="G558" t="n">
        <v>7.4</v>
      </c>
      <c r="H558" t="n">
        <v>0</v>
      </c>
      <c r="I558" t="n">
        <v>0</v>
      </c>
      <c r="J558" t="n">
        <v>0</v>
      </c>
      <c r="K558" t="n">
        <v>0</v>
      </c>
      <c r="L558" t="n">
        <v>0</v>
      </c>
      <c r="M558" t="n">
        <v>0</v>
      </c>
      <c r="N558" t="n">
        <v>0</v>
      </c>
      <c r="O558" t="n">
        <v>0</v>
      </c>
      <c r="P558" t="n">
        <v>0</v>
      </c>
      <c r="Q558" t="n">
        <v>0</v>
      </c>
      <c r="R558" s="2" t="inlineStr"/>
    </row>
    <row r="559" ht="15" customHeight="1">
      <c r="A559" t="inlineStr">
        <is>
          <t>A 59047-2022</t>
        </is>
      </c>
      <c r="B559" s="1" t="n">
        <v>44903.95328703704</v>
      </c>
      <c r="C559" s="1" t="n">
        <v>45916</v>
      </c>
      <c r="D559" t="inlineStr">
        <is>
          <t>JÄMTLANDS LÄN</t>
        </is>
      </c>
      <c r="E559" t="inlineStr">
        <is>
          <t>BRÄCKE</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60435-2023</t>
        </is>
      </c>
      <c r="B560" s="1" t="n">
        <v>45258</v>
      </c>
      <c r="C560" s="1" t="n">
        <v>45916</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29873-2024</t>
        </is>
      </c>
      <c r="B561" s="1" t="n">
        <v>45485.94542824074</v>
      </c>
      <c r="C561" s="1" t="n">
        <v>45916</v>
      </c>
      <c r="D561" t="inlineStr">
        <is>
          <t>JÄMTLANDS LÄN</t>
        </is>
      </c>
      <c r="E561" t="inlineStr">
        <is>
          <t>BRÄCKE</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56896-2021</t>
        </is>
      </c>
      <c r="B562" s="1" t="n">
        <v>44481.92091435185</v>
      </c>
      <c r="C562" s="1" t="n">
        <v>45916</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14503-2024</t>
        </is>
      </c>
      <c r="B563" s="1" t="n">
        <v>45394.60408564815</v>
      </c>
      <c r="C563" s="1" t="n">
        <v>45916</v>
      </c>
      <c r="D563" t="inlineStr">
        <is>
          <t>JÄMTLANDS LÄN</t>
        </is>
      </c>
      <c r="E563" t="inlineStr">
        <is>
          <t>BRÄCKE</t>
        </is>
      </c>
      <c r="G563" t="n">
        <v>15.2</v>
      </c>
      <c r="H563" t="n">
        <v>0</v>
      </c>
      <c r="I563" t="n">
        <v>0</v>
      </c>
      <c r="J563" t="n">
        <v>0</v>
      </c>
      <c r="K563" t="n">
        <v>0</v>
      </c>
      <c r="L563" t="n">
        <v>0</v>
      </c>
      <c r="M563" t="n">
        <v>0</v>
      </c>
      <c r="N563" t="n">
        <v>0</v>
      </c>
      <c r="O563" t="n">
        <v>0</v>
      </c>
      <c r="P563" t="n">
        <v>0</v>
      </c>
      <c r="Q563" t="n">
        <v>0</v>
      </c>
      <c r="R563" s="2" t="inlineStr"/>
    </row>
    <row r="564" ht="15" customHeight="1">
      <c r="A564" t="inlineStr">
        <is>
          <t>A 40769-2021</t>
        </is>
      </c>
      <c r="B564" s="1" t="n">
        <v>44420</v>
      </c>
      <c r="C564" s="1" t="n">
        <v>45916</v>
      </c>
      <c r="D564" t="inlineStr">
        <is>
          <t>JÄMTLANDS LÄN</t>
        </is>
      </c>
      <c r="E564" t="inlineStr">
        <is>
          <t>BRÄCKE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9434-2025</t>
        </is>
      </c>
      <c r="B565" s="1" t="n">
        <v>45715.41209490741</v>
      </c>
      <c r="C565" s="1" t="n">
        <v>45916</v>
      </c>
      <c r="D565" t="inlineStr">
        <is>
          <t>JÄMTLANDS LÄN</t>
        </is>
      </c>
      <c r="E565" t="inlineStr">
        <is>
          <t>BRÄCKE</t>
        </is>
      </c>
      <c r="G565" t="n">
        <v>8.9</v>
      </c>
      <c r="H565" t="n">
        <v>0</v>
      </c>
      <c r="I565" t="n">
        <v>0</v>
      </c>
      <c r="J565" t="n">
        <v>0</v>
      </c>
      <c r="K565" t="n">
        <v>0</v>
      </c>
      <c r="L565" t="n">
        <v>0</v>
      </c>
      <c r="M565" t="n">
        <v>0</v>
      </c>
      <c r="N565" t="n">
        <v>0</v>
      </c>
      <c r="O565" t="n">
        <v>0</v>
      </c>
      <c r="P565" t="n">
        <v>0</v>
      </c>
      <c r="Q565" t="n">
        <v>0</v>
      </c>
      <c r="R565" s="2" t="inlineStr"/>
    </row>
    <row r="566" ht="15" customHeight="1">
      <c r="A566" t="inlineStr">
        <is>
          <t>A 24236-2025</t>
        </is>
      </c>
      <c r="B566" s="1" t="n">
        <v>45797.38586805556</v>
      </c>
      <c r="C566" s="1" t="n">
        <v>45916</v>
      </c>
      <c r="D566" t="inlineStr">
        <is>
          <t>JÄMTLANDS LÄN</t>
        </is>
      </c>
      <c r="E566" t="inlineStr">
        <is>
          <t>BRÄCKE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18036-2025</t>
        </is>
      </c>
      <c r="B567" s="1" t="n">
        <v>45761.45518518519</v>
      </c>
      <c r="C567" s="1" t="n">
        <v>45916</v>
      </c>
      <c r="D567" t="inlineStr">
        <is>
          <t>JÄMTLANDS LÄN</t>
        </is>
      </c>
      <c r="E567" t="inlineStr">
        <is>
          <t>BRÄCKE</t>
        </is>
      </c>
      <c r="G567" t="n">
        <v>19.5</v>
      </c>
      <c r="H567" t="n">
        <v>0</v>
      </c>
      <c r="I567" t="n">
        <v>0</v>
      </c>
      <c r="J567" t="n">
        <v>0</v>
      </c>
      <c r="K567" t="n">
        <v>0</v>
      </c>
      <c r="L567" t="n">
        <v>0</v>
      </c>
      <c r="M567" t="n">
        <v>0</v>
      </c>
      <c r="N567" t="n">
        <v>0</v>
      </c>
      <c r="O567" t="n">
        <v>0</v>
      </c>
      <c r="P567" t="n">
        <v>0</v>
      </c>
      <c r="Q567" t="n">
        <v>0</v>
      </c>
      <c r="R567" s="2" t="inlineStr"/>
    </row>
    <row r="568" ht="15" customHeight="1">
      <c r="A568" t="inlineStr">
        <is>
          <t>A 52269-2023</t>
        </is>
      </c>
      <c r="B568" s="1" t="n">
        <v>45217</v>
      </c>
      <c r="C568" s="1" t="n">
        <v>45916</v>
      </c>
      <c r="D568" t="inlineStr">
        <is>
          <t>JÄMTLANDS LÄN</t>
        </is>
      </c>
      <c r="E568" t="inlineStr">
        <is>
          <t>BRÄCKE</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58767-2023</t>
        </is>
      </c>
      <c r="B569" s="1" t="n">
        <v>45251.96665509259</v>
      </c>
      <c r="C569" s="1" t="n">
        <v>45916</v>
      </c>
      <c r="D569" t="inlineStr">
        <is>
          <t>JÄMTLANDS LÄN</t>
        </is>
      </c>
      <c r="E569" t="inlineStr">
        <is>
          <t>BRÄCKE</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51167-2023</t>
        </is>
      </c>
      <c r="B570" s="1" t="n">
        <v>45219.38388888889</v>
      </c>
      <c r="C570" s="1" t="n">
        <v>45916</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44444-2022</t>
        </is>
      </c>
      <c r="B571" s="1" t="n">
        <v>44839.95474537037</v>
      </c>
      <c r="C571" s="1" t="n">
        <v>45916</v>
      </c>
      <c r="D571" t="inlineStr">
        <is>
          <t>JÄMTLANDS LÄN</t>
        </is>
      </c>
      <c r="E571" t="inlineStr">
        <is>
          <t>BRÄCKE</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6291-2025</t>
        </is>
      </c>
      <c r="B572" s="1" t="n">
        <v>45698.65653935185</v>
      </c>
      <c r="C572" s="1" t="n">
        <v>45916</v>
      </c>
      <c r="D572" t="inlineStr">
        <is>
          <t>JÄMTLANDS LÄN</t>
        </is>
      </c>
      <c r="E572" t="inlineStr">
        <is>
          <t>BRÄCKE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23539-2025</t>
        </is>
      </c>
      <c r="B573" s="1" t="n">
        <v>45792</v>
      </c>
      <c r="C573" s="1" t="n">
        <v>45916</v>
      </c>
      <c r="D573" t="inlineStr">
        <is>
          <t>JÄMTLANDS LÄN</t>
        </is>
      </c>
      <c r="E573" t="inlineStr">
        <is>
          <t>BRÄCKE</t>
        </is>
      </c>
      <c r="G573" t="n">
        <v>14.9</v>
      </c>
      <c r="H573" t="n">
        <v>0</v>
      </c>
      <c r="I573" t="n">
        <v>0</v>
      </c>
      <c r="J573" t="n">
        <v>0</v>
      </c>
      <c r="K573" t="n">
        <v>0</v>
      </c>
      <c r="L573" t="n">
        <v>0</v>
      </c>
      <c r="M573" t="n">
        <v>0</v>
      </c>
      <c r="N573" t="n">
        <v>0</v>
      </c>
      <c r="O573" t="n">
        <v>0</v>
      </c>
      <c r="P573" t="n">
        <v>0</v>
      </c>
      <c r="Q573" t="n">
        <v>0</v>
      </c>
      <c r="R573" s="2" t="inlineStr"/>
    </row>
    <row r="574" ht="15" customHeight="1">
      <c r="A574" t="inlineStr">
        <is>
          <t>A 64495-2020</t>
        </is>
      </c>
      <c r="B574" s="1" t="n">
        <v>44168</v>
      </c>
      <c r="C574" s="1" t="n">
        <v>45916</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1174-2025</t>
        </is>
      </c>
      <c r="B575" s="1" t="n">
        <v>45667.34418981482</v>
      </c>
      <c r="C575" s="1" t="n">
        <v>45916</v>
      </c>
      <c r="D575" t="inlineStr">
        <is>
          <t>JÄMTLANDS LÄN</t>
        </is>
      </c>
      <c r="E575" t="inlineStr">
        <is>
          <t>BRÄCKE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10486-2025</t>
        </is>
      </c>
      <c r="B576" s="1" t="n">
        <v>45721.34410879629</v>
      </c>
      <c r="C576" s="1" t="n">
        <v>45916</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4904-2025</t>
        </is>
      </c>
      <c r="B577" s="1" t="n">
        <v>45688.68020833333</v>
      </c>
      <c r="C577" s="1" t="n">
        <v>45916</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24043-2025</t>
        </is>
      </c>
      <c r="B578" s="1" t="n">
        <v>45796.49002314815</v>
      </c>
      <c r="C578" s="1" t="n">
        <v>45916</v>
      </c>
      <c r="D578" t="inlineStr">
        <is>
          <t>JÄMTLANDS LÄN</t>
        </is>
      </c>
      <c r="E578" t="inlineStr">
        <is>
          <t>BRÄCKE</t>
        </is>
      </c>
      <c r="F578" t="inlineStr">
        <is>
          <t>SCA</t>
        </is>
      </c>
      <c r="G578" t="n">
        <v>7</v>
      </c>
      <c r="H578" t="n">
        <v>0</v>
      </c>
      <c r="I578" t="n">
        <v>0</v>
      </c>
      <c r="J578" t="n">
        <v>0</v>
      </c>
      <c r="K578" t="n">
        <v>0</v>
      </c>
      <c r="L578" t="n">
        <v>0</v>
      </c>
      <c r="M578" t="n">
        <v>0</v>
      </c>
      <c r="N578" t="n">
        <v>0</v>
      </c>
      <c r="O578" t="n">
        <v>0</v>
      </c>
      <c r="P578" t="n">
        <v>0</v>
      </c>
      <c r="Q578" t="n">
        <v>0</v>
      </c>
      <c r="R578" s="2" t="inlineStr"/>
    </row>
    <row r="579" ht="15" customHeight="1">
      <c r="A579" t="inlineStr">
        <is>
          <t>A 8739-2025</t>
        </is>
      </c>
      <c r="B579" s="1" t="n">
        <v>45712.55239583334</v>
      </c>
      <c r="C579" s="1" t="n">
        <v>45916</v>
      </c>
      <c r="D579" t="inlineStr">
        <is>
          <t>JÄMTLANDS LÄN</t>
        </is>
      </c>
      <c r="E579" t="inlineStr">
        <is>
          <t>BRÄCKE</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24077-2025</t>
        </is>
      </c>
      <c r="B580" s="1" t="n">
        <v>45796.55240740741</v>
      </c>
      <c r="C580" s="1" t="n">
        <v>45916</v>
      </c>
      <c r="D580" t="inlineStr">
        <is>
          <t>JÄMTLANDS LÄN</t>
        </is>
      </c>
      <c r="E580" t="inlineStr">
        <is>
          <t>BRÄCKE</t>
        </is>
      </c>
      <c r="G580" t="n">
        <v>5.9</v>
      </c>
      <c r="H580" t="n">
        <v>0</v>
      </c>
      <c r="I580" t="n">
        <v>0</v>
      </c>
      <c r="J580" t="n">
        <v>0</v>
      </c>
      <c r="K580" t="n">
        <v>0</v>
      </c>
      <c r="L580" t="n">
        <v>0</v>
      </c>
      <c r="M580" t="n">
        <v>0</v>
      </c>
      <c r="N580" t="n">
        <v>0</v>
      </c>
      <c r="O580" t="n">
        <v>0</v>
      </c>
      <c r="P580" t="n">
        <v>0</v>
      </c>
      <c r="Q580" t="n">
        <v>0</v>
      </c>
      <c r="R580" s="2" t="inlineStr"/>
    </row>
    <row r="581" ht="15" customHeight="1">
      <c r="A581" t="inlineStr">
        <is>
          <t>A 23303-2025</t>
        </is>
      </c>
      <c r="B581" s="1" t="n">
        <v>45791</v>
      </c>
      <c r="C581" s="1" t="n">
        <v>45916</v>
      </c>
      <c r="D581" t="inlineStr">
        <is>
          <t>JÄMTLANDS LÄN</t>
        </is>
      </c>
      <c r="E581" t="inlineStr">
        <is>
          <t>BRÄCKE</t>
        </is>
      </c>
      <c r="G581" t="n">
        <v>22.2</v>
      </c>
      <c r="H581" t="n">
        <v>0</v>
      </c>
      <c r="I581" t="n">
        <v>0</v>
      </c>
      <c r="J581" t="n">
        <v>0</v>
      </c>
      <c r="K581" t="n">
        <v>0</v>
      </c>
      <c r="L581" t="n">
        <v>0</v>
      </c>
      <c r="M581" t="n">
        <v>0</v>
      </c>
      <c r="N581" t="n">
        <v>0</v>
      </c>
      <c r="O581" t="n">
        <v>0</v>
      </c>
      <c r="P581" t="n">
        <v>0</v>
      </c>
      <c r="Q581" t="n">
        <v>0</v>
      </c>
      <c r="R581" s="2" t="inlineStr"/>
    </row>
    <row r="582" ht="15" customHeight="1">
      <c r="A582" t="inlineStr">
        <is>
          <t>A 17601-2025</t>
        </is>
      </c>
      <c r="B582" s="1" t="n">
        <v>45757.71991898148</v>
      </c>
      <c r="C582" s="1" t="n">
        <v>45916</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53407-2022</t>
        </is>
      </c>
      <c r="B583" s="1" t="n">
        <v>44874</v>
      </c>
      <c r="C583" s="1" t="n">
        <v>45916</v>
      </c>
      <c r="D583" t="inlineStr">
        <is>
          <t>JÄMTLANDS LÄN</t>
        </is>
      </c>
      <c r="E583" t="inlineStr">
        <is>
          <t>BRÄCKE</t>
        </is>
      </c>
      <c r="G583" t="n">
        <v>1.8</v>
      </c>
      <c r="H583" t="n">
        <v>0</v>
      </c>
      <c r="I583" t="n">
        <v>0</v>
      </c>
      <c r="J583" t="n">
        <v>0</v>
      </c>
      <c r="K583" t="n">
        <v>0</v>
      </c>
      <c r="L583" t="n">
        <v>0</v>
      </c>
      <c r="M583" t="n">
        <v>0</v>
      </c>
      <c r="N583" t="n">
        <v>0</v>
      </c>
      <c r="O583" t="n">
        <v>0</v>
      </c>
      <c r="P583" t="n">
        <v>0</v>
      </c>
      <c r="Q583" t="n">
        <v>0</v>
      </c>
      <c r="R583" s="2" t="inlineStr"/>
    </row>
    <row r="584" ht="15" customHeight="1">
      <c r="A584" t="inlineStr">
        <is>
          <t>A 2829-2021</t>
        </is>
      </c>
      <c r="B584" s="1" t="n">
        <v>44215</v>
      </c>
      <c r="C584" s="1" t="n">
        <v>45916</v>
      </c>
      <c r="D584" t="inlineStr">
        <is>
          <t>JÄMTLANDS LÄN</t>
        </is>
      </c>
      <c r="E584" t="inlineStr">
        <is>
          <t>BRÄCKE</t>
        </is>
      </c>
      <c r="F584" t="inlineStr">
        <is>
          <t>SCA</t>
        </is>
      </c>
      <c r="G584" t="n">
        <v>10.3</v>
      </c>
      <c r="H584" t="n">
        <v>0</v>
      </c>
      <c r="I584" t="n">
        <v>0</v>
      </c>
      <c r="J584" t="n">
        <v>0</v>
      </c>
      <c r="K584" t="n">
        <v>0</v>
      </c>
      <c r="L584" t="n">
        <v>0</v>
      </c>
      <c r="M584" t="n">
        <v>0</v>
      </c>
      <c r="N584" t="n">
        <v>0</v>
      </c>
      <c r="O584" t="n">
        <v>0</v>
      </c>
      <c r="P584" t="n">
        <v>0</v>
      </c>
      <c r="Q584" t="n">
        <v>0</v>
      </c>
      <c r="R584" s="2" t="inlineStr"/>
    </row>
    <row r="585" ht="15" customHeight="1">
      <c r="A585" t="inlineStr">
        <is>
          <t>A 15144-2024</t>
        </is>
      </c>
      <c r="B585" s="1" t="n">
        <v>45399.94340277778</v>
      </c>
      <c r="C585" s="1" t="n">
        <v>45916</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7027-2022</t>
        </is>
      </c>
      <c r="B586" s="1" t="n">
        <v>44603.46644675926</v>
      </c>
      <c r="C586" s="1" t="n">
        <v>45916</v>
      </c>
      <c r="D586" t="inlineStr">
        <is>
          <t>JÄMTLANDS LÄN</t>
        </is>
      </c>
      <c r="E586" t="inlineStr">
        <is>
          <t>BRÄCKE</t>
        </is>
      </c>
      <c r="G586" t="n">
        <v>3.7</v>
      </c>
      <c r="H586" t="n">
        <v>0</v>
      </c>
      <c r="I586" t="n">
        <v>0</v>
      </c>
      <c r="J586" t="n">
        <v>0</v>
      </c>
      <c r="K586" t="n">
        <v>0</v>
      </c>
      <c r="L586" t="n">
        <v>0</v>
      </c>
      <c r="M586" t="n">
        <v>0</v>
      </c>
      <c r="N586" t="n">
        <v>0</v>
      </c>
      <c r="O586" t="n">
        <v>0</v>
      </c>
      <c r="P586" t="n">
        <v>0</v>
      </c>
      <c r="Q586" t="n">
        <v>0</v>
      </c>
      <c r="R586" s="2" t="inlineStr"/>
    </row>
    <row r="587" ht="15" customHeight="1">
      <c r="A587" t="inlineStr">
        <is>
          <t>A 26278-2024</t>
        </is>
      </c>
      <c r="B587" s="1" t="n">
        <v>45468.68905092592</v>
      </c>
      <c r="C587" s="1" t="n">
        <v>45916</v>
      </c>
      <c r="D587" t="inlineStr">
        <is>
          <t>JÄMTLANDS LÄN</t>
        </is>
      </c>
      <c r="E587" t="inlineStr">
        <is>
          <t>BRÄCKE</t>
        </is>
      </c>
      <c r="G587" t="n">
        <v>1.7</v>
      </c>
      <c r="H587" t="n">
        <v>0</v>
      </c>
      <c r="I587" t="n">
        <v>0</v>
      </c>
      <c r="J587" t="n">
        <v>0</v>
      </c>
      <c r="K587" t="n">
        <v>0</v>
      </c>
      <c r="L587" t="n">
        <v>0</v>
      </c>
      <c r="M587" t="n">
        <v>0</v>
      </c>
      <c r="N587" t="n">
        <v>0</v>
      </c>
      <c r="O587" t="n">
        <v>0</v>
      </c>
      <c r="P587" t="n">
        <v>0</v>
      </c>
      <c r="Q587" t="n">
        <v>0</v>
      </c>
      <c r="R587" s="2" t="inlineStr"/>
    </row>
    <row r="588" ht="15" customHeight="1">
      <c r="A588" t="inlineStr">
        <is>
          <t>A 24427-2025</t>
        </is>
      </c>
      <c r="B588" s="1" t="n">
        <v>45797.69851851852</v>
      </c>
      <c r="C588" s="1" t="n">
        <v>45916</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44841-2024</t>
        </is>
      </c>
      <c r="B589" s="1" t="n">
        <v>45574.71900462963</v>
      </c>
      <c r="C589" s="1" t="n">
        <v>45916</v>
      </c>
      <c r="D589" t="inlineStr">
        <is>
          <t>JÄMTLANDS LÄN</t>
        </is>
      </c>
      <c r="E589" t="inlineStr">
        <is>
          <t>BRÄCKE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40775-2023</t>
        </is>
      </c>
      <c r="B590" s="1" t="n">
        <v>45170.95685185185</v>
      </c>
      <c r="C590" s="1" t="n">
        <v>45916</v>
      </c>
      <c r="D590" t="inlineStr">
        <is>
          <t>JÄMTLANDS LÄN</t>
        </is>
      </c>
      <c r="E590" t="inlineStr">
        <is>
          <t>BRÄCKE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33773-2024</t>
        </is>
      </c>
      <c r="B591" s="1" t="n">
        <v>45520</v>
      </c>
      <c r="C591" s="1" t="n">
        <v>45916</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41314-2024</t>
        </is>
      </c>
      <c r="B592" s="1" t="n">
        <v>45559.63613425926</v>
      </c>
      <c r="C592" s="1" t="n">
        <v>45916</v>
      </c>
      <c r="D592" t="inlineStr">
        <is>
          <t>JÄMTLANDS LÄN</t>
        </is>
      </c>
      <c r="E592" t="inlineStr">
        <is>
          <t>BRÄCKE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33774-2024</t>
        </is>
      </c>
      <c r="B593" s="1" t="n">
        <v>45520</v>
      </c>
      <c r="C593" s="1" t="n">
        <v>45916</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40313-2021</t>
        </is>
      </c>
      <c r="B594" s="1" t="n">
        <v>44419.50186342592</v>
      </c>
      <c r="C594" s="1" t="n">
        <v>45916</v>
      </c>
      <c r="D594" t="inlineStr">
        <is>
          <t>JÄMTLANDS LÄN</t>
        </is>
      </c>
      <c r="E594" t="inlineStr">
        <is>
          <t>BRÄCKE</t>
        </is>
      </c>
      <c r="G594" t="n">
        <v>5.7</v>
      </c>
      <c r="H594" t="n">
        <v>0</v>
      </c>
      <c r="I594" t="n">
        <v>0</v>
      </c>
      <c r="J594" t="n">
        <v>0</v>
      </c>
      <c r="K594" t="n">
        <v>0</v>
      </c>
      <c r="L594" t="n">
        <v>0</v>
      </c>
      <c r="M594" t="n">
        <v>0</v>
      </c>
      <c r="N594" t="n">
        <v>0</v>
      </c>
      <c r="O594" t="n">
        <v>0</v>
      </c>
      <c r="P594" t="n">
        <v>0</v>
      </c>
      <c r="Q594" t="n">
        <v>0</v>
      </c>
      <c r="R594" s="2" t="inlineStr"/>
    </row>
    <row r="595" ht="15" customHeight="1">
      <c r="A595" t="inlineStr">
        <is>
          <t>A 34873-2021</t>
        </is>
      </c>
      <c r="B595" s="1" t="n">
        <v>44382</v>
      </c>
      <c r="C595" s="1" t="n">
        <v>45916</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24647-2025</t>
        </is>
      </c>
      <c r="B596" s="1" t="n">
        <v>45798.63575231482</v>
      </c>
      <c r="C596" s="1" t="n">
        <v>45916</v>
      </c>
      <c r="D596" t="inlineStr">
        <is>
          <t>JÄMTLANDS LÄN</t>
        </is>
      </c>
      <c r="E596" t="inlineStr">
        <is>
          <t>BRÄCKE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38302-2024</t>
        </is>
      </c>
      <c r="B597" s="1" t="n">
        <v>45545.63614583333</v>
      </c>
      <c r="C597" s="1" t="n">
        <v>45916</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24550-2025</t>
        </is>
      </c>
      <c r="B598" s="1" t="n">
        <v>45798.44836805556</v>
      </c>
      <c r="C598" s="1" t="n">
        <v>45916</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24456-2025</t>
        </is>
      </c>
      <c r="B599" s="1" t="n">
        <v>45798.34450231482</v>
      </c>
      <c r="C599" s="1" t="n">
        <v>45916</v>
      </c>
      <c r="D599" t="inlineStr">
        <is>
          <t>JÄMTLANDS LÄN</t>
        </is>
      </c>
      <c r="E599" t="inlineStr">
        <is>
          <t>BRÄCKE</t>
        </is>
      </c>
      <c r="F599" t="inlineStr">
        <is>
          <t>SCA</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24502-2025</t>
        </is>
      </c>
      <c r="B600" s="1" t="n">
        <v>45798.39761574074</v>
      </c>
      <c r="C600" s="1" t="n">
        <v>45916</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51161-2023</t>
        </is>
      </c>
      <c r="B601" s="1" t="n">
        <v>45219.38019675926</v>
      </c>
      <c r="C601" s="1" t="n">
        <v>45916</v>
      </c>
      <c r="D601" t="inlineStr">
        <is>
          <t>JÄMTLANDS LÄN</t>
        </is>
      </c>
      <c r="E601" t="inlineStr">
        <is>
          <t>BRÄCKE</t>
        </is>
      </c>
      <c r="G601" t="n">
        <v>2.5</v>
      </c>
      <c r="H601" t="n">
        <v>0</v>
      </c>
      <c r="I601" t="n">
        <v>0</v>
      </c>
      <c r="J601" t="n">
        <v>0</v>
      </c>
      <c r="K601" t="n">
        <v>0</v>
      </c>
      <c r="L601" t="n">
        <v>0</v>
      </c>
      <c r="M601" t="n">
        <v>0</v>
      </c>
      <c r="N601" t="n">
        <v>0</v>
      </c>
      <c r="O601" t="n">
        <v>0</v>
      </c>
      <c r="P601" t="n">
        <v>0</v>
      </c>
      <c r="Q601" t="n">
        <v>0</v>
      </c>
      <c r="R601" s="2" t="inlineStr"/>
    </row>
    <row r="602" ht="15" customHeight="1">
      <c r="A602" t="inlineStr">
        <is>
          <t>A 58740-2023</t>
        </is>
      </c>
      <c r="B602" s="1" t="n">
        <v>45251.92890046296</v>
      </c>
      <c r="C602" s="1" t="n">
        <v>45916</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15243-2025</t>
        </is>
      </c>
      <c r="B603" s="1" t="n">
        <v>45744.61537037037</v>
      </c>
      <c r="C603" s="1" t="n">
        <v>45916</v>
      </c>
      <c r="D603" t="inlineStr">
        <is>
          <t>JÄMTLANDS LÄN</t>
        </is>
      </c>
      <c r="E603" t="inlineStr">
        <is>
          <t>BRÄCKE</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24437-2025</t>
        </is>
      </c>
      <c r="B604" s="1" t="n">
        <v>45797.79256944444</v>
      </c>
      <c r="C604" s="1" t="n">
        <v>45916</v>
      </c>
      <c r="D604" t="inlineStr">
        <is>
          <t>JÄMTLANDS LÄN</t>
        </is>
      </c>
      <c r="E604" t="inlineStr">
        <is>
          <t>BRÄCKE</t>
        </is>
      </c>
      <c r="G604" t="n">
        <v>5</v>
      </c>
      <c r="H604" t="n">
        <v>0</v>
      </c>
      <c r="I604" t="n">
        <v>0</v>
      </c>
      <c r="J604" t="n">
        <v>0</v>
      </c>
      <c r="K604" t="n">
        <v>0</v>
      </c>
      <c r="L604" t="n">
        <v>0</v>
      </c>
      <c r="M604" t="n">
        <v>0</v>
      </c>
      <c r="N604" t="n">
        <v>0</v>
      </c>
      <c r="O604" t="n">
        <v>0</v>
      </c>
      <c r="P604" t="n">
        <v>0</v>
      </c>
      <c r="Q604" t="n">
        <v>0</v>
      </c>
      <c r="R604" s="2" t="inlineStr"/>
    </row>
    <row r="605" ht="15" customHeight="1">
      <c r="A605" t="inlineStr">
        <is>
          <t>A 24604-2025</t>
        </is>
      </c>
      <c r="B605" s="1" t="n">
        <v>45798.5734375</v>
      </c>
      <c r="C605" s="1" t="n">
        <v>45916</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9970-2025</t>
        </is>
      </c>
      <c r="B606" s="1" t="n">
        <v>45719.38614583333</v>
      </c>
      <c r="C606" s="1" t="n">
        <v>45916</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19386-2025</t>
        </is>
      </c>
      <c r="B607" s="1" t="n">
        <v>45769.65719907408</v>
      </c>
      <c r="C607" s="1" t="n">
        <v>45916</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56732-2022</t>
        </is>
      </c>
      <c r="B608" s="1" t="n">
        <v>44893.94966435185</v>
      </c>
      <c r="C608" s="1" t="n">
        <v>45916</v>
      </c>
      <c r="D608" t="inlineStr">
        <is>
          <t>JÄMTLANDS LÄN</t>
        </is>
      </c>
      <c r="E608" t="inlineStr">
        <is>
          <t>BRÄCKE</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24850-2025</t>
        </is>
      </c>
      <c r="B609" s="1" t="n">
        <v>45799.46958333333</v>
      </c>
      <c r="C609" s="1" t="n">
        <v>45916</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63292-2023</t>
        </is>
      </c>
      <c r="B610" s="1" t="n">
        <v>45273.94680555556</v>
      </c>
      <c r="C610" s="1" t="n">
        <v>45916</v>
      </c>
      <c r="D610" t="inlineStr">
        <is>
          <t>JÄMTLANDS LÄN</t>
        </is>
      </c>
      <c r="E610" t="inlineStr">
        <is>
          <t>BRÄCKE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14664-2024</t>
        </is>
      </c>
      <c r="B611" s="1" t="n">
        <v>45397.41673611111</v>
      </c>
      <c r="C611" s="1" t="n">
        <v>45916</v>
      </c>
      <c r="D611" t="inlineStr">
        <is>
          <t>JÄMTLANDS LÄN</t>
        </is>
      </c>
      <c r="E611" t="inlineStr">
        <is>
          <t>BRÄCKE</t>
        </is>
      </c>
      <c r="G611" t="n">
        <v>4.5</v>
      </c>
      <c r="H611" t="n">
        <v>0</v>
      </c>
      <c r="I611" t="n">
        <v>0</v>
      </c>
      <c r="J611" t="n">
        <v>0</v>
      </c>
      <c r="K611" t="n">
        <v>0</v>
      </c>
      <c r="L611" t="n">
        <v>0</v>
      </c>
      <c r="M611" t="n">
        <v>0</v>
      </c>
      <c r="N611" t="n">
        <v>0</v>
      </c>
      <c r="O611" t="n">
        <v>0</v>
      </c>
      <c r="P611" t="n">
        <v>0</v>
      </c>
      <c r="Q611" t="n">
        <v>0</v>
      </c>
      <c r="R611" s="2" t="inlineStr"/>
    </row>
    <row r="612" ht="15" customHeight="1">
      <c r="A612" t="inlineStr">
        <is>
          <t>A 24436-2025</t>
        </is>
      </c>
      <c r="B612" s="1" t="n">
        <v>45797.7922337963</v>
      </c>
      <c r="C612" s="1" t="n">
        <v>45916</v>
      </c>
      <c r="D612" t="inlineStr">
        <is>
          <t>JÄMTLANDS LÄN</t>
        </is>
      </c>
      <c r="E612" t="inlineStr">
        <is>
          <t>BRÄCKE</t>
        </is>
      </c>
      <c r="G612" t="n">
        <v>1.2</v>
      </c>
      <c r="H612" t="n">
        <v>0</v>
      </c>
      <c r="I612" t="n">
        <v>0</v>
      </c>
      <c r="J612" t="n">
        <v>0</v>
      </c>
      <c r="K612" t="n">
        <v>0</v>
      </c>
      <c r="L612" t="n">
        <v>0</v>
      </c>
      <c r="M612" t="n">
        <v>0</v>
      </c>
      <c r="N612" t="n">
        <v>0</v>
      </c>
      <c r="O612" t="n">
        <v>0</v>
      </c>
      <c r="P612" t="n">
        <v>0</v>
      </c>
      <c r="Q612" t="n">
        <v>0</v>
      </c>
      <c r="R612" s="2" t="inlineStr"/>
    </row>
    <row r="613" ht="15" customHeight="1">
      <c r="A613" t="inlineStr">
        <is>
          <t>A 24433-2025</t>
        </is>
      </c>
      <c r="B613" s="1" t="n">
        <v>45797.75547453704</v>
      </c>
      <c r="C613" s="1" t="n">
        <v>45916</v>
      </c>
      <c r="D613" t="inlineStr">
        <is>
          <t>JÄMTLANDS LÄN</t>
        </is>
      </c>
      <c r="E613" t="inlineStr">
        <is>
          <t>BRÄCKE</t>
        </is>
      </c>
      <c r="G613" t="n">
        <v>8.6</v>
      </c>
      <c r="H613" t="n">
        <v>0</v>
      </c>
      <c r="I613" t="n">
        <v>0</v>
      </c>
      <c r="J613" t="n">
        <v>0</v>
      </c>
      <c r="K613" t="n">
        <v>0</v>
      </c>
      <c r="L613" t="n">
        <v>0</v>
      </c>
      <c r="M613" t="n">
        <v>0</v>
      </c>
      <c r="N613" t="n">
        <v>0</v>
      </c>
      <c r="O613" t="n">
        <v>0</v>
      </c>
      <c r="P613" t="n">
        <v>0</v>
      </c>
      <c r="Q613" t="n">
        <v>0</v>
      </c>
      <c r="R613" s="2" t="inlineStr"/>
    </row>
    <row r="614" ht="15" customHeight="1">
      <c r="A614" t="inlineStr">
        <is>
          <t>A 12452-2025</t>
        </is>
      </c>
      <c r="B614" s="1" t="n">
        <v>45730.51483796296</v>
      </c>
      <c r="C614" s="1" t="n">
        <v>45916</v>
      </c>
      <c r="D614" t="inlineStr">
        <is>
          <t>JÄMTLANDS LÄN</t>
        </is>
      </c>
      <c r="E614" t="inlineStr">
        <is>
          <t>BRÄCKE</t>
        </is>
      </c>
      <c r="G614" t="n">
        <v>2.5</v>
      </c>
      <c r="H614" t="n">
        <v>0</v>
      </c>
      <c r="I614" t="n">
        <v>0</v>
      </c>
      <c r="J614" t="n">
        <v>0</v>
      </c>
      <c r="K614" t="n">
        <v>0</v>
      </c>
      <c r="L614" t="n">
        <v>0</v>
      </c>
      <c r="M614" t="n">
        <v>0</v>
      </c>
      <c r="N614" t="n">
        <v>0</v>
      </c>
      <c r="O614" t="n">
        <v>0</v>
      </c>
      <c r="P614" t="n">
        <v>0</v>
      </c>
      <c r="Q614" t="n">
        <v>0</v>
      </c>
      <c r="R614" s="2" t="inlineStr"/>
    </row>
    <row r="615" ht="15" customHeight="1">
      <c r="A615" t="inlineStr">
        <is>
          <t>A 24636-2025</t>
        </is>
      </c>
      <c r="B615" s="1" t="n">
        <v>45798.61528935185</v>
      </c>
      <c r="C615" s="1" t="n">
        <v>45916</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53278-2022</t>
        </is>
      </c>
      <c r="B616" s="1" t="n">
        <v>44876.94785879629</v>
      </c>
      <c r="C616" s="1" t="n">
        <v>45916</v>
      </c>
      <c r="D616" t="inlineStr">
        <is>
          <t>JÄMTLANDS LÄN</t>
        </is>
      </c>
      <c r="E616" t="inlineStr">
        <is>
          <t>BRÄCKE</t>
        </is>
      </c>
      <c r="G616" t="n">
        <v>2</v>
      </c>
      <c r="H616" t="n">
        <v>0</v>
      </c>
      <c r="I616" t="n">
        <v>0</v>
      </c>
      <c r="J616" t="n">
        <v>0</v>
      </c>
      <c r="K616" t="n">
        <v>0</v>
      </c>
      <c r="L616" t="n">
        <v>0</v>
      </c>
      <c r="M616" t="n">
        <v>0</v>
      </c>
      <c r="N616" t="n">
        <v>0</v>
      </c>
      <c r="O616" t="n">
        <v>0</v>
      </c>
      <c r="P616" t="n">
        <v>0</v>
      </c>
      <c r="Q616" t="n">
        <v>0</v>
      </c>
      <c r="R616" s="2" t="inlineStr"/>
    </row>
    <row r="617" ht="15" customHeight="1">
      <c r="A617" t="inlineStr">
        <is>
          <t>A 58741-2023</t>
        </is>
      </c>
      <c r="B617" s="1" t="n">
        <v>45251.92894675926</v>
      </c>
      <c r="C617" s="1" t="n">
        <v>45916</v>
      </c>
      <c r="D617" t="inlineStr">
        <is>
          <t>JÄMTLANDS LÄN</t>
        </is>
      </c>
      <c r="E617" t="inlineStr">
        <is>
          <t>BRÄCKE</t>
        </is>
      </c>
      <c r="G617" t="n">
        <v>2.1</v>
      </c>
      <c r="H617" t="n">
        <v>0</v>
      </c>
      <c r="I617" t="n">
        <v>0</v>
      </c>
      <c r="J617" t="n">
        <v>0</v>
      </c>
      <c r="K617" t="n">
        <v>0</v>
      </c>
      <c r="L617" t="n">
        <v>0</v>
      </c>
      <c r="M617" t="n">
        <v>0</v>
      </c>
      <c r="N617" t="n">
        <v>0</v>
      </c>
      <c r="O617" t="n">
        <v>0</v>
      </c>
      <c r="P617" t="n">
        <v>0</v>
      </c>
      <c r="Q617" t="n">
        <v>0</v>
      </c>
      <c r="R617" s="2" t="inlineStr"/>
    </row>
    <row r="618" ht="15" customHeight="1">
      <c r="A618" t="inlineStr">
        <is>
          <t>A 2774-2025</t>
        </is>
      </c>
      <c r="B618" s="1" t="n">
        <v>45677.51086805556</v>
      </c>
      <c r="C618" s="1" t="n">
        <v>45916</v>
      </c>
      <c r="D618" t="inlineStr">
        <is>
          <t>JÄMTLANDS LÄN</t>
        </is>
      </c>
      <c r="E618" t="inlineStr">
        <is>
          <t>BRÄCKE</t>
        </is>
      </c>
      <c r="F618" t="inlineStr">
        <is>
          <t>SCA</t>
        </is>
      </c>
      <c r="G618" t="n">
        <v>11.4</v>
      </c>
      <c r="H618" t="n">
        <v>0</v>
      </c>
      <c r="I618" t="n">
        <v>0</v>
      </c>
      <c r="J618" t="n">
        <v>0</v>
      </c>
      <c r="K618" t="n">
        <v>0</v>
      </c>
      <c r="L618" t="n">
        <v>0</v>
      </c>
      <c r="M618" t="n">
        <v>0</v>
      </c>
      <c r="N618" t="n">
        <v>0</v>
      </c>
      <c r="O618" t="n">
        <v>0</v>
      </c>
      <c r="P618" t="n">
        <v>0</v>
      </c>
      <c r="Q618" t="n">
        <v>0</v>
      </c>
      <c r="R618" s="2" t="inlineStr"/>
      <c r="U618">
        <f>HYPERLINK("https://klasma.github.io/Logging_2305/knärot/A 2774-2025 karta knärot.png", "A 2774-2025")</f>
        <v/>
      </c>
      <c r="V618">
        <f>HYPERLINK("https://klasma.github.io/Logging_2305/klagomål/A 2774-2025 FSC-klagomål.docx", "A 2774-2025")</f>
        <v/>
      </c>
      <c r="W618">
        <f>HYPERLINK("https://klasma.github.io/Logging_2305/klagomålsmail/A 2774-2025 FSC-klagomål mail.docx", "A 2774-2025")</f>
        <v/>
      </c>
      <c r="X618">
        <f>HYPERLINK("https://klasma.github.io/Logging_2305/tillsyn/A 2774-2025 tillsynsbegäran.docx", "A 2774-2025")</f>
        <v/>
      </c>
      <c r="Y618">
        <f>HYPERLINK("https://klasma.github.io/Logging_2305/tillsynsmail/A 2774-2025 tillsynsbegäran mail.docx", "A 2774-2025")</f>
        <v/>
      </c>
    </row>
    <row r="619" ht="15" customHeight="1">
      <c r="A619" t="inlineStr">
        <is>
          <t>A 24784-2025</t>
        </is>
      </c>
      <c r="B619" s="1" t="n">
        <v>45799.42741898148</v>
      </c>
      <c r="C619" s="1" t="n">
        <v>45916</v>
      </c>
      <c r="D619" t="inlineStr">
        <is>
          <t>JÄMTLANDS LÄN</t>
        </is>
      </c>
      <c r="E619" t="inlineStr">
        <is>
          <t>BRÄCKE</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29189-2024</t>
        </is>
      </c>
      <c r="B620" s="1" t="n">
        <v>45482.55164351852</v>
      </c>
      <c r="C620" s="1" t="n">
        <v>45916</v>
      </c>
      <c r="D620" t="inlineStr">
        <is>
          <t>JÄMTLANDS LÄN</t>
        </is>
      </c>
      <c r="E620" t="inlineStr">
        <is>
          <t>BRÄCKE</t>
        </is>
      </c>
      <c r="F620" t="inlineStr">
        <is>
          <t>Övriga Aktiebolag</t>
        </is>
      </c>
      <c r="G620" t="n">
        <v>6.6</v>
      </c>
      <c r="H620" t="n">
        <v>0</v>
      </c>
      <c r="I620" t="n">
        <v>0</v>
      </c>
      <c r="J620" t="n">
        <v>0</v>
      </c>
      <c r="K620" t="n">
        <v>0</v>
      </c>
      <c r="L620" t="n">
        <v>0</v>
      </c>
      <c r="M620" t="n">
        <v>0</v>
      </c>
      <c r="N620" t="n">
        <v>0</v>
      </c>
      <c r="O620" t="n">
        <v>0</v>
      </c>
      <c r="P620" t="n">
        <v>0</v>
      </c>
      <c r="Q620" t="n">
        <v>0</v>
      </c>
      <c r="R620" s="2" t="inlineStr"/>
    </row>
    <row r="621" ht="15" customHeight="1">
      <c r="A621" t="inlineStr">
        <is>
          <t>A 6516-2024</t>
        </is>
      </c>
      <c r="B621" s="1" t="n">
        <v>45341</v>
      </c>
      <c r="C621" s="1" t="n">
        <v>45916</v>
      </c>
      <c r="D621" t="inlineStr">
        <is>
          <t>JÄMTLANDS LÄN</t>
        </is>
      </c>
      <c r="E621" t="inlineStr">
        <is>
          <t>BRÄCKE</t>
        </is>
      </c>
      <c r="G621" t="n">
        <v>0.3</v>
      </c>
      <c r="H621" t="n">
        <v>0</v>
      </c>
      <c r="I621" t="n">
        <v>0</v>
      </c>
      <c r="J621" t="n">
        <v>0</v>
      </c>
      <c r="K621" t="n">
        <v>0</v>
      </c>
      <c r="L621" t="n">
        <v>0</v>
      </c>
      <c r="M621" t="n">
        <v>0</v>
      </c>
      <c r="N621" t="n">
        <v>0</v>
      </c>
      <c r="O621" t="n">
        <v>0</v>
      </c>
      <c r="P621" t="n">
        <v>0</v>
      </c>
      <c r="Q621" t="n">
        <v>0</v>
      </c>
      <c r="R621" s="2" t="inlineStr"/>
    </row>
    <row r="622" ht="15" customHeight="1">
      <c r="A622" t="inlineStr">
        <is>
          <t>A 24588-2025</t>
        </is>
      </c>
      <c r="B622" s="1" t="n">
        <v>45798.53157407408</v>
      </c>
      <c r="C622" s="1" t="n">
        <v>45916</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52846-2022</t>
        </is>
      </c>
      <c r="B623" s="1" t="n">
        <v>44875</v>
      </c>
      <c r="C623" s="1" t="n">
        <v>45916</v>
      </c>
      <c r="D623" t="inlineStr">
        <is>
          <t>JÄMTLANDS LÄN</t>
        </is>
      </c>
      <c r="E623" t="inlineStr">
        <is>
          <t>BRÄCKE</t>
        </is>
      </c>
      <c r="F623" t="inlineStr">
        <is>
          <t>Övriga Aktiebolag</t>
        </is>
      </c>
      <c r="G623" t="n">
        <v>13.1</v>
      </c>
      <c r="H623" t="n">
        <v>0</v>
      </c>
      <c r="I623" t="n">
        <v>0</v>
      </c>
      <c r="J623" t="n">
        <v>0</v>
      </c>
      <c r="K623" t="n">
        <v>0</v>
      </c>
      <c r="L623" t="n">
        <v>0</v>
      </c>
      <c r="M623" t="n">
        <v>0</v>
      </c>
      <c r="N623" t="n">
        <v>0</v>
      </c>
      <c r="O623" t="n">
        <v>0</v>
      </c>
      <c r="P623" t="n">
        <v>0</v>
      </c>
      <c r="Q623" t="n">
        <v>0</v>
      </c>
      <c r="R623" s="2" t="inlineStr"/>
    </row>
    <row r="624" ht="15" customHeight="1">
      <c r="A624" t="inlineStr">
        <is>
          <t>A 25883-2022</t>
        </is>
      </c>
      <c r="B624" s="1" t="n">
        <v>44733</v>
      </c>
      <c r="C624" s="1" t="n">
        <v>45916</v>
      </c>
      <c r="D624" t="inlineStr">
        <is>
          <t>JÄMTLANDS LÄN</t>
        </is>
      </c>
      <c r="E624" t="inlineStr">
        <is>
          <t>BRÄCKE</t>
        </is>
      </c>
      <c r="F624" t="inlineStr">
        <is>
          <t>Övriga Aktiebolag</t>
        </is>
      </c>
      <c r="G624" t="n">
        <v>23.4</v>
      </c>
      <c r="H624" t="n">
        <v>0</v>
      </c>
      <c r="I624" t="n">
        <v>0</v>
      </c>
      <c r="J624" t="n">
        <v>0</v>
      </c>
      <c r="K624" t="n">
        <v>0</v>
      </c>
      <c r="L624" t="n">
        <v>0</v>
      </c>
      <c r="M624" t="n">
        <v>0</v>
      </c>
      <c r="N624" t="n">
        <v>0</v>
      </c>
      <c r="O624" t="n">
        <v>0</v>
      </c>
      <c r="P624" t="n">
        <v>0</v>
      </c>
      <c r="Q624" t="n">
        <v>0</v>
      </c>
      <c r="R624" s="2" t="inlineStr"/>
    </row>
    <row r="625" ht="15" customHeight="1">
      <c r="A625" t="inlineStr">
        <is>
          <t>A 2245-2025</t>
        </is>
      </c>
      <c r="B625" s="1" t="n">
        <v>45673.49019675926</v>
      </c>
      <c r="C625" s="1" t="n">
        <v>45916</v>
      </c>
      <c r="D625" t="inlineStr">
        <is>
          <t>JÄMTLANDS LÄN</t>
        </is>
      </c>
      <c r="E625" t="inlineStr">
        <is>
          <t>BRÄCKE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40094-2023</t>
        </is>
      </c>
      <c r="B626" s="1" t="n">
        <v>45168</v>
      </c>
      <c r="C626" s="1" t="n">
        <v>45916</v>
      </c>
      <c r="D626" t="inlineStr">
        <is>
          <t>JÄMTLANDS LÄN</t>
        </is>
      </c>
      <c r="E626" t="inlineStr">
        <is>
          <t>BRÄCKE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35398-2024</t>
        </is>
      </c>
      <c r="B627" s="1" t="n">
        <v>45531.40420138889</v>
      </c>
      <c r="C627" s="1" t="n">
        <v>45916</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13525-2022</t>
        </is>
      </c>
      <c r="B628" s="1" t="n">
        <v>44648</v>
      </c>
      <c r="C628" s="1" t="n">
        <v>45916</v>
      </c>
      <c r="D628" t="inlineStr">
        <is>
          <t>JÄMTLANDS LÄN</t>
        </is>
      </c>
      <c r="E628" t="inlineStr">
        <is>
          <t>BRÄCKE</t>
        </is>
      </c>
      <c r="G628" t="n">
        <v>0.5</v>
      </c>
      <c r="H628" t="n">
        <v>0</v>
      </c>
      <c r="I628" t="n">
        <v>0</v>
      </c>
      <c r="J628" t="n">
        <v>0</v>
      </c>
      <c r="K628" t="n">
        <v>0</v>
      </c>
      <c r="L628" t="n">
        <v>0</v>
      </c>
      <c r="M628" t="n">
        <v>0</v>
      </c>
      <c r="N628" t="n">
        <v>0</v>
      </c>
      <c r="O628" t="n">
        <v>0</v>
      </c>
      <c r="P628" t="n">
        <v>0</v>
      </c>
      <c r="Q628" t="n">
        <v>0</v>
      </c>
      <c r="R628" s="2" t="inlineStr"/>
    </row>
    <row r="629" ht="15" customHeight="1">
      <c r="A629" t="inlineStr">
        <is>
          <t>A 9824-2025</t>
        </is>
      </c>
      <c r="B629" s="1" t="n">
        <v>45716.57334490741</v>
      </c>
      <c r="C629" s="1" t="n">
        <v>45916</v>
      </c>
      <c r="D629" t="inlineStr">
        <is>
          <t>JÄMTLANDS LÄN</t>
        </is>
      </c>
      <c r="E629" t="inlineStr">
        <is>
          <t>BRÄCKE</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23752-2023</t>
        </is>
      </c>
      <c r="B630" s="1" t="n">
        <v>45077.92935185185</v>
      </c>
      <c r="C630" s="1" t="n">
        <v>45916</v>
      </c>
      <c r="D630" t="inlineStr">
        <is>
          <t>JÄMTLANDS LÄN</t>
        </is>
      </c>
      <c r="E630" t="inlineStr">
        <is>
          <t>BRÄCKE</t>
        </is>
      </c>
      <c r="G630" t="n">
        <v>0.8</v>
      </c>
      <c r="H630" t="n">
        <v>0</v>
      </c>
      <c r="I630" t="n">
        <v>0</v>
      </c>
      <c r="J630" t="n">
        <v>0</v>
      </c>
      <c r="K630" t="n">
        <v>0</v>
      </c>
      <c r="L630" t="n">
        <v>0</v>
      </c>
      <c r="M630" t="n">
        <v>0</v>
      </c>
      <c r="N630" t="n">
        <v>0</v>
      </c>
      <c r="O630" t="n">
        <v>0</v>
      </c>
      <c r="P630" t="n">
        <v>0</v>
      </c>
      <c r="Q630" t="n">
        <v>0</v>
      </c>
      <c r="R630" s="2" t="inlineStr"/>
    </row>
    <row r="631" ht="15" customHeight="1">
      <c r="A631" t="inlineStr">
        <is>
          <t>A 38105-2024</t>
        </is>
      </c>
      <c r="B631" s="1" t="n">
        <v>45545.36538194444</v>
      </c>
      <c r="C631" s="1" t="n">
        <v>45916</v>
      </c>
      <c r="D631" t="inlineStr">
        <is>
          <t>JÄMTLANDS LÄN</t>
        </is>
      </c>
      <c r="E631" t="inlineStr">
        <is>
          <t>BRÄCKE</t>
        </is>
      </c>
      <c r="G631" t="n">
        <v>1</v>
      </c>
      <c r="H631" t="n">
        <v>0</v>
      </c>
      <c r="I631" t="n">
        <v>0</v>
      </c>
      <c r="J631" t="n">
        <v>0</v>
      </c>
      <c r="K631" t="n">
        <v>0</v>
      </c>
      <c r="L631" t="n">
        <v>0</v>
      </c>
      <c r="M631" t="n">
        <v>0</v>
      </c>
      <c r="N631" t="n">
        <v>0</v>
      </c>
      <c r="O631" t="n">
        <v>0</v>
      </c>
      <c r="P631" t="n">
        <v>0</v>
      </c>
      <c r="Q631" t="n">
        <v>0</v>
      </c>
      <c r="R631" s="2" t="inlineStr"/>
    </row>
    <row r="632" ht="15" customHeight="1">
      <c r="A632" t="inlineStr">
        <is>
          <t>A 55436-2024</t>
        </is>
      </c>
      <c r="B632" s="1" t="n">
        <v>45622.4022337963</v>
      </c>
      <c r="C632" s="1" t="n">
        <v>45916</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35501-2022</t>
        </is>
      </c>
      <c r="B633" s="1" t="n">
        <v>44798.94827546296</v>
      </c>
      <c r="C633" s="1" t="n">
        <v>45916</v>
      </c>
      <c r="D633" t="inlineStr">
        <is>
          <t>JÄMTLANDS LÄN</t>
        </is>
      </c>
      <c r="E633" t="inlineStr">
        <is>
          <t>BRÄCKE</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12864-2024</t>
        </is>
      </c>
      <c r="B634" s="1" t="n">
        <v>45384.9415625</v>
      </c>
      <c r="C634" s="1" t="n">
        <v>45916</v>
      </c>
      <c r="D634" t="inlineStr">
        <is>
          <t>JÄMTLANDS LÄN</t>
        </is>
      </c>
      <c r="E634" t="inlineStr">
        <is>
          <t>BRÄCKE</t>
        </is>
      </c>
      <c r="F634" t="inlineStr">
        <is>
          <t>SCA</t>
        </is>
      </c>
      <c r="G634" t="n">
        <v>7.6</v>
      </c>
      <c r="H634" t="n">
        <v>0</v>
      </c>
      <c r="I634" t="n">
        <v>0</v>
      </c>
      <c r="J634" t="n">
        <v>0</v>
      </c>
      <c r="K634" t="n">
        <v>0</v>
      </c>
      <c r="L634" t="n">
        <v>0</v>
      </c>
      <c r="M634" t="n">
        <v>0</v>
      </c>
      <c r="N634" t="n">
        <v>0</v>
      </c>
      <c r="O634" t="n">
        <v>0</v>
      </c>
      <c r="P634" t="n">
        <v>0</v>
      </c>
      <c r="Q634" t="n">
        <v>0</v>
      </c>
      <c r="R634" s="2" t="inlineStr"/>
    </row>
    <row r="635" ht="15" customHeight="1">
      <c r="A635" t="inlineStr">
        <is>
          <t>A 12891-2024</t>
        </is>
      </c>
      <c r="B635" s="1" t="n">
        <v>45385</v>
      </c>
      <c r="C635" s="1" t="n">
        <v>45916</v>
      </c>
      <c r="D635" t="inlineStr">
        <is>
          <t>JÄMTLANDS LÄN</t>
        </is>
      </c>
      <c r="E635" t="inlineStr">
        <is>
          <t>BRÄCKE</t>
        </is>
      </c>
      <c r="F635" t="inlineStr">
        <is>
          <t>Kyrkan</t>
        </is>
      </c>
      <c r="G635" t="n">
        <v>0.4</v>
      </c>
      <c r="H635" t="n">
        <v>0</v>
      </c>
      <c r="I635" t="n">
        <v>0</v>
      </c>
      <c r="J635" t="n">
        <v>0</v>
      </c>
      <c r="K635" t="n">
        <v>0</v>
      </c>
      <c r="L635" t="n">
        <v>0</v>
      </c>
      <c r="M635" t="n">
        <v>0</v>
      </c>
      <c r="N635" t="n">
        <v>0</v>
      </c>
      <c r="O635" t="n">
        <v>0</v>
      </c>
      <c r="P635" t="n">
        <v>0</v>
      </c>
      <c r="Q635" t="n">
        <v>0</v>
      </c>
      <c r="R635" s="2" t="inlineStr"/>
    </row>
    <row r="636" ht="15" customHeight="1">
      <c r="A636" t="inlineStr">
        <is>
          <t>A 5527-2025</t>
        </is>
      </c>
      <c r="B636" s="1" t="n">
        <v>45693.42859953704</v>
      </c>
      <c r="C636" s="1" t="n">
        <v>45916</v>
      </c>
      <c r="D636" t="inlineStr">
        <is>
          <t>JÄMTLANDS LÄN</t>
        </is>
      </c>
      <c r="E636" t="inlineStr">
        <is>
          <t>BRÄCKE</t>
        </is>
      </c>
      <c r="G636" t="n">
        <v>4.8</v>
      </c>
      <c r="H636" t="n">
        <v>0</v>
      </c>
      <c r="I636" t="n">
        <v>0</v>
      </c>
      <c r="J636" t="n">
        <v>0</v>
      </c>
      <c r="K636" t="n">
        <v>0</v>
      </c>
      <c r="L636" t="n">
        <v>0</v>
      </c>
      <c r="M636" t="n">
        <v>0</v>
      </c>
      <c r="N636" t="n">
        <v>0</v>
      </c>
      <c r="O636" t="n">
        <v>0</v>
      </c>
      <c r="P636" t="n">
        <v>0</v>
      </c>
      <c r="Q636" t="n">
        <v>0</v>
      </c>
      <c r="R636" s="2" t="inlineStr"/>
    </row>
    <row r="637" ht="15" customHeight="1">
      <c r="A637" t="inlineStr">
        <is>
          <t>A 59417-2023</t>
        </is>
      </c>
      <c r="B637" s="1" t="n">
        <v>45253</v>
      </c>
      <c r="C637" s="1" t="n">
        <v>45916</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24454-2025</t>
        </is>
      </c>
      <c r="B638" s="1" t="n">
        <v>45798.34436342592</v>
      </c>
      <c r="C638" s="1" t="n">
        <v>45916</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57414-2023</t>
        </is>
      </c>
      <c r="B639" s="1" t="n">
        <v>45245.96939814815</v>
      </c>
      <c r="C639" s="1" t="n">
        <v>45916</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54524-2022</t>
        </is>
      </c>
      <c r="B640" s="1" t="n">
        <v>44882.74364583333</v>
      </c>
      <c r="C640" s="1" t="n">
        <v>45916</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54243-2022</t>
        </is>
      </c>
      <c r="B641" s="1" t="n">
        <v>44881</v>
      </c>
      <c r="C641" s="1" t="n">
        <v>45916</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57798-2023</t>
        </is>
      </c>
      <c r="B642" s="1" t="n">
        <v>45246.96893518518</v>
      </c>
      <c r="C642" s="1" t="n">
        <v>45916</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40430-2023</t>
        </is>
      </c>
      <c r="B643" s="1" t="n">
        <v>45169</v>
      </c>
      <c r="C643" s="1" t="n">
        <v>45916</v>
      </c>
      <c r="D643" t="inlineStr">
        <is>
          <t>JÄMTLANDS LÄN</t>
        </is>
      </c>
      <c r="E643" t="inlineStr">
        <is>
          <t>BRÄCKE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2498-2025</t>
        </is>
      </c>
      <c r="B644" s="1" t="n">
        <v>45674.5315625</v>
      </c>
      <c r="C644" s="1" t="n">
        <v>45916</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31471-2023</t>
        </is>
      </c>
      <c r="B645" s="1" t="n">
        <v>45104</v>
      </c>
      <c r="C645" s="1" t="n">
        <v>45916</v>
      </c>
      <c r="D645" t="inlineStr">
        <is>
          <t>JÄMTLANDS LÄN</t>
        </is>
      </c>
      <c r="E645" t="inlineStr">
        <is>
          <t>BRÄCKE</t>
        </is>
      </c>
      <c r="G645" t="n">
        <v>0.3</v>
      </c>
      <c r="H645" t="n">
        <v>0</v>
      </c>
      <c r="I645" t="n">
        <v>0</v>
      </c>
      <c r="J645" t="n">
        <v>0</v>
      </c>
      <c r="K645" t="n">
        <v>0</v>
      </c>
      <c r="L645" t="n">
        <v>0</v>
      </c>
      <c r="M645" t="n">
        <v>0</v>
      </c>
      <c r="N645" t="n">
        <v>0</v>
      </c>
      <c r="O645" t="n">
        <v>0</v>
      </c>
      <c r="P645" t="n">
        <v>0</v>
      </c>
      <c r="Q645" t="n">
        <v>0</v>
      </c>
      <c r="R645" s="2" t="inlineStr"/>
    </row>
    <row r="646" ht="15" customHeight="1">
      <c r="A646" t="inlineStr">
        <is>
          <t>A 2511-2025</t>
        </is>
      </c>
      <c r="B646" s="1" t="n">
        <v>45674.57393518519</v>
      </c>
      <c r="C646" s="1" t="n">
        <v>45916</v>
      </c>
      <c r="D646" t="inlineStr">
        <is>
          <t>JÄMTLANDS LÄN</t>
        </is>
      </c>
      <c r="E646" t="inlineStr">
        <is>
          <t>BRÄCKE</t>
        </is>
      </c>
      <c r="F646" t="inlineStr">
        <is>
          <t>SCA</t>
        </is>
      </c>
      <c r="G646" t="n">
        <v>10.5</v>
      </c>
      <c r="H646" t="n">
        <v>0</v>
      </c>
      <c r="I646" t="n">
        <v>0</v>
      </c>
      <c r="J646" t="n">
        <v>0</v>
      </c>
      <c r="K646" t="n">
        <v>0</v>
      </c>
      <c r="L646" t="n">
        <v>0</v>
      </c>
      <c r="M646" t="n">
        <v>0</v>
      </c>
      <c r="N646" t="n">
        <v>0</v>
      </c>
      <c r="O646" t="n">
        <v>0</v>
      </c>
      <c r="P646" t="n">
        <v>0</v>
      </c>
      <c r="Q646" t="n">
        <v>0</v>
      </c>
      <c r="R646" s="2" t="inlineStr"/>
    </row>
    <row r="647" ht="15" customHeight="1">
      <c r="A647" t="inlineStr">
        <is>
          <t>A 50522-2024</t>
        </is>
      </c>
      <c r="B647" s="1" t="n">
        <v>45601.55399305555</v>
      </c>
      <c r="C647" s="1" t="n">
        <v>45916</v>
      </c>
      <c r="D647" t="inlineStr">
        <is>
          <t>JÄMTLANDS LÄN</t>
        </is>
      </c>
      <c r="E647" t="inlineStr">
        <is>
          <t>BRÄCKE</t>
        </is>
      </c>
      <c r="G647" t="n">
        <v>1</v>
      </c>
      <c r="H647" t="n">
        <v>0</v>
      </c>
      <c r="I647" t="n">
        <v>0</v>
      </c>
      <c r="J647" t="n">
        <v>0</v>
      </c>
      <c r="K647" t="n">
        <v>0</v>
      </c>
      <c r="L647" t="n">
        <v>0</v>
      </c>
      <c r="M647" t="n">
        <v>0</v>
      </c>
      <c r="N647" t="n">
        <v>0</v>
      </c>
      <c r="O647" t="n">
        <v>0</v>
      </c>
      <c r="P647" t="n">
        <v>0</v>
      </c>
      <c r="Q647" t="n">
        <v>0</v>
      </c>
      <c r="R647" s="2" t="inlineStr"/>
    </row>
    <row r="648" ht="15" customHeight="1">
      <c r="A648" t="inlineStr">
        <is>
          <t>A 56499-2023</t>
        </is>
      </c>
      <c r="B648" s="1" t="n">
        <v>45237</v>
      </c>
      <c r="C648" s="1" t="n">
        <v>45916</v>
      </c>
      <c r="D648" t="inlineStr">
        <is>
          <t>JÄMTLANDS LÄN</t>
        </is>
      </c>
      <c r="E648" t="inlineStr">
        <is>
          <t>BRÄCKE</t>
        </is>
      </c>
      <c r="G648" t="n">
        <v>1.9</v>
      </c>
      <c r="H648" t="n">
        <v>0</v>
      </c>
      <c r="I648" t="n">
        <v>0</v>
      </c>
      <c r="J648" t="n">
        <v>0</v>
      </c>
      <c r="K648" t="n">
        <v>0</v>
      </c>
      <c r="L648" t="n">
        <v>0</v>
      </c>
      <c r="M648" t="n">
        <v>0</v>
      </c>
      <c r="N648" t="n">
        <v>0</v>
      </c>
      <c r="O648" t="n">
        <v>0</v>
      </c>
      <c r="P648" t="n">
        <v>0</v>
      </c>
      <c r="Q648" t="n">
        <v>0</v>
      </c>
      <c r="R648" s="2" t="inlineStr"/>
    </row>
    <row r="649" ht="15" customHeight="1">
      <c r="A649" t="inlineStr">
        <is>
          <t>A 56525-2023</t>
        </is>
      </c>
      <c r="B649" s="1" t="n">
        <v>45243.56650462963</v>
      </c>
      <c r="C649" s="1" t="n">
        <v>45916</v>
      </c>
      <c r="D649" t="inlineStr">
        <is>
          <t>JÄMTLANDS LÄN</t>
        </is>
      </c>
      <c r="E649" t="inlineStr">
        <is>
          <t>BRÄCKE</t>
        </is>
      </c>
      <c r="G649" t="n">
        <v>1.6</v>
      </c>
      <c r="H649" t="n">
        <v>0</v>
      </c>
      <c r="I649" t="n">
        <v>0</v>
      </c>
      <c r="J649" t="n">
        <v>0</v>
      </c>
      <c r="K649" t="n">
        <v>0</v>
      </c>
      <c r="L649" t="n">
        <v>0</v>
      </c>
      <c r="M649" t="n">
        <v>0</v>
      </c>
      <c r="N649" t="n">
        <v>0</v>
      </c>
      <c r="O649" t="n">
        <v>0</v>
      </c>
      <c r="P649" t="n">
        <v>0</v>
      </c>
      <c r="Q649" t="n">
        <v>0</v>
      </c>
      <c r="R649" s="2" t="inlineStr"/>
    </row>
    <row r="650" ht="15" customHeight="1">
      <c r="A650" t="inlineStr">
        <is>
          <t>A 14492-2024</t>
        </is>
      </c>
      <c r="B650" s="1" t="n">
        <v>45394.58215277778</v>
      </c>
      <c r="C650" s="1" t="n">
        <v>45916</v>
      </c>
      <c r="D650" t="inlineStr">
        <is>
          <t>JÄMTLANDS LÄN</t>
        </is>
      </c>
      <c r="E650" t="inlineStr">
        <is>
          <t>BRÄCKE</t>
        </is>
      </c>
      <c r="G650" t="n">
        <v>16.6</v>
      </c>
      <c r="H650" t="n">
        <v>0</v>
      </c>
      <c r="I650" t="n">
        <v>0</v>
      </c>
      <c r="J650" t="n">
        <v>0</v>
      </c>
      <c r="K650" t="n">
        <v>0</v>
      </c>
      <c r="L650" t="n">
        <v>0</v>
      </c>
      <c r="M650" t="n">
        <v>0</v>
      </c>
      <c r="N650" t="n">
        <v>0</v>
      </c>
      <c r="O650" t="n">
        <v>0</v>
      </c>
      <c r="P650" t="n">
        <v>0</v>
      </c>
      <c r="Q650" t="n">
        <v>0</v>
      </c>
      <c r="R650" s="2" t="inlineStr"/>
    </row>
    <row r="651" ht="15" customHeight="1">
      <c r="A651" t="inlineStr">
        <is>
          <t>A 45974-2024</t>
        </is>
      </c>
      <c r="B651" s="1" t="n">
        <v>45580.59408564815</v>
      </c>
      <c r="C651" s="1" t="n">
        <v>45916</v>
      </c>
      <c r="D651" t="inlineStr">
        <is>
          <t>JÄMTLANDS LÄN</t>
        </is>
      </c>
      <c r="E651" t="inlineStr">
        <is>
          <t>BRÄCKE</t>
        </is>
      </c>
      <c r="F651" t="inlineStr">
        <is>
          <t>Naturvårdsverket</t>
        </is>
      </c>
      <c r="G651" t="n">
        <v>0.3</v>
      </c>
      <c r="H651" t="n">
        <v>0</v>
      </c>
      <c r="I651" t="n">
        <v>0</v>
      </c>
      <c r="J651" t="n">
        <v>0</v>
      </c>
      <c r="K651" t="n">
        <v>0</v>
      </c>
      <c r="L651" t="n">
        <v>0</v>
      </c>
      <c r="M651" t="n">
        <v>0</v>
      </c>
      <c r="N651" t="n">
        <v>0</v>
      </c>
      <c r="O651" t="n">
        <v>0</v>
      </c>
      <c r="P651" t="n">
        <v>0</v>
      </c>
      <c r="Q651" t="n">
        <v>0</v>
      </c>
      <c r="R651" s="2" t="inlineStr"/>
    </row>
    <row r="652" ht="15" customHeight="1">
      <c r="A652" t="inlineStr">
        <is>
          <t>A 48440-2024</t>
        </is>
      </c>
      <c r="B652" s="1" t="n">
        <v>45590.67774305555</v>
      </c>
      <c r="C652" s="1" t="n">
        <v>45916</v>
      </c>
      <c r="D652" t="inlineStr">
        <is>
          <t>JÄMTLANDS LÄN</t>
        </is>
      </c>
      <c r="E652" t="inlineStr">
        <is>
          <t>BRÄCKE</t>
        </is>
      </c>
      <c r="G652" t="n">
        <v>3.5</v>
      </c>
      <c r="H652" t="n">
        <v>0</v>
      </c>
      <c r="I652" t="n">
        <v>0</v>
      </c>
      <c r="J652" t="n">
        <v>0</v>
      </c>
      <c r="K652" t="n">
        <v>0</v>
      </c>
      <c r="L652" t="n">
        <v>0</v>
      </c>
      <c r="M652" t="n">
        <v>0</v>
      </c>
      <c r="N652" t="n">
        <v>0</v>
      </c>
      <c r="O652" t="n">
        <v>0</v>
      </c>
      <c r="P652" t="n">
        <v>0</v>
      </c>
      <c r="Q652" t="n">
        <v>0</v>
      </c>
      <c r="R652" s="2" t="inlineStr"/>
    </row>
    <row r="653" ht="15" customHeight="1">
      <c r="A653" t="inlineStr">
        <is>
          <t>A 25718-2025</t>
        </is>
      </c>
      <c r="B653" s="1" t="n">
        <v>45803.69876157407</v>
      </c>
      <c r="C653" s="1" t="n">
        <v>45916</v>
      </c>
      <c r="D653" t="inlineStr">
        <is>
          <t>JÄMTLANDS LÄN</t>
        </is>
      </c>
      <c r="E653" t="inlineStr">
        <is>
          <t>BRÄCKE</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25102-2025</t>
        </is>
      </c>
      <c r="B654" s="1" t="n">
        <v>45800.34445601852</v>
      </c>
      <c r="C654" s="1" t="n">
        <v>45916</v>
      </c>
      <c r="D654" t="inlineStr">
        <is>
          <t>JÄMTLANDS LÄN</t>
        </is>
      </c>
      <c r="E654" t="inlineStr">
        <is>
          <t>BRÄCKE</t>
        </is>
      </c>
      <c r="G654" t="n">
        <v>11.1</v>
      </c>
      <c r="H654" t="n">
        <v>0</v>
      </c>
      <c r="I654" t="n">
        <v>0</v>
      </c>
      <c r="J654" t="n">
        <v>0</v>
      </c>
      <c r="K654" t="n">
        <v>0</v>
      </c>
      <c r="L654" t="n">
        <v>0</v>
      </c>
      <c r="M654" t="n">
        <v>0</v>
      </c>
      <c r="N654" t="n">
        <v>0</v>
      </c>
      <c r="O654" t="n">
        <v>0</v>
      </c>
      <c r="P654" t="n">
        <v>0</v>
      </c>
      <c r="Q654" t="n">
        <v>0</v>
      </c>
      <c r="R654" s="2" t="inlineStr"/>
    </row>
    <row r="655" ht="15" customHeight="1">
      <c r="A655" t="inlineStr">
        <is>
          <t>A 25159-2025</t>
        </is>
      </c>
      <c r="B655" s="1" t="n">
        <v>45800.42804398148</v>
      </c>
      <c r="C655" s="1" t="n">
        <v>45916</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17973-2025</t>
        </is>
      </c>
      <c r="B656" s="1" t="n">
        <v>45761.36490740741</v>
      </c>
      <c r="C656" s="1" t="n">
        <v>45916</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17977-2025</t>
        </is>
      </c>
      <c r="B657" s="1" t="n">
        <v>45761.36550925926</v>
      </c>
      <c r="C657" s="1" t="n">
        <v>45916</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56429-2024</t>
        </is>
      </c>
      <c r="B658" s="1" t="n">
        <v>45625.40149305556</v>
      </c>
      <c r="C658" s="1" t="n">
        <v>45916</v>
      </c>
      <c r="D658" t="inlineStr">
        <is>
          <t>JÄMTLANDS LÄN</t>
        </is>
      </c>
      <c r="E658" t="inlineStr">
        <is>
          <t>BRÄCKE</t>
        </is>
      </c>
      <c r="G658" t="n">
        <v>1.7</v>
      </c>
      <c r="H658" t="n">
        <v>0</v>
      </c>
      <c r="I658" t="n">
        <v>0</v>
      </c>
      <c r="J658" t="n">
        <v>0</v>
      </c>
      <c r="K658" t="n">
        <v>0</v>
      </c>
      <c r="L658" t="n">
        <v>0</v>
      </c>
      <c r="M658" t="n">
        <v>0</v>
      </c>
      <c r="N658" t="n">
        <v>0</v>
      </c>
      <c r="O658" t="n">
        <v>0</v>
      </c>
      <c r="P658" t="n">
        <v>0</v>
      </c>
      <c r="Q658" t="n">
        <v>0</v>
      </c>
      <c r="R658" s="2" t="inlineStr"/>
    </row>
    <row r="659" ht="15" customHeight="1">
      <c r="A659" t="inlineStr">
        <is>
          <t>A 56432-2024</t>
        </is>
      </c>
      <c r="B659" s="1" t="n">
        <v>45625.40679398148</v>
      </c>
      <c r="C659" s="1" t="n">
        <v>45916</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25101-2025</t>
        </is>
      </c>
      <c r="B660" s="1" t="n">
        <v>45800.34444444445</v>
      </c>
      <c r="C660" s="1" t="n">
        <v>45916</v>
      </c>
      <c r="D660" t="inlineStr">
        <is>
          <t>JÄMTLANDS LÄN</t>
        </is>
      </c>
      <c r="E660" t="inlineStr">
        <is>
          <t>BRÄCKE</t>
        </is>
      </c>
      <c r="G660" t="n">
        <v>4.6</v>
      </c>
      <c r="H660" t="n">
        <v>0</v>
      </c>
      <c r="I660" t="n">
        <v>0</v>
      </c>
      <c r="J660" t="n">
        <v>0</v>
      </c>
      <c r="K660" t="n">
        <v>0</v>
      </c>
      <c r="L660" t="n">
        <v>0</v>
      </c>
      <c r="M660" t="n">
        <v>0</v>
      </c>
      <c r="N660" t="n">
        <v>0</v>
      </c>
      <c r="O660" t="n">
        <v>0</v>
      </c>
      <c r="P660" t="n">
        <v>0</v>
      </c>
      <c r="Q660" t="n">
        <v>0</v>
      </c>
      <c r="R660" s="2" t="inlineStr"/>
    </row>
    <row r="661" ht="15" customHeight="1">
      <c r="A661" t="inlineStr">
        <is>
          <t>A 45381-2024</t>
        </is>
      </c>
      <c r="B661" s="1" t="n">
        <v>45576.53155092592</v>
      </c>
      <c r="C661" s="1" t="n">
        <v>45916</v>
      </c>
      <c r="D661" t="inlineStr">
        <is>
          <t>JÄMTLANDS LÄN</t>
        </is>
      </c>
      <c r="E661" t="inlineStr">
        <is>
          <t>BRÄCKE</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5618-2025</t>
        </is>
      </c>
      <c r="B662" s="1" t="n">
        <v>45693.61509259259</v>
      </c>
      <c r="C662" s="1" t="n">
        <v>45916</v>
      </c>
      <c r="D662" t="inlineStr">
        <is>
          <t>JÄMTLANDS LÄN</t>
        </is>
      </c>
      <c r="E662" t="inlineStr">
        <is>
          <t>BRÄCKE</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13166-2024</t>
        </is>
      </c>
      <c r="B663" s="1" t="n">
        <v>45386.40141203703</v>
      </c>
      <c r="C663" s="1" t="n">
        <v>45916</v>
      </c>
      <c r="D663" t="inlineStr">
        <is>
          <t>JÄMTLANDS LÄN</t>
        </is>
      </c>
      <c r="E663" t="inlineStr">
        <is>
          <t>BRÄCKE</t>
        </is>
      </c>
      <c r="G663" t="n">
        <v>7.3</v>
      </c>
      <c r="H663" t="n">
        <v>0</v>
      </c>
      <c r="I663" t="n">
        <v>0</v>
      </c>
      <c r="J663" t="n">
        <v>0</v>
      </c>
      <c r="K663" t="n">
        <v>0</v>
      </c>
      <c r="L663" t="n">
        <v>0</v>
      </c>
      <c r="M663" t="n">
        <v>0</v>
      </c>
      <c r="N663" t="n">
        <v>0</v>
      </c>
      <c r="O663" t="n">
        <v>0</v>
      </c>
      <c r="P663" t="n">
        <v>0</v>
      </c>
      <c r="Q663" t="n">
        <v>0</v>
      </c>
      <c r="R663" s="2" t="inlineStr"/>
    </row>
    <row r="664" ht="15" customHeight="1">
      <c r="A664" t="inlineStr">
        <is>
          <t>A 13180-2024</t>
        </is>
      </c>
      <c r="B664" s="1" t="n">
        <v>45386.43207175926</v>
      </c>
      <c r="C664" s="1" t="n">
        <v>45916</v>
      </c>
      <c r="D664" t="inlineStr">
        <is>
          <t>JÄMTLANDS LÄN</t>
        </is>
      </c>
      <c r="E664" t="inlineStr">
        <is>
          <t>BRÄCKE</t>
        </is>
      </c>
      <c r="G664" t="n">
        <v>1.8</v>
      </c>
      <c r="H664" t="n">
        <v>0</v>
      </c>
      <c r="I664" t="n">
        <v>0</v>
      </c>
      <c r="J664" t="n">
        <v>0</v>
      </c>
      <c r="K664" t="n">
        <v>0</v>
      </c>
      <c r="L664" t="n">
        <v>0</v>
      </c>
      <c r="M664" t="n">
        <v>0</v>
      </c>
      <c r="N664" t="n">
        <v>0</v>
      </c>
      <c r="O664" t="n">
        <v>0</v>
      </c>
      <c r="P664" t="n">
        <v>0</v>
      </c>
      <c r="Q664" t="n">
        <v>0</v>
      </c>
      <c r="R664" s="2" t="inlineStr"/>
    </row>
    <row r="665" ht="15" customHeight="1">
      <c r="A665" t="inlineStr">
        <is>
          <t>A 36209-2023</t>
        </is>
      </c>
      <c r="B665" s="1" t="n">
        <v>45149</v>
      </c>
      <c r="C665" s="1" t="n">
        <v>45916</v>
      </c>
      <c r="D665" t="inlineStr">
        <is>
          <t>JÄMTLANDS LÄN</t>
        </is>
      </c>
      <c r="E665" t="inlineStr">
        <is>
          <t>BRÄCKE</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57088-2024</t>
        </is>
      </c>
      <c r="B666" s="1" t="n">
        <v>45629.35652777777</v>
      </c>
      <c r="C666" s="1" t="n">
        <v>45916</v>
      </c>
      <c r="D666" t="inlineStr">
        <is>
          <t>JÄMTLANDS LÄN</t>
        </is>
      </c>
      <c r="E666" t="inlineStr">
        <is>
          <t>BRÄCKE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14373-2024</t>
        </is>
      </c>
      <c r="B667" s="1" t="n">
        <v>45393</v>
      </c>
      <c r="C667" s="1" t="n">
        <v>45916</v>
      </c>
      <c r="D667" t="inlineStr">
        <is>
          <t>JÄMTLANDS LÄN</t>
        </is>
      </c>
      <c r="E667" t="inlineStr">
        <is>
          <t>BRÄCKE</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49085-2023</t>
        </is>
      </c>
      <c r="B668" s="1" t="n">
        <v>45204</v>
      </c>
      <c r="C668" s="1" t="n">
        <v>45916</v>
      </c>
      <c r="D668" t="inlineStr">
        <is>
          <t>JÄMTLANDS LÄN</t>
        </is>
      </c>
      <c r="E668" t="inlineStr">
        <is>
          <t>BRÄCKE</t>
        </is>
      </c>
      <c r="G668" t="n">
        <v>2.1</v>
      </c>
      <c r="H668" t="n">
        <v>0</v>
      </c>
      <c r="I668" t="n">
        <v>0</v>
      </c>
      <c r="J668" t="n">
        <v>0</v>
      </c>
      <c r="K668" t="n">
        <v>0</v>
      </c>
      <c r="L668" t="n">
        <v>0</v>
      </c>
      <c r="M668" t="n">
        <v>0</v>
      </c>
      <c r="N668" t="n">
        <v>0</v>
      </c>
      <c r="O668" t="n">
        <v>0</v>
      </c>
      <c r="P668" t="n">
        <v>0</v>
      </c>
      <c r="Q668" t="n">
        <v>0</v>
      </c>
      <c r="R668" s="2" t="inlineStr"/>
    </row>
    <row r="669" ht="15" customHeight="1">
      <c r="A669" t="inlineStr">
        <is>
          <t>A 3787-2025</t>
        </is>
      </c>
      <c r="B669" s="1" t="n">
        <v>45681.6362037037</v>
      </c>
      <c r="C669" s="1" t="n">
        <v>45916</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18982-2022</t>
        </is>
      </c>
      <c r="B670" s="1" t="n">
        <v>44690.92626157407</v>
      </c>
      <c r="C670" s="1" t="n">
        <v>45916</v>
      </c>
      <c r="D670" t="inlineStr">
        <is>
          <t>JÄMTLANDS LÄN</t>
        </is>
      </c>
      <c r="E670" t="inlineStr">
        <is>
          <t>BRÄCKE</t>
        </is>
      </c>
      <c r="G670" t="n">
        <v>2.8</v>
      </c>
      <c r="H670" t="n">
        <v>0</v>
      </c>
      <c r="I670" t="n">
        <v>0</v>
      </c>
      <c r="J670" t="n">
        <v>0</v>
      </c>
      <c r="K670" t="n">
        <v>0</v>
      </c>
      <c r="L670" t="n">
        <v>0</v>
      </c>
      <c r="M670" t="n">
        <v>0</v>
      </c>
      <c r="N670" t="n">
        <v>0</v>
      </c>
      <c r="O670" t="n">
        <v>0</v>
      </c>
      <c r="P670" t="n">
        <v>0</v>
      </c>
      <c r="Q670" t="n">
        <v>0</v>
      </c>
      <c r="R670" s="2" t="inlineStr"/>
    </row>
    <row r="671" ht="15" customHeight="1">
      <c r="A671" t="inlineStr">
        <is>
          <t>A 13906-2025</t>
        </is>
      </c>
      <c r="B671" s="1" t="n">
        <v>45737.6359375</v>
      </c>
      <c r="C671" s="1" t="n">
        <v>45916</v>
      </c>
      <c r="D671" t="inlineStr">
        <is>
          <t>JÄMTLANDS LÄN</t>
        </is>
      </c>
      <c r="E671" t="inlineStr">
        <is>
          <t>BRÄCKE</t>
        </is>
      </c>
      <c r="G671" t="n">
        <v>1.3</v>
      </c>
      <c r="H671" t="n">
        <v>0</v>
      </c>
      <c r="I671" t="n">
        <v>0</v>
      </c>
      <c r="J671" t="n">
        <v>0</v>
      </c>
      <c r="K671" t="n">
        <v>0</v>
      </c>
      <c r="L671" t="n">
        <v>0</v>
      </c>
      <c r="M671" t="n">
        <v>0</v>
      </c>
      <c r="N671" t="n">
        <v>0</v>
      </c>
      <c r="O671" t="n">
        <v>0</v>
      </c>
      <c r="P671" t="n">
        <v>0</v>
      </c>
      <c r="Q671" t="n">
        <v>0</v>
      </c>
      <c r="R671" s="2" t="inlineStr"/>
    </row>
    <row r="672" ht="15" customHeight="1">
      <c r="A672" t="inlineStr">
        <is>
          <t>A 24062-2024</t>
        </is>
      </c>
      <c r="B672" s="1" t="n">
        <v>45456.54141203704</v>
      </c>
      <c r="C672" s="1" t="n">
        <v>45916</v>
      </c>
      <c r="D672" t="inlineStr">
        <is>
          <t>JÄMTLANDS LÄN</t>
        </is>
      </c>
      <c r="E672" t="inlineStr">
        <is>
          <t>BRÄCKE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37959-2024</t>
        </is>
      </c>
      <c r="B673" s="1" t="n">
        <v>45544.53870370371</v>
      </c>
      <c r="C673" s="1" t="n">
        <v>45916</v>
      </c>
      <c r="D673" t="inlineStr">
        <is>
          <t>JÄMTLANDS LÄN</t>
        </is>
      </c>
      <c r="E673" t="inlineStr">
        <is>
          <t>BRÄCKE</t>
        </is>
      </c>
      <c r="G673" t="n">
        <v>6.5</v>
      </c>
      <c r="H673" t="n">
        <v>0</v>
      </c>
      <c r="I673" t="n">
        <v>0</v>
      </c>
      <c r="J673" t="n">
        <v>0</v>
      </c>
      <c r="K673" t="n">
        <v>0</v>
      </c>
      <c r="L673" t="n">
        <v>0</v>
      </c>
      <c r="M673" t="n">
        <v>0</v>
      </c>
      <c r="N673" t="n">
        <v>0</v>
      </c>
      <c r="O673" t="n">
        <v>0</v>
      </c>
      <c r="P673" t="n">
        <v>0</v>
      </c>
      <c r="Q673" t="n">
        <v>0</v>
      </c>
      <c r="R673" s="2" t="inlineStr"/>
    </row>
    <row r="674" ht="15" customHeight="1">
      <c r="A674" t="inlineStr">
        <is>
          <t>A 25821-2025</t>
        </is>
      </c>
      <c r="B674" s="1" t="n">
        <v>45804.43686342592</v>
      </c>
      <c r="C674" s="1" t="n">
        <v>45916</v>
      </c>
      <c r="D674" t="inlineStr">
        <is>
          <t>JÄMTLANDS LÄN</t>
        </is>
      </c>
      <c r="E674" t="inlineStr">
        <is>
          <t>BRÄCKE</t>
        </is>
      </c>
      <c r="G674" t="n">
        <v>3.3</v>
      </c>
      <c r="H674" t="n">
        <v>0</v>
      </c>
      <c r="I674" t="n">
        <v>0</v>
      </c>
      <c r="J674" t="n">
        <v>0</v>
      </c>
      <c r="K674" t="n">
        <v>0</v>
      </c>
      <c r="L674" t="n">
        <v>0</v>
      </c>
      <c r="M674" t="n">
        <v>0</v>
      </c>
      <c r="N674" t="n">
        <v>0</v>
      </c>
      <c r="O674" t="n">
        <v>0</v>
      </c>
      <c r="P674" t="n">
        <v>0</v>
      </c>
      <c r="Q674" t="n">
        <v>0</v>
      </c>
      <c r="R674" s="2" t="inlineStr"/>
    </row>
    <row r="675" ht="15" customHeight="1">
      <c r="A675" t="inlineStr">
        <is>
          <t>A 35896-2023</t>
        </is>
      </c>
      <c r="B675" s="1" t="n">
        <v>45148</v>
      </c>
      <c r="C675" s="1" t="n">
        <v>45916</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18265-2025</t>
        </is>
      </c>
      <c r="B676" s="1" t="n">
        <v>45762.36525462963</v>
      </c>
      <c r="C676" s="1" t="n">
        <v>45916</v>
      </c>
      <c r="D676" t="inlineStr">
        <is>
          <t>JÄMTLANDS LÄN</t>
        </is>
      </c>
      <c r="E676" t="inlineStr">
        <is>
          <t>BRÄCKE</t>
        </is>
      </c>
      <c r="G676" t="n">
        <v>2.8</v>
      </c>
      <c r="H676" t="n">
        <v>0</v>
      </c>
      <c r="I676" t="n">
        <v>0</v>
      </c>
      <c r="J676" t="n">
        <v>0</v>
      </c>
      <c r="K676" t="n">
        <v>0</v>
      </c>
      <c r="L676" t="n">
        <v>0</v>
      </c>
      <c r="M676" t="n">
        <v>0</v>
      </c>
      <c r="N676" t="n">
        <v>0</v>
      </c>
      <c r="O676" t="n">
        <v>0</v>
      </c>
      <c r="P676" t="n">
        <v>0</v>
      </c>
      <c r="Q676" t="n">
        <v>0</v>
      </c>
      <c r="R676" s="2" t="inlineStr"/>
    </row>
    <row r="677" ht="15" customHeight="1">
      <c r="A677" t="inlineStr">
        <is>
          <t>A 36551-2024</t>
        </is>
      </c>
      <c r="B677" s="1" t="n">
        <v>45537.468125</v>
      </c>
      <c r="C677" s="1" t="n">
        <v>45916</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52754-2023</t>
        </is>
      </c>
      <c r="B678" s="1" t="n">
        <v>45225.96831018518</v>
      </c>
      <c r="C678" s="1" t="n">
        <v>45916</v>
      </c>
      <c r="D678" t="inlineStr">
        <is>
          <t>JÄMTLANDS LÄN</t>
        </is>
      </c>
      <c r="E678" t="inlineStr">
        <is>
          <t>BRÄCKE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53578-2024</t>
        </is>
      </c>
      <c r="B679" s="1" t="n">
        <v>45614</v>
      </c>
      <c r="C679" s="1" t="n">
        <v>45916</v>
      </c>
      <c r="D679" t="inlineStr">
        <is>
          <t>JÄMTLANDS LÄN</t>
        </is>
      </c>
      <c r="E679" t="inlineStr">
        <is>
          <t>BRÄCKE</t>
        </is>
      </c>
      <c r="G679" t="n">
        <v>0.7</v>
      </c>
      <c r="H679" t="n">
        <v>0</v>
      </c>
      <c r="I679" t="n">
        <v>0</v>
      </c>
      <c r="J679" t="n">
        <v>0</v>
      </c>
      <c r="K679" t="n">
        <v>0</v>
      </c>
      <c r="L679" t="n">
        <v>0</v>
      </c>
      <c r="M679" t="n">
        <v>0</v>
      </c>
      <c r="N679" t="n">
        <v>0</v>
      </c>
      <c r="O679" t="n">
        <v>0</v>
      </c>
      <c r="P679" t="n">
        <v>0</v>
      </c>
      <c r="Q679" t="n">
        <v>0</v>
      </c>
      <c r="R679" s="2" t="inlineStr"/>
    </row>
    <row r="680" ht="15" customHeight="1">
      <c r="A680" t="inlineStr">
        <is>
          <t>A 52712-2022</t>
        </is>
      </c>
      <c r="B680" s="1" t="n">
        <v>44874</v>
      </c>
      <c r="C680" s="1" t="n">
        <v>45916</v>
      </c>
      <c r="D680" t="inlineStr">
        <is>
          <t>JÄMTLANDS LÄN</t>
        </is>
      </c>
      <c r="E680" t="inlineStr">
        <is>
          <t>BRÄCKE</t>
        </is>
      </c>
      <c r="F680" t="inlineStr">
        <is>
          <t>SCA</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52713-2022</t>
        </is>
      </c>
      <c r="B681" s="1" t="n">
        <v>44874.95504629629</v>
      </c>
      <c r="C681" s="1" t="n">
        <v>45916</v>
      </c>
      <c r="D681" t="inlineStr">
        <is>
          <t>JÄMTLANDS LÄN</t>
        </is>
      </c>
      <c r="E681" t="inlineStr">
        <is>
          <t>BRÄCKE</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23767-2023</t>
        </is>
      </c>
      <c r="B682" s="1" t="n">
        <v>45077</v>
      </c>
      <c r="C682" s="1" t="n">
        <v>45916</v>
      </c>
      <c r="D682" t="inlineStr">
        <is>
          <t>JÄMTLANDS LÄN</t>
        </is>
      </c>
      <c r="E682" t="inlineStr">
        <is>
          <t>BRÄCKE</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23773-2023</t>
        </is>
      </c>
      <c r="B683" s="1" t="n">
        <v>45077.94631944445</v>
      </c>
      <c r="C683" s="1" t="n">
        <v>45916</v>
      </c>
      <c r="D683" t="inlineStr">
        <is>
          <t>JÄMTLANDS LÄN</t>
        </is>
      </c>
      <c r="E683" t="inlineStr">
        <is>
          <t>BRÄCKE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14798-2023</t>
        </is>
      </c>
      <c r="B684" s="1" t="n">
        <v>45014.61738425926</v>
      </c>
      <c r="C684" s="1" t="n">
        <v>45916</v>
      </c>
      <c r="D684" t="inlineStr">
        <is>
          <t>JÄMTLANDS LÄN</t>
        </is>
      </c>
      <c r="E684" t="inlineStr">
        <is>
          <t>BRÄCKE</t>
        </is>
      </c>
      <c r="G684" t="n">
        <v>3.5</v>
      </c>
      <c r="H684" t="n">
        <v>0</v>
      </c>
      <c r="I684" t="n">
        <v>0</v>
      </c>
      <c r="J684" t="n">
        <v>0</v>
      </c>
      <c r="K684" t="n">
        <v>0</v>
      </c>
      <c r="L684" t="n">
        <v>0</v>
      </c>
      <c r="M684" t="n">
        <v>0</v>
      </c>
      <c r="N684" t="n">
        <v>0</v>
      </c>
      <c r="O684" t="n">
        <v>0</v>
      </c>
      <c r="P684" t="n">
        <v>0</v>
      </c>
      <c r="Q684" t="n">
        <v>0</v>
      </c>
      <c r="R684" s="2" t="inlineStr"/>
    </row>
    <row r="685" ht="15" customHeight="1">
      <c r="A685" t="inlineStr">
        <is>
          <t>A 26298-2025</t>
        </is>
      </c>
      <c r="B685" s="1" t="n">
        <v>45805.63619212963</v>
      </c>
      <c r="C685" s="1" t="n">
        <v>45916</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49399-2024</t>
        </is>
      </c>
      <c r="B686" s="1" t="n">
        <v>45595.67138888889</v>
      </c>
      <c r="C686" s="1" t="n">
        <v>45916</v>
      </c>
      <c r="D686" t="inlineStr">
        <is>
          <t>JÄMTLANDS LÄN</t>
        </is>
      </c>
      <c r="E686" t="inlineStr">
        <is>
          <t>BRÄCKE</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49400-2024</t>
        </is>
      </c>
      <c r="B687" s="1" t="n">
        <v>45595.67152777778</v>
      </c>
      <c r="C687" s="1" t="n">
        <v>45916</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8891-2025</t>
        </is>
      </c>
      <c r="B688" s="1" t="n">
        <v>45713.39917824074</v>
      </c>
      <c r="C688" s="1" t="n">
        <v>45916</v>
      </c>
      <c r="D688" t="inlineStr">
        <is>
          <t>JÄMTLANDS LÄN</t>
        </is>
      </c>
      <c r="E688" t="inlineStr">
        <is>
          <t>BRÄCKE</t>
        </is>
      </c>
      <c r="G688" t="n">
        <v>1</v>
      </c>
      <c r="H688" t="n">
        <v>0</v>
      </c>
      <c r="I688" t="n">
        <v>0</v>
      </c>
      <c r="J688" t="n">
        <v>0</v>
      </c>
      <c r="K688" t="n">
        <v>0</v>
      </c>
      <c r="L688" t="n">
        <v>0</v>
      </c>
      <c r="M688" t="n">
        <v>0</v>
      </c>
      <c r="N688" t="n">
        <v>0</v>
      </c>
      <c r="O688" t="n">
        <v>0</v>
      </c>
      <c r="P688" t="n">
        <v>0</v>
      </c>
      <c r="Q688" t="n">
        <v>0</v>
      </c>
      <c r="R688" s="2" t="inlineStr"/>
    </row>
    <row r="689" ht="15" customHeight="1">
      <c r="A689" t="inlineStr">
        <is>
          <t>A 25883-2024</t>
        </is>
      </c>
      <c r="B689" s="1" t="n">
        <v>45467.49233796296</v>
      </c>
      <c r="C689" s="1" t="n">
        <v>45916</v>
      </c>
      <c r="D689" t="inlineStr">
        <is>
          <t>JÄMTLANDS LÄN</t>
        </is>
      </c>
      <c r="E689" t="inlineStr">
        <is>
          <t>BRÄCKE</t>
        </is>
      </c>
      <c r="G689" t="n">
        <v>1.8</v>
      </c>
      <c r="H689" t="n">
        <v>0</v>
      </c>
      <c r="I689" t="n">
        <v>0</v>
      </c>
      <c r="J689" t="n">
        <v>0</v>
      </c>
      <c r="K689" t="n">
        <v>0</v>
      </c>
      <c r="L689" t="n">
        <v>0</v>
      </c>
      <c r="M689" t="n">
        <v>0</v>
      </c>
      <c r="N689" t="n">
        <v>0</v>
      </c>
      <c r="O689" t="n">
        <v>0</v>
      </c>
      <c r="P689" t="n">
        <v>0</v>
      </c>
      <c r="Q689" t="n">
        <v>0</v>
      </c>
      <c r="R689" s="2" t="inlineStr"/>
    </row>
    <row r="690" ht="15" customHeight="1">
      <c r="A690" t="inlineStr">
        <is>
          <t>A 54600-2023</t>
        </is>
      </c>
      <c r="B690" s="1" t="n">
        <v>45233.95663194444</v>
      </c>
      <c r="C690" s="1" t="n">
        <v>45916</v>
      </c>
      <c r="D690" t="inlineStr">
        <is>
          <t>JÄMTLANDS LÄN</t>
        </is>
      </c>
      <c r="E690" t="inlineStr">
        <is>
          <t>BRÄCKE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41175-2023</t>
        </is>
      </c>
      <c r="B691" s="1" t="n">
        <v>45170</v>
      </c>
      <c r="C691" s="1" t="n">
        <v>45916</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41183-2023</t>
        </is>
      </c>
      <c r="B692" s="1" t="n">
        <v>45170</v>
      </c>
      <c r="C692" s="1" t="n">
        <v>45916</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25734-2025</t>
        </is>
      </c>
      <c r="B693" s="1" t="n">
        <v>45803.76541666667</v>
      </c>
      <c r="C693" s="1" t="n">
        <v>45916</v>
      </c>
      <c r="D693" t="inlineStr">
        <is>
          <t>JÄMTLANDS LÄN</t>
        </is>
      </c>
      <c r="E693" t="inlineStr">
        <is>
          <t>BRÄCKE</t>
        </is>
      </c>
      <c r="G693" t="n">
        <v>12</v>
      </c>
      <c r="H693" t="n">
        <v>0</v>
      </c>
      <c r="I693" t="n">
        <v>0</v>
      </c>
      <c r="J693" t="n">
        <v>0</v>
      </c>
      <c r="K693" t="n">
        <v>0</v>
      </c>
      <c r="L693" t="n">
        <v>0</v>
      </c>
      <c r="M693" t="n">
        <v>0</v>
      </c>
      <c r="N693" t="n">
        <v>0</v>
      </c>
      <c r="O693" t="n">
        <v>0</v>
      </c>
      <c r="P693" t="n">
        <v>0</v>
      </c>
      <c r="Q693" t="n">
        <v>0</v>
      </c>
      <c r="R693" s="2" t="inlineStr"/>
    </row>
    <row r="694" ht="15" customHeight="1">
      <c r="A694" t="inlineStr">
        <is>
          <t>A 56656-2022</t>
        </is>
      </c>
      <c r="B694" s="1" t="n">
        <v>44893</v>
      </c>
      <c r="C694" s="1" t="n">
        <v>45916</v>
      </c>
      <c r="D694" t="inlineStr">
        <is>
          <t>JÄMTLANDS LÄN</t>
        </is>
      </c>
      <c r="E694" t="inlineStr">
        <is>
          <t>BRÄCKE</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45436-2022</t>
        </is>
      </c>
      <c r="B695" s="1" t="n">
        <v>44844.95355324074</v>
      </c>
      <c r="C695" s="1" t="n">
        <v>45916</v>
      </c>
      <c r="D695" t="inlineStr">
        <is>
          <t>JÄMTLANDS LÄN</t>
        </is>
      </c>
      <c r="E695" t="inlineStr">
        <is>
          <t>BRÄCKE</t>
        </is>
      </c>
      <c r="G695" t="n">
        <v>2.8</v>
      </c>
      <c r="H695" t="n">
        <v>0</v>
      </c>
      <c r="I695" t="n">
        <v>0</v>
      </c>
      <c r="J695" t="n">
        <v>0</v>
      </c>
      <c r="K695" t="n">
        <v>0</v>
      </c>
      <c r="L695" t="n">
        <v>0</v>
      </c>
      <c r="M695" t="n">
        <v>0</v>
      </c>
      <c r="N695" t="n">
        <v>0</v>
      </c>
      <c r="O695" t="n">
        <v>0</v>
      </c>
      <c r="P695" t="n">
        <v>0</v>
      </c>
      <c r="Q695" t="n">
        <v>0</v>
      </c>
      <c r="R695" s="2" t="inlineStr"/>
    </row>
    <row r="696" ht="15" customHeight="1">
      <c r="A696" t="inlineStr">
        <is>
          <t>A 51559-2022</t>
        </is>
      </c>
      <c r="B696" s="1" t="n">
        <v>44869</v>
      </c>
      <c r="C696" s="1" t="n">
        <v>45916</v>
      </c>
      <c r="D696" t="inlineStr">
        <is>
          <t>JÄMTLANDS LÄN</t>
        </is>
      </c>
      <c r="E696" t="inlineStr">
        <is>
          <t>BRÄCKE</t>
        </is>
      </c>
      <c r="F696" t="inlineStr">
        <is>
          <t>SCA</t>
        </is>
      </c>
      <c r="G696" t="n">
        <v>21.1</v>
      </c>
      <c r="H696" t="n">
        <v>0</v>
      </c>
      <c r="I696" t="n">
        <v>0</v>
      </c>
      <c r="J696" t="n">
        <v>0</v>
      </c>
      <c r="K696" t="n">
        <v>0</v>
      </c>
      <c r="L696" t="n">
        <v>0</v>
      </c>
      <c r="M696" t="n">
        <v>0</v>
      </c>
      <c r="N696" t="n">
        <v>0</v>
      </c>
      <c r="O696" t="n">
        <v>0</v>
      </c>
      <c r="P696" t="n">
        <v>0</v>
      </c>
      <c r="Q696" t="n">
        <v>0</v>
      </c>
      <c r="R696" s="2" t="inlineStr"/>
    </row>
    <row r="697" ht="15" customHeight="1">
      <c r="A697" t="inlineStr">
        <is>
          <t>A 4132-2025</t>
        </is>
      </c>
      <c r="B697" s="1" t="n">
        <v>45685.34538194445</v>
      </c>
      <c r="C697" s="1" t="n">
        <v>45916</v>
      </c>
      <c r="D697" t="inlineStr">
        <is>
          <t>JÄMTLANDS LÄN</t>
        </is>
      </c>
      <c r="E697" t="inlineStr">
        <is>
          <t>BRÄCKE</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12762-2025</t>
        </is>
      </c>
      <c r="B698" s="1" t="n">
        <v>45733.57340277778</v>
      </c>
      <c r="C698" s="1" t="n">
        <v>45916</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26379-2025</t>
        </is>
      </c>
      <c r="B699" s="1" t="n">
        <v>45806.48998842593</v>
      </c>
      <c r="C699" s="1" t="n">
        <v>45916</v>
      </c>
      <c r="D699" t="inlineStr">
        <is>
          <t>JÄMTLANDS LÄN</t>
        </is>
      </c>
      <c r="E699" t="inlineStr">
        <is>
          <t>BRÄCKE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5340-2025</t>
        </is>
      </c>
      <c r="B700" s="1" t="n">
        <v>45692.55248842593</v>
      </c>
      <c r="C700" s="1" t="n">
        <v>45916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30719-2022</t>
        </is>
      </c>
      <c r="B701" s="1" t="n">
        <v>44763.94347222222</v>
      </c>
      <c r="C701" s="1" t="n">
        <v>45916</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61079-2024</t>
        </is>
      </c>
      <c r="B702" s="1" t="n">
        <v>45645.51072916666</v>
      </c>
      <c r="C702" s="1" t="n">
        <v>45916</v>
      </c>
      <c r="D702" t="inlineStr">
        <is>
          <t>JÄMTLANDS LÄN</t>
        </is>
      </c>
      <c r="E702" t="inlineStr">
        <is>
          <t>BRÄCKE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55662-2023</t>
        </is>
      </c>
      <c r="B703" s="1" t="n">
        <v>45238.96730324074</v>
      </c>
      <c r="C703" s="1" t="n">
        <v>45916</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26025-2024</t>
        </is>
      </c>
      <c r="B704" s="1" t="n">
        <v>45467.96188657408</v>
      </c>
      <c r="C704" s="1" t="n">
        <v>45916</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26029-2024</t>
        </is>
      </c>
      <c r="B705" s="1" t="n">
        <v>45467.96262731482</v>
      </c>
      <c r="C705" s="1" t="n">
        <v>45916</v>
      </c>
      <c r="D705" t="inlineStr">
        <is>
          <t>JÄMTLANDS LÄN</t>
        </is>
      </c>
      <c r="E705" t="inlineStr">
        <is>
          <t>BRÄCKE</t>
        </is>
      </c>
      <c r="F705" t="inlineStr">
        <is>
          <t>SCA</t>
        </is>
      </c>
      <c r="G705" t="n">
        <v>40.9</v>
      </c>
      <c r="H705" t="n">
        <v>0</v>
      </c>
      <c r="I705" t="n">
        <v>0</v>
      </c>
      <c r="J705" t="n">
        <v>0</v>
      </c>
      <c r="K705" t="n">
        <v>0</v>
      </c>
      <c r="L705" t="n">
        <v>0</v>
      </c>
      <c r="M705" t="n">
        <v>0</v>
      </c>
      <c r="N705" t="n">
        <v>0</v>
      </c>
      <c r="O705" t="n">
        <v>0</v>
      </c>
      <c r="P705" t="n">
        <v>0</v>
      </c>
      <c r="Q705" t="n">
        <v>0</v>
      </c>
      <c r="R705" s="2" t="inlineStr"/>
      <c r="U705">
        <f>HYPERLINK("https://klasma.github.io/Logging_2305/knärot/A 26029-2024 karta knärot.png", "A 26029-2024")</f>
        <v/>
      </c>
      <c r="V705">
        <f>HYPERLINK("https://klasma.github.io/Logging_2305/klagomål/A 26029-2024 FSC-klagomål.docx", "A 26029-2024")</f>
        <v/>
      </c>
      <c r="W705">
        <f>HYPERLINK("https://klasma.github.io/Logging_2305/klagomålsmail/A 26029-2024 FSC-klagomål mail.docx", "A 26029-2024")</f>
        <v/>
      </c>
      <c r="X705">
        <f>HYPERLINK("https://klasma.github.io/Logging_2305/tillsyn/A 26029-2024 tillsynsbegäran.docx", "A 26029-2024")</f>
        <v/>
      </c>
      <c r="Y705">
        <f>HYPERLINK("https://klasma.github.io/Logging_2305/tillsynsmail/A 26029-2024 tillsynsbegäran mail.docx", "A 26029-2024")</f>
        <v/>
      </c>
    </row>
    <row r="706" ht="15" customHeight="1">
      <c r="A706" t="inlineStr">
        <is>
          <t>A 55658-2020</t>
        </is>
      </c>
      <c r="B706" s="1" t="n">
        <v>44131</v>
      </c>
      <c r="C706" s="1" t="n">
        <v>45916</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41738-2023</t>
        </is>
      </c>
      <c r="B707" s="1" t="n">
        <v>45176.418125</v>
      </c>
      <c r="C707" s="1" t="n">
        <v>45916</v>
      </c>
      <c r="D707" t="inlineStr">
        <is>
          <t>JÄMTLANDS LÄN</t>
        </is>
      </c>
      <c r="E707" t="inlineStr">
        <is>
          <t>BRÄCKE</t>
        </is>
      </c>
      <c r="G707" t="n">
        <v>12.7</v>
      </c>
      <c r="H707" t="n">
        <v>0</v>
      </c>
      <c r="I707" t="n">
        <v>0</v>
      </c>
      <c r="J707" t="n">
        <v>0</v>
      </c>
      <c r="K707" t="n">
        <v>0</v>
      </c>
      <c r="L707" t="n">
        <v>0</v>
      </c>
      <c r="M707" t="n">
        <v>0</v>
      </c>
      <c r="N707" t="n">
        <v>0</v>
      </c>
      <c r="O707" t="n">
        <v>0</v>
      </c>
      <c r="P707" t="n">
        <v>0</v>
      </c>
      <c r="Q707" t="n">
        <v>0</v>
      </c>
      <c r="R707" s="2" t="inlineStr"/>
    </row>
    <row r="708" ht="15" customHeight="1">
      <c r="A708" t="inlineStr">
        <is>
          <t>A 26353-2023</t>
        </is>
      </c>
      <c r="B708" s="1" t="n">
        <v>45091.94232638889</v>
      </c>
      <c r="C708" s="1" t="n">
        <v>45916</v>
      </c>
      <c r="D708" t="inlineStr">
        <is>
          <t>JÄMTLANDS LÄN</t>
        </is>
      </c>
      <c r="E708" t="inlineStr">
        <is>
          <t>BRÄCKE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9387-2025</t>
        </is>
      </c>
      <c r="B709" s="1" t="n">
        <v>45715.34461805555</v>
      </c>
      <c r="C709" s="1" t="n">
        <v>45916</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33870-2023</t>
        </is>
      </c>
      <c r="B710" s="1" t="n">
        <v>45133.95326388889</v>
      </c>
      <c r="C710" s="1" t="n">
        <v>45916</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26371-2025</t>
        </is>
      </c>
      <c r="B711" s="1" t="n">
        <v>45806.40653935185</v>
      </c>
      <c r="C711" s="1" t="n">
        <v>45916</v>
      </c>
      <c r="D711" t="inlineStr">
        <is>
          <t>JÄMTLANDS LÄN</t>
        </is>
      </c>
      <c r="E711" t="inlineStr">
        <is>
          <t>BRÄCKE</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27799-2024</t>
        </is>
      </c>
      <c r="B712" s="1" t="n">
        <v>45475.56605324074</v>
      </c>
      <c r="C712" s="1" t="n">
        <v>45916</v>
      </c>
      <c r="D712" t="inlineStr">
        <is>
          <t>JÄMTLANDS LÄN</t>
        </is>
      </c>
      <c r="E712" t="inlineStr">
        <is>
          <t>BRÄCKE</t>
        </is>
      </c>
      <c r="G712" t="n">
        <v>3.6</v>
      </c>
      <c r="H712" t="n">
        <v>0</v>
      </c>
      <c r="I712" t="n">
        <v>0</v>
      </c>
      <c r="J712" t="n">
        <v>0</v>
      </c>
      <c r="K712" t="n">
        <v>0</v>
      </c>
      <c r="L712" t="n">
        <v>0</v>
      </c>
      <c r="M712" t="n">
        <v>0</v>
      </c>
      <c r="N712" t="n">
        <v>0</v>
      </c>
      <c r="O712" t="n">
        <v>0</v>
      </c>
      <c r="P712" t="n">
        <v>0</v>
      </c>
      <c r="Q712" t="n">
        <v>0</v>
      </c>
      <c r="R712" s="2" t="inlineStr"/>
    </row>
    <row r="713" ht="15" customHeight="1">
      <c r="A713" t="inlineStr">
        <is>
          <t>A 48784-2024</t>
        </is>
      </c>
      <c r="B713" s="1" t="n">
        <v>45593.63570601852</v>
      </c>
      <c r="C713" s="1" t="n">
        <v>45916</v>
      </c>
      <c r="D713" t="inlineStr">
        <is>
          <t>JÄMTLANDS LÄN</t>
        </is>
      </c>
      <c r="E713" t="inlineStr">
        <is>
          <t>BRÄCKE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18066-2025</t>
        </is>
      </c>
      <c r="B714" s="1" t="n">
        <v>45761.49002314815</v>
      </c>
      <c r="C714" s="1" t="n">
        <v>45916</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45304-2022</t>
        </is>
      </c>
      <c r="B715" s="1" t="n">
        <v>44841</v>
      </c>
      <c r="C715" s="1" t="n">
        <v>45916</v>
      </c>
      <c r="D715" t="inlineStr">
        <is>
          <t>JÄMTLANDS LÄN</t>
        </is>
      </c>
      <c r="E715" t="inlineStr">
        <is>
          <t>BRÄCKE</t>
        </is>
      </c>
      <c r="G715" t="n">
        <v>3.8</v>
      </c>
      <c r="H715" t="n">
        <v>0</v>
      </c>
      <c r="I715" t="n">
        <v>0</v>
      </c>
      <c r="J715" t="n">
        <v>0</v>
      </c>
      <c r="K715" t="n">
        <v>0</v>
      </c>
      <c r="L715" t="n">
        <v>0</v>
      </c>
      <c r="M715" t="n">
        <v>0</v>
      </c>
      <c r="N715" t="n">
        <v>0</v>
      </c>
      <c r="O715" t="n">
        <v>0</v>
      </c>
      <c r="P715" t="n">
        <v>0</v>
      </c>
      <c r="Q715" t="n">
        <v>0</v>
      </c>
      <c r="R715" s="2" t="inlineStr"/>
    </row>
    <row r="716" ht="15" customHeight="1">
      <c r="A716" t="inlineStr">
        <is>
          <t>A 41401-2023</t>
        </is>
      </c>
      <c r="B716" s="1" t="n">
        <v>45174</v>
      </c>
      <c r="C716" s="1" t="n">
        <v>45916</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39996-2024</t>
        </is>
      </c>
      <c r="B717" s="1" t="n">
        <v>45553.63585648148</v>
      </c>
      <c r="C717" s="1" t="n">
        <v>45916</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18600-2024</t>
        </is>
      </c>
      <c r="B718" s="1" t="n">
        <v>45425.92462962963</v>
      </c>
      <c r="C718" s="1" t="n">
        <v>45916</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61143-2020</t>
        </is>
      </c>
      <c r="B719" s="1" t="n">
        <v>44154</v>
      </c>
      <c r="C719" s="1" t="n">
        <v>45916</v>
      </c>
      <c r="D719" t="inlineStr">
        <is>
          <t>JÄMTLANDS LÄN</t>
        </is>
      </c>
      <c r="E719" t="inlineStr">
        <is>
          <t>BRÄCKE</t>
        </is>
      </c>
      <c r="G719" t="n">
        <v>12.6</v>
      </c>
      <c r="H719" t="n">
        <v>0</v>
      </c>
      <c r="I719" t="n">
        <v>0</v>
      </c>
      <c r="J719" t="n">
        <v>0</v>
      </c>
      <c r="K719" t="n">
        <v>0</v>
      </c>
      <c r="L719" t="n">
        <v>0</v>
      </c>
      <c r="M719" t="n">
        <v>0</v>
      </c>
      <c r="N719" t="n">
        <v>0</v>
      </c>
      <c r="O719" t="n">
        <v>0</v>
      </c>
      <c r="P719" t="n">
        <v>0</v>
      </c>
      <c r="Q719" t="n">
        <v>0</v>
      </c>
      <c r="R719" s="2" t="inlineStr"/>
    </row>
    <row r="720" ht="15" customHeight="1">
      <c r="A720" t="inlineStr">
        <is>
          <t>A 30480-2024</t>
        </is>
      </c>
      <c r="B720" s="1" t="n">
        <v>45491.9494675926</v>
      </c>
      <c r="C720" s="1" t="n">
        <v>45916</v>
      </c>
      <c r="D720" t="inlineStr">
        <is>
          <t>JÄMTLANDS LÄN</t>
        </is>
      </c>
      <c r="E720" t="inlineStr">
        <is>
          <t>BRÄCKE</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19486-2023</t>
        </is>
      </c>
      <c r="B721" s="1" t="n">
        <v>45049</v>
      </c>
      <c r="C721" s="1" t="n">
        <v>45916</v>
      </c>
      <c r="D721" t="inlineStr">
        <is>
          <t>JÄMTLANDS LÄN</t>
        </is>
      </c>
      <c r="E721" t="inlineStr">
        <is>
          <t>BRÄCKE</t>
        </is>
      </c>
      <c r="G721" t="n">
        <v>2.4</v>
      </c>
      <c r="H721" t="n">
        <v>0</v>
      </c>
      <c r="I721" t="n">
        <v>0</v>
      </c>
      <c r="J721" t="n">
        <v>0</v>
      </c>
      <c r="K721" t="n">
        <v>0</v>
      </c>
      <c r="L721" t="n">
        <v>0</v>
      </c>
      <c r="M721" t="n">
        <v>0</v>
      </c>
      <c r="N721" t="n">
        <v>0</v>
      </c>
      <c r="O721" t="n">
        <v>0</v>
      </c>
      <c r="P721" t="n">
        <v>0</v>
      </c>
      <c r="Q721" t="n">
        <v>0</v>
      </c>
      <c r="R721" s="2" t="inlineStr"/>
    </row>
    <row r="722" ht="15" customHeight="1">
      <c r="A722" t="inlineStr">
        <is>
          <t>A 26818-2025</t>
        </is>
      </c>
      <c r="B722" s="1" t="n">
        <v>45810.63622685185</v>
      </c>
      <c r="C722" s="1" t="n">
        <v>45916</v>
      </c>
      <c r="D722" t="inlineStr">
        <is>
          <t>JÄMTLANDS LÄN</t>
        </is>
      </c>
      <c r="E722" t="inlineStr">
        <is>
          <t>BRÄCKE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37173-2024</t>
        </is>
      </c>
      <c r="B723" s="1" t="n">
        <v>45539.63597222222</v>
      </c>
      <c r="C723" s="1" t="n">
        <v>45916</v>
      </c>
      <c r="D723" t="inlineStr">
        <is>
          <t>JÄMTLANDS LÄN</t>
        </is>
      </c>
      <c r="E723" t="inlineStr">
        <is>
          <t>BRÄCKE</t>
        </is>
      </c>
      <c r="G723" t="n">
        <v>3.8</v>
      </c>
      <c r="H723" t="n">
        <v>0</v>
      </c>
      <c r="I723" t="n">
        <v>0</v>
      </c>
      <c r="J723" t="n">
        <v>0</v>
      </c>
      <c r="K723" t="n">
        <v>0</v>
      </c>
      <c r="L723" t="n">
        <v>0</v>
      </c>
      <c r="M723" t="n">
        <v>0</v>
      </c>
      <c r="N723" t="n">
        <v>0</v>
      </c>
      <c r="O723" t="n">
        <v>0</v>
      </c>
      <c r="P723" t="n">
        <v>0</v>
      </c>
      <c r="Q723" t="n">
        <v>0</v>
      </c>
      <c r="R723" s="2" t="inlineStr"/>
    </row>
    <row r="724" ht="15" customHeight="1">
      <c r="A724" t="inlineStr">
        <is>
          <t>A 52227-2024</t>
        </is>
      </c>
      <c r="B724" s="1" t="n">
        <v>45608.60768518518</v>
      </c>
      <c r="C724" s="1" t="n">
        <v>45916</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18206-2023</t>
        </is>
      </c>
      <c r="B725" s="1" t="n">
        <v>45041</v>
      </c>
      <c r="C725" s="1" t="n">
        <v>45916</v>
      </c>
      <c r="D725" t="inlineStr">
        <is>
          <t>JÄMTLANDS LÄN</t>
        </is>
      </c>
      <c r="E725" t="inlineStr">
        <is>
          <t>BRÄCKE</t>
        </is>
      </c>
      <c r="G725" t="n">
        <v>5.2</v>
      </c>
      <c r="H725" t="n">
        <v>0</v>
      </c>
      <c r="I725" t="n">
        <v>0</v>
      </c>
      <c r="J725" t="n">
        <v>0</v>
      </c>
      <c r="K725" t="n">
        <v>0</v>
      </c>
      <c r="L725" t="n">
        <v>0</v>
      </c>
      <c r="M725" t="n">
        <v>0</v>
      </c>
      <c r="N725" t="n">
        <v>0</v>
      </c>
      <c r="O725" t="n">
        <v>0</v>
      </c>
      <c r="P725" t="n">
        <v>0</v>
      </c>
      <c r="Q725" t="n">
        <v>0</v>
      </c>
      <c r="R725" s="2" t="inlineStr"/>
    </row>
    <row r="726" ht="15" customHeight="1">
      <c r="A726" t="inlineStr">
        <is>
          <t>A 12036-2023</t>
        </is>
      </c>
      <c r="B726" s="1" t="n">
        <v>44995</v>
      </c>
      <c r="C726" s="1" t="n">
        <v>45916</v>
      </c>
      <c r="D726" t="inlineStr">
        <is>
          <t>JÄMTLANDS LÄN</t>
        </is>
      </c>
      <c r="E726" t="inlineStr">
        <is>
          <t>BRÄCKE</t>
        </is>
      </c>
      <c r="G726" t="n">
        <v>16.3</v>
      </c>
      <c r="H726" t="n">
        <v>0</v>
      </c>
      <c r="I726" t="n">
        <v>0</v>
      </c>
      <c r="J726" t="n">
        <v>0</v>
      </c>
      <c r="K726" t="n">
        <v>0</v>
      </c>
      <c r="L726" t="n">
        <v>0</v>
      </c>
      <c r="M726" t="n">
        <v>0</v>
      </c>
      <c r="N726" t="n">
        <v>0</v>
      </c>
      <c r="O726" t="n">
        <v>0</v>
      </c>
      <c r="P726" t="n">
        <v>0</v>
      </c>
      <c r="Q726" t="n">
        <v>0</v>
      </c>
      <c r="R726" s="2" t="inlineStr"/>
    </row>
    <row r="727" ht="15" customHeight="1">
      <c r="A727" t="inlineStr">
        <is>
          <t>A 63716-2023</t>
        </is>
      </c>
      <c r="B727" s="1" t="n">
        <v>45275</v>
      </c>
      <c r="C727" s="1" t="n">
        <v>45916</v>
      </c>
      <c r="D727" t="inlineStr">
        <is>
          <t>JÄMTLANDS LÄN</t>
        </is>
      </c>
      <c r="E727" t="inlineStr">
        <is>
          <t>BRÄCKE</t>
        </is>
      </c>
      <c r="G727" t="n">
        <v>1.1</v>
      </c>
      <c r="H727" t="n">
        <v>0</v>
      </c>
      <c r="I727" t="n">
        <v>0</v>
      </c>
      <c r="J727" t="n">
        <v>0</v>
      </c>
      <c r="K727" t="n">
        <v>0</v>
      </c>
      <c r="L727" t="n">
        <v>0</v>
      </c>
      <c r="M727" t="n">
        <v>0</v>
      </c>
      <c r="N727" t="n">
        <v>0</v>
      </c>
      <c r="O727" t="n">
        <v>0</v>
      </c>
      <c r="P727" t="n">
        <v>0</v>
      </c>
      <c r="Q727" t="n">
        <v>0</v>
      </c>
      <c r="R727" s="2" t="inlineStr"/>
    </row>
    <row r="728" ht="15" customHeight="1">
      <c r="A728" t="inlineStr">
        <is>
          <t>A 2065-2024</t>
        </is>
      </c>
      <c r="B728" s="1" t="n">
        <v>45308.97871527778</v>
      </c>
      <c r="C728" s="1" t="n">
        <v>45916</v>
      </c>
      <c r="D728" t="inlineStr">
        <is>
          <t>JÄMTLANDS LÄN</t>
        </is>
      </c>
      <c r="E728" t="inlineStr">
        <is>
          <t>BRÄCKE</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26736-2025</t>
        </is>
      </c>
      <c r="B729" s="1" t="n">
        <v>45810.51644675926</v>
      </c>
      <c r="C729" s="1" t="n">
        <v>45916</v>
      </c>
      <c r="D729" t="inlineStr">
        <is>
          <t>JÄMTLANDS LÄN</t>
        </is>
      </c>
      <c r="E729" t="inlineStr">
        <is>
          <t>BRÄCKE</t>
        </is>
      </c>
      <c r="G729" t="n">
        <v>4.2</v>
      </c>
      <c r="H729" t="n">
        <v>0</v>
      </c>
      <c r="I729" t="n">
        <v>0</v>
      </c>
      <c r="J729" t="n">
        <v>0</v>
      </c>
      <c r="K729" t="n">
        <v>0</v>
      </c>
      <c r="L729" t="n">
        <v>0</v>
      </c>
      <c r="M729" t="n">
        <v>0</v>
      </c>
      <c r="N729" t="n">
        <v>0</v>
      </c>
      <c r="O729" t="n">
        <v>0</v>
      </c>
      <c r="P729" t="n">
        <v>0</v>
      </c>
      <c r="Q729" t="n">
        <v>0</v>
      </c>
      <c r="R729" s="2" t="inlineStr"/>
    </row>
    <row r="730" ht="15" customHeight="1">
      <c r="A730" t="inlineStr">
        <is>
          <t>A 59774-2024</t>
        </is>
      </c>
      <c r="B730" s="1" t="n">
        <v>45639.56954861111</v>
      </c>
      <c r="C730" s="1" t="n">
        <v>45916</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59245-2024</t>
        </is>
      </c>
      <c r="B731" s="1" t="n">
        <v>45637.59230324074</v>
      </c>
      <c r="C731" s="1" t="n">
        <v>45916</v>
      </c>
      <c r="D731" t="inlineStr">
        <is>
          <t>JÄMTLANDS LÄN</t>
        </is>
      </c>
      <c r="E731" t="inlineStr">
        <is>
          <t>BRÄCKE</t>
        </is>
      </c>
      <c r="G731" t="n">
        <v>4.9</v>
      </c>
      <c r="H731" t="n">
        <v>0</v>
      </c>
      <c r="I731" t="n">
        <v>0</v>
      </c>
      <c r="J731" t="n">
        <v>0</v>
      </c>
      <c r="K731" t="n">
        <v>0</v>
      </c>
      <c r="L731" t="n">
        <v>0</v>
      </c>
      <c r="M731" t="n">
        <v>0</v>
      </c>
      <c r="N731" t="n">
        <v>0</v>
      </c>
      <c r="O731" t="n">
        <v>0</v>
      </c>
      <c r="P731" t="n">
        <v>0</v>
      </c>
      <c r="Q731" t="n">
        <v>0</v>
      </c>
      <c r="R731" s="2" t="inlineStr"/>
    </row>
    <row r="732" ht="15" customHeight="1">
      <c r="A732" t="inlineStr">
        <is>
          <t>A 3697-2025</t>
        </is>
      </c>
      <c r="B732" s="1" t="n">
        <v>45681.46973379629</v>
      </c>
      <c r="C732" s="1" t="n">
        <v>45916</v>
      </c>
      <c r="D732" t="inlineStr">
        <is>
          <t>JÄMTLANDS LÄN</t>
        </is>
      </c>
      <c r="E732" t="inlineStr">
        <is>
          <t>BRÄCKE</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56822-2022</t>
        </is>
      </c>
      <c r="B733" s="1" t="n">
        <v>44894.44673611111</v>
      </c>
      <c r="C733" s="1" t="n">
        <v>45916</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12524-2025</t>
        </is>
      </c>
      <c r="B734" s="1" t="n">
        <v>45730.6775462963</v>
      </c>
      <c r="C734" s="1" t="n">
        <v>45916</v>
      </c>
      <c r="D734" t="inlineStr">
        <is>
          <t>JÄMTLANDS LÄN</t>
        </is>
      </c>
      <c r="E734" t="inlineStr">
        <is>
          <t>BRÄCKE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15261-2025</t>
        </is>
      </c>
      <c r="B735" s="1" t="n">
        <v>45744.65678240741</v>
      </c>
      <c r="C735" s="1" t="n">
        <v>45916</v>
      </c>
      <c r="D735" t="inlineStr">
        <is>
          <t>JÄMTLANDS LÄN</t>
        </is>
      </c>
      <c r="E735" t="inlineStr">
        <is>
          <t>BRÄCKE</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18641-2024</t>
        </is>
      </c>
      <c r="B736" s="1" t="n">
        <v>45425.9666087963</v>
      </c>
      <c r="C736" s="1" t="n">
        <v>45916</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12553-2025</t>
        </is>
      </c>
      <c r="B737" s="1" t="n">
        <v>45731.34431712963</v>
      </c>
      <c r="C737" s="1" t="n">
        <v>45916</v>
      </c>
      <c r="D737" t="inlineStr">
        <is>
          <t>JÄMTLANDS LÄN</t>
        </is>
      </c>
      <c r="E737" t="inlineStr">
        <is>
          <t>BRÄCKE</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58848-2024</t>
        </is>
      </c>
      <c r="B738" s="1" t="n">
        <v>45636.38657407407</v>
      </c>
      <c r="C738" s="1" t="n">
        <v>45916</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28766-2024</t>
        </is>
      </c>
      <c r="B739" s="1" t="n">
        <v>45478</v>
      </c>
      <c r="C739" s="1" t="n">
        <v>45916</v>
      </c>
      <c r="D739" t="inlineStr">
        <is>
          <t>JÄMTLANDS LÄN</t>
        </is>
      </c>
      <c r="E739" t="inlineStr">
        <is>
          <t>BRÄCKE</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13668-2024</t>
        </is>
      </c>
      <c r="B740" s="1" t="n">
        <v>45387</v>
      </c>
      <c r="C740" s="1" t="n">
        <v>45916</v>
      </c>
      <c r="D740" t="inlineStr">
        <is>
          <t>JÄMTLANDS LÄN</t>
        </is>
      </c>
      <c r="E740" t="inlineStr">
        <is>
          <t>BRÄCKE</t>
        </is>
      </c>
      <c r="G740" t="n">
        <v>8.1</v>
      </c>
      <c r="H740" t="n">
        <v>0</v>
      </c>
      <c r="I740" t="n">
        <v>0</v>
      </c>
      <c r="J740" t="n">
        <v>0</v>
      </c>
      <c r="K740" t="n">
        <v>0</v>
      </c>
      <c r="L740" t="n">
        <v>0</v>
      </c>
      <c r="M740" t="n">
        <v>0</v>
      </c>
      <c r="N740" t="n">
        <v>0</v>
      </c>
      <c r="O740" t="n">
        <v>0</v>
      </c>
      <c r="P740" t="n">
        <v>0</v>
      </c>
      <c r="Q740" t="n">
        <v>0</v>
      </c>
      <c r="R740" s="2" t="inlineStr"/>
    </row>
    <row r="741" ht="15" customHeight="1">
      <c r="A741" t="inlineStr">
        <is>
          <t>A 50260-2024</t>
        </is>
      </c>
      <c r="B741" s="1" t="n">
        <v>45600</v>
      </c>
      <c r="C741" s="1" t="n">
        <v>45916</v>
      </c>
      <c r="D741" t="inlineStr">
        <is>
          <t>JÄMTLANDS LÄN</t>
        </is>
      </c>
      <c r="E741" t="inlineStr">
        <is>
          <t>BRÄCKE</t>
        </is>
      </c>
      <c r="G741" t="n">
        <v>5.3</v>
      </c>
      <c r="H741" t="n">
        <v>0</v>
      </c>
      <c r="I741" t="n">
        <v>0</v>
      </c>
      <c r="J741" t="n">
        <v>0</v>
      </c>
      <c r="K741" t="n">
        <v>0</v>
      </c>
      <c r="L741" t="n">
        <v>0</v>
      </c>
      <c r="M741" t="n">
        <v>0</v>
      </c>
      <c r="N741" t="n">
        <v>0</v>
      </c>
      <c r="O741" t="n">
        <v>0</v>
      </c>
      <c r="P741" t="n">
        <v>0</v>
      </c>
      <c r="Q741" t="n">
        <v>0</v>
      </c>
      <c r="R741" s="2" t="inlineStr"/>
    </row>
    <row r="742" ht="15" customHeight="1">
      <c r="A742" t="inlineStr">
        <is>
          <t>A 35506-2023</t>
        </is>
      </c>
      <c r="B742" s="1" t="n">
        <v>45146</v>
      </c>
      <c r="C742" s="1" t="n">
        <v>45916</v>
      </c>
      <c r="D742" t="inlineStr">
        <is>
          <t>JÄMTLANDS LÄN</t>
        </is>
      </c>
      <c r="E742" t="inlineStr">
        <is>
          <t>BRÄCKE</t>
        </is>
      </c>
      <c r="G742" t="n">
        <v>2.1</v>
      </c>
      <c r="H742" t="n">
        <v>0</v>
      </c>
      <c r="I742" t="n">
        <v>0</v>
      </c>
      <c r="J742" t="n">
        <v>0</v>
      </c>
      <c r="K742" t="n">
        <v>0</v>
      </c>
      <c r="L742" t="n">
        <v>0</v>
      </c>
      <c r="M742" t="n">
        <v>0</v>
      </c>
      <c r="N742" t="n">
        <v>0</v>
      </c>
      <c r="O742" t="n">
        <v>0</v>
      </c>
      <c r="P742" t="n">
        <v>0</v>
      </c>
      <c r="Q742" t="n">
        <v>0</v>
      </c>
      <c r="R742" s="2" t="inlineStr"/>
    </row>
    <row r="743" ht="15" customHeight="1">
      <c r="A743" t="inlineStr">
        <is>
          <t>A 15201-2024</t>
        </is>
      </c>
      <c r="B743" s="1" t="n">
        <v>45400.43778935185</v>
      </c>
      <c r="C743" s="1" t="n">
        <v>45916</v>
      </c>
      <c r="D743" t="inlineStr">
        <is>
          <t>JÄMTLANDS LÄN</t>
        </is>
      </c>
      <c r="E743" t="inlineStr">
        <is>
          <t>BRÄCKE</t>
        </is>
      </c>
      <c r="G743" t="n">
        <v>3.1</v>
      </c>
      <c r="H743" t="n">
        <v>0</v>
      </c>
      <c r="I743" t="n">
        <v>0</v>
      </c>
      <c r="J743" t="n">
        <v>0</v>
      </c>
      <c r="K743" t="n">
        <v>0</v>
      </c>
      <c r="L743" t="n">
        <v>0</v>
      </c>
      <c r="M743" t="n">
        <v>0</v>
      </c>
      <c r="N743" t="n">
        <v>0</v>
      </c>
      <c r="O743" t="n">
        <v>0</v>
      </c>
      <c r="P743" t="n">
        <v>0</v>
      </c>
      <c r="Q743" t="n">
        <v>0</v>
      </c>
      <c r="R743" s="2" t="inlineStr"/>
    </row>
    <row r="744" ht="15" customHeight="1">
      <c r="A744" t="inlineStr">
        <is>
          <t>A 27041-2025</t>
        </is>
      </c>
      <c r="B744" s="1" t="n">
        <v>45811.60465277778</v>
      </c>
      <c r="C744" s="1" t="n">
        <v>45916</v>
      </c>
      <c r="D744" t="inlineStr">
        <is>
          <t>JÄMTLANDS LÄN</t>
        </is>
      </c>
      <c r="E744" t="inlineStr">
        <is>
          <t>BRÄCKE</t>
        </is>
      </c>
      <c r="G744" t="n">
        <v>2.6</v>
      </c>
      <c r="H744" t="n">
        <v>0</v>
      </c>
      <c r="I744" t="n">
        <v>0</v>
      </c>
      <c r="J744" t="n">
        <v>0</v>
      </c>
      <c r="K744" t="n">
        <v>0</v>
      </c>
      <c r="L744" t="n">
        <v>0</v>
      </c>
      <c r="M744" t="n">
        <v>0</v>
      </c>
      <c r="N744" t="n">
        <v>0</v>
      </c>
      <c r="O744" t="n">
        <v>0</v>
      </c>
      <c r="P744" t="n">
        <v>0</v>
      </c>
      <c r="Q744" t="n">
        <v>0</v>
      </c>
      <c r="R744" s="2" t="inlineStr"/>
    </row>
    <row r="745" ht="15" customHeight="1">
      <c r="A745" t="inlineStr">
        <is>
          <t>A 23444-2022</t>
        </is>
      </c>
      <c r="B745" s="1" t="n">
        <v>44720.94118055556</v>
      </c>
      <c r="C745" s="1" t="n">
        <v>45916</v>
      </c>
      <c r="D745" t="inlineStr">
        <is>
          <t>JÄMTLANDS LÄN</t>
        </is>
      </c>
      <c r="E745" t="inlineStr">
        <is>
          <t>BRÄCKE</t>
        </is>
      </c>
      <c r="G745" t="n">
        <v>1.9</v>
      </c>
      <c r="H745" t="n">
        <v>0</v>
      </c>
      <c r="I745" t="n">
        <v>0</v>
      </c>
      <c r="J745" t="n">
        <v>0</v>
      </c>
      <c r="K745" t="n">
        <v>0</v>
      </c>
      <c r="L745" t="n">
        <v>0</v>
      </c>
      <c r="M745" t="n">
        <v>0</v>
      </c>
      <c r="N745" t="n">
        <v>0</v>
      </c>
      <c r="O745" t="n">
        <v>0</v>
      </c>
      <c r="P745" t="n">
        <v>0</v>
      </c>
      <c r="Q745" t="n">
        <v>0</v>
      </c>
      <c r="R745" s="2" t="inlineStr"/>
    </row>
    <row r="746" ht="15" customHeight="1">
      <c r="A746" t="inlineStr">
        <is>
          <t>A 4123-2025</t>
        </is>
      </c>
      <c r="B746" s="1" t="n">
        <v>45685.27107638889</v>
      </c>
      <c r="C746" s="1" t="n">
        <v>45916</v>
      </c>
      <c r="D746" t="inlineStr">
        <is>
          <t>JÄMTLANDS LÄN</t>
        </is>
      </c>
      <c r="E746" t="inlineStr">
        <is>
          <t>BRÄCKE</t>
        </is>
      </c>
      <c r="G746" t="n">
        <v>0.3</v>
      </c>
      <c r="H746" t="n">
        <v>0</v>
      </c>
      <c r="I746" t="n">
        <v>0</v>
      </c>
      <c r="J746" t="n">
        <v>0</v>
      </c>
      <c r="K746" t="n">
        <v>0</v>
      </c>
      <c r="L746" t="n">
        <v>0</v>
      </c>
      <c r="M746" t="n">
        <v>0</v>
      </c>
      <c r="N746" t="n">
        <v>0</v>
      </c>
      <c r="O746" t="n">
        <v>0</v>
      </c>
      <c r="P746" t="n">
        <v>0</v>
      </c>
      <c r="Q746" t="n">
        <v>0</v>
      </c>
      <c r="R746" s="2" t="inlineStr"/>
    </row>
    <row r="747" ht="15" customHeight="1">
      <c r="A747" t="inlineStr">
        <is>
          <t>A 29003-2024</t>
        </is>
      </c>
      <c r="B747" s="1" t="n">
        <v>45481.52758101852</v>
      </c>
      <c r="C747" s="1" t="n">
        <v>45916</v>
      </c>
      <c r="D747" t="inlineStr">
        <is>
          <t>JÄMTLANDS LÄN</t>
        </is>
      </c>
      <c r="E747" t="inlineStr">
        <is>
          <t>BRÄCKE</t>
        </is>
      </c>
      <c r="F747" t="inlineStr">
        <is>
          <t>Övriga Aktiebolag</t>
        </is>
      </c>
      <c r="G747" t="n">
        <v>1.1</v>
      </c>
      <c r="H747" t="n">
        <v>0</v>
      </c>
      <c r="I747" t="n">
        <v>0</v>
      </c>
      <c r="J747" t="n">
        <v>0</v>
      </c>
      <c r="K747" t="n">
        <v>0</v>
      </c>
      <c r="L747" t="n">
        <v>0</v>
      </c>
      <c r="M747" t="n">
        <v>0</v>
      </c>
      <c r="N747" t="n">
        <v>0</v>
      </c>
      <c r="O747" t="n">
        <v>0</v>
      </c>
      <c r="P747" t="n">
        <v>0</v>
      </c>
      <c r="Q747" t="n">
        <v>0</v>
      </c>
      <c r="R747" s="2" t="inlineStr"/>
    </row>
    <row r="748" ht="15" customHeight="1">
      <c r="A748" t="inlineStr">
        <is>
          <t>A 14607-2025</t>
        </is>
      </c>
      <c r="B748" s="1" t="n">
        <v>45742.37540509259</v>
      </c>
      <c r="C748" s="1" t="n">
        <v>45916</v>
      </c>
      <c r="D748" t="inlineStr">
        <is>
          <t>JÄMTLANDS LÄN</t>
        </is>
      </c>
      <c r="E748" t="inlineStr">
        <is>
          <t>BRÄCKE</t>
        </is>
      </c>
      <c r="G748" t="n">
        <v>6.7</v>
      </c>
      <c r="H748" t="n">
        <v>0</v>
      </c>
      <c r="I748" t="n">
        <v>0</v>
      </c>
      <c r="J748" t="n">
        <v>0</v>
      </c>
      <c r="K748" t="n">
        <v>0</v>
      </c>
      <c r="L748" t="n">
        <v>0</v>
      </c>
      <c r="M748" t="n">
        <v>0</v>
      </c>
      <c r="N748" t="n">
        <v>0</v>
      </c>
      <c r="O748" t="n">
        <v>0</v>
      </c>
      <c r="P748" t="n">
        <v>0</v>
      </c>
      <c r="Q748" t="n">
        <v>0</v>
      </c>
      <c r="R748" s="2" t="inlineStr"/>
    </row>
    <row r="749" ht="15" customHeight="1">
      <c r="A749" t="inlineStr">
        <is>
          <t>A 54274-2022</t>
        </is>
      </c>
      <c r="B749" s="1" t="n">
        <v>44879</v>
      </c>
      <c r="C749" s="1" t="n">
        <v>45916</v>
      </c>
      <c r="D749" t="inlineStr">
        <is>
          <t>JÄMTLANDS LÄN</t>
        </is>
      </c>
      <c r="E749" t="inlineStr">
        <is>
          <t>BRÄCKE</t>
        </is>
      </c>
      <c r="G749" t="n">
        <v>1.1</v>
      </c>
      <c r="H749" t="n">
        <v>0</v>
      </c>
      <c r="I749" t="n">
        <v>0</v>
      </c>
      <c r="J749" t="n">
        <v>0</v>
      </c>
      <c r="K749" t="n">
        <v>0</v>
      </c>
      <c r="L749" t="n">
        <v>0</v>
      </c>
      <c r="M749" t="n">
        <v>0</v>
      </c>
      <c r="N749" t="n">
        <v>0</v>
      </c>
      <c r="O749" t="n">
        <v>0</v>
      </c>
      <c r="P749" t="n">
        <v>0</v>
      </c>
      <c r="Q749" t="n">
        <v>0</v>
      </c>
      <c r="R749" s="2" t="inlineStr"/>
    </row>
    <row r="750" ht="15" customHeight="1">
      <c r="A750" t="inlineStr">
        <is>
          <t>A 27197-2025</t>
        </is>
      </c>
      <c r="B750" s="1" t="n">
        <v>45812.38596064815</v>
      </c>
      <c r="C750" s="1" t="n">
        <v>45916</v>
      </c>
      <c r="D750" t="inlineStr">
        <is>
          <t>JÄMTLANDS LÄN</t>
        </is>
      </c>
      <c r="E750" t="inlineStr">
        <is>
          <t>BRÄCKE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27511-2025</t>
        </is>
      </c>
      <c r="B751" s="1" t="n">
        <v>45813.42799768518</v>
      </c>
      <c r="C751" s="1" t="n">
        <v>45916</v>
      </c>
      <c r="D751" t="inlineStr">
        <is>
          <t>JÄMTLANDS LÄN</t>
        </is>
      </c>
      <c r="E751" t="inlineStr">
        <is>
          <t>BRÄCKE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27516-2025</t>
        </is>
      </c>
      <c r="B752" s="1" t="n">
        <v>45813.43526620371</v>
      </c>
      <c r="C752" s="1" t="n">
        <v>45916</v>
      </c>
      <c r="D752" t="inlineStr">
        <is>
          <t>JÄMTLANDS LÄN</t>
        </is>
      </c>
      <c r="E752" t="inlineStr">
        <is>
          <t>BRÄCKE</t>
        </is>
      </c>
      <c r="G752" t="n">
        <v>0.1</v>
      </c>
      <c r="H752" t="n">
        <v>0</v>
      </c>
      <c r="I752" t="n">
        <v>0</v>
      </c>
      <c r="J752" t="n">
        <v>0</v>
      </c>
      <c r="K752" t="n">
        <v>0</v>
      </c>
      <c r="L752" t="n">
        <v>0</v>
      </c>
      <c r="M752" t="n">
        <v>0</v>
      </c>
      <c r="N752" t="n">
        <v>0</v>
      </c>
      <c r="O752" t="n">
        <v>0</v>
      </c>
      <c r="P752" t="n">
        <v>0</v>
      </c>
      <c r="Q752" t="n">
        <v>0</v>
      </c>
      <c r="R752" s="2" t="inlineStr"/>
    </row>
    <row r="753" ht="15" customHeight="1">
      <c r="A753" t="inlineStr">
        <is>
          <t>A 27542-2025</t>
        </is>
      </c>
      <c r="B753" s="1" t="n">
        <v>45813.46913194445</v>
      </c>
      <c r="C753" s="1" t="n">
        <v>45916</v>
      </c>
      <c r="D753" t="inlineStr">
        <is>
          <t>JÄMTLANDS LÄN</t>
        </is>
      </c>
      <c r="E753" t="inlineStr">
        <is>
          <t>BRÄCKE</t>
        </is>
      </c>
      <c r="F753" t="inlineStr">
        <is>
          <t>SCA</t>
        </is>
      </c>
      <c r="G753" t="n">
        <v>5.6</v>
      </c>
      <c r="H753" t="n">
        <v>0</v>
      </c>
      <c r="I753" t="n">
        <v>0</v>
      </c>
      <c r="J753" t="n">
        <v>0</v>
      </c>
      <c r="K753" t="n">
        <v>0</v>
      </c>
      <c r="L753" t="n">
        <v>0</v>
      </c>
      <c r="M753" t="n">
        <v>0</v>
      </c>
      <c r="N753" t="n">
        <v>0</v>
      </c>
      <c r="O753" t="n">
        <v>0</v>
      </c>
      <c r="P753" t="n">
        <v>0</v>
      </c>
      <c r="Q753" t="n">
        <v>0</v>
      </c>
      <c r="R753" s="2" t="inlineStr"/>
    </row>
    <row r="754" ht="15" customHeight="1">
      <c r="A754" t="inlineStr">
        <is>
          <t>A 27453-2025</t>
        </is>
      </c>
      <c r="B754" s="1" t="n">
        <v>45813.34454861111</v>
      </c>
      <c r="C754" s="1" t="n">
        <v>45916</v>
      </c>
      <c r="D754" t="inlineStr">
        <is>
          <t>JÄMTLANDS LÄN</t>
        </is>
      </c>
      <c r="E754" t="inlineStr">
        <is>
          <t>BRÄCKE</t>
        </is>
      </c>
      <c r="G754" t="n">
        <v>0.8</v>
      </c>
      <c r="H754" t="n">
        <v>0</v>
      </c>
      <c r="I754" t="n">
        <v>0</v>
      </c>
      <c r="J754" t="n">
        <v>0</v>
      </c>
      <c r="K754" t="n">
        <v>0</v>
      </c>
      <c r="L754" t="n">
        <v>0</v>
      </c>
      <c r="M754" t="n">
        <v>0</v>
      </c>
      <c r="N754" t="n">
        <v>0</v>
      </c>
      <c r="O754" t="n">
        <v>0</v>
      </c>
      <c r="P754" t="n">
        <v>0</v>
      </c>
      <c r="Q754" t="n">
        <v>0</v>
      </c>
      <c r="R754" s="2" t="inlineStr"/>
    </row>
    <row r="755" ht="15" customHeight="1">
      <c r="A755" t="inlineStr">
        <is>
          <t>A 24489-2025</t>
        </is>
      </c>
      <c r="B755" s="1" t="n">
        <v>45798.3859375</v>
      </c>
      <c r="C755" s="1" t="n">
        <v>45916</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52229-2024</t>
        </is>
      </c>
      <c r="B756" s="1" t="n">
        <v>45608.60803240741</v>
      </c>
      <c r="C756" s="1" t="n">
        <v>45916</v>
      </c>
      <c r="D756" t="inlineStr">
        <is>
          <t>JÄMTLANDS LÄN</t>
        </is>
      </c>
      <c r="E756" t="inlineStr">
        <is>
          <t>BRÄCKE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27278-2025</t>
        </is>
      </c>
      <c r="B757" s="1" t="n">
        <v>45812.53168981482</v>
      </c>
      <c r="C757" s="1" t="n">
        <v>45916</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27546-2025</t>
        </is>
      </c>
      <c r="B758" s="1" t="n">
        <v>45813.46957175926</v>
      </c>
      <c r="C758" s="1" t="n">
        <v>45916</v>
      </c>
      <c r="D758" t="inlineStr">
        <is>
          <t>JÄMTLANDS LÄN</t>
        </is>
      </c>
      <c r="E758" t="inlineStr">
        <is>
          <t>BRÄCKE</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62102-2024</t>
        </is>
      </c>
      <c r="B759" s="1" t="n">
        <v>45656.51145833333</v>
      </c>
      <c r="C759" s="1" t="n">
        <v>45916</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37239-2023</t>
        </is>
      </c>
      <c r="B760" s="1" t="n">
        <v>45155.95373842592</v>
      </c>
      <c r="C760" s="1" t="n">
        <v>45916</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3247-2025</t>
        </is>
      </c>
      <c r="B761" s="1" t="n">
        <v>45679.5315625</v>
      </c>
      <c r="C761" s="1" t="n">
        <v>45916</v>
      </c>
      <c r="D761" t="inlineStr">
        <is>
          <t>JÄMTLANDS LÄN</t>
        </is>
      </c>
      <c r="E761" t="inlineStr">
        <is>
          <t>BRÄCKE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3249-2025</t>
        </is>
      </c>
      <c r="B762" s="1" t="n">
        <v>45679.53177083333</v>
      </c>
      <c r="C762" s="1" t="n">
        <v>45916</v>
      </c>
      <c r="D762" t="inlineStr">
        <is>
          <t>JÄMTLANDS LÄN</t>
        </is>
      </c>
      <c r="E762" t="inlineStr">
        <is>
          <t>BRÄCKE</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58498-2022</t>
        </is>
      </c>
      <c r="B763" s="1" t="n">
        <v>44902.37547453704</v>
      </c>
      <c r="C763" s="1" t="n">
        <v>45916</v>
      </c>
      <c r="D763" t="inlineStr">
        <is>
          <t>JÄMTLANDS LÄN</t>
        </is>
      </c>
      <c r="E763" t="inlineStr">
        <is>
          <t>BRÄCKE</t>
        </is>
      </c>
      <c r="G763" t="n">
        <v>8.4</v>
      </c>
      <c r="H763" t="n">
        <v>0</v>
      </c>
      <c r="I763" t="n">
        <v>0</v>
      </c>
      <c r="J763" t="n">
        <v>0</v>
      </c>
      <c r="K763" t="n">
        <v>0</v>
      </c>
      <c r="L763" t="n">
        <v>0</v>
      </c>
      <c r="M763" t="n">
        <v>0</v>
      </c>
      <c r="N763" t="n">
        <v>0</v>
      </c>
      <c r="O763" t="n">
        <v>0</v>
      </c>
      <c r="P763" t="n">
        <v>0</v>
      </c>
      <c r="Q763" t="n">
        <v>0</v>
      </c>
      <c r="R763" s="2" t="inlineStr"/>
    </row>
    <row r="764" ht="15" customHeight="1">
      <c r="A764" t="inlineStr">
        <is>
          <t>A 68968-2020</t>
        </is>
      </c>
      <c r="B764" s="1" t="n">
        <v>44187</v>
      </c>
      <c r="C764" s="1" t="n">
        <v>45916</v>
      </c>
      <c r="D764" t="inlineStr">
        <is>
          <t>JÄMTLANDS LÄN</t>
        </is>
      </c>
      <c r="E764" t="inlineStr">
        <is>
          <t>BRÄCKE</t>
        </is>
      </c>
      <c r="G764" t="n">
        <v>14.2</v>
      </c>
      <c r="H764" t="n">
        <v>0</v>
      </c>
      <c r="I764" t="n">
        <v>0</v>
      </c>
      <c r="J764" t="n">
        <v>0</v>
      </c>
      <c r="K764" t="n">
        <v>0</v>
      </c>
      <c r="L764" t="n">
        <v>0</v>
      </c>
      <c r="M764" t="n">
        <v>0</v>
      </c>
      <c r="N764" t="n">
        <v>0</v>
      </c>
      <c r="O764" t="n">
        <v>0</v>
      </c>
      <c r="P764" t="n">
        <v>0</v>
      </c>
      <c r="Q764" t="n">
        <v>0</v>
      </c>
      <c r="R764" s="2" t="inlineStr"/>
    </row>
    <row r="765" ht="15" customHeight="1">
      <c r="A765" t="inlineStr">
        <is>
          <t>A 22459-2024</t>
        </is>
      </c>
      <c r="B765" s="1" t="n">
        <v>45446.94972222222</v>
      </c>
      <c r="C765" s="1" t="n">
        <v>45916</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14630-2025</t>
        </is>
      </c>
      <c r="B766" s="1" t="n">
        <v>45742.42767361111</v>
      </c>
      <c r="C766" s="1" t="n">
        <v>45916</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7301-2025</t>
        </is>
      </c>
      <c r="B767" s="1" t="n">
        <v>45702.65668981482</v>
      </c>
      <c r="C767" s="1" t="n">
        <v>45916</v>
      </c>
      <c r="D767" t="inlineStr">
        <is>
          <t>JÄMTLANDS LÄN</t>
        </is>
      </c>
      <c r="E767" t="inlineStr">
        <is>
          <t>BRÄCKE</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29325-2022</t>
        </is>
      </c>
      <c r="B768" s="1" t="n">
        <v>44751.94157407407</v>
      </c>
      <c r="C768" s="1" t="n">
        <v>45916</v>
      </c>
      <c r="D768" t="inlineStr">
        <is>
          <t>JÄMTLANDS LÄN</t>
        </is>
      </c>
      <c r="E768" t="inlineStr">
        <is>
          <t>BRÄCKE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5169-2025</t>
        </is>
      </c>
      <c r="B769" s="1" t="n">
        <v>45691.61571759259</v>
      </c>
      <c r="C769" s="1" t="n">
        <v>45916</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11438-2025</t>
        </is>
      </c>
      <c r="B770" s="1" t="n">
        <v>45726.61552083334</v>
      </c>
      <c r="C770" s="1" t="n">
        <v>45916</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27872-2025</t>
        </is>
      </c>
      <c r="B771" s="1" t="n">
        <v>45817.43042824074</v>
      </c>
      <c r="C771" s="1" t="n">
        <v>45916</v>
      </c>
      <c r="D771" t="inlineStr">
        <is>
          <t>JÄMTLANDS LÄN</t>
        </is>
      </c>
      <c r="E771" t="inlineStr">
        <is>
          <t>BRÄCKE</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55478-2024</t>
        </is>
      </c>
      <c r="B772" s="1" t="n">
        <v>45622.43795138889</v>
      </c>
      <c r="C772" s="1" t="n">
        <v>45916</v>
      </c>
      <c r="D772" t="inlineStr">
        <is>
          <t>JÄMTLANDS LÄN</t>
        </is>
      </c>
      <c r="E772" t="inlineStr">
        <is>
          <t>BRÄCKE</t>
        </is>
      </c>
      <c r="G772" t="n">
        <v>5.5</v>
      </c>
      <c r="H772" t="n">
        <v>0</v>
      </c>
      <c r="I772" t="n">
        <v>0</v>
      </c>
      <c r="J772" t="n">
        <v>0</v>
      </c>
      <c r="K772" t="n">
        <v>0</v>
      </c>
      <c r="L772" t="n">
        <v>0</v>
      </c>
      <c r="M772" t="n">
        <v>0</v>
      </c>
      <c r="N772" t="n">
        <v>0</v>
      </c>
      <c r="O772" t="n">
        <v>0</v>
      </c>
      <c r="P772" t="n">
        <v>0</v>
      </c>
      <c r="Q772" t="n">
        <v>0</v>
      </c>
      <c r="R772" s="2" t="inlineStr"/>
    </row>
    <row r="773" ht="15" customHeight="1">
      <c r="A773" t="inlineStr">
        <is>
          <t>A 24492-2025</t>
        </is>
      </c>
      <c r="B773" s="1" t="n">
        <v>45798.38611111111</v>
      </c>
      <c r="C773" s="1" t="n">
        <v>45916</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3840-2024</t>
        </is>
      </c>
      <c r="B774" s="1" t="n">
        <v>45321.94605324074</v>
      </c>
      <c r="C774" s="1" t="n">
        <v>45916</v>
      </c>
      <c r="D774" t="inlineStr">
        <is>
          <t>JÄMTLANDS LÄN</t>
        </is>
      </c>
      <c r="E774" t="inlineStr">
        <is>
          <t>BRÄCKE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28173-2025</t>
        </is>
      </c>
      <c r="B775" s="1" t="n">
        <v>45818.38231481481</v>
      </c>
      <c r="C775" s="1" t="n">
        <v>45916</v>
      </c>
      <c r="D775" t="inlineStr">
        <is>
          <t>JÄMTLANDS LÄN</t>
        </is>
      </c>
      <c r="E775" t="inlineStr">
        <is>
          <t>BRÄCKE</t>
        </is>
      </c>
      <c r="F775" t="inlineStr">
        <is>
          <t>Övriga Aktiebolag</t>
        </is>
      </c>
      <c r="G775" t="n">
        <v>2</v>
      </c>
      <c r="H775" t="n">
        <v>0</v>
      </c>
      <c r="I775" t="n">
        <v>0</v>
      </c>
      <c r="J775" t="n">
        <v>0</v>
      </c>
      <c r="K775" t="n">
        <v>0</v>
      </c>
      <c r="L775" t="n">
        <v>0</v>
      </c>
      <c r="M775" t="n">
        <v>0</v>
      </c>
      <c r="N775" t="n">
        <v>0</v>
      </c>
      <c r="O775" t="n">
        <v>0</v>
      </c>
      <c r="P775" t="n">
        <v>0</v>
      </c>
      <c r="Q775" t="n">
        <v>0</v>
      </c>
      <c r="R775" s="2" t="inlineStr"/>
    </row>
    <row r="776" ht="15" customHeight="1">
      <c r="A776" t="inlineStr">
        <is>
          <t>A 28289-2025</t>
        </is>
      </c>
      <c r="B776" s="1" t="n">
        <v>45818.59244212963</v>
      </c>
      <c r="C776" s="1" t="n">
        <v>45916</v>
      </c>
      <c r="D776" t="inlineStr">
        <is>
          <t>JÄMTLANDS LÄN</t>
        </is>
      </c>
      <c r="E776" t="inlineStr">
        <is>
          <t>BRÄCKE</t>
        </is>
      </c>
      <c r="F776" t="inlineStr">
        <is>
          <t>Övriga Aktiebolag</t>
        </is>
      </c>
      <c r="G776" t="n">
        <v>12.8</v>
      </c>
      <c r="H776" t="n">
        <v>0</v>
      </c>
      <c r="I776" t="n">
        <v>0</v>
      </c>
      <c r="J776" t="n">
        <v>0</v>
      </c>
      <c r="K776" t="n">
        <v>0</v>
      </c>
      <c r="L776" t="n">
        <v>0</v>
      </c>
      <c r="M776" t="n">
        <v>0</v>
      </c>
      <c r="N776" t="n">
        <v>0</v>
      </c>
      <c r="O776" t="n">
        <v>0</v>
      </c>
      <c r="P776" t="n">
        <v>0</v>
      </c>
      <c r="Q776" t="n">
        <v>0</v>
      </c>
      <c r="R776" s="2" t="inlineStr"/>
    </row>
    <row r="777" ht="15" customHeight="1">
      <c r="A777" t="inlineStr">
        <is>
          <t>A 60417-2022</t>
        </is>
      </c>
      <c r="B777" s="1" t="n">
        <v>44910.97158564815</v>
      </c>
      <c r="C777" s="1" t="n">
        <v>45916</v>
      </c>
      <c r="D777" t="inlineStr">
        <is>
          <t>JÄMTLANDS LÄN</t>
        </is>
      </c>
      <c r="E777" t="inlineStr">
        <is>
          <t>BRÄCKE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28198-2025</t>
        </is>
      </c>
      <c r="B778" s="1" t="n">
        <v>45818.43175925926</v>
      </c>
      <c r="C778" s="1" t="n">
        <v>45916</v>
      </c>
      <c r="D778" t="inlineStr">
        <is>
          <t>JÄMTLANDS LÄN</t>
        </is>
      </c>
      <c r="E778" t="inlineStr">
        <is>
          <t>BRÄCKE</t>
        </is>
      </c>
      <c r="F778" t="inlineStr">
        <is>
          <t>Övriga Aktiebolag</t>
        </is>
      </c>
      <c r="G778" t="n">
        <v>3</v>
      </c>
      <c r="H778" t="n">
        <v>0</v>
      </c>
      <c r="I778" t="n">
        <v>0</v>
      </c>
      <c r="J778" t="n">
        <v>0</v>
      </c>
      <c r="K778" t="n">
        <v>0</v>
      </c>
      <c r="L778" t="n">
        <v>0</v>
      </c>
      <c r="M778" t="n">
        <v>0</v>
      </c>
      <c r="N778" t="n">
        <v>0</v>
      </c>
      <c r="O778" t="n">
        <v>0</v>
      </c>
      <c r="P778" t="n">
        <v>0</v>
      </c>
      <c r="Q778" t="n">
        <v>0</v>
      </c>
      <c r="R778" s="2" t="inlineStr"/>
    </row>
    <row r="779" ht="15" customHeight="1">
      <c r="A779" t="inlineStr">
        <is>
          <t>A 29130-2024</t>
        </is>
      </c>
      <c r="B779" s="1" t="n">
        <v>45482.35856481481</v>
      </c>
      <c r="C779" s="1" t="n">
        <v>45916</v>
      </c>
      <c r="D779" t="inlineStr">
        <is>
          <t>JÄMTLANDS LÄN</t>
        </is>
      </c>
      <c r="E779" t="inlineStr">
        <is>
          <t>BRÄCKE</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28675-2025</t>
        </is>
      </c>
      <c r="B780" s="1" t="n">
        <v>45819.67756944444</v>
      </c>
      <c r="C780" s="1" t="n">
        <v>45916</v>
      </c>
      <c r="D780" t="inlineStr">
        <is>
          <t>JÄMTLANDS LÄN</t>
        </is>
      </c>
      <c r="E780" t="inlineStr">
        <is>
          <t>BRÄCKE</t>
        </is>
      </c>
      <c r="G780" t="n">
        <v>0.6</v>
      </c>
      <c r="H780" t="n">
        <v>0</v>
      </c>
      <c r="I780" t="n">
        <v>0</v>
      </c>
      <c r="J780" t="n">
        <v>0</v>
      </c>
      <c r="K780" t="n">
        <v>0</v>
      </c>
      <c r="L780" t="n">
        <v>0</v>
      </c>
      <c r="M780" t="n">
        <v>0</v>
      </c>
      <c r="N780" t="n">
        <v>0</v>
      </c>
      <c r="O780" t="n">
        <v>0</v>
      </c>
      <c r="P780" t="n">
        <v>0</v>
      </c>
      <c r="Q780" t="n">
        <v>0</v>
      </c>
      <c r="R780" s="2" t="inlineStr"/>
    </row>
    <row r="781" ht="15" customHeight="1">
      <c r="A781" t="inlineStr">
        <is>
          <t>A 28323-2025</t>
        </is>
      </c>
      <c r="B781" s="1" t="n">
        <v>45818.64758101852</v>
      </c>
      <c r="C781" s="1" t="n">
        <v>45916</v>
      </c>
      <c r="D781" t="inlineStr">
        <is>
          <t>JÄMTLANDS LÄN</t>
        </is>
      </c>
      <c r="E781" t="inlineStr">
        <is>
          <t>BRÄCKE</t>
        </is>
      </c>
      <c r="G781" t="n">
        <v>6.8</v>
      </c>
      <c r="H781" t="n">
        <v>0</v>
      </c>
      <c r="I781" t="n">
        <v>0</v>
      </c>
      <c r="J781" t="n">
        <v>0</v>
      </c>
      <c r="K781" t="n">
        <v>0</v>
      </c>
      <c r="L781" t="n">
        <v>0</v>
      </c>
      <c r="M781" t="n">
        <v>0</v>
      </c>
      <c r="N781" t="n">
        <v>0</v>
      </c>
      <c r="O781" t="n">
        <v>0</v>
      </c>
      <c r="P781" t="n">
        <v>0</v>
      </c>
      <c r="Q781" t="n">
        <v>0</v>
      </c>
      <c r="R781" s="2" t="inlineStr"/>
    </row>
    <row r="782" ht="15" customHeight="1">
      <c r="A782" t="inlineStr">
        <is>
          <t>A 10369-2025</t>
        </is>
      </c>
      <c r="B782" s="1" t="n">
        <v>45720.55243055556</v>
      </c>
      <c r="C782" s="1" t="n">
        <v>45916</v>
      </c>
      <c r="D782" t="inlineStr">
        <is>
          <t>JÄMTLANDS LÄN</t>
        </is>
      </c>
      <c r="E782" t="inlineStr">
        <is>
          <t>BRÄCKE</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28153-2025</t>
        </is>
      </c>
      <c r="B783" s="1" t="n">
        <v>45818.35738425926</v>
      </c>
      <c r="C783" s="1" t="n">
        <v>45916</v>
      </c>
      <c r="D783" t="inlineStr">
        <is>
          <t>JÄMTLANDS LÄN</t>
        </is>
      </c>
      <c r="E783" t="inlineStr">
        <is>
          <t>BRÄCKE</t>
        </is>
      </c>
      <c r="F783" t="inlineStr">
        <is>
          <t>Övriga Aktiebolag</t>
        </is>
      </c>
      <c r="G783" t="n">
        <v>16.2</v>
      </c>
      <c r="H783" t="n">
        <v>0</v>
      </c>
      <c r="I783" t="n">
        <v>0</v>
      </c>
      <c r="J783" t="n">
        <v>0</v>
      </c>
      <c r="K783" t="n">
        <v>0</v>
      </c>
      <c r="L783" t="n">
        <v>0</v>
      </c>
      <c r="M783" t="n">
        <v>0</v>
      </c>
      <c r="N783" t="n">
        <v>0</v>
      </c>
      <c r="O783" t="n">
        <v>0</v>
      </c>
      <c r="P783" t="n">
        <v>0</v>
      </c>
      <c r="Q783" t="n">
        <v>0</v>
      </c>
      <c r="R783" s="2" t="inlineStr"/>
    </row>
    <row r="784" ht="15" customHeight="1">
      <c r="A784" t="inlineStr">
        <is>
          <t>A 28636-2025</t>
        </is>
      </c>
      <c r="B784" s="1" t="n">
        <v>45819.63576388889</v>
      </c>
      <c r="C784" s="1" t="n">
        <v>45916</v>
      </c>
      <c r="D784" t="inlineStr">
        <is>
          <t>JÄMTLANDS LÄN</t>
        </is>
      </c>
      <c r="E784" t="inlineStr">
        <is>
          <t>BRÄCKE</t>
        </is>
      </c>
      <c r="G784" t="n">
        <v>7.6</v>
      </c>
      <c r="H784" t="n">
        <v>0</v>
      </c>
      <c r="I784" t="n">
        <v>0</v>
      </c>
      <c r="J784" t="n">
        <v>0</v>
      </c>
      <c r="K784" t="n">
        <v>0</v>
      </c>
      <c r="L784" t="n">
        <v>0</v>
      </c>
      <c r="M784" t="n">
        <v>0</v>
      </c>
      <c r="N784" t="n">
        <v>0</v>
      </c>
      <c r="O784" t="n">
        <v>0</v>
      </c>
      <c r="P784" t="n">
        <v>0</v>
      </c>
      <c r="Q784" t="n">
        <v>0</v>
      </c>
      <c r="R784" s="2" t="inlineStr"/>
    </row>
    <row r="785" ht="15" customHeight="1">
      <c r="A785" t="inlineStr">
        <is>
          <t>A 54789-2023</t>
        </is>
      </c>
      <c r="B785" s="1" t="n">
        <v>45236.48659722223</v>
      </c>
      <c r="C785" s="1" t="n">
        <v>45916</v>
      </c>
      <c r="D785" t="inlineStr">
        <is>
          <t>JÄMTLANDS LÄN</t>
        </is>
      </c>
      <c r="E785" t="inlineStr">
        <is>
          <t>BRÄCKE</t>
        </is>
      </c>
      <c r="G785" t="n">
        <v>7.1</v>
      </c>
      <c r="H785" t="n">
        <v>0</v>
      </c>
      <c r="I785" t="n">
        <v>0</v>
      </c>
      <c r="J785" t="n">
        <v>0</v>
      </c>
      <c r="K785" t="n">
        <v>0</v>
      </c>
      <c r="L785" t="n">
        <v>0</v>
      </c>
      <c r="M785" t="n">
        <v>0</v>
      </c>
      <c r="N785" t="n">
        <v>0</v>
      </c>
      <c r="O785" t="n">
        <v>0</v>
      </c>
      <c r="P785" t="n">
        <v>0</v>
      </c>
      <c r="Q785" t="n">
        <v>0</v>
      </c>
      <c r="R785" s="2" t="inlineStr"/>
    </row>
    <row r="786" ht="15" customHeight="1">
      <c r="A786" t="inlineStr">
        <is>
          <t>A 50609-2023</t>
        </is>
      </c>
      <c r="B786" s="1" t="n">
        <v>45217</v>
      </c>
      <c r="C786" s="1" t="n">
        <v>45916</v>
      </c>
      <c r="D786" t="inlineStr">
        <is>
          <t>JÄMTLANDS LÄN</t>
        </is>
      </c>
      <c r="E786" t="inlineStr">
        <is>
          <t>BRÄCKE</t>
        </is>
      </c>
      <c r="G786" t="n">
        <v>5.7</v>
      </c>
      <c r="H786" t="n">
        <v>0</v>
      </c>
      <c r="I786" t="n">
        <v>0</v>
      </c>
      <c r="J786" t="n">
        <v>0</v>
      </c>
      <c r="K786" t="n">
        <v>0</v>
      </c>
      <c r="L786" t="n">
        <v>0</v>
      </c>
      <c r="M786" t="n">
        <v>0</v>
      </c>
      <c r="N786" t="n">
        <v>0</v>
      </c>
      <c r="O786" t="n">
        <v>0</v>
      </c>
      <c r="P786" t="n">
        <v>0</v>
      </c>
      <c r="Q786" t="n">
        <v>0</v>
      </c>
      <c r="R786" s="2" t="inlineStr"/>
    </row>
    <row r="787" ht="15" customHeight="1">
      <c r="A787" t="inlineStr">
        <is>
          <t>A 3020-2023</t>
        </is>
      </c>
      <c r="B787" s="1" t="n">
        <v>44945.9396412037</v>
      </c>
      <c r="C787" s="1" t="n">
        <v>45916</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28656-2025</t>
        </is>
      </c>
      <c r="B788" s="1" t="n">
        <v>45819.65671296296</v>
      </c>
      <c r="C788" s="1" t="n">
        <v>45916</v>
      </c>
      <c r="D788" t="inlineStr">
        <is>
          <t>JÄMTLANDS LÄN</t>
        </is>
      </c>
      <c r="E788" t="inlineStr">
        <is>
          <t>BRÄCKE</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3032-2023</t>
        </is>
      </c>
      <c r="B789" s="1" t="n">
        <v>44945.9412962963</v>
      </c>
      <c r="C789" s="1" t="n">
        <v>45916</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28210-2025</t>
        </is>
      </c>
      <c r="B790" s="1" t="n">
        <v>45818.45143518518</v>
      </c>
      <c r="C790" s="1" t="n">
        <v>45916</v>
      </c>
      <c r="D790" t="inlineStr">
        <is>
          <t>JÄMTLANDS LÄN</t>
        </is>
      </c>
      <c r="E790" t="inlineStr">
        <is>
          <t>BRÄCKE</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24490-2025</t>
        </is>
      </c>
      <c r="B791" s="1" t="n">
        <v>45798.38594907407</v>
      </c>
      <c r="C791" s="1" t="n">
        <v>45916</v>
      </c>
      <c r="D791" t="inlineStr">
        <is>
          <t>JÄMTLANDS LÄN</t>
        </is>
      </c>
      <c r="E791" t="inlineStr">
        <is>
          <t>BRÄCKE</t>
        </is>
      </c>
      <c r="G791" t="n">
        <v>0.7</v>
      </c>
      <c r="H791" t="n">
        <v>0</v>
      </c>
      <c r="I791" t="n">
        <v>0</v>
      </c>
      <c r="J791" t="n">
        <v>0</v>
      </c>
      <c r="K791" t="n">
        <v>0</v>
      </c>
      <c r="L791" t="n">
        <v>0</v>
      </c>
      <c r="M791" t="n">
        <v>0</v>
      </c>
      <c r="N791" t="n">
        <v>0</v>
      </c>
      <c r="O791" t="n">
        <v>0</v>
      </c>
      <c r="P791" t="n">
        <v>0</v>
      </c>
      <c r="Q791" t="n">
        <v>0</v>
      </c>
      <c r="R791" s="2" t="inlineStr"/>
    </row>
    <row r="792" ht="15" customHeight="1">
      <c r="A792" t="inlineStr">
        <is>
          <t>A 29091-2025</t>
        </is>
      </c>
      <c r="B792" s="1" t="n">
        <v>45821.55241898148</v>
      </c>
      <c r="C792" s="1" t="n">
        <v>45916</v>
      </c>
      <c r="D792" t="inlineStr">
        <is>
          <t>JÄMTLANDS LÄN</t>
        </is>
      </c>
      <c r="E792" t="inlineStr">
        <is>
          <t>BRÄCKE</t>
        </is>
      </c>
      <c r="F792" t="inlineStr">
        <is>
          <t>SCA</t>
        </is>
      </c>
      <c r="G792" t="n">
        <v>13.8</v>
      </c>
      <c r="H792" t="n">
        <v>0</v>
      </c>
      <c r="I792" t="n">
        <v>0</v>
      </c>
      <c r="J792" t="n">
        <v>0</v>
      </c>
      <c r="K792" t="n">
        <v>0</v>
      </c>
      <c r="L792" t="n">
        <v>0</v>
      </c>
      <c r="M792" t="n">
        <v>0</v>
      </c>
      <c r="N792" t="n">
        <v>0</v>
      </c>
      <c r="O792" t="n">
        <v>0</v>
      </c>
      <c r="P792" t="n">
        <v>0</v>
      </c>
      <c r="Q792" t="n">
        <v>0</v>
      </c>
      <c r="R792" s="2" t="inlineStr"/>
    </row>
    <row r="793" ht="15" customHeight="1">
      <c r="A793" t="inlineStr">
        <is>
          <t>A 29038-2025</t>
        </is>
      </c>
      <c r="B793" s="1" t="n">
        <v>45821.44832175926</v>
      </c>
      <c r="C793" s="1" t="n">
        <v>45916</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45010-2023</t>
        </is>
      </c>
      <c r="B794" s="1" t="n">
        <v>45190.96116898148</v>
      </c>
      <c r="C794" s="1" t="n">
        <v>45916</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45013-2023</t>
        </is>
      </c>
      <c r="B795" s="1" t="n">
        <v>45190.96158564815</v>
      </c>
      <c r="C795" s="1" t="n">
        <v>45916</v>
      </c>
      <c r="D795" t="inlineStr">
        <is>
          <t>JÄMTLANDS LÄN</t>
        </is>
      </c>
      <c r="E795" t="inlineStr">
        <is>
          <t>BRÄCKE</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28928-2025</t>
        </is>
      </c>
      <c r="B796" s="1" t="n">
        <v>45820.67738425926</v>
      </c>
      <c r="C796" s="1" t="n">
        <v>45916</v>
      </c>
      <c r="D796" t="inlineStr">
        <is>
          <t>JÄMTLANDS LÄN</t>
        </is>
      </c>
      <c r="E796" t="inlineStr">
        <is>
          <t>BRÄCKE</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28972-2025</t>
        </is>
      </c>
      <c r="B797" s="1" t="n">
        <v>45821.34505787037</v>
      </c>
      <c r="C797" s="1" t="n">
        <v>45916</v>
      </c>
      <c r="D797" t="inlineStr">
        <is>
          <t>JÄMTLANDS LÄN</t>
        </is>
      </c>
      <c r="E797" t="inlineStr">
        <is>
          <t>BRÄCKE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38007-2024</t>
        </is>
      </c>
      <c r="B798" s="1" t="n">
        <v>45544.62063657407</v>
      </c>
      <c r="C798" s="1" t="n">
        <v>45916</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28937-2025</t>
        </is>
      </c>
      <c r="B799" s="1" t="n">
        <v>45820.69825231482</v>
      </c>
      <c r="C799" s="1" t="n">
        <v>45916</v>
      </c>
      <c r="D799" t="inlineStr">
        <is>
          <t>JÄMTLANDS LÄN</t>
        </is>
      </c>
      <c r="E799" t="inlineStr">
        <is>
          <t>BRÄCKE</t>
        </is>
      </c>
      <c r="F799" t="inlineStr">
        <is>
          <t>SCA</t>
        </is>
      </c>
      <c r="G799" t="n">
        <v>11.5</v>
      </c>
      <c r="H799" t="n">
        <v>0</v>
      </c>
      <c r="I799" t="n">
        <v>0</v>
      </c>
      <c r="J799" t="n">
        <v>0</v>
      </c>
      <c r="K799" t="n">
        <v>0</v>
      </c>
      <c r="L799" t="n">
        <v>0</v>
      </c>
      <c r="M799" t="n">
        <v>0</v>
      </c>
      <c r="N799" t="n">
        <v>0</v>
      </c>
      <c r="O799" t="n">
        <v>0</v>
      </c>
      <c r="P799" t="n">
        <v>0</v>
      </c>
      <c r="Q799" t="n">
        <v>0</v>
      </c>
      <c r="R799" s="2" t="inlineStr"/>
    </row>
    <row r="800" ht="15" customHeight="1">
      <c r="A800" t="inlineStr">
        <is>
          <t>A 29124-2025</t>
        </is>
      </c>
      <c r="B800" s="1" t="n">
        <v>45821.59456018519</v>
      </c>
      <c r="C800" s="1" t="n">
        <v>45916</v>
      </c>
      <c r="D800" t="inlineStr">
        <is>
          <t>JÄMTLANDS LÄN</t>
        </is>
      </c>
      <c r="E800" t="inlineStr">
        <is>
          <t>BRÄCKE</t>
        </is>
      </c>
      <c r="G800" t="n">
        <v>3.1</v>
      </c>
      <c r="H800" t="n">
        <v>0</v>
      </c>
      <c r="I800" t="n">
        <v>0</v>
      </c>
      <c r="J800" t="n">
        <v>0</v>
      </c>
      <c r="K800" t="n">
        <v>0</v>
      </c>
      <c r="L800" t="n">
        <v>0</v>
      </c>
      <c r="M800" t="n">
        <v>0</v>
      </c>
      <c r="N800" t="n">
        <v>0</v>
      </c>
      <c r="O800" t="n">
        <v>0</v>
      </c>
      <c r="P800" t="n">
        <v>0</v>
      </c>
      <c r="Q800" t="n">
        <v>0</v>
      </c>
      <c r="R800" s="2" t="inlineStr"/>
    </row>
    <row r="801" ht="15" customHeight="1">
      <c r="A801" t="inlineStr">
        <is>
          <t>A 57069-2024</t>
        </is>
      </c>
      <c r="B801" s="1" t="n">
        <v>45629.35391203704</v>
      </c>
      <c r="C801" s="1" t="n">
        <v>45916</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20803-2021</t>
        </is>
      </c>
      <c r="B802" s="1" t="n">
        <v>44316</v>
      </c>
      <c r="C802" s="1" t="n">
        <v>45916</v>
      </c>
      <c r="D802" t="inlineStr">
        <is>
          <t>JÄMTLANDS LÄN</t>
        </is>
      </c>
      <c r="E802" t="inlineStr">
        <is>
          <t>BRÄCKE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10532-2022</t>
        </is>
      </c>
      <c r="B803" s="1" t="n">
        <v>44623</v>
      </c>
      <c r="C803" s="1" t="n">
        <v>45916</v>
      </c>
      <c r="D803" t="inlineStr">
        <is>
          <t>JÄMTLANDS LÄN</t>
        </is>
      </c>
      <c r="E803" t="inlineStr">
        <is>
          <t>BRÄCKE</t>
        </is>
      </c>
      <c r="G803" t="n">
        <v>3.1</v>
      </c>
      <c r="H803" t="n">
        <v>0</v>
      </c>
      <c r="I803" t="n">
        <v>0</v>
      </c>
      <c r="J803" t="n">
        <v>0</v>
      </c>
      <c r="K803" t="n">
        <v>0</v>
      </c>
      <c r="L803" t="n">
        <v>0</v>
      </c>
      <c r="M803" t="n">
        <v>0</v>
      </c>
      <c r="N803" t="n">
        <v>0</v>
      </c>
      <c r="O803" t="n">
        <v>0</v>
      </c>
      <c r="P803" t="n">
        <v>0</v>
      </c>
      <c r="Q803" t="n">
        <v>0</v>
      </c>
      <c r="R803" s="2" t="inlineStr"/>
    </row>
    <row r="804" ht="15" customHeight="1">
      <c r="A804" t="inlineStr">
        <is>
          <t>A 29534-2025</t>
        </is>
      </c>
      <c r="B804" s="1" t="n">
        <v>45825.34476851852</v>
      </c>
      <c r="C804" s="1" t="n">
        <v>45916</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58728-2022</t>
        </is>
      </c>
      <c r="B805" s="1" t="n">
        <v>44902</v>
      </c>
      <c r="C805" s="1" t="n">
        <v>45916</v>
      </c>
      <c r="D805" t="inlineStr">
        <is>
          <t>JÄMTLANDS LÄN</t>
        </is>
      </c>
      <c r="E805" t="inlineStr">
        <is>
          <t>BRÄCKE</t>
        </is>
      </c>
      <c r="G805" t="n">
        <v>21.5</v>
      </c>
      <c r="H805" t="n">
        <v>0</v>
      </c>
      <c r="I805" t="n">
        <v>0</v>
      </c>
      <c r="J805" t="n">
        <v>0</v>
      </c>
      <c r="K805" t="n">
        <v>0</v>
      </c>
      <c r="L805" t="n">
        <v>0</v>
      </c>
      <c r="M805" t="n">
        <v>0</v>
      </c>
      <c r="N805" t="n">
        <v>0</v>
      </c>
      <c r="O805" t="n">
        <v>0</v>
      </c>
      <c r="P805" t="n">
        <v>0</v>
      </c>
      <c r="Q805" t="n">
        <v>0</v>
      </c>
      <c r="R805" s="2" t="inlineStr"/>
    </row>
    <row r="806" ht="15" customHeight="1">
      <c r="A806" t="inlineStr">
        <is>
          <t>A 4914-2025</t>
        </is>
      </c>
      <c r="B806" s="1" t="n">
        <v>45688.68173611111</v>
      </c>
      <c r="C806" s="1" t="n">
        <v>45916</v>
      </c>
      <c r="D806" t="inlineStr">
        <is>
          <t>JÄMTLANDS LÄN</t>
        </is>
      </c>
      <c r="E806" t="inlineStr">
        <is>
          <t>BRÄCKE</t>
        </is>
      </c>
      <c r="F806" t="inlineStr">
        <is>
          <t>SCA</t>
        </is>
      </c>
      <c r="G806" t="n">
        <v>7.3</v>
      </c>
      <c r="H806" t="n">
        <v>0</v>
      </c>
      <c r="I806" t="n">
        <v>0</v>
      </c>
      <c r="J806" t="n">
        <v>0</v>
      </c>
      <c r="K806" t="n">
        <v>0</v>
      </c>
      <c r="L806" t="n">
        <v>0</v>
      </c>
      <c r="M806" t="n">
        <v>0</v>
      </c>
      <c r="N806" t="n">
        <v>0</v>
      </c>
      <c r="O806" t="n">
        <v>0</v>
      </c>
      <c r="P806" t="n">
        <v>0</v>
      </c>
      <c r="Q806" t="n">
        <v>0</v>
      </c>
      <c r="R806" s="2" t="inlineStr"/>
    </row>
    <row r="807" ht="15" customHeight="1">
      <c r="A807" t="inlineStr">
        <is>
          <t>A 45028-2023</t>
        </is>
      </c>
      <c r="B807" s="1" t="n">
        <v>45190</v>
      </c>
      <c r="C807" s="1" t="n">
        <v>45916</v>
      </c>
      <c r="D807" t="inlineStr">
        <is>
          <t>JÄMTLANDS LÄN</t>
        </is>
      </c>
      <c r="E807" t="inlineStr">
        <is>
          <t>BRÄCKE</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3862-2025</t>
        </is>
      </c>
      <c r="B808" s="1" t="n">
        <v>45684.31023148148</v>
      </c>
      <c r="C808" s="1" t="n">
        <v>45916</v>
      </c>
      <c r="D808" t="inlineStr">
        <is>
          <t>JÄMTLANDS LÄN</t>
        </is>
      </c>
      <c r="E808" t="inlineStr">
        <is>
          <t>BRÄCKE</t>
        </is>
      </c>
      <c r="G808" t="n">
        <v>7</v>
      </c>
      <c r="H808" t="n">
        <v>0</v>
      </c>
      <c r="I808" t="n">
        <v>0</v>
      </c>
      <c r="J808" t="n">
        <v>0</v>
      </c>
      <c r="K808" t="n">
        <v>0</v>
      </c>
      <c r="L808" t="n">
        <v>0</v>
      </c>
      <c r="M808" t="n">
        <v>0</v>
      </c>
      <c r="N808" t="n">
        <v>0</v>
      </c>
      <c r="O808" t="n">
        <v>0</v>
      </c>
      <c r="P808" t="n">
        <v>0</v>
      </c>
      <c r="Q808" t="n">
        <v>0</v>
      </c>
      <c r="R808" s="2" t="inlineStr"/>
    </row>
    <row r="809" ht="15" customHeight="1">
      <c r="A809" t="inlineStr">
        <is>
          <t>A 45722-2024</t>
        </is>
      </c>
      <c r="B809" s="1" t="n">
        <v>45579.59447916667</v>
      </c>
      <c r="C809" s="1" t="n">
        <v>45916</v>
      </c>
      <c r="D809" t="inlineStr">
        <is>
          <t>JÄMTLANDS LÄN</t>
        </is>
      </c>
      <c r="E809" t="inlineStr">
        <is>
          <t>BRÄCKE</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17420-2024</t>
        </is>
      </c>
      <c r="B810" s="1" t="n">
        <v>45414.96395833333</v>
      </c>
      <c r="C810" s="1" t="n">
        <v>45916</v>
      </c>
      <c r="D810" t="inlineStr">
        <is>
          <t>JÄMTLANDS LÄN</t>
        </is>
      </c>
      <c r="E810" t="inlineStr">
        <is>
          <t>BRÄCKE</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29021-2025</t>
        </is>
      </c>
      <c r="B811" s="1" t="n">
        <v>45821.42736111111</v>
      </c>
      <c r="C811" s="1" t="n">
        <v>45916</v>
      </c>
      <c r="D811" t="inlineStr">
        <is>
          <t>JÄMTLANDS LÄN</t>
        </is>
      </c>
      <c r="E811" t="inlineStr">
        <is>
          <t>BRÄCKE</t>
        </is>
      </c>
      <c r="G811" t="n">
        <v>4.1</v>
      </c>
      <c r="H811" t="n">
        <v>0</v>
      </c>
      <c r="I811" t="n">
        <v>0</v>
      </c>
      <c r="J811" t="n">
        <v>0</v>
      </c>
      <c r="K811" t="n">
        <v>0</v>
      </c>
      <c r="L811" t="n">
        <v>0</v>
      </c>
      <c r="M811" t="n">
        <v>0</v>
      </c>
      <c r="N811" t="n">
        <v>0</v>
      </c>
      <c r="O811" t="n">
        <v>0</v>
      </c>
      <c r="P811" t="n">
        <v>0</v>
      </c>
      <c r="Q811" t="n">
        <v>0</v>
      </c>
      <c r="R811" s="2" t="inlineStr"/>
    </row>
    <row r="812" ht="15" customHeight="1">
      <c r="A812" t="inlineStr">
        <is>
          <t>A 26458-2022</t>
        </is>
      </c>
      <c r="B812" s="1" t="n">
        <v>44739.34201388889</v>
      </c>
      <c r="C812" s="1" t="n">
        <v>45916</v>
      </c>
      <c r="D812" t="inlineStr">
        <is>
          <t>JÄMTLANDS LÄN</t>
        </is>
      </c>
      <c r="E812" t="inlineStr">
        <is>
          <t>BRÄCKE</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29763-2025</t>
        </is>
      </c>
      <c r="B813" s="1" t="n">
        <v>45825.61837962963</v>
      </c>
      <c r="C813" s="1" t="n">
        <v>45916</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61973-2024</t>
        </is>
      </c>
      <c r="B814" s="1" t="n">
        <v>45653.61484953704</v>
      </c>
      <c r="C814" s="1" t="n">
        <v>45916</v>
      </c>
      <c r="D814" t="inlineStr">
        <is>
          <t>JÄMTLANDS LÄN</t>
        </is>
      </c>
      <c r="E814" t="inlineStr">
        <is>
          <t>BRÄCKE</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29262-2024</t>
        </is>
      </c>
      <c r="B815" s="1" t="n">
        <v>45482.9487962963</v>
      </c>
      <c r="C815" s="1" t="n">
        <v>45916</v>
      </c>
      <c r="D815" t="inlineStr">
        <is>
          <t>JÄMTLANDS LÄN</t>
        </is>
      </c>
      <c r="E815" t="inlineStr">
        <is>
          <t>BRÄCKE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29431-2025</t>
        </is>
      </c>
      <c r="B816" s="1" t="n">
        <v>45824.65053240741</v>
      </c>
      <c r="C816" s="1" t="n">
        <v>45916</v>
      </c>
      <c r="D816" t="inlineStr">
        <is>
          <t>JÄMTLANDS LÄN</t>
        </is>
      </c>
      <c r="E816" t="inlineStr">
        <is>
          <t>BRÄCKE</t>
        </is>
      </c>
      <c r="G816" t="n">
        <v>1</v>
      </c>
      <c r="H816" t="n">
        <v>0</v>
      </c>
      <c r="I816" t="n">
        <v>0</v>
      </c>
      <c r="J816" t="n">
        <v>0</v>
      </c>
      <c r="K816" t="n">
        <v>0</v>
      </c>
      <c r="L816" t="n">
        <v>0</v>
      </c>
      <c r="M816" t="n">
        <v>0</v>
      </c>
      <c r="N816" t="n">
        <v>0</v>
      </c>
      <c r="O816" t="n">
        <v>0</v>
      </c>
      <c r="P816" t="n">
        <v>0</v>
      </c>
      <c r="Q816" t="n">
        <v>0</v>
      </c>
      <c r="R816" s="2" t="inlineStr"/>
    </row>
    <row r="817" ht="15" customHeight="1">
      <c r="A817" t="inlineStr">
        <is>
          <t>A 64034-2023</t>
        </is>
      </c>
      <c r="B817" s="1" t="n">
        <v>45278.94321759259</v>
      </c>
      <c r="C817" s="1" t="n">
        <v>45916</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30393-2025</t>
        </is>
      </c>
      <c r="B818" s="1" t="n">
        <v>45827.57416666667</v>
      </c>
      <c r="C818" s="1" t="n">
        <v>45916</v>
      </c>
      <c r="D818" t="inlineStr">
        <is>
          <t>JÄMTLANDS LÄN</t>
        </is>
      </c>
      <c r="E818" t="inlineStr">
        <is>
          <t>BRÄCKE</t>
        </is>
      </c>
      <c r="G818" t="n">
        <v>1</v>
      </c>
      <c r="H818" t="n">
        <v>0</v>
      </c>
      <c r="I818" t="n">
        <v>0</v>
      </c>
      <c r="J818" t="n">
        <v>0</v>
      </c>
      <c r="K818" t="n">
        <v>0</v>
      </c>
      <c r="L818" t="n">
        <v>0</v>
      </c>
      <c r="M818" t="n">
        <v>0</v>
      </c>
      <c r="N818" t="n">
        <v>0</v>
      </c>
      <c r="O818" t="n">
        <v>0</v>
      </c>
      <c r="P818" t="n">
        <v>0</v>
      </c>
      <c r="Q818" t="n">
        <v>0</v>
      </c>
      <c r="R818" s="2" t="inlineStr"/>
    </row>
    <row r="819" ht="15" customHeight="1">
      <c r="A819" t="inlineStr">
        <is>
          <t>A 30424-2025</t>
        </is>
      </c>
      <c r="B819" s="1" t="n">
        <v>45827.61495370371</v>
      </c>
      <c r="C819" s="1" t="n">
        <v>45916</v>
      </c>
      <c r="D819" t="inlineStr">
        <is>
          <t>JÄMTLANDS LÄN</t>
        </is>
      </c>
      <c r="E819" t="inlineStr">
        <is>
          <t>BRÄCKE</t>
        </is>
      </c>
      <c r="G819" t="n">
        <v>0.4</v>
      </c>
      <c r="H819" t="n">
        <v>0</v>
      </c>
      <c r="I819" t="n">
        <v>0</v>
      </c>
      <c r="J819" t="n">
        <v>0</v>
      </c>
      <c r="K819" t="n">
        <v>0</v>
      </c>
      <c r="L819" t="n">
        <v>0</v>
      </c>
      <c r="M819" t="n">
        <v>0</v>
      </c>
      <c r="N819" t="n">
        <v>0</v>
      </c>
      <c r="O819" t="n">
        <v>0</v>
      </c>
      <c r="P819" t="n">
        <v>0</v>
      </c>
      <c r="Q819" t="n">
        <v>0</v>
      </c>
      <c r="R819" s="2" t="inlineStr"/>
    </row>
    <row r="820" ht="15" customHeight="1">
      <c r="A820" t="inlineStr">
        <is>
          <t>A 44403-2023</t>
        </is>
      </c>
      <c r="B820" s="1" t="n">
        <v>45188.94601851852</v>
      </c>
      <c r="C820" s="1" t="n">
        <v>45916</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13554-2024</t>
        </is>
      </c>
      <c r="B821" s="1" t="n">
        <v>45387</v>
      </c>
      <c r="C821" s="1" t="n">
        <v>45916</v>
      </c>
      <c r="D821" t="inlineStr">
        <is>
          <t>JÄMTLANDS LÄN</t>
        </is>
      </c>
      <c r="E821" t="inlineStr">
        <is>
          <t>BRÄCKE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12640-2025</t>
        </is>
      </c>
      <c r="B822" s="1" t="n">
        <v>45733.38606481482</v>
      </c>
      <c r="C822" s="1" t="n">
        <v>45916</v>
      </c>
      <c r="D822" t="inlineStr">
        <is>
          <t>JÄMTLANDS LÄN</t>
        </is>
      </c>
      <c r="E822" t="inlineStr">
        <is>
          <t>BRÄCKE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25895-2023</t>
        </is>
      </c>
      <c r="B823" s="1" t="n">
        <v>45085</v>
      </c>
      <c r="C823" s="1" t="n">
        <v>45916</v>
      </c>
      <c r="D823" t="inlineStr">
        <is>
          <t>JÄMTLANDS LÄN</t>
        </is>
      </c>
      <c r="E823" t="inlineStr">
        <is>
          <t>BRÄCKE</t>
        </is>
      </c>
      <c r="G823" t="n">
        <v>4.7</v>
      </c>
      <c r="H823" t="n">
        <v>0</v>
      </c>
      <c r="I823" t="n">
        <v>0</v>
      </c>
      <c r="J823" t="n">
        <v>0</v>
      </c>
      <c r="K823" t="n">
        <v>0</v>
      </c>
      <c r="L823" t="n">
        <v>0</v>
      </c>
      <c r="M823" t="n">
        <v>0</v>
      </c>
      <c r="N823" t="n">
        <v>0</v>
      </c>
      <c r="O823" t="n">
        <v>0</v>
      </c>
      <c r="P823" t="n">
        <v>0</v>
      </c>
      <c r="Q823" t="n">
        <v>0</v>
      </c>
      <c r="R823" s="2" t="inlineStr"/>
    </row>
    <row r="824" ht="15" customHeight="1">
      <c r="A824" t="inlineStr">
        <is>
          <t>A 41552-2024</t>
        </is>
      </c>
      <c r="B824" s="1" t="n">
        <v>45560.51988425926</v>
      </c>
      <c r="C824" s="1" t="n">
        <v>45916</v>
      </c>
      <c r="D824" t="inlineStr">
        <is>
          <t>JÄMTLANDS LÄN</t>
        </is>
      </c>
      <c r="E824" t="inlineStr">
        <is>
          <t>BRÄCKE</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24718-2022</t>
        </is>
      </c>
      <c r="B825" s="1" t="n">
        <v>44727.94221064815</v>
      </c>
      <c r="C825" s="1" t="n">
        <v>45916</v>
      </c>
      <c r="D825" t="inlineStr">
        <is>
          <t>JÄMTLANDS LÄN</t>
        </is>
      </c>
      <c r="E825" t="inlineStr">
        <is>
          <t>BRÄCKE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24726-2022</t>
        </is>
      </c>
      <c r="B826" s="1" t="n">
        <v>44727</v>
      </c>
      <c r="C826" s="1" t="n">
        <v>45916</v>
      </c>
      <c r="D826" t="inlineStr">
        <is>
          <t>JÄMTLANDS LÄN</t>
        </is>
      </c>
      <c r="E826" t="inlineStr">
        <is>
          <t>BRÄCKE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35244-2021</t>
        </is>
      </c>
      <c r="B827" s="1" t="n">
        <v>44384.58844907407</v>
      </c>
      <c r="C827" s="1" t="n">
        <v>45916</v>
      </c>
      <c r="D827" t="inlineStr">
        <is>
          <t>JÄMTLANDS LÄN</t>
        </is>
      </c>
      <c r="E827" t="inlineStr">
        <is>
          <t>BRÄCKE</t>
        </is>
      </c>
      <c r="G827" t="n">
        <v>0.5</v>
      </c>
      <c r="H827" t="n">
        <v>0</v>
      </c>
      <c r="I827" t="n">
        <v>0</v>
      </c>
      <c r="J827" t="n">
        <v>0</v>
      </c>
      <c r="K827" t="n">
        <v>0</v>
      </c>
      <c r="L827" t="n">
        <v>0</v>
      </c>
      <c r="M827" t="n">
        <v>0</v>
      </c>
      <c r="N827" t="n">
        <v>0</v>
      </c>
      <c r="O827" t="n">
        <v>0</v>
      </c>
      <c r="P827" t="n">
        <v>0</v>
      </c>
      <c r="Q827" t="n">
        <v>0</v>
      </c>
      <c r="R827" s="2" t="inlineStr"/>
    </row>
    <row r="828" ht="15" customHeight="1">
      <c r="A828" t="inlineStr">
        <is>
          <t>A 4857-2025</t>
        </is>
      </c>
      <c r="B828" s="1" t="n">
        <v>45688.67418981482</v>
      </c>
      <c r="C828" s="1" t="n">
        <v>45916</v>
      </c>
      <c r="D828" t="inlineStr">
        <is>
          <t>JÄMTLANDS LÄN</t>
        </is>
      </c>
      <c r="E828" t="inlineStr">
        <is>
          <t>BRÄCKE</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29909-2025</t>
        </is>
      </c>
      <c r="B829" s="1" t="n">
        <v>45826.40671296296</v>
      </c>
      <c r="C829" s="1" t="n">
        <v>45916</v>
      </c>
      <c r="D829" t="inlineStr">
        <is>
          <t>JÄMTLANDS LÄN</t>
        </is>
      </c>
      <c r="E829" t="inlineStr">
        <is>
          <t>BRÄCKE</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53152-2024</t>
        </is>
      </c>
      <c r="B830" s="1" t="n">
        <v>45611.62123842593</v>
      </c>
      <c r="C830" s="1" t="n">
        <v>45916</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30317-2025</t>
        </is>
      </c>
      <c r="B831" s="1" t="n">
        <v>45827.49087962963</v>
      </c>
      <c r="C831" s="1" t="n">
        <v>45916</v>
      </c>
      <c r="D831" t="inlineStr">
        <is>
          <t>JÄMTLANDS LÄN</t>
        </is>
      </c>
      <c r="E831" t="inlineStr">
        <is>
          <t>BRÄCKE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38336-2024</t>
        </is>
      </c>
      <c r="B832" s="1" t="n">
        <v>45545.68386574074</v>
      </c>
      <c r="C832" s="1" t="n">
        <v>45916</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30391-2025</t>
        </is>
      </c>
      <c r="B833" s="1" t="n">
        <v>45827.57387731481</v>
      </c>
      <c r="C833" s="1" t="n">
        <v>45916</v>
      </c>
      <c r="D833" t="inlineStr">
        <is>
          <t>JÄMTLANDS LÄN</t>
        </is>
      </c>
      <c r="E833" t="inlineStr">
        <is>
          <t>BRÄCKE</t>
        </is>
      </c>
      <c r="F833" t="inlineStr">
        <is>
          <t>SCA</t>
        </is>
      </c>
      <c r="G833" t="n">
        <v>6.5</v>
      </c>
      <c r="H833" t="n">
        <v>0</v>
      </c>
      <c r="I833" t="n">
        <v>0</v>
      </c>
      <c r="J833" t="n">
        <v>0</v>
      </c>
      <c r="K833" t="n">
        <v>0</v>
      </c>
      <c r="L833" t="n">
        <v>0</v>
      </c>
      <c r="M833" t="n">
        <v>0</v>
      </c>
      <c r="N833" t="n">
        <v>0</v>
      </c>
      <c r="O833" t="n">
        <v>0</v>
      </c>
      <c r="P833" t="n">
        <v>0</v>
      </c>
      <c r="Q833" t="n">
        <v>0</v>
      </c>
      <c r="R833" s="2" t="inlineStr"/>
    </row>
    <row r="834" ht="15" customHeight="1">
      <c r="A834" t="inlineStr">
        <is>
          <t>A 30425-2025</t>
        </is>
      </c>
      <c r="B834" s="1" t="n">
        <v>45827.61511574074</v>
      </c>
      <c r="C834" s="1" t="n">
        <v>45916</v>
      </c>
      <c r="D834" t="inlineStr">
        <is>
          <t>JÄMTLANDS LÄN</t>
        </is>
      </c>
      <c r="E834" t="inlineStr">
        <is>
          <t>BRÄCKE</t>
        </is>
      </c>
      <c r="G834" t="n">
        <v>1</v>
      </c>
      <c r="H834" t="n">
        <v>0</v>
      </c>
      <c r="I834" t="n">
        <v>0</v>
      </c>
      <c r="J834" t="n">
        <v>0</v>
      </c>
      <c r="K834" t="n">
        <v>0</v>
      </c>
      <c r="L834" t="n">
        <v>0</v>
      </c>
      <c r="M834" t="n">
        <v>0</v>
      </c>
      <c r="N834" t="n">
        <v>0</v>
      </c>
      <c r="O834" t="n">
        <v>0</v>
      </c>
      <c r="P834" t="n">
        <v>0</v>
      </c>
      <c r="Q834" t="n">
        <v>0</v>
      </c>
      <c r="R834" s="2" t="inlineStr"/>
    </row>
    <row r="835" ht="15" customHeight="1">
      <c r="A835" t="inlineStr">
        <is>
          <t>A 29996-2025</t>
        </is>
      </c>
      <c r="B835" s="1" t="n">
        <v>45826.51090277778</v>
      </c>
      <c r="C835" s="1" t="n">
        <v>45916</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3248-2025</t>
        </is>
      </c>
      <c r="B836" s="1" t="n">
        <v>45679.53173611111</v>
      </c>
      <c r="C836" s="1" t="n">
        <v>45916</v>
      </c>
      <c r="D836" t="inlineStr">
        <is>
          <t>JÄMTLANDS LÄN</t>
        </is>
      </c>
      <c r="E836" t="inlineStr">
        <is>
          <t>BRÄCKE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4365-2023</t>
        </is>
      </c>
      <c r="B837" s="1" t="n">
        <v>44954</v>
      </c>
      <c r="C837" s="1" t="n">
        <v>45916</v>
      </c>
      <c r="D837" t="inlineStr">
        <is>
          <t>JÄMTLANDS LÄN</t>
        </is>
      </c>
      <c r="E837" t="inlineStr">
        <is>
          <t>BRÄCKE</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51821-2023</t>
        </is>
      </c>
      <c r="B838" s="1" t="n">
        <v>45222</v>
      </c>
      <c r="C838" s="1" t="n">
        <v>45916</v>
      </c>
      <c r="D838" t="inlineStr">
        <is>
          <t>JÄMTLANDS LÄN</t>
        </is>
      </c>
      <c r="E838" t="inlineStr">
        <is>
          <t>BRÄCKE</t>
        </is>
      </c>
      <c r="F838" t="inlineStr">
        <is>
          <t>SCA</t>
        </is>
      </c>
      <c r="G838" t="n">
        <v>6.6</v>
      </c>
      <c r="H838" t="n">
        <v>0</v>
      </c>
      <c r="I838" t="n">
        <v>0</v>
      </c>
      <c r="J838" t="n">
        <v>0</v>
      </c>
      <c r="K838" t="n">
        <v>0</v>
      </c>
      <c r="L838" t="n">
        <v>0</v>
      </c>
      <c r="M838" t="n">
        <v>0</v>
      </c>
      <c r="N838" t="n">
        <v>0</v>
      </c>
      <c r="O838" t="n">
        <v>0</v>
      </c>
      <c r="P838" t="n">
        <v>0</v>
      </c>
      <c r="Q838" t="n">
        <v>0</v>
      </c>
      <c r="R838" s="2" t="inlineStr"/>
    </row>
    <row r="839" ht="15" customHeight="1">
      <c r="A839" t="inlineStr">
        <is>
          <t>A 30016-2025</t>
        </is>
      </c>
      <c r="B839" s="1" t="n">
        <v>45826.55288194444</v>
      </c>
      <c r="C839" s="1" t="n">
        <v>45916</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30310-2025</t>
        </is>
      </c>
      <c r="B840" s="1" t="n">
        <v>45827.48996527777</v>
      </c>
      <c r="C840" s="1" t="n">
        <v>45916</v>
      </c>
      <c r="D840" t="inlineStr">
        <is>
          <t>JÄMTLANDS LÄN</t>
        </is>
      </c>
      <c r="E840" t="inlineStr">
        <is>
          <t>BRÄCKE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30392-2025</t>
        </is>
      </c>
      <c r="B841" s="1" t="n">
        <v>45827.5740162037</v>
      </c>
      <c r="C841" s="1" t="n">
        <v>45916</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42480-2024</t>
        </is>
      </c>
      <c r="B842" s="1" t="n">
        <v>45565.49185185185</v>
      </c>
      <c r="C842" s="1" t="n">
        <v>45916</v>
      </c>
      <c r="D842" t="inlineStr">
        <is>
          <t>JÄMTLANDS LÄN</t>
        </is>
      </c>
      <c r="E842" t="inlineStr">
        <is>
          <t>BRÄCKE</t>
        </is>
      </c>
      <c r="F842" t="inlineStr">
        <is>
          <t>Kyrkan</t>
        </is>
      </c>
      <c r="G842" t="n">
        <v>1.5</v>
      </c>
      <c r="H842" t="n">
        <v>0</v>
      </c>
      <c r="I842" t="n">
        <v>0</v>
      </c>
      <c r="J842" t="n">
        <v>0</v>
      </c>
      <c r="K842" t="n">
        <v>0</v>
      </c>
      <c r="L842" t="n">
        <v>0</v>
      </c>
      <c r="M842" t="n">
        <v>0</v>
      </c>
      <c r="N842" t="n">
        <v>0</v>
      </c>
      <c r="O842" t="n">
        <v>0</v>
      </c>
      <c r="P842" t="n">
        <v>0</v>
      </c>
      <c r="Q842" t="n">
        <v>0</v>
      </c>
      <c r="R842" s="2" t="inlineStr"/>
    </row>
    <row r="843" ht="15" customHeight="1">
      <c r="A843" t="inlineStr">
        <is>
          <t>A 30014-2025</t>
        </is>
      </c>
      <c r="B843" s="1" t="n">
        <v>45826.55246527777</v>
      </c>
      <c r="C843" s="1" t="n">
        <v>45916</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28796-2023</t>
        </is>
      </c>
      <c r="B844" s="1" t="n">
        <v>45096</v>
      </c>
      <c r="C844" s="1" t="n">
        <v>45916</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54035-2021</t>
        </is>
      </c>
      <c r="B845" s="1" t="n">
        <v>44470</v>
      </c>
      <c r="C845" s="1" t="n">
        <v>45916</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51416-2024</t>
        </is>
      </c>
      <c r="B846" s="1" t="n">
        <v>45604.44829861111</v>
      </c>
      <c r="C846" s="1" t="n">
        <v>45916</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44321-2023</t>
        </is>
      </c>
      <c r="B847" s="1" t="n">
        <v>45188.65484953704</v>
      </c>
      <c r="C847" s="1" t="n">
        <v>45916</v>
      </c>
      <c r="D847" t="inlineStr">
        <is>
          <t>JÄMTLANDS LÄN</t>
        </is>
      </c>
      <c r="E847" t="inlineStr">
        <is>
          <t>BRÄCKE</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44328-2023</t>
        </is>
      </c>
      <c r="B848" s="1" t="n">
        <v>45188.659375</v>
      </c>
      <c r="C848" s="1" t="n">
        <v>45916</v>
      </c>
      <c r="D848" t="inlineStr">
        <is>
          <t>JÄMTLANDS LÄN</t>
        </is>
      </c>
      <c r="E848" t="inlineStr">
        <is>
          <t>BRÄCKE</t>
        </is>
      </c>
      <c r="F848" t="inlineStr">
        <is>
          <t>Sveaskog</t>
        </is>
      </c>
      <c r="G848" t="n">
        <v>3.8</v>
      </c>
      <c r="H848" t="n">
        <v>0</v>
      </c>
      <c r="I848" t="n">
        <v>0</v>
      </c>
      <c r="J848" t="n">
        <v>0</v>
      </c>
      <c r="K848" t="n">
        <v>0</v>
      </c>
      <c r="L848" t="n">
        <v>0</v>
      </c>
      <c r="M848" t="n">
        <v>0</v>
      </c>
      <c r="N848" t="n">
        <v>0</v>
      </c>
      <c r="O848" t="n">
        <v>0</v>
      </c>
      <c r="P848" t="n">
        <v>0</v>
      </c>
      <c r="Q848" t="n">
        <v>0</v>
      </c>
      <c r="R848" s="2" t="inlineStr"/>
    </row>
    <row r="849" ht="15" customHeight="1">
      <c r="A849" t="inlineStr">
        <is>
          <t>A 30313-2025</t>
        </is>
      </c>
      <c r="B849" s="1" t="n">
        <v>45827.49033564814</v>
      </c>
      <c r="C849" s="1" t="n">
        <v>45916</v>
      </c>
      <c r="D849" t="inlineStr">
        <is>
          <t>JÄMTLANDS LÄN</t>
        </is>
      </c>
      <c r="E849" t="inlineStr">
        <is>
          <t>BRÄCKE</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51441-2023</t>
        </is>
      </c>
      <c r="B850" s="1" t="n">
        <v>45219</v>
      </c>
      <c r="C850" s="1" t="n">
        <v>45916</v>
      </c>
      <c r="D850" t="inlineStr">
        <is>
          <t>JÄMTLANDS LÄN</t>
        </is>
      </c>
      <c r="E850" t="inlineStr">
        <is>
          <t>BRÄCKE</t>
        </is>
      </c>
      <c r="G850" t="n">
        <v>1.2</v>
      </c>
      <c r="H850" t="n">
        <v>0</v>
      </c>
      <c r="I850" t="n">
        <v>0</v>
      </c>
      <c r="J850" t="n">
        <v>0</v>
      </c>
      <c r="K850" t="n">
        <v>0</v>
      </c>
      <c r="L850" t="n">
        <v>0</v>
      </c>
      <c r="M850" t="n">
        <v>0</v>
      </c>
      <c r="N850" t="n">
        <v>0</v>
      </c>
      <c r="O850" t="n">
        <v>0</v>
      </c>
      <c r="P850" t="n">
        <v>0</v>
      </c>
      <c r="Q850" t="n">
        <v>0</v>
      </c>
      <c r="R850" s="2" t="inlineStr"/>
    </row>
    <row r="851" ht="15" customHeight="1">
      <c r="A851" t="inlineStr">
        <is>
          <t>A 20513-2024</t>
        </is>
      </c>
      <c r="B851" s="1" t="n">
        <v>45435.94380787037</v>
      </c>
      <c r="C851" s="1" t="n">
        <v>45916</v>
      </c>
      <c r="D851" t="inlineStr">
        <is>
          <t>JÄMTLANDS LÄN</t>
        </is>
      </c>
      <c r="E851" t="inlineStr">
        <is>
          <t>BRÄCKE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51042-2023</t>
        </is>
      </c>
      <c r="B852" s="1" t="n">
        <v>45218.62233796297</v>
      </c>
      <c r="C852" s="1" t="n">
        <v>45916</v>
      </c>
      <c r="D852" t="inlineStr">
        <is>
          <t>JÄMTLANDS LÄN</t>
        </is>
      </c>
      <c r="E852" t="inlineStr">
        <is>
          <t>BRÄCKE</t>
        </is>
      </c>
      <c r="G852" t="n">
        <v>0.6</v>
      </c>
      <c r="H852" t="n">
        <v>0</v>
      </c>
      <c r="I852" t="n">
        <v>0</v>
      </c>
      <c r="J852" t="n">
        <v>0</v>
      </c>
      <c r="K852" t="n">
        <v>0</v>
      </c>
      <c r="L852" t="n">
        <v>0</v>
      </c>
      <c r="M852" t="n">
        <v>0</v>
      </c>
      <c r="N852" t="n">
        <v>0</v>
      </c>
      <c r="O852" t="n">
        <v>0</v>
      </c>
      <c r="P852" t="n">
        <v>0</v>
      </c>
      <c r="Q852" t="n">
        <v>0</v>
      </c>
      <c r="R852" s="2" t="inlineStr"/>
    </row>
    <row r="853" ht="15" customHeight="1">
      <c r="A853" t="inlineStr">
        <is>
          <t>A 30714-2025</t>
        </is>
      </c>
      <c r="B853" s="1" t="n">
        <v>45831.55284722222</v>
      </c>
      <c r="C853" s="1" t="n">
        <v>45916</v>
      </c>
      <c r="D853" t="inlineStr">
        <is>
          <t>JÄMTLANDS LÄN</t>
        </is>
      </c>
      <c r="E853" t="inlineStr">
        <is>
          <t>BRÄCKE</t>
        </is>
      </c>
      <c r="G853" t="n">
        <v>0.5</v>
      </c>
      <c r="H853" t="n">
        <v>0</v>
      </c>
      <c r="I853" t="n">
        <v>0</v>
      </c>
      <c r="J853" t="n">
        <v>0</v>
      </c>
      <c r="K853" t="n">
        <v>0</v>
      </c>
      <c r="L853" t="n">
        <v>0</v>
      </c>
      <c r="M853" t="n">
        <v>0</v>
      </c>
      <c r="N853" t="n">
        <v>0</v>
      </c>
      <c r="O853" t="n">
        <v>0</v>
      </c>
      <c r="P853" t="n">
        <v>0</v>
      </c>
      <c r="Q853" t="n">
        <v>0</v>
      </c>
      <c r="R853" s="2" t="inlineStr"/>
    </row>
    <row r="854" ht="15" customHeight="1">
      <c r="A854" t="inlineStr">
        <is>
          <t>A 2035-2022</t>
        </is>
      </c>
      <c r="B854" s="1" t="n">
        <v>44575.6277662037</v>
      </c>
      <c r="C854" s="1" t="n">
        <v>45916</v>
      </c>
      <c r="D854" t="inlineStr">
        <is>
          <t>JÄMTLANDS LÄN</t>
        </is>
      </c>
      <c r="E854" t="inlineStr">
        <is>
          <t>BRÄCKE</t>
        </is>
      </c>
      <c r="G854" t="n">
        <v>2</v>
      </c>
      <c r="H854" t="n">
        <v>0</v>
      </c>
      <c r="I854" t="n">
        <v>0</v>
      </c>
      <c r="J854" t="n">
        <v>0</v>
      </c>
      <c r="K854" t="n">
        <v>0</v>
      </c>
      <c r="L854" t="n">
        <v>0</v>
      </c>
      <c r="M854" t="n">
        <v>0</v>
      </c>
      <c r="N854" t="n">
        <v>0</v>
      </c>
      <c r="O854" t="n">
        <v>0</v>
      </c>
      <c r="P854" t="n">
        <v>0</v>
      </c>
      <c r="Q854" t="n">
        <v>0</v>
      </c>
      <c r="R854" s="2" t="inlineStr"/>
    </row>
    <row r="855" ht="15" customHeight="1">
      <c r="A855" t="inlineStr">
        <is>
          <t>A 30732-2025</t>
        </is>
      </c>
      <c r="B855" s="1" t="n">
        <v>45831.57324074074</v>
      </c>
      <c r="C855" s="1" t="n">
        <v>45916</v>
      </c>
      <c r="D855" t="inlineStr">
        <is>
          <t>JÄMTLANDS LÄN</t>
        </is>
      </c>
      <c r="E855" t="inlineStr">
        <is>
          <t>BRÄCKE</t>
        </is>
      </c>
      <c r="G855" t="n">
        <v>1.6</v>
      </c>
      <c r="H855" t="n">
        <v>0</v>
      </c>
      <c r="I855" t="n">
        <v>0</v>
      </c>
      <c r="J855" t="n">
        <v>0</v>
      </c>
      <c r="K855" t="n">
        <v>0</v>
      </c>
      <c r="L855" t="n">
        <v>0</v>
      </c>
      <c r="M855" t="n">
        <v>0</v>
      </c>
      <c r="N855" t="n">
        <v>0</v>
      </c>
      <c r="O855" t="n">
        <v>0</v>
      </c>
      <c r="P855" t="n">
        <v>0</v>
      </c>
      <c r="Q855" t="n">
        <v>0</v>
      </c>
      <c r="R855" s="2" t="inlineStr"/>
    </row>
    <row r="856" ht="15" customHeight="1">
      <c r="A856" t="inlineStr">
        <is>
          <t>A 30619-2025</t>
        </is>
      </c>
      <c r="B856" s="1" t="n">
        <v>45831.46922453704</v>
      </c>
      <c r="C856" s="1" t="n">
        <v>45916</v>
      </c>
      <c r="D856" t="inlineStr">
        <is>
          <t>JÄMTLANDS LÄN</t>
        </is>
      </c>
      <c r="E856" t="inlineStr">
        <is>
          <t>BRÄCKE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36497-2023</t>
        </is>
      </c>
      <c r="B857" s="1" t="n">
        <v>45152</v>
      </c>
      <c r="C857" s="1" t="n">
        <v>45916</v>
      </c>
      <c r="D857" t="inlineStr">
        <is>
          <t>JÄMTLANDS LÄN</t>
        </is>
      </c>
      <c r="E857" t="inlineStr">
        <is>
          <t>BRÄCKE</t>
        </is>
      </c>
      <c r="G857" t="n">
        <v>2.2</v>
      </c>
      <c r="H857" t="n">
        <v>0</v>
      </c>
      <c r="I857" t="n">
        <v>0</v>
      </c>
      <c r="J857" t="n">
        <v>0</v>
      </c>
      <c r="K857" t="n">
        <v>0</v>
      </c>
      <c r="L857" t="n">
        <v>0</v>
      </c>
      <c r="M857" t="n">
        <v>0</v>
      </c>
      <c r="N857" t="n">
        <v>0</v>
      </c>
      <c r="O857" t="n">
        <v>0</v>
      </c>
      <c r="P857" t="n">
        <v>0</v>
      </c>
      <c r="Q857" t="n">
        <v>0</v>
      </c>
      <c r="R857" s="2" t="inlineStr"/>
    </row>
    <row r="858" ht="15" customHeight="1">
      <c r="A858" t="inlineStr">
        <is>
          <t>A 36392-2022</t>
        </is>
      </c>
      <c r="B858" s="1" t="n">
        <v>44803.94673611111</v>
      </c>
      <c r="C858" s="1" t="n">
        <v>45916</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37238-2021</t>
        </is>
      </c>
      <c r="B859" s="1" t="n">
        <v>44396.93490740741</v>
      </c>
      <c r="C859" s="1" t="n">
        <v>45916</v>
      </c>
      <c r="D859" t="inlineStr">
        <is>
          <t>JÄMTLANDS LÄN</t>
        </is>
      </c>
      <c r="E859" t="inlineStr">
        <is>
          <t>BRÄCKE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26444-2022</t>
        </is>
      </c>
      <c r="B860" s="1" t="n">
        <v>44738.93929398148</v>
      </c>
      <c r="C860" s="1" t="n">
        <v>45916</v>
      </c>
      <c r="D860" t="inlineStr">
        <is>
          <t>JÄMTLANDS LÄN</t>
        </is>
      </c>
      <c r="E860" t="inlineStr">
        <is>
          <t>BRÄCKE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24010-2024</t>
        </is>
      </c>
      <c r="B861" s="1" t="n">
        <v>45456.40370370371</v>
      </c>
      <c r="C861" s="1" t="n">
        <v>45916</v>
      </c>
      <c r="D861" t="inlineStr">
        <is>
          <t>JÄMTLANDS LÄN</t>
        </is>
      </c>
      <c r="E861" t="inlineStr">
        <is>
          <t>BRÄCKE</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18645-2024</t>
        </is>
      </c>
      <c r="B862" s="1" t="n">
        <v>45425.96738425926</v>
      </c>
      <c r="C862" s="1" t="n">
        <v>45916</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52021-2022</t>
        </is>
      </c>
      <c r="B863" s="1" t="n">
        <v>44872.95638888889</v>
      </c>
      <c r="C863" s="1" t="n">
        <v>45916</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29751-2023</t>
        </is>
      </c>
      <c r="B864" s="1" t="n">
        <v>45107</v>
      </c>
      <c r="C864" s="1" t="n">
        <v>45916</v>
      </c>
      <c r="D864" t="inlineStr">
        <is>
          <t>JÄMTLANDS LÄN</t>
        </is>
      </c>
      <c r="E864" t="inlineStr">
        <is>
          <t>BRÄCKE</t>
        </is>
      </c>
      <c r="G864" t="n">
        <v>1</v>
      </c>
      <c r="H864" t="n">
        <v>0</v>
      </c>
      <c r="I864" t="n">
        <v>0</v>
      </c>
      <c r="J864" t="n">
        <v>0</v>
      </c>
      <c r="K864" t="n">
        <v>0</v>
      </c>
      <c r="L864" t="n">
        <v>0</v>
      </c>
      <c r="M864" t="n">
        <v>0</v>
      </c>
      <c r="N864" t="n">
        <v>0</v>
      </c>
      <c r="O864" t="n">
        <v>0</v>
      </c>
      <c r="P864" t="n">
        <v>0</v>
      </c>
      <c r="Q864" t="n">
        <v>0</v>
      </c>
      <c r="R864" s="2" t="inlineStr"/>
    </row>
    <row r="865" ht="15" customHeight="1">
      <c r="A865" t="inlineStr">
        <is>
          <t>A 37185-2025</t>
        </is>
      </c>
      <c r="B865" s="1" t="n">
        <v>45875.63608796296</v>
      </c>
      <c r="C865" s="1" t="n">
        <v>45916</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3737-2025</t>
        </is>
      </c>
      <c r="B866" s="1" t="n">
        <v>45681.57335648148</v>
      </c>
      <c r="C866" s="1" t="n">
        <v>45916</v>
      </c>
      <c r="D866" t="inlineStr">
        <is>
          <t>JÄMTLANDS LÄN</t>
        </is>
      </c>
      <c r="E866" t="inlineStr">
        <is>
          <t>BRÄCKE</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22980-2024</t>
        </is>
      </c>
      <c r="B867" s="1" t="n">
        <v>45449.90008101852</v>
      </c>
      <c r="C867" s="1" t="n">
        <v>45916</v>
      </c>
      <c r="D867" t="inlineStr">
        <is>
          <t>JÄMTLANDS LÄN</t>
        </is>
      </c>
      <c r="E867" t="inlineStr">
        <is>
          <t>BRÄCKE</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57605-2024</t>
        </is>
      </c>
      <c r="B868" s="1" t="n">
        <v>45630.53201388889</v>
      </c>
      <c r="C868" s="1" t="n">
        <v>45916</v>
      </c>
      <c r="D868" t="inlineStr">
        <is>
          <t>JÄMTLANDS LÄN</t>
        </is>
      </c>
      <c r="E868" t="inlineStr">
        <is>
          <t>BRÄCKE</t>
        </is>
      </c>
      <c r="F868" t="inlineStr">
        <is>
          <t>SCA</t>
        </is>
      </c>
      <c r="G868" t="n">
        <v>0.1</v>
      </c>
      <c r="H868" t="n">
        <v>0</v>
      </c>
      <c r="I868" t="n">
        <v>0</v>
      </c>
      <c r="J868" t="n">
        <v>0</v>
      </c>
      <c r="K868" t="n">
        <v>0</v>
      </c>
      <c r="L868" t="n">
        <v>0</v>
      </c>
      <c r="M868" t="n">
        <v>0</v>
      </c>
      <c r="N868" t="n">
        <v>0</v>
      </c>
      <c r="O868" t="n">
        <v>0</v>
      </c>
      <c r="P868" t="n">
        <v>0</v>
      </c>
      <c r="Q868" t="n">
        <v>0</v>
      </c>
      <c r="R868" s="2" t="inlineStr"/>
    </row>
    <row r="869" ht="15" customHeight="1">
      <c r="A869" t="inlineStr">
        <is>
          <t>A 60870-2023</t>
        </is>
      </c>
      <c r="B869" s="1" t="n">
        <v>45260.96667824074</v>
      </c>
      <c r="C869" s="1" t="n">
        <v>45916</v>
      </c>
      <c r="D869" t="inlineStr">
        <is>
          <t>JÄMTLANDS LÄN</t>
        </is>
      </c>
      <c r="E869" t="inlineStr">
        <is>
          <t>BRÄCKE</t>
        </is>
      </c>
      <c r="G869" t="n">
        <v>6.1</v>
      </c>
      <c r="H869" t="n">
        <v>0</v>
      </c>
      <c r="I869" t="n">
        <v>0</v>
      </c>
      <c r="J869" t="n">
        <v>0</v>
      </c>
      <c r="K869" t="n">
        <v>0</v>
      </c>
      <c r="L869" t="n">
        <v>0</v>
      </c>
      <c r="M869" t="n">
        <v>0</v>
      </c>
      <c r="N869" t="n">
        <v>0</v>
      </c>
      <c r="O869" t="n">
        <v>0</v>
      </c>
      <c r="P869" t="n">
        <v>0</v>
      </c>
      <c r="Q869" t="n">
        <v>0</v>
      </c>
      <c r="R869" s="2" t="inlineStr"/>
    </row>
    <row r="870" ht="15" customHeight="1">
      <c r="A870" t="inlineStr">
        <is>
          <t>A 38943-2024</t>
        </is>
      </c>
      <c r="B870" s="1" t="n">
        <v>45548.34490740741</v>
      </c>
      <c r="C870" s="1" t="n">
        <v>45916</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37093-2025</t>
        </is>
      </c>
      <c r="B871" s="1" t="n">
        <v>45875.46909722222</v>
      </c>
      <c r="C871" s="1" t="n">
        <v>45916</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52137-2023</t>
        </is>
      </c>
      <c r="B872" s="1" t="n">
        <v>45223</v>
      </c>
      <c r="C872" s="1" t="n">
        <v>45916</v>
      </c>
      <c r="D872" t="inlineStr">
        <is>
          <t>JÄMTLANDS LÄN</t>
        </is>
      </c>
      <c r="E872" t="inlineStr">
        <is>
          <t>BRÄCKE</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30487-2024</t>
        </is>
      </c>
      <c r="B873" s="1" t="n">
        <v>45491.95027777777</v>
      </c>
      <c r="C873" s="1" t="n">
        <v>45916</v>
      </c>
      <c r="D873" t="inlineStr">
        <is>
          <t>JÄMTLANDS LÄN</t>
        </is>
      </c>
      <c r="E873" t="inlineStr">
        <is>
          <t>BRÄCKE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48080-2023</t>
        </is>
      </c>
      <c r="B874" s="1" t="n">
        <v>45204.94569444445</v>
      </c>
      <c r="C874" s="1" t="n">
        <v>45916</v>
      </c>
      <c r="D874" t="inlineStr">
        <is>
          <t>JÄMTLANDS LÄN</t>
        </is>
      </c>
      <c r="E874" t="inlineStr">
        <is>
          <t>BRÄCKE</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31425-2025</t>
        </is>
      </c>
      <c r="B875" s="1" t="n">
        <v>45833.49023148148</v>
      </c>
      <c r="C875" s="1" t="n">
        <v>45916</v>
      </c>
      <c r="D875" t="inlineStr">
        <is>
          <t>JÄMTLANDS LÄN</t>
        </is>
      </c>
      <c r="E875" t="inlineStr">
        <is>
          <t>BRÄCKE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35252-2021</t>
        </is>
      </c>
      <c r="B876" s="1" t="n">
        <v>44384.59356481482</v>
      </c>
      <c r="C876" s="1" t="n">
        <v>45916</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25718-2024</t>
        </is>
      </c>
      <c r="B877" s="1" t="n">
        <v>45463.94467592592</v>
      </c>
      <c r="C877" s="1" t="n">
        <v>45916</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45950-2023</t>
        </is>
      </c>
      <c r="B878" s="1" t="n">
        <v>45195</v>
      </c>
      <c r="C878" s="1" t="n">
        <v>45916</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31274-2025</t>
        </is>
      </c>
      <c r="B879" s="1" t="n">
        <v>45833.34435185185</v>
      </c>
      <c r="C879" s="1" t="n">
        <v>45916</v>
      </c>
      <c r="D879" t="inlineStr">
        <is>
          <t>JÄMTLANDS LÄN</t>
        </is>
      </c>
      <c r="E879" t="inlineStr">
        <is>
          <t>BRÄCKE</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31138-2025</t>
        </is>
      </c>
      <c r="B880" s="1" t="n">
        <v>45832.63618055556</v>
      </c>
      <c r="C880" s="1" t="n">
        <v>45916</v>
      </c>
      <c r="D880" t="inlineStr">
        <is>
          <t>JÄMTLANDS LÄN</t>
        </is>
      </c>
      <c r="E880" t="inlineStr">
        <is>
          <t>BRÄCKE</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56686-2023</t>
        </is>
      </c>
      <c r="B881" s="1" t="n">
        <v>45243.96622685185</v>
      </c>
      <c r="C881" s="1" t="n">
        <v>45916</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20267-2024</t>
        </is>
      </c>
      <c r="B882" s="1" t="n">
        <v>45434.9487962963</v>
      </c>
      <c r="C882" s="1" t="n">
        <v>45916</v>
      </c>
      <c r="D882" t="inlineStr">
        <is>
          <t>JÄMTLANDS LÄN</t>
        </is>
      </c>
      <c r="E882" t="inlineStr">
        <is>
          <t>BRÄCKE</t>
        </is>
      </c>
      <c r="F882" t="inlineStr">
        <is>
          <t>SCA</t>
        </is>
      </c>
      <c r="G882" t="n">
        <v>5</v>
      </c>
      <c r="H882" t="n">
        <v>0</v>
      </c>
      <c r="I882" t="n">
        <v>0</v>
      </c>
      <c r="J882" t="n">
        <v>0</v>
      </c>
      <c r="K882" t="n">
        <v>0</v>
      </c>
      <c r="L882" t="n">
        <v>0</v>
      </c>
      <c r="M882" t="n">
        <v>0</v>
      </c>
      <c r="N882" t="n">
        <v>0</v>
      </c>
      <c r="O882" t="n">
        <v>0</v>
      </c>
      <c r="P882" t="n">
        <v>0</v>
      </c>
      <c r="Q882" t="n">
        <v>0</v>
      </c>
      <c r="R882" s="2" t="inlineStr"/>
    </row>
    <row r="883" ht="15" customHeight="1">
      <c r="A883" t="inlineStr">
        <is>
          <t>A 36970-2025</t>
        </is>
      </c>
      <c r="B883" s="1" t="n">
        <v>45874.63700231481</v>
      </c>
      <c r="C883" s="1" t="n">
        <v>45916</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16073-2021</t>
        </is>
      </c>
      <c r="B884" s="1" t="n">
        <v>44287</v>
      </c>
      <c r="C884" s="1" t="n">
        <v>45916</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30874-2024</t>
        </is>
      </c>
      <c r="B885" s="1" t="n">
        <v>45498.3091087963</v>
      </c>
      <c r="C885" s="1" t="n">
        <v>45916</v>
      </c>
      <c r="D885" t="inlineStr">
        <is>
          <t>JÄMTLANDS LÄN</t>
        </is>
      </c>
      <c r="E885" t="inlineStr">
        <is>
          <t>BRÄCKE</t>
        </is>
      </c>
      <c r="G885" t="n">
        <v>0.7</v>
      </c>
      <c r="H885" t="n">
        <v>0</v>
      </c>
      <c r="I885" t="n">
        <v>0</v>
      </c>
      <c r="J885" t="n">
        <v>0</v>
      </c>
      <c r="K885" t="n">
        <v>0</v>
      </c>
      <c r="L885" t="n">
        <v>0</v>
      </c>
      <c r="M885" t="n">
        <v>0</v>
      </c>
      <c r="N885" t="n">
        <v>0</v>
      </c>
      <c r="O885" t="n">
        <v>0</v>
      </c>
      <c r="P885" t="n">
        <v>0</v>
      </c>
      <c r="Q885" t="n">
        <v>0</v>
      </c>
      <c r="R885" s="2" t="inlineStr"/>
    </row>
    <row r="886" ht="15" customHeight="1">
      <c r="A886" t="inlineStr">
        <is>
          <t>A 31059-2025</t>
        </is>
      </c>
      <c r="B886" s="1" t="n">
        <v>45832.5734837963</v>
      </c>
      <c r="C886" s="1" t="n">
        <v>45916</v>
      </c>
      <c r="D886" t="inlineStr">
        <is>
          <t>JÄMTLANDS LÄN</t>
        </is>
      </c>
      <c r="E886" t="inlineStr">
        <is>
          <t>BRÄCKE</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31379-2025</t>
        </is>
      </c>
      <c r="B887" s="1" t="n">
        <v>45833.44856481482</v>
      </c>
      <c r="C887" s="1" t="n">
        <v>45916</v>
      </c>
      <c r="D887" t="inlineStr">
        <is>
          <t>JÄMTLANDS LÄN</t>
        </is>
      </c>
      <c r="E887" t="inlineStr">
        <is>
          <t>BRÄCKE</t>
        </is>
      </c>
      <c r="F887" t="inlineStr">
        <is>
          <t>SCA</t>
        </is>
      </c>
      <c r="G887" t="n">
        <v>10.2</v>
      </c>
      <c r="H887" t="n">
        <v>0</v>
      </c>
      <c r="I887" t="n">
        <v>0</v>
      </c>
      <c r="J887" t="n">
        <v>0</v>
      </c>
      <c r="K887" t="n">
        <v>0</v>
      </c>
      <c r="L887" t="n">
        <v>0</v>
      </c>
      <c r="M887" t="n">
        <v>0</v>
      </c>
      <c r="N887" t="n">
        <v>0</v>
      </c>
      <c r="O887" t="n">
        <v>0</v>
      </c>
      <c r="P887" t="n">
        <v>0</v>
      </c>
      <c r="Q887" t="n">
        <v>0</v>
      </c>
      <c r="R887" s="2" t="inlineStr"/>
    </row>
    <row r="888" ht="15" customHeight="1">
      <c r="A888" t="inlineStr">
        <is>
          <t>A 37116-2025</t>
        </is>
      </c>
      <c r="B888" s="1" t="n">
        <v>45875.51150462963</v>
      </c>
      <c r="C888" s="1" t="n">
        <v>45916</v>
      </c>
      <c r="D888" t="inlineStr">
        <is>
          <t>JÄMTLANDS LÄN</t>
        </is>
      </c>
      <c r="E888" t="inlineStr">
        <is>
          <t>BRÄCKE</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16707-2024</t>
        </is>
      </c>
      <c r="B889" s="1" t="n">
        <v>45409.07706018518</v>
      </c>
      <c r="C889" s="1" t="n">
        <v>45916</v>
      </c>
      <c r="D889" t="inlineStr">
        <is>
          <t>JÄMTLANDS LÄN</t>
        </is>
      </c>
      <c r="E889" t="inlineStr">
        <is>
          <t>BRÄCKE</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56493-2024</t>
        </is>
      </c>
      <c r="B890" s="1" t="n">
        <v>45625.49034722222</v>
      </c>
      <c r="C890" s="1" t="n">
        <v>45916</v>
      </c>
      <c r="D890" t="inlineStr">
        <is>
          <t>JÄMTLANDS LÄN</t>
        </is>
      </c>
      <c r="E890" t="inlineStr">
        <is>
          <t>BRÄCKE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31526-2024</t>
        </is>
      </c>
      <c r="B891" s="1" t="n">
        <v>45505.95956018518</v>
      </c>
      <c r="C891" s="1" t="n">
        <v>45916</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31482-2025</t>
        </is>
      </c>
      <c r="B892" s="1" t="n">
        <v>45833.57390046296</v>
      </c>
      <c r="C892" s="1" t="n">
        <v>45916</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31566-2024</t>
        </is>
      </c>
      <c r="B893" s="1" t="n">
        <v>45505.96675925926</v>
      </c>
      <c r="C893" s="1" t="n">
        <v>45916</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37074-2025</t>
        </is>
      </c>
      <c r="B894" s="1" t="n">
        <v>45875.40717592592</v>
      </c>
      <c r="C894" s="1" t="n">
        <v>45916</v>
      </c>
      <c r="D894" t="inlineStr">
        <is>
          <t>JÄMTLANDS LÄN</t>
        </is>
      </c>
      <c r="E894" t="inlineStr">
        <is>
          <t>BRÄCKE</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37117-2025</t>
        </is>
      </c>
      <c r="B895" s="1" t="n">
        <v>45875.51163194444</v>
      </c>
      <c r="C895" s="1" t="n">
        <v>45916</v>
      </c>
      <c r="D895" t="inlineStr">
        <is>
          <t>JÄMTLANDS LÄN</t>
        </is>
      </c>
      <c r="E895" t="inlineStr">
        <is>
          <t>BRÄCKE</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14510-2025</t>
        </is>
      </c>
      <c r="B896" s="1" t="n">
        <v>45741.63628472222</v>
      </c>
      <c r="C896" s="1" t="n">
        <v>45916</v>
      </c>
      <c r="D896" t="inlineStr">
        <is>
          <t>JÄMTLANDS LÄN</t>
        </is>
      </c>
      <c r="E896" t="inlineStr">
        <is>
          <t>BRÄCKE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14511-2025</t>
        </is>
      </c>
      <c r="B897" s="1" t="n">
        <v>45741.63643518519</v>
      </c>
      <c r="C897" s="1" t="n">
        <v>45916</v>
      </c>
      <c r="D897" t="inlineStr">
        <is>
          <t>JÄMTLANDS LÄN</t>
        </is>
      </c>
      <c r="E897" t="inlineStr">
        <is>
          <t>BRÄCKE</t>
        </is>
      </c>
      <c r="F897" t="inlineStr">
        <is>
          <t>SCA</t>
        </is>
      </c>
      <c r="G897" t="n">
        <v>19.5</v>
      </c>
      <c r="H897" t="n">
        <v>0</v>
      </c>
      <c r="I897" t="n">
        <v>0</v>
      </c>
      <c r="J897" t="n">
        <v>0</v>
      </c>
      <c r="K897" t="n">
        <v>0</v>
      </c>
      <c r="L897" t="n">
        <v>0</v>
      </c>
      <c r="M897" t="n">
        <v>0</v>
      </c>
      <c r="N897" t="n">
        <v>0</v>
      </c>
      <c r="O897" t="n">
        <v>0</v>
      </c>
      <c r="P897" t="n">
        <v>0</v>
      </c>
      <c r="Q897" t="n">
        <v>0</v>
      </c>
      <c r="R897" s="2" t="inlineStr"/>
    </row>
    <row r="898" ht="15" customHeight="1">
      <c r="A898" t="inlineStr">
        <is>
          <t>A 12063-2023</t>
        </is>
      </c>
      <c r="B898" s="1" t="n">
        <v>44996</v>
      </c>
      <c r="C898" s="1" t="n">
        <v>45916</v>
      </c>
      <c r="D898" t="inlineStr">
        <is>
          <t>JÄMTLANDS LÄN</t>
        </is>
      </c>
      <c r="E898" t="inlineStr">
        <is>
          <t>BRÄCKE</t>
        </is>
      </c>
      <c r="G898" t="n">
        <v>7.1</v>
      </c>
      <c r="H898" t="n">
        <v>0</v>
      </c>
      <c r="I898" t="n">
        <v>0</v>
      </c>
      <c r="J898" t="n">
        <v>0</v>
      </c>
      <c r="K898" t="n">
        <v>0</v>
      </c>
      <c r="L898" t="n">
        <v>0</v>
      </c>
      <c r="M898" t="n">
        <v>0</v>
      </c>
      <c r="N898" t="n">
        <v>0</v>
      </c>
      <c r="O898" t="n">
        <v>0</v>
      </c>
      <c r="P898" t="n">
        <v>0</v>
      </c>
      <c r="Q898" t="n">
        <v>0</v>
      </c>
      <c r="R898" s="2" t="inlineStr"/>
    </row>
    <row r="899" ht="15" customHeight="1">
      <c r="A899" t="inlineStr">
        <is>
          <t>A 31794-2025</t>
        </is>
      </c>
      <c r="B899" s="1" t="n">
        <v>45834.54390046297</v>
      </c>
      <c r="C899" s="1" t="n">
        <v>45916</v>
      </c>
      <c r="D899" t="inlineStr">
        <is>
          <t>JÄMTLANDS LÄN</t>
        </is>
      </c>
      <c r="E899" t="inlineStr">
        <is>
          <t>BRÄCKE</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31819-2025</t>
        </is>
      </c>
      <c r="B900" s="1" t="n">
        <v>45834.57891203704</v>
      </c>
      <c r="C900" s="1" t="n">
        <v>45916</v>
      </c>
      <c r="D900" t="inlineStr">
        <is>
          <t>JÄMTLANDS LÄN</t>
        </is>
      </c>
      <c r="E900" t="inlineStr">
        <is>
          <t>BRÄCKE</t>
        </is>
      </c>
      <c r="F900" t="inlineStr">
        <is>
          <t>Övriga Aktiebolag</t>
        </is>
      </c>
      <c r="G900" t="n">
        <v>5.8</v>
      </c>
      <c r="H900" t="n">
        <v>0</v>
      </c>
      <c r="I900" t="n">
        <v>0</v>
      </c>
      <c r="J900" t="n">
        <v>0</v>
      </c>
      <c r="K900" t="n">
        <v>0</v>
      </c>
      <c r="L900" t="n">
        <v>0</v>
      </c>
      <c r="M900" t="n">
        <v>0</v>
      </c>
      <c r="N900" t="n">
        <v>0</v>
      </c>
      <c r="O900" t="n">
        <v>0</v>
      </c>
      <c r="P900" t="n">
        <v>0</v>
      </c>
      <c r="Q900" t="n">
        <v>0</v>
      </c>
      <c r="R900" s="2" t="inlineStr"/>
    </row>
    <row r="901" ht="15" customHeight="1">
      <c r="A901" t="inlineStr">
        <is>
          <t>A 31832-2025</t>
        </is>
      </c>
      <c r="B901" s="1" t="n">
        <v>45834.59207175926</v>
      </c>
      <c r="C901" s="1" t="n">
        <v>45916</v>
      </c>
      <c r="D901" t="inlineStr">
        <is>
          <t>JÄMTLANDS LÄN</t>
        </is>
      </c>
      <c r="E901" t="inlineStr">
        <is>
          <t>BRÄCKE</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37464-2025</t>
        </is>
      </c>
      <c r="B902" s="1" t="n">
        <v>45877.57395833333</v>
      </c>
      <c r="C902" s="1" t="n">
        <v>45916</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37394-2025</t>
        </is>
      </c>
      <c r="B903" s="1" t="n">
        <v>45877.4275462963</v>
      </c>
      <c r="C903" s="1" t="n">
        <v>45916</v>
      </c>
      <c r="D903" t="inlineStr">
        <is>
          <t>JÄMTLANDS LÄN</t>
        </is>
      </c>
      <c r="E903" t="inlineStr">
        <is>
          <t>BRÄCKE</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37459-2025</t>
        </is>
      </c>
      <c r="B904" s="1" t="n">
        <v>45877.57327546296</v>
      </c>
      <c r="C904" s="1" t="n">
        <v>45916</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37377-2025</t>
        </is>
      </c>
      <c r="B905" s="1" t="n">
        <v>45877.3653125</v>
      </c>
      <c r="C905" s="1" t="n">
        <v>45916</v>
      </c>
      <c r="D905" t="inlineStr">
        <is>
          <t>JÄMTLANDS LÄN</t>
        </is>
      </c>
      <c r="E905" t="inlineStr">
        <is>
          <t>BRÄCKE</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17577-2022</t>
        </is>
      </c>
      <c r="B906" s="1" t="n">
        <v>44679</v>
      </c>
      <c r="C906" s="1" t="n">
        <v>45916</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32281-2025</t>
        </is>
      </c>
      <c r="B907" s="1" t="n">
        <v>45835.67778935185</v>
      </c>
      <c r="C907" s="1" t="n">
        <v>45916</v>
      </c>
      <c r="D907" t="inlineStr">
        <is>
          <t>JÄMTLANDS LÄN</t>
        </is>
      </c>
      <c r="E907" t="inlineStr">
        <is>
          <t>BRÄCKE</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11830-2024</t>
        </is>
      </c>
      <c r="B908" s="1" t="n">
        <v>45376.35451388889</v>
      </c>
      <c r="C908" s="1" t="n">
        <v>45916</v>
      </c>
      <c r="D908" t="inlineStr">
        <is>
          <t>JÄMTLANDS LÄN</t>
        </is>
      </c>
      <c r="E908" t="inlineStr">
        <is>
          <t>BRÄCKE</t>
        </is>
      </c>
      <c r="G908" t="n">
        <v>18.3</v>
      </c>
      <c r="H908" t="n">
        <v>0</v>
      </c>
      <c r="I908" t="n">
        <v>0</v>
      </c>
      <c r="J908" t="n">
        <v>0</v>
      </c>
      <c r="K908" t="n">
        <v>0</v>
      </c>
      <c r="L908" t="n">
        <v>0</v>
      </c>
      <c r="M908" t="n">
        <v>0</v>
      </c>
      <c r="N908" t="n">
        <v>0</v>
      </c>
      <c r="O908" t="n">
        <v>0</v>
      </c>
      <c r="P908" t="n">
        <v>0</v>
      </c>
      <c r="Q908" t="n">
        <v>0</v>
      </c>
      <c r="R908" s="2" t="inlineStr"/>
    </row>
    <row r="909" ht="15" customHeight="1">
      <c r="A909" t="inlineStr">
        <is>
          <t>A 31668-2025</t>
        </is>
      </c>
      <c r="B909" s="1" t="n">
        <v>45834.36533564814</v>
      </c>
      <c r="C909" s="1" t="n">
        <v>45916</v>
      </c>
      <c r="D909" t="inlineStr">
        <is>
          <t>JÄMTLANDS LÄN</t>
        </is>
      </c>
      <c r="E909" t="inlineStr">
        <is>
          <t>BRÄCKE</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37403-2025</t>
        </is>
      </c>
      <c r="B910" s="1" t="n">
        <v>45877.44828703703</v>
      </c>
      <c r="C910" s="1" t="n">
        <v>45916</v>
      </c>
      <c r="D910" t="inlineStr">
        <is>
          <t>JÄMTLANDS LÄN</t>
        </is>
      </c>
      <c r="E910" t="inlineStr">
        <is>
          <t>BRÄCKE</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60325-2021</t>
        </is>
      </c>
      <c r="B911" s="1" t="n">
        <v>44495.94054398148</v>
      </c>
      <c r="C911" s="1" t="n">
        <v>45916</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32149-2025</t>
        </is>
      </c>
      <c r="B912" s="1" t="n">
        <v>45835.53086805555</v>
      </c>
      <c r="C912" s="1" t="n">
        <v>45916</v>
      </c>
      <c r="D912" t="inlineStr">
        <is>
          <t>JÄMTLANDS LÄN</t>
        </is>
      </c>
      <c r="E912" t="inlineStr">
        <is>
          <t>BRÄCKE</t>
        </is>
      </c>
      <c r="G912" t="n">
        <v>4.1</v>
      </c>
      <c r="H912" t="n">
        <v>0</v>
      </c>
      <c r="I912" t="n">
        <v>0</v>
      </c>
      <c r="J912" t="n">
        <v>0</v>
      </c>
      <c r="K912" t="n">
        <v>0</v>
      </c>
      <c r="L912" t="n">
        <v>0</v>
      </c>
      <c r="M912" t="n">
        <v>0</v>
      </c>
      <c r="N912" t="n">
        <v>0</v>
      </c>
      <c r="O912" t="n">
        <v>0</v>
      </c>
      <c r="P912" t="n">
        <v>0</v>
      </c>
      <c r="Q912" t="n">
        <v>0</v>
      </c>
      <c r="R912" s="2" t="inlineStr"/>
    </row>
    <row r="913" ht="15" customHeight="1">
      <c r="A913" t="inlineStr">
        <is>
          <t>A 18791-2025</t>
        </is>
      </c>
      <c r="B913" s="1" t="n">
        <v>45764.34482638889</v>
      </c>
      <c r="C913" s="1" t="n">
        <v>45916</v>
      </c>
      <c r="D913" t="inlineStr">
        <is>
          <t>JÄMTLANDS LÄN</t>
        </is>
      </c>
      <c r="E913" t="inlineStr">
        <is>
          <t>BRÄCKE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3239-2022</t>
        </is>
      </c>
      <c r="B914" s="1" t="n">
        <v>44582.93296296296</v>
      </c>
      <c r="C914" s="1" t="n">
        <v>45916</v>
      </c>
      <c r="D914" t="inlineStr">
        <is>
          <t>JÄMTLANDS LÄN</t>
        </is>
      </c>
      <c r="E914" t="inlineStr">
        <is>
          <t>BRÄCKE</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45342-2023</t>
        </is>
      </c>
      <c r="B915" s="1" t="n">
        <v>45191.93817129629</v>
      </c>
      <c r="C915" s="1" t="n">
        <v>45916</v>
      </c>
      <c r="D915" t="inlineStr">
        <is>
          <t>JÄMTLANDS LÄN</t>
        </is>
      </c>
      <c r="E915" t="inlineStr">
        <is>
          <t>BRÄCKE</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50514-2023</t>
        </is>
      </c>
      <c r="B916" s="1" t="n">
        <v>45216</v>
      </c>
      <c r="C916" s="1" t="n">
        <v>45916</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32146-2025</t>
        </is>
      </c>
      <c r="B917" s="1" t="n">
        <v>45835.52730324074</v>
      </c>
      <c r="C917" s="1" t="n">
        <v>45916</v>
      </c>
      <c r="D917" t="inlineStr">
        <is>
          <t>JÄMTLANDS LÄN</t>
        </is>
      </c>
      <c r="E917" t="inlineStr">
        <is>
          <t>BRÄCKE</t>
        </is>
      </c>
      <c r="G917" t="n">
        <v>9.5</v>
      </c>
      <c r="H917" t="n">
        <v>0</v>
      </c>
      <c r="I917" t="n">
        <v>0</v>
      </c>
      <c r="J917" t="n">
        <v>0</v>
      </c>
      <c r="K917" t="n">
        <v>0</v>
      </c>
      <c r="L917" t="n">
        <v>0</v>
      </c>
      <c r="M917" t="n">
        <v>0</v>
      </c>
      <c r="N917" t="n">
        <v>0</v>
      </c>
      <c r="O917" t="n">
        <v>0</v>
      </c>
      <c r="P917" t="n">
        <v>0</v>
      </c>
      <c r="Q917" t="n">
        <v>0</v>
      </c>
      <c r="R917" s="2" t="inlineStr"/>
    </row>
    <row r="918" ht="15" customHeight="1">
      <c r="A918" t="inlineStr">
        <is>
          <t>A 47500-2023</t>
        </is>
      </c>
      <c r="B918" s="1" t="n">
        <v>45202.9425</v>
      </c>
      <c r="C918" s="1" t="n">
        <v>45916</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61415-2021</t>
        </is>
      </c>
      <c r="B919" s="1" t="n">
        <v>44500.93565972222</v>
      </c>
      <c r="C919" s="1" t="n">
        <v>45916</v>
      </c>
      <c r="D919" t="inlineStr">
        <is>
          <t>JÄMTLANDS LÄN</t>
        </is>
      </c>
      <c r="E919" t="inlineStr">
        <is>
          <t>BRÄCKE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48507-2023</t>
        </is>
      </c>
      <c r="B920" s="1" t="n">
        <v>45207.94034722223</v>
      </c>
      <c r="C920" s="1" t="n">
        <v>45916</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31713-2024</t>
        </is>
      </c>
      <c r="B921" s="1" t="n">
        <v>45508.95126157408</v>
      </c>
      <c r="C921" s="1" t="n">
        <v>45916</v>
      </c>
      <c r="D921" t="inlineStr">
        <is>
          <t>JÄMTLANDS LÄN</t>
        </is>
      </c>
      <c r="E921" t="inlineStr">
        <is>
          <t>BRÄCKE</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43789-2022</t>
        </is>
      </c>
      <c r="B922" s="1" t="n">
        <v>44837</v>
      </c>
      <c r="C922" s="1" t="n">
        <v>45916</v>
      </c>
      <c r="D922" t="inlineStr">
        <is>
          <t>JÄMTLANDS LÄN</t>
        </is>
      </c>
      <c r="E922" t="inlineStr">
        <is>
          <t>BRÄCKE</t>
        </is>
      </c>
      <c r="F922" t="inlineStr">
        <is>
          <t>SCA</t>
        </is>
      </c>
      <c r="G922" t="n">
        <v>6.5</v>
      </c>
      <c r="H922" t="n">
        <v>0</v>
      </c>
      <c r="I922" t="n">
        <v>0</v>
      </c>
      <c r="J922" t="n">
        <v>0</v>
      </c>
      <c r="K922" t="n">
        <v>0</v>
      </c>
      <c r="L922" t="n">
        <v>0</v>
      </c>
      <c r="M922" t="n">
        <v>0</v>
      </c>
      <c r="N922" t="n">
        <v>0</v>
      </c>
      <c r="O922" t="n">
        <v>0</v>
      </c>
      <c r="P922" t="n">
        <v>0</v>
      </c>
      <c r="Q922" t="n">
        <v>0</v>
      </c>
      <c r="R922" s="2" t="inlineStr"/>
    </row>
    <row r="923" ht="15" customHeight="1">
      <c r="A923" t="inlineStr">
        <is>
          <t>A 6788-2025</t>
        </is>
      </c>
      <c r="B923" s="1" t="n">
        <v>45700.65692129629</v>
      </c>
      <c r="C923" s="1" t="n">
        <v>45916</v>
      </c>
      <c r="D923" t="inlineStr">
        <is>
          <t>JÄMTLANDS LÄN</t>
        </is>
      </c>
      <c r="E923" t="inlineStr">
        <is>
          <t>BRÄCKE</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31806-2025</t>
        </is>
      </c>
      <c r="B924" s="1" t="n">
        <v>45834.55449074074</v>
      </c>
      <c r="C924" s="1" t="n">
        <v>45916</v>
      </c>
      <c r="D924" t="inlineStr">
        <is>
          <t>JÄMTLANDS LÄN</t>
        </is>
      </c>
      <c r="E924" t="inlineStr">
        <is>
          <t>BRÄCKE</t>
        </is>
      </c>
      <c r="F924" t="inlineStr">
        <is>
          <t>Övriga Aktiebolag</t>
        </is>
      </c>
      <c r="G924" t="n">
        <v>1.6</v>
      </c>
      <c r="H924" t="n">
        <v>0</v>
      </c>
      <c r="I924" t="n">
        <v>0</v>
      </c>
      <c r="J924" t="n">
        <v>0</v>
      </c>
      <c r="K924" t="n">
        <v>0</v>
      </c>
      <c r="L924" t="n">
        <v>0</v>
      </c>
      <c r="M924" t="n">
        <v>0</v>
      </c>
      <c r="N924" t="n">
        <v>0</v>
      </c>
      <c r="O924" t="n">
        <v>0</v>
      </c>
      <c r="P924" t="n">
        <v>0</v>
      </c>
      <c r="Q924" t="n">
        <v>0</v>
      </c>
      <c r="R924" s="2" t="inlineStr"/>
    </row>
    <row r="925" ht="15" customHeight="1">
      <c r="A925" t="inlineStr">
        <is>
          <t>A 50515-2023</t>
        </is>
      </c>
      <c r="B925" s="1" t="n">
        <v>45216</v>
      </c>
      <c r="C925" s="1" t="n">
        <v>45916</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61149-2023</t>
        </is>
      </c>
      <c r="B926" s="1" t="n">
        <v>45261.96777777778</v>
      </c>
      <c r="C926" s="1" t="n">
        <v>45916</v>
      </c>
      <c r="D926" t="inlineStr">
        <is>
          <t>JÄMTLANDS LÄN</t>
        </is>
      </c>
      <c r="E926" t="inlineStr">
        <is>
          <t>BRÄCKE</t>
        </is>
      </c>
      <c r="G926" t="n">
        <v>1.1</v>
      </c>
      <c r="H926" t="n">
        <v>0</v>
      </c>
      <c r="I926" t="n">
        <v>0</v>
      </c>
      <c r="J926" t="n">
        <v>0</v>
      </c>
      <c r="K926" t="n">
        <v>0</v>
      </c>
      <c r="L926" t="n">
        <v>0</v>
      </c>
      <c r="M926" t="n">
        <v>0</v>
      </c>
      <c r="N926" t="n">
        <v>0</v>
      </c>
      <c r="O926" t="n">
        <v>0</v>
      </c>
      <c r="P926" t="n">
        <v>0</v>
      </c>
      <c r="Q926" t="n">
        <v>0</v>
      </c>
      <c r="R926" s="2" t="inlineStr"/>
    </row>
    <row r="927" ht="15" customHeight="1">
      <c r="A927" t="inlineStr">
        <is>
          <t>A 37412-2025</t>
        </is>
      </c>
      <c r="B927" s="1" t="n">
        <v>45877.46915509259</v>
      </c>
      <c r="C927" s="1" t="n">
        <v>45916</v>
      </c>
      <c r="D927" t="inlineStr">
        <is>
          <t>JÄMTLANDS LÄN</t>
        </is>
      </c>
      <c r="E927" t="inlineStr">
        <is>
          <t>BRÄCKE</t>
        </is>
      </c>
      <c r="G927" t="n">
        <v>2.2</v>
      </c>
      <c r="H927" t="n">
        <v>0</v>
      </c>
      <c r="I927" t="n">
        <v>0</v>
      </c>
      <c r="J927" t="n">
        <v>0</v>
      </c>
      <c r="K927" t="n">
        <v>0</v>
      </c>
      <c r="L927" t="n">
        <v>0</v>
      </c>
      <c r="M927" t="n">
        <v>0</v>
      </c>
      <c r="N927" t="n">
        <v>0</v>
      </c>
      <c r="O927" t="n">
        <v>0</v>
      </c>
      <c r="P927" t="n">
        <v>0</v>
      </c>
      <c r="Q927" t="n">
        <v>0</v>
      </c>
      <c r="R927" s="2" t="inlineStr"/>
    </row>
    <row r="928" ht="15" customHeight="1">
      <c r="A928" t="inlineStr">
        <is>
          <t>A 8052-2022</t>
        </is>
      </c>
      <c r="B928" s="1" t="n">
        <v>44609</v>
      </c>
      <c r="C928" s="1" t="n">
        <v>45916</v>
      </c>
      <c r="D928" t="inlineStr">
        <is>
          <t>JÄMTLANDS LÄN</t>
        </is>
      </c>
      <c r="E928" t="inlineStr">
        <is>
          <t>BRÄCKE</t>
        </is>
      </c>
      <c r="G928" t="n">
        <v>0.6</v>
      </c>
      <c r="H928" t="n">
        <v>0</v>
      </c>
      <c r="I928" t="n">
        <v>0</v>
      </c>
      <c r="J928" t="n">
        <v>0</v>
      </c>
      <c r="K928" t="n">
        <v>0</v>
      </c>
      <c r="L928" t="n">
        <v>0</v>
      </c>
      <c r="M928" t="n">
        <v>0</v>
      </c>
      <c r="N928" t="n">
        <v>0</v>
      </c>
      <c r="O928" t="n">
        <v>0</v>
      </c>
      <c r="P928" t="n">
        <v>0</v>
      </c>
      <c r="Q928" t="n">
        <v>0</v>
      </c>
      <c r="R928" s="2" t="inlineStr"/>
    </row>
    <row r="929" ht="15" customHeight="1">
      <c r="A929" t="inlineStr">
        <is>
          <t>A 51432-2023</t>
        </is>
      </c>
      <c r="B929" s="1" t="n">
        <v>45219.96431712963</v>
      </c>
      <c r="C929" s="1" t="n">
        <v>45916</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51540-2024</t>
        </is>
      </c>
      <c r="B930" s="1" t="n">
        <v>45604</v>
      </c>
      <c r="C930" s="1" t="n">
        <v>45916</v>
      </c>
      <c r="D930" t="inlineStr">
        <is>
          <t>JÄMTLANDS LÄN</t>
        </is>
      </c>
      <c r="E930" t="inlineStr">
        <is>
          <t>BRÄCKE</t>
        </is>
      </c>
      <c r="G930" t="n">
        <v>0.6</v>
      </c>
      <c r="H930" t="n">
        <v>0</v>
      </c>
      <c r="I930" t="n">
        <v>0</v>
      </c>
      <c r="J930" t="n">
        <v>0</v>
      </c>
      <c r="K930" t="n">
        <v>0</v>
      </c>
      <c r="L930" t="n">
        <v>0</v>
      </c>
      <c r="M930" t="n">
        <v>0</v>
      </c>
      <c r="N930" t="n">
        <v>0</v>
      </c>
      <c r="O930" t="n">
        <v>0</v>
      </c>
      <c r="P930" t="n">
        <v>0</v>
      </c>
      <c r="Q930" t="n">
        <v>0</v>
      </c>
      <c r="R930" s="2" t="inlineStr"/>
    </row>
    <row r="931" ht="15" customHeight="1">
      <c r="A931" t="inlineStr">
        <is>
          <t>A 31728-2025</t>
        </is>
      </c>
      <c r="B931" s="1" t="n">
        <v>45834.46925925926</v>
      </c>
      <c r="C931" s="1" t="n">
        <v>45916</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3866-2025</t>
        </is>
      </c>
      <c r="B932" s="1" t="n">
        <v>45684.31995370371</v>
      </c>
      <c r="C932" s="1" t="n">
        <v>45916</v>
      </c>
      <c r="D932" t="inlineStr">
        <is>
          <t>JÄMTLANDS LÄN</t>
        </is>
      </c>
      <c r="E932" t="inlineStr">
        <is>
          <t>BRÄCKE</t>
        </is>
      </c>
      <c r="G932" t="n">
        <v>0.6</v>
      </c>
      <c r="H932" t="n">
        <v>0</v>
      </c>
      <c r="I932" t="n">
        <v>0</v>
      </c>
      <c r="J932" t="n">
        <v>0</v>
      </c>
      <c r="K932" t="n">
        <v>0</v>
      </c>
      <c r="L932" t="n">
        <v>0</v>
      </c>
      <c r="M932" t="n">
        <v>0</v>
      </c>
      <c r="N932" t="n">
        <v>0</v>
      </c>
      <c r="O932" t="n">
        <v>0</v>
      </c>
      <c r="P932" t="n">
        <v>0</v>
      </c>
      <c r="Q932" t="n">
        <v>0</v>
      </c>
      <c r="R932" s="2" t="inlineStr"/>
    </row>
    <row r="933" ht="15" customHeight="1">
      <c r="A933" t="inlineStr">
        <is>
          <t>A 37411-2025</t>
        </is>
      </c>
      <c r="B933" s="1" t="n">
        <v>45877.46912037037</v>
      </c>
      <c r="C933" s="1" t="n">
        <v>45916</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37423-2025</t>
        </is>
      </c>
      <c r="B934" s="1" t="n">
        <v>45877.48996527777</v>
      </c>
      <c r="C934" s="1" t="n">
        <v>45916</v>
      </c>
      <c r="D934" t="inlineStr">
        <is>
          <t>JÄMTLANDS LÄN</t>
        </is>
      </c>
      <c r="E934" t="inlineStr">
        <is>
          <t>BRÄCKE</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37460-2025</t>
        </is>
      </c>
      <c r="B935" s="1" t="n">
        <v>45877.57342592593</v>
      </c>
      <c r="C935" s="1" t="n">
        <v>45916</v>
      </c>
      <c r="D935" t="inlineStr">
        <is>
          <t>JÄMTLANDS LÄN</t>
        </is>
      </c>
      <c r="E935" t="inlineStr">
        <is>
          <t>BRÄCKE</t>
        </is>
      </c>
      <c r="G935" t="n">
        <v>1.4</v>
      </c>
      <c r="H935" t="n">
        <v>0</v>
      </c>
      <c r="I935" t="n">
        <v>0</v>
      </c>
      <c r="J935" t="n">
        <v>0</v>
      </c>
      <c r="K935" t="n">
        <v>0</v>
      </c>
      <c r="L935" t="n">
        <v>0</v>
      </c>
      <c r="M935" t="n">
        <v>0</v>
      </c>
      <c r="N935" t="n">
        <v>0</v>
      </c>
      <c r="O935" t="n">
        <v>0</v>
      </c>
      <c r="P935" t="n">
        <v>0</v>
      </c>
      <c r="Q935" t="n">
        <v>0</v>
      </c>
      <c r="R935" s="2" t="inlineStr"/>
    </row>
    <row r="936" ht="15" customHeight="1">
      <c r="A936" t="inlineStr">
        <is>
          <t>A 37241-2025</t>
        </is>
      </c>
      <c r="B936" s="1" t="n">
        <v>45876.38599537037</v>
      </c>
      <c r="C936" s="1" t="n">
        <v>45916</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31962-2025</t>
        </is>
      </c>
      <c r="B937" s="1" t="n">
        <v>45835.34466435185</v>
      </c>
      <c r="C937" s="1" t="n">
        <v>45916</v>
      </c>
      <c r="D937" t="inlineStr">
        <is>
          <t>JÄMTLANDS LÄN</t>
        </is>
      </c>
      <c r="E937" t="inlineStr">
        <is>
          <t>BRÄCKE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15423-2025</t>
        </is>
      </c>
      <c r="B938" s="1" t="n">
        <v>45747.4640162037</v>
      </c>
      <c r="C938" s="1" t="n">
        <v>45916</v>
      </c>
      <c r="D938" t="inlineStr">
        <is>
          <t>JÄMTLANDS LÄN</t>
        </is>
      </c>
      <c r="E938" t="inlineStr">
        <is>
          <t>BRÄCKE</t>
        </is>
      </c>
      <c r="G938" t="n">
        <v>3.4</v>
      </c>
      <c r="H938" t="n">
        <v>0</v>
      </c>
      <c r="I938" t="n">
        <v>0</v>
      </c>
      <c r="J938" t="n">
        <v>0</v>
      </c>
      <c r="K938" t="n">
        <v>0</v>
      </c>
      <c r="L938" t="n">
        <v>0</v>
      </c>
      <c r="M938" t="n">
        <v>0</v>
      </c>
      <c r="N938" t="n">
        <v>0</v>
      </c>
      <c r="O938" t="n">
        <v>0</v>
      </c>
      <c r="P938" t="n">
        <v>0</v>
      </c>
      <c r="Q938" t="n">
        <v>0</v>
      </c>
      <c r="R938" s="2" t="inlineStr"/>
    </row>
    <row r="939" ht="15" customHeight="1">
      <c r="A939" t="inlineStr">
        <is>
          <t>A 20532-2025</t>
        </is>
      </c>
      <c r="B939" s="1" t="n">
        <v>45775.61515046296</v>
      </c>
      <c r="C939" s="1" t="n">
        <v>45916</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37405-2025</t>
        </is>
      </c>
      <c r="B940" s="1" t="n">
        <v>45877.44858796296</v>
      </c>
      <c r="C940" s="1" t="n">
        <v>45916</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31749-2025</t>
        </is>
      </c>
      <c r="B941" s="1" t="n">
        <v>45834.48164351852</v>
      </c>
      <c r="C941" s="1" t="n">
        <v>45916</v>
      </c>
      <c r="D941" t="inlineStr">
        <is>
          <t>JÄMTLANDS LÄN</t>
        </is>
      </c>
      <c r="E941" t="inlineStr">
        <is>
          <t>BRÄCKE</t>
        </is>
      </c>
      <c r="F941" t="inlineStr">
        <is>
          <t>Övriga Aktiebolag</t>
        </is>
      </c>
      <c r="G941" t="n">
        <v>12.5</v>
      </c>
      <c r="H941" t="n">
        <v>0</v>
      </c>
      <c r="I941" t="n">
        <v>0</v>
      </c>
      <c r="J941" t="n">
        <v>0</v>
      </c>
      <c r="K941" t="n">
        <v>0</v>
      </c>
      <c r="L941" t="n">
        <v>0</v>
      </c>
      <c r="M941" t="n">
        <v>0</v>
      </c>
      <c r="N941" t="n">
        <v>0</v>
      </c>
      <c r="O941" t="n">
        <v>0</v>
      </c>
      <c r="P941" t="n">
        <v>0</v>
      </c>
      <c r="Q941" t="n">
        <v>0</v>
      </c>
      <c r="R941" s="2" t="inlineStr"/>
    </row>
    <row r="942" ht="15" customHeight="1">
      <c r="A942" t="inlineStr">
        <is>
          <t>A 59008-2024</t>
        </is>
      </c>
      <c r="B942" s="1" t="n">
        <v>45636.65724537037</v>
      </c>
      <c r="C942" s="1" t="n">
        <v>45916</v>
      </c>
      <c r="D942" t="inlineStr">
        <is>
          <t>JÄMTLANDS LÄN</t>
        </is>
      </c>
      <c r="E942" t="inlineStr">
        <is>
          <t>BRÄCKE</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32272-2025</t>
        </is>
      </c>
      <c r="B943" s="1" t="n">
        <v>45835.6568287037</v>
      </c>
      <c r="C943" s="1" t="n">
        <v>45916</v>
      </c>
      <c r="D943" t="inlineStr">
        <is>
          <t>JÄMTLANDS LÄN</t>
        </is>
      </c>
      <c r="E943" t="inlineStr">
        <is>
          <t>BRÄCKE</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31696-2025</t>
        </is>
      </c>
      <c r="B944" s="1" t="n">
        <v>45834.40726851852</v>
      </c>
      <c r="C944" s="1" t="n">
        <v>45916</v>
      </c>
      <c r="D944" t="inlineStr">
        <is>
          <t>JÄMTLANDS LÄN</t>
        </is>
      </c>
      <c r="E944" t="inlineStr">
        <is>
          <t>BRÄCKE</t>
        </is>
      </c>
      <c r="F944" t="inlineStr">
        <is>
          <t>SCA</t>
        </is>
      </c>
      <c r="G944" t="n">
        <v>15.8</v>
      </c>
      <c r="H944" t="n">
        <v>0</v>
      </c>
      <c r="I944" t="n">
        <v>0</v>
      </c>
      <c r="J944" t="n">
        <v>0</v>
      </c>
      <c r="K944" t="n">
        <v>0</v>
      </c>
      <c r="L944" t="n">
        <v>0</v>
      </c>
      <c r="M944" t="n">
        <v>0</v>
      </c>
      <c r="N944" t="n">
        <v>0</v>
      </c>
      <c r="O944" t="n">
        <v>0</v>
      </c>
      <c r="P944" t="n">
        <v>0</v>
      </c>
      <c r="Q944" t="n">
        <v>0</v>
      </c>
      <c r="R944" s="2" t="inlineStr"/>
    </row>
    <row r="945" ht="15" customHeight="1">
      <c r="A945" t="inlineStr">
        <is>
          <t>A 34315-2022</t>
        </is>
      </c>
      <c r="B945" s="1" t="n">
        <v>44792</v>
      </c>
      <c r="C945" s="1" t="n">
        <v>45916</v>
      </c>
      <c r="D945" t="inlineStr">
        <is>
          <t>JÄMTLANDS LÄN</t>
        </is>
      </c>
      <c r="E945" t="inlineStr">
        <is>
          <t>BRÄCKE</t>
        </is>
      </c>
      <c r="G945" t="n">
        <v>4.9</v>
      </c>
      <c r="H945" t="n">
        <v>0</v>
      </c>
      <c r="I945" t="n">
        <v>0</v>
      </c>
      <c r="J945" t="n">
        <v>0</v>
      </c>
      <c r="K945" t="n">
        <v>0</v>
      </c>
      <c r="L945" t="n">
        <v>0</v>
      </c>
      <c r="M945" t="n">
        <v>0</v>
      </c>
      <c r="N945" t="n">
        <v>0</v>
      </c>
      <c r="O945" t="n">
        <v>0</v>
      </c>
      <c r="P945" t="n">
        <v>0</v>
      </c>
      <c r="Q945" t="n">
        <v>0</v>
      </c>
      <c r="R945" s="2" t="inlineStr"/>
    </row>
    <row r="946" ht="15" customHeight="1">
      <c r="A946" t="inlineStr">
        <is>
          <t>A 37824-2025</t>
        </is>
      </c>
      <c r="B946" s="1" t="n">
        <v>45881.40686342592</v>
      </c>
      <c r="C946" s="1" t="n">
        <v>45916</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37709-2025</t>
        </is>
      </c>
      <c r="B947" s="1" t="n">
        <v>45880.59458333333</v>
      </c>
      <c r="C947" s="1" t="n">
        <v>45916</v>
      </c>
      <c r="D947" t="inlineStr">
        <is>
          <t>JÄMTLANDS LÄN</t>
        </is>
      </c>
      <c r="E947" t="inlineStr">
        <is>
          <t>BRÄCKE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32697-2025</t>
        </is>
      </c>
      <c r="B948" s="1" t="n">
        <v>45839.34427083333</v>
      </c>
      <c r="C948" s="1" t="n">
        <v>45916</v>
      </c>
      <c r="D948" t="inlineStr">
        <is>
          <t>JÄMTLANDS LÄN</t>
        </is>
      </c>
      <c r="E948" t="inlineStr">
        <is>
          <t>BRÄCKE</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11093-2024</t>
        </is>
      </c>
      <c r="B949" s="1" t="n">
        <v>45370.94986111111</v>
      </c>
      <c r="C949" s="1" t="n">
        <v>45916</v>
      </c>
      <c r="D949" t="inlineStr">
        <is>
          <t>JÄMTLANDS LÄN</t>
        </is>
      </c>
      <c r="E949" t="inlineStr">
        <is>
          <t>BRÄCKE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31470-2023</t>
        </is>
      </c>
      <c r="B950" s="1" t="n">
        <v>45104</v>
      </c>
      <c r="C950" s="1" t="n">
        <v>45916</v>
      </c>
      <c r="D950" t="inlineStr">
        <is>
          <t>JÄMTLANDS LÄN</t>
        </is>
      </c>
      <c r="E950" t="inlineStr">
        <is>
          <t>BRÄCKE</t>
        </is>
      </c>
      <c r="G950" t="n">
        <v>1.9</v>
      </c>
      <c r="H950" t="n">
        <v>0</v>
      </c>
      <c r="I950" t="n">
        <v>0</v>
      </c>
      <c r="J950" t="n">
        <v>0</v>
      </c>
      <c r="K950" t="n">
        <v>0</v>
      </c>
      <c r="L950" t="n">
        <v>0</v>
      </c>
      <c r="M950" t="n">
        <v>0</v>
      </c>
      <c r="N950" t="n">
        <v>0</v>
      </c>
      <c r="O950" t="n">
        <v>0</v>
      </c>
      <c r="P950" t="n">
        <v>0</v>
      </c>
      <c r="Q950" t="n">
        <v>0</v>
      </c>
      <c r="R950" s="2" t="inlineStr"/>
    </row>
    <row r="951" ht="15" customHeight="1">
      <c r="A951" t="inlineStr">
        <is>
          <t>A 37585-2025</t>
        </is>
      </c>
      <c r="B951" s="1" t="n">
        <v>45880.40076388889</v>
      </c>
      <c r="C951" s="1" t="n">
        <v>45916</v>
      </c>
      <c r="D951" t="inlineStr">
        <is>
          <t>JÄMTLANDS LÄN</t>
        </is>
      </c>
      <c r="E951" t="inlineStr">
        <is>
          <t>BRÄCKE</t>
        </is>
      </c>
      <c r="G951" t="n">
        <v>3.6</v>
      </c>
      <c r="H951" t="n">
        <v>0</v>
      </c>
      <c r="I951" t="n">
        <v>0</v>
      </c>
      <c r="J951" t="n">
        <v>0</v>
      </c>
      <c r="K951" t="n">
        <v>0</v>
      </c>
      <c r="L951" t="n">
        <v>0</v>
      </c>
      <c r="M951" t="n">
        <v>0</v>
      </c>
      <c r="N951" t="n">
        <v>0</v>
      </c>
      <c r="O951" t="n">
        <v>0</v>
      </c>
      <c r="P951" t="n">
        <v>0</v>
      </c>
      <c r="Q951" t="n">
        <v>0</v>
      </c>
      <c r="R951" s="2" t="inlineStr"/>
    </row>
    <row r="952" ht="15" customHeight="1">
      <c r="A952" t="inlineStr">
        <is>
          <t>A 56687-2023</t>
        </is>
      </c>
      <c r="B952" s="1" t="n">
        <v>45243.96633101852</v>
      </c>
      <c r="C952" s="1" t="n">
        <v>45916</v>
      </c>
      <c r="D952" t="inlineStr">
        <is>
          <t>JÄMTLANDS LÄN</t>
        </is>
      </c>
      <c r="E952" t="inlineStr">
        <is>
          <t>BRÄCKE</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56688-2023</t>
        </is>
      </c>
      <c r="B953" s="1" t="n">
        <v>45243.96645833334</v>
      </c>
      <c r="C953" s="1" t="n">
        <v>45916</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25056-2023</t>
        </is>
      </c>
      <c r="B954" s="1" t="n">
        <v>45085.94633101852</v>
      </c>
      <c r="C954" s="1" t="n">
        <v>45916</v>
      </c>
      <c r="D954" t="inlineStr">
        <is>
          <t>JÄMTLANDS LÄN</t>
        </is>
      </c>
      <c r="E954" t="inlineStr">
        <is>
          <t>BRÄCKE</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28135-2024</t>
        </is>
      </c>
      <c r="B955" s="1" t="n">
        <v>45476</v>
      </c>
      <c r="C955" s="1" t="n">
        <v>45916</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64266-2023</t>
        </is>
      </c>
      <c r="B956" s="1" t="n">
        <v>45279.94579861111</v>
      </c>
      <c r="C956" s="1" t="n">
        <v>45916</v>
      </c>
      <c r="D956" t="inlineStr">
        <is>
          <t>JÄMTLANDS LÄN</t>
        </is>
      </c>
      <c r="E956" t="inlineStr">
        <is>
          <t>BRÄCKE</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10130-2022</t>
        </is>
      </c>
      <c r="B957" s="1" t="n">
        <v>44621.94561342592</v>
      </c>
      <c r="C957" s="1" t="n">
        <v>45916</v>
      </c>
      <c r="D957" t="inlineStr">
        <is>
          <t>JÄMTLANDS LÄN</t>
        </is>
      </c>
      <c r="E957" t="inlineStr">
        <is>
          <t>BRÄCKE</t>
        </is>
      </c>
      <c r="F957" t="inlineStr">
        <is>
          <t>SCA</t>
        </is>
      </c>
      <c r="G957" t="n">
        <v>5.7</v>
      </c>
      <c r="H957" t="n">
        <v>0</v>
      </c>
      <c r="I957" t="n">
        <v>0</v>
      </c>
      <c r="J957" t="n">
        <v>0</v>
      </c>
      <c r="K957" t="n">
        <v>0</v>
      </c>
      <c r="L957" t="n">
        <v>0</v>
      </c>
      <c r="M957" t="n">
        <v>0</v>
      </c>
      <c r="N957" t="n">
        <v>0</v>
      </c>
      <c r="O957" t="n">
        <v>0</v>
      </c>
      <c r="P957" t="n">
        <v>0</v>
      </c>
      <c r="Q957" t="n">
        <v>0</v>
      </c>
      <c r="R957" s="2" t="inlineStr"/>
    </row>
    <row r="958" ht="15" customHeight="1">
      <c r="A958" t="inlineStr">
        <is>
          <t>A 37938-2025</t>
        </is>
      </c>
      <c r="B958" s="1" t="n">
        <v>45880</v>
      </c>
      <c r="C958" s="1" t="n">
        <v>45916</v>
      </c>
      <c r="D958" t="inlineStr">
        <is>
          <t>JÄMTLANDS LÄN</t>
        </is>
      </c>
      <c r="E958" t="inlineStr">
        <is>
          <t>BRÄCKE</t>
        </is>
      </c>
      <c r="G958" t="n">
        <v>1.8</v>
      </c>
      <c r="H958" t="n">
        <v>0</v>
      </c>
      <c r="I958" t="n">
        <v>0</v>
      </c>
      <c r="J958" t="n">
        <v>0</v>
      </c>
      <c r="K958" t="n">
        <v>0</v>
      </c>
      <c r="L958" t="n">
        <v>0</v>
      </c>
      <c r="M958" t="n">
        <v>0</v>
      </c>
      <c r="N958" t="n">
        <v>0</v>
      </c>
      <c r="O958" t="n">
        <v>0</v>
      </c>
      <c r="P958" t="n">
        <v>0</v>
      </c>
      <c r="Q958" t="n">
        <v>0</v>
      </c>
      <c r="R958" s="2" t="inlineStr"/>
    </row>
    <row r="959" ht="15" customHeight="1">
      <c r="A959" t="inlineStr">
        <is>
          <t>A 37887-2025</t>
        </is>
      </c>
      <c r="B959" s="1" t="n">
        <v>45881.51099537037</v>
      </c>
      <c r="C959" s="1" t="n">
        <v>45916</v>
      </c>
      <c r="D959" t="inlineStr">
        <is>
          <t>JÄMTLANDS LÄN</t>
        </is>
      </c>
      <c r="E959" t="inlineStr">
        <is>
          <t>BRÄCKE</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30488-2024</t>
        </is>
      </c>
      <c r="B960" s="1" t="n">
        <v>45491.95037037037</v>
      </c>
      <c r="C960" s="1" t="n">
        <v>45916</v>
      </c>
      <c r="D960" t="inlineStr">
        <is>
          <t>JÄMTLANDS LÄN</t>
        </is>
      </c>
      <c r="E960" t="inlineStr">
        <is>
          <t>BRÄCKE</t>
        </is>
      </c>
      <c r="F960" t="inlineStr">
        <is>
          <t>Naturvårdsverket</t>
        </is>
      </c>
      <c r="G960" t="n">
        <v>3.7</v>
      </c>
      <c r="H960" t="n">
        <v>0</v>
      </c>
      <c r="I960" t="n">
        <v>0</v>
      </c>
      <c r="J960" t="n">
        <v>0</v>
      </c>
      <c r="K960" t="n">
        <v>0</v>
      </c>
      <c r="L960" t="n">
        <v>0</v>
      </c>
      <c r="M960" t="n">
        <v>0</v>
      </c>
      <c r="N960" t="n">
        <v>0</v>
      </c>
      <c r="O960" t="n">
        <v>0</v>
      </c>
      <c r="P960" t="n">
        <v>0</v>
      </c>
      <c r="Q960" t="n">
        <v>0</v>
      </c>
      <c r="R960" s="2" t="inlineStr"/>
    </row>
    <row r="961" ht="15" customHeight="1">
      <c r="A961" t="inlineStr">
        <is>
          <t>A 32851-2025</t>
        </is>
      </c>
      <c r="B961" s="1" t="n">
        <v>45839.57388888889</v>
      </c>
      <c r="C961" s="1" t="n">
        <v>45916</v>
      </c>
      <c r="D961" t="inlineStr">
        <is>
          <t>JÄMTLANDS LÄN</t>
        </is>
      </c>
      <c r="E961" t="inlineStr">
        <is>
          <t>BRÄCKE</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55520-2022</t>
        </is>
      </c>
      <c r="B962" s="1" t="n">
        <v>44887</v>
      </c>
      <c r="C962" s="1" t="n">
        <v>45916</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55529-2022</t>
        </is>
      </c>
      <c r="B963" s="1" t="n">
        <v>44887.95256944445</v>
      </c>
      <c r="C963" s="1" t="n">
        <v>45916</v>
      </c>
      <c r="D963" t="inlineStr">
        <is>
          <t>JÄMTLANDS LÄN</t>
        </is>
      </c>
      <c r="E963" t="inlineStr">
        <is>
          <t>BRÄCKE</t>
        </is>
      </c>
      <c r="F963" t="inlineStr">
        <is>
          <t>SCA</t>
        </is>
      </c>
      <c r="G963" t="n">
        <v>6.4</v>
      </c>
      <c r="H963" t="n">
        <v>0</v>
      </c>
      <c r="I963" t="n">
        <v>0</v>
      </c>
      <c r="J963" t="n">
        <v>0</v>
      </c>
      <c r="K963" t="n">
        <v>0</v>
      </c>
      <c r="L963" t="n">
        <v>0</v>
      </c>
      <c r="M963" t="n">
        <v>0</v>
      </c>
      <c r="N963" t="n">
        <v>0</v>
      </c>
      <c r="O963" t="n">
        <v>0</v>
      </c>
      <c r="P963" t="n">
        <v>0</v>
      </c>
      <c r="Q963" t="n">
        <v>0</v>
      </c>
      <c r="R963" s="2" t="inlineStr"/>
    </row>
    <row r="964" ht="15" customHeight="1">
      <c r="A964" t="inlineStr">
        <is>
          <t>A 37974-2025</t>
        </is>
      </c>
      <c r="B964" s="1" t="n">
        <v>45881.67743055556</v>
      </c>
      <c r="C964" s="1" t="n">
        <v>45916</v>
      </c>
      <c r="D964" t="inlineStr">
        <is>
          <t>JÄMTLANDS LÄN</t>
        </is>
      </c>
      <c r="E964" t="inlineStr">
        <is>
          <t>BRÄCKE</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30102-2021</t>
        </is>
      </c>
      <c r="B965" s="1" t="n">
        <v>44363</v>
      </c>
      <c r="C965" s="1" t="n">
        <v>45916</v>
      </c>
      <c r="D965" t="inlineStr">
        <is>
          <t>JÄMTLANDS LÄN</t>
        </is>
      </c>
      <c r="E965" t="inlineStr">
        <is>
          <t>BRÄCKE</t>
        </is>
      </c>
      <c r="G965" t="n">
        <v>1.3</v>
      </c>
      <c r="H965" t="n">
        <v>0</v>
      </c>
      <c r="I965" t="n">
        <v>0</v>
      </c>
      <c r="J965" t="n">
        <v>0</v>
      </c>
      <c r="K965" t="n">
        <v>0</v>
      </c>
      <c r="L965" t="n">
        <v>0</v>
      </c>
      <c r="M965" t="n">
        <v>0</v>
      </c>
      <c r="N965" t="n">
        <v>0</v>
      </c>
      <c r="O965" t="n">
        <v>0</v>
      </c>
      <c r="P965" t="n">
        <v>0</v>
      </c>
      <c r="Q965" t="n">
        <v>0</v>
      </c>
      <c r="R965" s="2" t="inlineStr"/>
    </row>
    <row r="966" ht="15" customHeight="1">
      <c r="A966" t="inlineStr">
        <is>
          <t>A 32443-2025</t>
        </is>
      </c>
      <c r="B966" s="1" t="n">
        <v>45838.38613425926</v>
      </c>
      <c r="C966" s="1" t="n">
        <v>45916</v>
      </c>
      <c r="D966" t="inlineStr">
        <is>
          <t>JÄMTLANDS LÄN</t>
        </is>
      </c>
      <c r="E966" t="inlineStr">
        <is>
          <t>BRÄCKE</t>
        </is>
      </c>
      <c r="G966" t="n">
        <v>4.7</v>
      </c>
      <c r="H966" t="n">
        <v>0</v>
      </c>
      <c r="I966" t="n">
        <v>0</v>
      </c>
      <c r="J966" t="n">
        <v>0</v>
      </c>
      <c r="K966" t="n">
        <v>0</v>
      </c>
      <c r="L966" t="n">
        <v>0</v>
      </c>
      <c r="M966" t="n">
        <v>0</v>
      </c>
      <c r="N966" t="n">
        <v>0</v>
      </c>
      <c r="O966" t="n">
        <v>0</v>
      </c>
      <c r="P966" t="n">
        <v>0</v>
      </c>
      <c r="Q966" t="n">
        <v>0</v>
      </c>
      <c r="R966" s="2" t="inlineStr"/>
    </row>
    <row r="967" ht="15" customHeight="1">
      <c r="A967" t="inlineStr">
        <is>
          <t>A 52529-2024</t>
        </is>
      </c>
      <c r="B967" s="1" t="n">
        <v>45609.61483796296</v>
      </c>
      <c r="C967" s="1" t="n">
        <v>45916</v>
      </c>
      <c r="D967" t="inlineStr">
        <is>
          <t>JÄMTLANDS LÄN</t>
        </is>
      </c>
      <c r="E967" t="inlineStr">
        <is>
          <t>BRÄCKE</t>
        </is>
      </c>
      <c r="G967" t="n">
        <v>3.6</v>
      </c>
      <c r="H967" t="n">
        <v>0</v>
      </c>
      <c r="I967" t="n">
        <v>0</v>
      </c>
      <c r="J967" t="n">
        <v>0</v>
      </c>
      <c r="K967" t="n">
        <v>0</v>
      </c>
      <c r="L967" t="n">
        <v>0</v>
      </c>
      <c r="M967" t="n">
        <v>0</v>
      </c>
      <c r="N967" t="n">
        <v>0</v>
      </c>
      <c r="O967" t="n">
        <v>0</v>
      </c>
      <c r="P967" t="n">
        <v>0</v>
      </c>
      <c r="Q967" t="n">
        <v>0</v>
      </c>
      <c r="R967" s="2" t="inlineStr"/>
    </row>
    <row r="968" ht="15" customHeight="1">
      <c r="A968" t="inlineStr">
        <is>
          <t>A 44694-2023</t>
        </is>
      </c>
      <c r="B968" s="1" t="n">
        <v>45189.92251157408</v>
      </c>
      <c r="C968" s="1" t="n">
        <v>45916</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32659-2025</t>
        </is>
      </c>
      <c r="B969" s="1" t="n">
        <v>45838.67873842592</v>
      </c>
      <c r="C969" s="1" t="n">
        <v>45916</v>
      </c>
      <c r="D969" t="inlineStr">
        <is>
          <t>JÄMTLANDS LÄN</t>
        </is>
      </c>
      <c r="E969" t="inlineStr">
        <is>
          <t>BRÄCKE</t>
        </is>
      </c>
      <c r="F969" t="inlineStr">
        <is>
          <t>SCA</t>
        </is>
      </c>
      <c r="G969" t="n">
        <v>4.8</v>
      </c>
      <c r="H969" t="n">
        <v>0</v>
      </c>
      <c r="I969" t="n">
        <v>0</v>
      </c>
      <c r="J969" t="n">
        <v>0</v>
      </c>
      <c r="K969" t="n">
        <v>0</v>
      </c>
      <c r="L969" t="n">
        <v>0</v>
      </c>
      <c r="M969" t="n">
        <v>0</v>
      </c>
      <c r="N969" t="n">
        <v>0</v>
      </c>
      <c r="O969" t="n">
        <v>0</v>
      </c>
      <c r="P969" t="n">
        <v>0</v>
      </c>
      <c r="Q969" t="n">
        <v>0</v>
      </c>
      <c r="R969" s="2" t="inlineStr"/>
    </row>
    <row r="970" ht="15" customHeight="1">
      <c r="A970" t="inlineStr">
        <is>
          <t>A 54451-2023</t>
        </is>
      </c>
      <c r="B970" s="1" t="n">
        <v>45233.44581018519</v>
      </c>
      <c r="C970" s="1" t="n">
        <v>45916</v>
      </c>
      <c r="D970" t="inlineStr">
        <is>
          <t>JÄMTLANDS LÄN</t>
        </is>
      </c>
      <c r="E970" t="inlineStr">
        <is>
          <t>BRÄCKE</t>
        </is>
      </c>
      <c r="G970" t="n">
        <v>2.5</v>
      </c>
      <c r="H970" t="n">
        <v>0</v>
      </c>
      <c r="I970" t="n">
        <v>0</v>
      </c>
      <c r="J970" t="n">
        <v>0</v>
      </c>
      <c r="K970" t="n">
        <v>0</v>
      </c>
      <c r="L970" t="n">
        <v>0</v>
      </c>
      <c r="M970" t="n">
        <v>0</v>
      </c>
      <c r="N970" t="n">
        <v>0</v>
      </c>
      <c r="O970" t="n">
        <v>0</v>
      </c>
      <c r="P970" t="n">
        <v>0</v>
      </c>
      <c r="Q970" t="n">
        <v>0</v>
      </c>
      <c r="R970" s="2" t="inlineStr"/>
    </row>
    <row r="971" ht="15" customHeight="1">
      <c r="A971" t="inlineStr">
        <is>
          <t>A 32913-2025</t>
        </is>
      </c>
      <c r="B971" s="1" t="n">
        <v>45839.63605324074</v>
      </c>
      <c r="C971" s="1" t="n">
        <v>45916</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56641-2022</t>
        </is>
      </c>
      <c r="B972" s="1" t="n">
        <v>44893</v>
      </c>
      <c r="C972" s="1" t="n">
        <v>45916</v>
      </c>
      <c r="D972" t="inlineStr">
        <is>
          <t>JÄMTLANDS LÄN</t>
        </is>
      </c>
      <c r="E972" t="inlineStr">
        <is>
          <t>BRÄCKE</t>
        </is>
      </c>
      <c r="G972" t="n">
        <v>6.9</v>
      </c>
      <c r="H972" t="n">
        <v>0</v>
      </c>
      <c r="I972" t="n">
        <v>0</v>
      </c>
      <c r="J972" t="n">
        <v>0</v>
      </c>
      <c r="K972" t="n">
        <v>0</v>
      </c>
      <c r="L972" t="n">
        <v>0</v>
      </c>
      <c r="M972" t="n">
        <v>0</v>
      </c>
      <c r="N972" t="n">
        <v>0</v>
      </c>
      <c r="O972" t="n">
        <v>0</v>
      </c>
      <c r="P972" t="n">
        <v>0</v>
      </c>
      <c r="Q972" t="n">
        <v>0</v>
      </c>
      <c r="R972" s="2" t="inlineStr"/>
    </row>
    <row r="973" ht="15" customHeight="1">
      <c r="A973" t="inlineStr">
        <is>
          <t>A 32596-2025</t>
        </is>
      </c>
      <c r="B973" s="1" t="n">
        <v>45838.61584490741</v>
      </c>
      <c r="C973" s="1" t="n">
        <v>45916</v>
      </c>
      <c r="D973" t="inlineStr">
        <is>
          <t>JÄMTLANDS LÄN</t>
        </is>
      </c>
      <c r="E973" t="inlineStr">
        <is>
          <t>BRÄCKE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1881-2024</t>
        </is>
      </c>
      <c r="B974" s="1" t="n">
        <v>45307.96266203704</v>
      </c>
      <c r="C974" s="1" t="n">
        <v>45916</v>
      </c>
      <c r="D974" t="inlineStr">
        <is>
          <t>JÄMTLANDS LÄN</t>
        </is>
      </c>
      <c r="E974" t="inlineStr">
        <is>
          <t>BRÄCKE</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18350-2025</t>
        </is>
      </c>
      <c r="B975" s="1" t="n">
        <v>45762.54427083334</v>
      </c>
      <c r="C975" s="1" t="n">
        <v>45916</v>
      </c>
      <c r="D975" t="inlineStr">
        <is>
          <t>JÄMTLANDS LÄN</t>
        </is>
      </c>
      <c r="E975" t="inlineStr">
        <is>
          <t>BRÄCKE</t>
        </is>
      </c>
      <c r="G975" t="n">
        <v>5.7</v>
      </c>
      <c r="H975" t="n">
        <v>0</v>
      </c>
      <c r="I975" t="n">
        <v>0</v>
      </c>
      <c r="J975" t="n">
        <v>0</v>
      </c>
      <c r="K975" t="n">
        <v>0</v>
      </c>
      <c r="L975" t="n">
        <v>0</v>
      </c>
      <c r="M975" t="n">
        <v>0</v>
      </c>
      <c r="N975" t="n">
        <v>0</v>
      </c>
      <c r="O975" t="n">
        <v>0</v>
      </c>
      <c r="P975" t="n">
        <v>0</v>
      </c>
      <c r="Q975" t="n">
        <v>0</v>
      </c>
      <c r="R975" s="2" t="inlineStr"/>
    </row>
    <row r="976" ht="15" customHeight="1">
      <c r="A976" t="inlineStr">
        <is>
          <t>A 4122-2025</t>
        </is>
      </c>
      <c r="B976" s="1" t="n">
        <v>45685.26828703703</v>
      </c>
      <c r="C976" s="1" t="n">
        <v>45916</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38304-2025</t>
        </is>
      </c>
      <c r="B977" s="1" t="n">
        <v>45883.46912037037</v>
      </c>
      <c r="C977" s="1" t="n">
        <v>45916</v>
      </c>
      <c r="D977" t="inlineStr">
        <is>
          <t>JÄMTLANDS LÄN</t>
        </is>
      </c>
      <c r="E977" t="inlineStr">
        <is>
          <t>BRÄCKE</t>
        </is>
      </c>
      <c r="G977" t="n">
        <v>10</v>
      </c>
      <c r="H977" t="n">
        <v>0</v>
      </c>
      <c r="I977" t="n">
        <v>0</v>
      </c>
      <c r="J977" t="n">
        <v>0</v>
      </c>
      <c r="K977" t="n">
        <v>0</v>
      </c>
      <c r="L977" t="n">
        <v>0</v>
      </c>
      <c r="M977" t="n">
        <v>0</v>
      </c>
      <c r="N977" t="n">
        <v>0</v>
      </c>
      <c r="O977" t="n">
        <v>0</v>
      </c>
      <c r="P977" t="n">
        <v>0</v>
      </c>
      <c r="Q977" t="n">
        <v>0</v>
      </c>
      <c r="R977" s="2" t="inlineStr"/>
    </row>
    <row r="978" ht="15" customHeight="1">
      <c r="A978" t="inlineStr">
        <is>
          <t>A 52983-2022</t>
        </is>
      </c>
      <c r="B978" s="1" t="n">
        <v>44875.92745370371</v>
      </c>
      <c r="C978" s="1" t="n">
        <v>45916</v>
      </c>
      <c r="D978" t="inlineStr">
        <is>
          <t>JÄMTLANDS LÄN</t>
        </is>
      </c>
      <c r="E978" t="inlineStr">
        <is>
          <t>BRÄCKE</t>
        </is>
      </c>
      <c r="G978" t="n">
        <v>7.6</v>
      </c>
      <c r="H978" t="n">
        <v>0</v>
      </c>
      <c r="I978" t="n">
        <v>0</v>
      </c>
      <c r="J978" t="n">
        <v>0</v>
      </c>
      <c r="K978" t="n">
        <v>0</v>
      </c>
      <c r="L978" t="n">
        <v>0</v>
      </c>
      <c r="M978" t="n">
        <v>0</v>
      </c>
      <c r="N978" t="n">
        <v>0</v>
      </c>
      <c r="O978" t="n">
        <v>0</v>
      </c>
      <c r="P978" t="n">
        <v>0</v>
      </c>
      <c r="Q978" t="n">
        <v>0</v>
      </c>
      <c r="R978" s="2" t="inlineStr"/>
    </row>
    <row r="979" ht="15" customHeight="1">
      <c r="A979" t="inlineStr">
        <is>
          <t>A 38123-2025</t>
        </is>
      </c>
      <c r="B979" s="1" t="n">
        <v>45882.55259259259</v>
      </c>
      <c r="C979" s="1" t="n">
        <v>45916</v>
      </c>
      <c r="D979" t="inlineStr">
        <is>
          <t>JÄMTLANDS LÄN</t>
        </is>
      </c>
      <c r="E979" t="inlineStr">
        <is>
          <t>BRÄCKE</t>
        </is>
      </c>
      <c r="G979" t="n">
        <v>3.8</v>
      </c>
      <c r="H979" t="n">
        <v>0</v>
      </c>
      <c r="I979" t="n">
        <v>0</v>
      </c>
      <c r="J979" t="n">
        <v>0</v>
      </c>
      <c r="K979" t="n">
        <v>0</v>
      </c>
      <c r="L979" t="n">
        <v>0</v>
      </c>
      <c r="M979" t="n">
        <v>0</v>
      </c>
      <c r="N979" t="n">
        <v>0</v>
      </c>
      <c r="O979" t="n">
        <v>0</v>
      </c>
      <c r="P979" t="n">
        <v>0</v>
      </c>
      <c r="Q979" t="n">
        <v>0</v>
      </c>
      <c r="R979" s="2" t="inlineStr"/>
    </row>
    <row r="980" ht="15" customHeight="1">
      <c r="A980" t="inlineStr">
        <is>
          <t>A 38030-2025</t>
        </is>
      </c>
      <c r="B980" s="1" t="n">
        <v>45882.36521990741</v>
      </c>
      <c r="C980" s="1" t="n">
        <v>45916</v>
      </c>
      <c r="D980" t="inlineStr">
        <is>
          <t>JÄMTLANDS LÄN</t>
        </is>
      </c>
      <c r="E980" t="inlineStr">
        <is>
          <t>BRÄCKE</t>
        </is>
      </c>
      <c r="F980" t="inlineStr">
        <is>
          <t>SCA</t>
        </is>
      </c>
      <c r="G980" t="n">
        <v>11.6</v>
      </c>
      <c r="H980" t="n">
        <v>0</v>
      </c>
      <c r="I980" t="n">
        <v>0</v>
      </c>
      <c r="J980" t="n">
        <v>0</v>
      </c>
      <c r="K980" t="n">
        <v>0</v>
      </c>
      <c r="L980" t="n">
        <v>0</v>
      </c>
      <c r="M980" t="n">
        <v>0</v>
      </c>
      <c r="N980" t="n">
        <v>0</v>
      </c>
      <c r="O980" t="n">
        <v>0</v>
      </c>
      <c r="P980" t="n">
        <v>0</v>
      </c>
      <c r="Q980" t="n">
        <v>0</v>
      </c>
      <c r="R980" s="2" t="inlineStr"/>
    </row>
    <row r="981" ht="15" customHeight="1">
      <c r="A981" t="inlineStr">
        <is>
          <t>A 38326-2025</t>
        </is>
      </c>
      <c r="B981" s="1" t="n">
        <v>45883.49070601852</v>
      </c>
      <c r="C981" s="1" t="n">
        <v>45916</v>
      </c>
      <c r="D981" t="inlineStr">
        <is>
          <t>JÄMTLANDS LÄN</t>
        </is>
      </c>
      <c r="E981" t="inlineStr">
        <is>
          <t>BRÄCKE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38333-2025</t>
        </is>
      </c>
      <c r="B982" s="1" t="n">
        <v>45883.49164351852</v>
      </c>
      <c r="C982" s="1" t="n">
        <v>45916</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38378-2025</t>
        </is>
      </c>
      <c r="B983" s="1" t="n">
        <v>45883.57368055556</v>
      </c>
      <c r="C983" s="1" t="n">
        <v>45916</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32471-2021</t>
        </is>
      </c>
      <c r="B984" s="1" t="n">
        <v>44371</v>
      </c>
      <c r="C984" s="1" t="n">
        <v>45916</v>
      </c>
      <c r="D984" t="inlineStr">
        <is>
          <t>JÄMTLANDS LÄN</t>
        </is>
      </c>
      <c r="E984" t="inlineStr">
        <is>
          <t>BRÄCKE</t>
        </is>
      </c>
      <c r="F984" t="inlineStr">
        <is>
          <t>SCA</t>
        </is>
      </c>
      <c r="G984" t="n">
        <v>0.2</v>
      </c>
      <c r="H984" t="n">
        <v>0</v>
      </c>
      <c r="I984" t="n">
        <v>0</v>
      </c>
      <c r="J984" t="n">
        <v>0</v>
      </c>
      <c r="K984" t="n">
        <v>0</v>
      </c>
      <c r="L984" t="n">
        <v>0</v>
      </c>
      <c r="M984" t="n">
        <v>0</v>
      </c>
      <c r="N984" t="n">
        <v>0</v>
      </c>
      <c r="O984" t="n">
        <v>0</v>
      </c>
      <c r="P984" t="n">
        <v>0</v>
      </c>
      <c r="Q984" t="n">
        <v>0</v>
      </c>
      <c r="R984" s="2" t="inlineStr"/>
    </row>
    <row r="985" ht="15" customHeight="1">
      <c r="A985" t="inlineStr">
        <is>
          <t>A 24432-2024</t>
        </is>
      </c>
      <c r="B985" s="1" t="n">
        <v>45457.96054398148</v>
      </c>
      <c r="C985" s="1" t="n">
        <v>45916</v>
      </c>
      <c r="D985" t="inlineStr">
        <is>
          <t>JÄMTLANDS LÄN</t>
        </is>
      </c>
      <c r="E985" t="inlineStr">
        <is>
          <t>BRÄCKE</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38095-2025</t>
        </is>
      </c>
      <c r="B986" s="1" t="n">
        <v>45882.49050925926</v>
      </c>
      <c r="C986" s="1" t="n">
        <v>45916</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38278-2025</t>
        </is>
      </c>
      <c r="B987" s="1" t="n">
        <v>45883.41405092592</v>
      </c>
      <c r="C987" s="1" t="n">
        <v>45916</v>
      </c>
      <c r="D987" t="inlineStr">
        <is>
          <t>JÄMTLANDS LÄN</t>
        </is>
      </c>
      <c r="E987" t="inlineStr">
        <is>
          <t>BRÄCKE</t>
        </is>
      </c>
      <c r="G987" t="n">
        <v>2.8</v>
      </c>
      <c r="H987" t="n">
        <v>0</v>
      </c>
      <c r="I987" t="n">
        <v>0</v>
      </c>
      <c r="J987" t="n">
        <v>0</v>
      </c>
      <c r="K987" t="n">
        <v>0</v>
      </c>
      <c r="L987" t="n">
        <v>0</v>
      </c>
      <c r="M987" t="n">
        <v>0</v>
      </c>
      <c r="N987" t="n">
        <v>0</v>
      </c>
      <c r="O987" t="n">
        <v>0</v>
      </c>
      <c r="P987" t="n">
        <v>0</v>
      </c>
      <c r="Q987" t="n">
        <v>0</v>
      </c>
      <c r="R987" s="2" t="inlineStr"/>
    </row>
    <row r="988" ht="15" customHeight="1">
      <c r="A988" t="inlineStr">
        <is>
          <t>A 33133-2025</t>
        </is>
      </c>
      <c r="B988" s="1" t="n">
        <v>45840.5050462963</v>
      </c>
      <c r="C988" s="1" t="n">
        <v>45916</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38379-2025</t>
        </is>
      </c>
      <c r="B989" s="1" t="n">
        <v>45883.57377314815</v>
      </c>
      <c r="C989" s="1" t="n">
        <v>45916</v>
      </c>
      <c r="D989" t="inlineStr">
        <is>
          <t>JÄMTLANDS LÄN</t>
        </is>
      </c>
      <c r="E989" t="inlineStr">
        <is>
          <t>BRÄCKE</t>
        </is>
      </c>
      <c r="G989" t="n">
        <v>0.7</v>
      </c>
      <c r="H989" t="n">
        <v>0</v>
      </c>
      <c r="I989" t="n">
        <v>0</v>
      </c>
      <c r="J989" t="n">
        <v>0</v>
      </c>
      <c r="K989" t="n">
        <v>0</v>
      </c>
      <c r="L989" t="n">
        <v>0</v>
      </c>
      <c r="M989" t="n">
        <v>0</v>
      </c>
      <c r="N989" t="n">
        <v>0</v>
      </c>
      <c r="O989" t="n">
        <v>0</v>
      </c>
      <c r="P989" t="n">
        <v>0</v>
      </c>
      <c r="Q989" t="n">
        <v>0</v>
      </c>
      <c r="R989" s="2" t="inlineStr"/>
    </row>
    <row r="990" ht="15" customHeight="1">
      <c r="A990" t="inlineStr">
        <is>
          <t>A 49591-2024</t>
        </is>
      </c>
      <c r="B990" s="1" t="n">
        <v>45596.5525</v>
      </c>
      <c r="C990" s="1" t="n">
        <v>45916</v>
      </c>
      <c r="D990" t="inlineStr">
        <is>
          <t>JÄMTLANDS LÄN</t>
        </is>
      </c>
      <c r="E990" t="inlineStr">
        <is>
          <t>BRÄCKE</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38358-2025</t>
        </is>
      </c>
      <c r="B991" s="1" t="n">
        <v>45883.5327662037</v>
      </c>
      <c r="C991" s="1" t="n">
        <v>45916</v>
      </c>
      <c r="D991" t="inlineStr">
        <is>
          <t>JÄMTLANDS LÄN</t>
        </is>
      </c>
      <c r="E991" t="inlineStr">
        <is>
          <t>BRÄCKE</t>
        </is>
      </c>
      <c r="F991" t="inlineStr">
        <is>
          <t>SCA</t>
        </is>
      </c>
      <c r="G991" t="n">
        <v>0.3</v>
      </c>
      <c r="H991" t="n">
        <v>0</v>
      </c>
      <c r="I991" t="n">
        <v>0</v>
      </c>
      <c r="J991" t="n">
        <v>0</v>
      </c>
      <c r="K991" t="n">
        <v>0</v>
      </c>
      <c r="L991" t="n">
        <v>0</v>
      </c>
      <c r="M991" t="n">
        <v>0</v>
      </c>
      <c r="N991" t="n">
        <v>0</v>
      </c>
      <c r="O991" t="n">
        <v>0</v>
      </c>
      <c r="P991" t="n">
        <v>0</v>
      </c>
      <c r="Q991" t="n">
        <v>0</v>
      </c>
      <c r="R991" s="2" t="inlineStr"/>
    </row>
    <row r="992" ht="15" customHeight="1">
      <c r="A992" t="inlineStr">
        <is>
          <t>A 38381-2025</t>
        </is>
      </c>
      <c r="B992" s="1" t="n">
        <v>45883.57380787037</v>
      </c>
      <c r="C992" s="1" t="n">
        <v>45916</v>
      </c>
      <c r="D992" t="inlineStr">
        <is>
          <t>JÄMTLANDS LÄN</t>
        </is>
      </c>
      <c r="E992" t="inlineStr">
        <is>
          <t>BRÄCKE</t>
        </is>
      </c>
      <c r="G992" t="n">
        <v>11.1</v>
      </c>
      <c r="H992" t="n">
        <v>0</v>
      </c>
      <c r="I992" t="n">
        <v>0</v>
      </c>
      <c r="J992" t="n">
        <v>0</v>
      </c>
      <c r="K992" t="n">
        <v>0</v>
      </c>
      <c r="L992" t="n">
        <v>0</v>
      </c>
      <c r="M992" t="n">
        <v>0</v>
      </c>
      <c r="N992" t="n">
        <v>0</v>
      </c>
      <c r="O992" t="n">
        <v>0</v>
      </c>
      <c r="P992" t="n">
        <v>0</v>
      </c>
      <c r="Q992" t="n">
        <v>0</v>
      </c>
      <c r="R992" s="2" t="inlineStr"/>
    </row>
    <row r="993" ht="15" customHeight="1">
      <c r="A993" t="inlineStr">
        <is>
          <t>A 22985-2023</t>
        </is>
      </c>
      <c r="B993" s="1" t="n">
        <v>45072</v>
      </c>
      <c r="C993" s="1" t="n">
        <v>45916</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38025-2025</t>
        </is>
      </c>
      <c r="B994" s="1" t="n">
        <v>45882.34527777778</v>
      </c>
      <c r="C994" s="1" t="n">
        <v>45916</v>
      </c>
      <c r="D994" t="inlineStr">
        <is>
          <t>JÄMTLANDS LÄN</t>
        </is>
      </c>
      <c r="E994" t="inlineStr">
        <is>
          <t>BRÄCKE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50520-2024</t>
        </is>
      </c>
      <c r="B995" s="1" t="n">
        <v>45601.55320601852</v>
      </c>
      <c r="C995" s="1" t="n">
        <v>45916</v>
      </c>
      <c r="D995" t="inlineStr">
        <is>
          <t>JÄMTLANDS LÄN</t>
        </is>
      </c>
      <c r="E995" t="inlineStr">
        <is>
          <t>BRÄCKE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49307-2024</t>
        </is>
      </c>
      <c r="B996" s="1" t="n">
        <v>45595.55241898148</v>
      </c>
      <c r="C996" s="1" t="n">
        <v>45916</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54986-2023</t>
        </is>
      </c>
      <c r="B997" s="1" t="n">
        <v>45236.96729166667</v>
      </c>
      <c r="C997" s="1" t="n">
        <v>45916</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38241-2025</t>
        </is>
      </c>
      <c r="B998" s="1" t="n">
        <v>45883.36541666667</v>
      </c>
      <c r="C998" s="1" t="n">
        <v>45916</v>
      </c>
      <c r="D998" t="inlineStr">
        <is>
          <t>JÄMTLANDS LÄN</t>
        </is>
      </c>
      <c r="E998" t="inlineStr">
        <is>
          <t>BRÄCKE</t>
        </is>
      </c>
      <c r="G998" t="n">
        <v>1</v>
      </c>
      <c r="H998" t="n">
        <v>0</v>
      </c>
      <c r="I998" t="n">
        <v>0</v>
      </c>
      <c r="J998" t="n">
        <v>0</v>
      </c>
      <c r="K998" t="n">
        <v>0</v>
      </c>
      <c r="L998" t="n">
        <v>0</v>
      </c>
      <c r="M998" t="n">
        <v>0</v>
      </c>
      <c r="N998" t="n">
        <v>0</v>
      </c>
      <c r="O998" t="n">
        <v>0</v>
      </c>
      <c r="P998" t="n">
        <v>0</v>
      </c>
      <c r="Q998" t="n">
        <v>0</v>
      </c>
      <c r="R998" s="2" t="inlineStr"/>
    </row>
    <row r="999" ht="15" customHeight="1">
      <c r="A999" t="inlineStr">
        <is>
          <t>A 38324-2025</t>
        </is>
      </c>
      <c r="B999" s="1" t="n">
        <v>45883.49037037037</v>
      </c>
      <c r="C999" s="1" t="n">
        <v>45916</v>
      </c>
      <c r="D999" t="inlineStr">
        <is>
          <t>JÄMTLANDS LÄN</t>
        </is>
      </c>
      <c r="E999" t="inlineStr">
        <is>
          <t>BRÄCKE</t>
        </is>
      </c>
      <c r="F999" t="inlineStr">
        <is>
          <t>SCA</t>
        </is>
      </c>
      <c r="G999" t="n">
        <v>7</v>
      </c>
      <c r="H999" t="n">
        <v>0</v>
      </c>
      <c r="I999" t="n">
        <v>0</v>
      </c>
      <c r="J999" t="n">
        <v>0</v>
      </c>
      <c r="K999" t="n">
        <v>0</v>
      </c>
      <c r="L999" t="n">
        <v>0</v>
      </c>
      <c r="M999" t="n">
        <v>0</v>
      </c>
      <c r="N999" t="n">
        <v>0</v>
      </c>
      <c r="O999" t="n">
        <v>0</v>
      </c>
      <c r="P999" t="n">
        <v>0</v>
      </c>
      <c r="Q999" t="n">
        <v>0</v>
      </c>
      <c r="R999" s="2" t="inlineStr"/>
    </row>
    <row r="1000" ht="15" customHeight="1">
      <c r="A1000" t="inlineStr">
        <is>
          <t>A 38329-2025</t>
        </is>
      </c>
      <c r="B1000" s="1" t="n">
        <v>45883.49111111111</v>
      </c>
      <c r="C1000" s="1" t="n">
        <v>45916</v>
      </c>
      <c r="D1000" t="inlineStr">
        <is>
          <t>JÄMTLANDS LÄN</t>
        </is>
      </c>
      <c r="E1000" t="inlineStr">
        <is>
          <t>BRÄCKE</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38352-2025</t>
        </is>
      </c>
      <c r="B1001" s="1" t="n">
        <v>45883.53186342592</v>
      </c>
      <c r="C1001" s="1" t="n">
        <v>45916</v>
      </c>
      <c r="D1001" t="inlineStr">
        <is>
          <t>JÄMTLANDS LÄN</t>
        </is>
      </c>
      <c r="E1001" t="inlineStr">
        <is>
          <t>BRÄCKE</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8253-2024</t>
        </is>
      </c>
      <c r="B1002" s="1" t="n">
        <v>45350</v>
      </c>
      <c r="C1002" s="1" t="n">
        <v>45916</v>
      </c>
      <c r="D1002" t="inlineStr">
        <is>
          <t>JÄMTLANDS LÄN</t>
        </is>
      </c>
      <c r="E1002" t="inlineStr">
        <is>
          <t>BRÄCKE</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38353-2025</t>
        </is>
      </c>
      <c r="B1003" s="1" t="n">
        <v>45883.53201388889</v>
      </c>
      <c r="C1003" s="1" t="n">
        <v>45916</v>
      </c>
      <c r="D1003" t="inlineStr">
        <is>
          <t>JÄMTLANDS LÄN</t>
        </is>
      </c>
      <c r="E1003" t="inlineStr">
        <is>
          <t>BRÄCKE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13249-2025</t>
        </is>
      </c>
      <c r="B1004" s="1" t="n">
        <v>45735.48996527777</v>
      </c>
      <c r="C1004" s="1" t="n">
        <v>45916</v>
      </c>
      <c r="D1004" t="inlineStr">
        <is>
          <t>JÄMTLANDS LÄN</t>
        </is>
      </c>
      <c r="E1004" t="inlineStr">
        <is>
          <t>BRÄCKE</t>
        </is>
      </c>
      <c r="F1004" t="inlineStr">
        <is>
          <t>SCA</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53047-2023</t>
        </is>
      </c>
      <c r="B1005" s="1" t="n">
        <v>45226.96398148148</v>
      </c>
      <c r="C1005" s="1" t="n">
        <v>45916</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33275-2025</t>
        </is>
      </c>
      <c r="B1006" s="1" t="n">
        <v>45840.69829861111</v>
      </c>
      <c r="C1006" s="1" t="n">
        <v>45916</v>
      </c>
      <c r="D1006" t="inlineStr">
        <is>
          <t>JÄMTLANDS LÄN</t>
        </is>
      </c>
      <c r="E1006" t="inlineStr">
        <is>
          <t>BRÄCKE</t>
        </is>
      </c>
      <c r="F1006" t="inlineStr">
        <is>
          <t>SCA</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38328-2025</t>
        </is>
      </c>
      <c r="B1007" s="1" t="n">
        <v>45883.4909837963</v>
      </c>
      <c r="C1007" s="1" t="n">
        <v>45916</v>
      </c>
      <c r="D1007" t="inlineStr">
        <is>
          <t>JÄMTLANDS LÄN</t>
        </is>
      </c>
      <c r="E1007" t="inlineStr">
        <is>
          <t>BRÄCKE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38245-2025</t>
        </is>
      </c>
      <c r="B1008" s="1" t="n">
        <v>45883.36563657408</v>
      </c>
      <c r="C1008" s="1" t="n">
        <v>45916</v>
      </c>
      <c r="D1008" t="inlineStr">
        <is>
          <t>JÄMTLANDS LÄN</t>
        </is>
      </c>
      <c r="E1008" t="inlineStr">
        <is>
          <t>BRÄCKE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38072-2025</t>
        </is>
      </c>
      <c r="B1009" s="1" t="n">
        <v>45882</v>
      </c>
      <c r="C1009" s="1" t="n">
        <v>45916</v>
      </c>
      <c r="D1009" t="inlineStr">
        <is>
          <t>JÄMTLANDS LÄN</t>
        </is>
      </c>
      <c r="E1009" t="inlineStr">
        <is>
          <t>BRÄCKE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33648-2025</t>
        </is>
      </c>
      <c r="B1010" s="1" t="n">
        <v>45841.65681712963</v>
      </c>
      <c r="C1010" s="1" t="n">
        <v>45916</v>
      </c>
      <c r="D1010" t="inlineStr">
        <is>
          <t>JÄMTLANDS LÄN</t>
        </is>
      </c>
      <c r="E1010" t="inlineStr">
        <is>
          <t>BRÄCKE</t>
        </is>
      </c>
      <c r="F1010" t="inlineStr">
        <is>
          <t>SCA</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38391-2025</t>
        </is>
      </c>
      <c r="B1011" s="1" t="n">
        <v>45883.57501157407</v>
      </c>
      <c r="C1011" s="1" t="n">
        <v>45916</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38459-2025</t>
        </is>
      </c>
      <c r="B1012" s="1" t="n">
        <v>45883.71927083333</v>
      </c>
      <c r="C1012" s="1" t="n">
        <v>45916</v>
      </c>
      <c r="D1012" t="inlineStr">
        <is>
          <t>JÄMTLANDS LÄN</t>
        </is>
      </c>
      <c r="E1012" t="inlineStr">
        <is>
          <t>BRÄCKE</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38461-2025</t>
        </is>
      </c>
      <c r="B1013" s="1" t="n">
        <v>45883.71962962963</v>
      </c>
      <c r="C1013" s="1" t="n">
        <v>45916</v>
      </c>
      <c r="D1013" t="inlineStr">
        <is>
          <t>JÄMTLANDS LÄN</t>
        </is>
      </c>
      <c r="E1013" t="inlineStr">
        <is>
          <t>BRÄCKE</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38456-2025</t>
        </is>
      </c>
      <c r="B1014" s="1" t="n">
        <v>45883.69831018519</v>
      </c>
      <c r="C1014" s="1" t="n">
        <v>45916</v>
      </c>
      <c r="D1014" t="inlineStr">
        <is>
          <t>JÄMTLANDS LÄN</t>
        </is>
      </c>
      <c r="E1014" t="inlineStr">
        <is>
          <t>BRÄCKE</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38361-2025</t>
        </is>
      </c>
      <c r="B1015" s="1" t="n">
        <v>45883.53303240741</v>
      </c>
      <c r="C1015" s="1" t="n">
        <v>45916</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33854-2025</t>
        </is>
      </c>
      <c r="B1016" s="1" t="n">
        <v>45842.51112268519</v>
      </c>
      <c r="C1016" s="1" t="n">
        <v>45916</v>
      </c>
      <c r="D1016" t="inlineStr">
        <is>
          <t>JÄMTLANDS LÄN</t>
        </is>
      </c>
      <c r="E1016" t="inlineStr">
        <is>
          <t>BRÄCKE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33868-2025</t>
        </is>
      </c>
      <c r="B1017" s="1" t="n">
        <v>45842.53967592592</v>
      </c>
      <c r="C1017" s="1" t="n">
        <v>45916</v>
      </c>
      <c r="D1017" t="inlineStr">
        <is>
          <t>JÄMTLANDS LÄN</t>
        </is>
      </c>
      <c r="E1017" t="inlineStr">
        <is>
          <t>BRÄCKE</t>
        </is>
      </c>
      <c r="F1017" t="inlineStr">
        <is>
          <t>Övriga Aktiebolag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33900-2025</t>
        </is>
      </c>
      <c r="B1018" s="1" t="n">
        <v>45842.59454861111</v>
      </c>
      <c r="C1018" s="1" t="n">
        <v>45916</v>
      </c>
      <c r="D1018" t="inlineStr">
        <is>
          <t>JÄMTLANDS LÄN</t>
        </is>
      </c>
      <c r="E1018" t="inlineStr">
        <is>
          <t>BRÄCKE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34189-2025</t>
        </is>
      </c>
      <c r="B1019" s="1" t="n">
        <v>45845.61555555555</v>
      </c>
      <c r="C1019" s="1" t="n">
        <v>45916</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38775-2025</t>
        </is>
      </c>
      <c r="B1020" s="1" t="n">
        <v>45887.42667824074</v>
      </c>
      <c r="C1020" s="1" t="n">
        <v>45916</v>
      </c>
      <c r="D1020" t="inlineStr">
        <is>
          <t>JÄMTLANDS LÄN</t>
        </is>
      </c>
      <c r="E1020" t="inlineStr">
        <is>
          <t>BRÄCKE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38842-2025</t>
        </is>
      </c>
      <c r="B1021" s="1" t="n">
        <v>45887.54003472222</v>
      </c>
      <c r="C1021" s="1" t="n">
        <v>45916</v>
      </c>
      <c r="D1021" t="inlineStr">
        <is>
          <t>JÄMTLANDS LÄN</t>
        </is>
      </c>
      <c r="E1021" t="inlineStr">
        <is>
          <t>BRÄCKE</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33937-2025</t>
        </is>
      </c>
      <c r="B1022" s="1" t="n">
        <v>45842.63650462963</v>
      </c>
      <c r="C1022" s="1" t="n">
        <v>45916</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3025-2021</t>
        </is>
      </c>
      <c r="B1023" s="1" t="n">
        <v>44216</v>
      </c>
      <c r="C1023" s="1" t="n">
        <v>45916</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9150-2025</t>
        </is>
      </c>
      <c r="B1024" s="1" t="n">
        <v>45714.34436342592</v>
      </c>
      <c r="C1024" s="1" t="n">
        <v>45916</v>
      </c>
      <c r="D1024" t="inlineStr">
        <is>
          <t>JÄMTLANDS LÄN</t>
        </is>
      </c>
      <c r="E1024" t="inlineStr">
        <is>
          <t>BRÄCKE</t>
        </is>
      </c>
      <c r="F1024" t="inlineStr">
        <is>
          <t>SCA</t>
        </is>
      </c>
      <c r="G1024" t="n">
        <v>29.6</v>
      </c>
      <c r="H1024" t="n">
        <v>0</v>
      </c>
      <c r="I1024" t="n">
        <v>0</v>
      </c>
      <c r="J1024" t="n">
        <v>0</v>
      </c>
      <c r="K1024" t="n">
        <v>0</v>
      </c>
      <c r="L1024" t="n">
        <v>0</v>
      </c>
      <c r="M1024" t="n">
        <v>0</v>
      </c>
      <c r="N1024" t="n">
        <v>0</v>
      </c>
      <c r="O1024" t="n">
        <v>0</v>
      </c>
      <c r="P1024" t="n">
        <v>0</v>
      </c>
      <c r="Q1024" t="n">
        <v>0</v>
      </c>
      <c r="R1024" s="2" t="inlineStr"/>
    </row>
    <row r="1025" ht="15" customHeight="1">
      <c r="A1025" t="inlineStr">
        <is>
          <t>A 8780-2025</t>
        </is>
      </c>
      <c r="B1025" s="1" t="n">
        <v>45712.615625</v>
      </c>
      <c r="C1025" s="1" t="n">
        <v>45916</v>
      </c>
      <c r="D1025" t="inlineStr">
        <is>
          <t>JÄMTLANDS LÄN</t>
        </is>
      </c>
      <c r="E1025" t="inlineStr">
        <is>
          <t>BRÄCKE</t>
        </is>
      </c>
      <c r="F1025" t="inlineStr">
        <is>
          <t>SCA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33776-2025</t>
        </is>
      </c>
      <c r="B1026" s="1" t="n">
        <v>45842.39412037037</v>
      </c>
      <c r="C1026" s="1" t="n">
        <v>45916</v>
      </c>
      <c r="D1026" t="inlineStr">
        <is>
          <t>JÄMTLANDS LÄN</t>
        </is>
      </c>
      <c r="E1026" t="inlineStr">
        <is>
          <t>BRÄCKE</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38834-2025</t>
        </is>
      </c>
      <c r="B1027" s="1" t="n">
        <v>45887.53174768519</v>
      </c>
      <c r="C1027" s="1" t="n">
        <v>45916</v>
      </c>
      <c r="D1027" t="inlineStr">
        <is>
          <t>JÄMTLANDS LÄN</t>
        </is>
      </c>
      <c r="E1027" t="inlineStr">
        <is>
          <t>BRÄCKE</t>
        </is>
      </c>
      <c r="F1027" t="inlineStr">
        <is>
          <t>SCA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38811-2025</t>
        </is>
      </c>
      <c r="B1028" s="1" t="n">
        <v>45887.48994212963</v>
      </c>
      <c r="C1028" s="1" t="n">
        <v>45916</v>
      </c>
      <c r="D1028" t="inlineStr">
        <is>
          <t>JÄMTLANDS LÄN</t>
        </is>
      </c>
      <c r="E1028" t="inlineStr">
        <is>
          <t>BRÄCKE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38835-2025</t>
        </is>
      </c>
      <c r="B1029" s="1" t="n">
        <v>45887.53195601852</v>
      </c>
      <c r="C1029" s="1" t="n">
        <v>45916</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38847-2025</t>
        </is>
      </c>
      <c r="B1030" s="1" t="n">
        <v>45887.54438657407</v>
      </c>
      <c r="C1030" s="1" t="n">
        <v>45916</v>
      </c>
      <c r="D1030" t="inlineStr">
        <is>
          <t>JÄMTLANDS LÄN</t>
        </is>
      </c>
      <c r="E1030" t="inlineStr">
        <is>
          <t>BRÄCKE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38812-2025</t>
        </is>
      </c>
      <c r="B1031" s="1" t="n">
        <v>45887.49016203704</v>
      </c>
      <c r="C1031" s="1" t="n">
        <v>45916</v>
      </c>
      <c r="D1031" t="inlineStr">
        <is>
          <t>JÄMTLANDS LÄN</t>
        </is>
      </c>
      <c r="E1031" t="inlineStr">
        <is>
          <t>BRÄCKE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64643-2023</t>
        </is>
      </c>
      <c r="B1032" s="1" t="n">
        <v>45281</v>
      </c>
      <c r="C1032" s="1" t="n">
        <v>45916</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50223-2023</t>
        </is>
      </c>
      <c r="B1033" s="1" t="n">
        <v>45215.94747685185</v>
      </c>
      <c r="C1033" s="1" t="n">
        <v>45916</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33956-2025</t>
        </is>
      </c>
      <c r="B1034" s="1" t="n">
        <v>45842.67746527777</v>
      </c>
      <c r="C1034" s="1" t="n">
        <v>45916</v>
      </c>
      <c r="D1034" t="inlineStr">
        <is>
          <t>JÄMTLANDS LÄN</t>
        </is>
      </c>
      <c r="E1034" t="inlineStr">
        <is>
          <t>BRÄCKE</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38619-2025</t>
        </is>
      </c>
      <c r="B1035" s="1" t="n">
        <v>45884.55284722222</v>
      </c>
      <c r="C1035" s="1" t="n">
        <v>45916</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48816-2022</t>
        </is>
      </c>
      <c r="B1036" s="1" t="n">
        <v>44859</v>
      </c>
      <c r="C1036" s="1" t="n">
        <v>45916</v>
      </c>
      <c r="D1036" t="inlineStr">
        <is>
          <t>JÄMTLANDS LÄN</t>
        </is>
      </c>
      <c r="E1036" t="inlineStr">
        <is>
          <t>BRÄCKE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34087-2025</t>
        </is>
      </c>
      <c r="B1037" s="1" t="n">
        <v>45845.46913194445</v>
      </c>
      <c r="C1037" s="1" t="n">
        <v>45916</v>
      </c>
      <c r="D1037" t="inlineStr">
        <is>
          <t>JÄMTLANDS LÄN</t>
        </is>
      </c>
      <c r="E1037" t="inlineStr">
        <is>
          <t>BRÄCKE</t>
        </is>
      </c>
      <c r="F1037" t="inlineStr">
        <is>
          <t>SCA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29314-2021</t>
        </is>
      </c>
      <c r="B1038" s="1" t="n">
        <v>44361</v>
      </c>
      <c r="C1038" s="1" t="n">
        <v>45916</v>
      </c>
      <c r="D1038" t="inlineStr">
        <is>
          <t>JÄMTLANDS LÄN</t>
        </is>
      </c>
      <c r="E1038" t="inlineStr">
        <is>
          <t>BRÄCKE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24195-2023</t>
        </is>
      </c>
      <c r="B1039" s="1" t="n">
        <v>45079</v>
      </c>
      <c r="C1039" s="1" t="n">
        <v>45916</v>
      </c>
      <c r="D1039" t="inlineStr">
        <is>
          <t>JÄMTLANDS LÄN</t>
        </is>
      </c>
      <c r="E1039" t="inlineStr">
        <is>
          <t>BRÄCKE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33873-2025</t>
        </is>
      </c>
      <c r="B1040" s="1" t="n">
        <v>45842.54912037037</v>
      </c>
      <c r="C1040" s="1" t="n">
        <v>45916</v>
      </c>
      <c r="D1040" t="inlineStr">
        <is>
          <t>JÄMTLANDS LÄN</t>
        </is>
      </c>
      <c r="E1040" t="inlineStr">
        <is>
          <t>BRÄCKE</t>
        </is>
      </c>
      <c r="F1040" t="inlineStr">
        <is>
          <t>Övriga Aktiebolag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3389-2024</t>
        </is>
      </c>
      <c r="B1041" s="1" t="n">
        <v>45317.9409837963</v>
      </c>
      <c r="C1041" s="1" t="n">
        <v>45916</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49646-2023</t>
        </is>
      </c>
      <c r="B1042" s="1" t="n">
        <v>45211</v>
      </c>
      <c r="C1042" s="1" t="n">
        <v>45916</v>
      </c>
      <c r="D1042" t="inlineStr">
        <is>
          <t>JÄMTLANDS LÄN</t>
        </is>
      </c>
      <c r="E1042" t="inlineStr">
        <is>
          <t>BRÄCKE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33902-2025</t>
        </is>
      </c>
      <c r="B1043" s="1" t="n">
        <v>45842.59513888889</v>
      </c>
      <c r="C1043" s="1" t="n">
        <v>45916</v>
      </c>
      <c r="D1043" t="inlineStr">
        <is>
          <t>JÄMTLANDS LÄN</t>
        </is>
      </c>
      <c r="E1043" t="inlineStr">
        <is>
          <t>BRÄCKE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34102-2025</t>
        </is>
      </c>
      <c r="B1044" s="1" t="n">
        <v>45845.49</v>
      </c>
      <c r="C1044" s="1" t="n">
        <v>45916</v>
      </c>
      <c r="D1044" t="inlineStr">
        <is>
          <t>JÄMTLANDS LÄN</t>
        </is>
      </c>
      <c r="E1044" t="inlineStr">
        <is>
          <t>BRÄCKE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23746-2021</t>
        </is>
      </c>
      <c r="B1045" s="1" t="n">
        <v>44334.93716435185</v>
      </c>
      <c r="C1045" s="1" t="n">
        <v>45916</v>
      </c>
      <c r="D1045" t="inlineStr">
        <is>
          <t>JÄMTLANDS LÄN</t>
        </is>
      </c>
      <c r="E1045" t="inlineStr">
        <is>
          <t>BRÄCKE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17209-2023</t>
        </is>
      </c>
      <c r="B1046" s="1" t="n">
        <v>45034</v>
      </c>
      <c r="C1046" s="1" t="n">
        <v>45916</v>
      </c>
      <c r="D1046" t="inlineStr">
        <is>
          <t>JÄMTLANDS LÄN</t>
        </is>
      </c>
      <c r="E1046" t="inlineStr">
        <is>
          <t>BRÄCKE</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33796-2025</t>
        </is>
      </c>
      <c r="B1047" s="1" t="n">
        <v>45842.43670138889</v>
      </c>
      <c r="C1047" s="1" t="n">
        <v>45916</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20879-2023</t>
        </is>
      </c>
      <c r="B1048" s="1" t="n">
        <v>45058.94399305555</v>
      </c>
      <c r="C1048" s="1" t="n">
        <v>45916</v>
      </c>
      <c r="D1048" t="inlineStr">
        <is>
          <t>JÄMTLANDS LÄN</t>
        </is>
      </c>
      <c r="E1048" t="inlineStr">
        <is>
          <t>BRÄCKE</t>
        </is>
      </c>
      <c r="F1048" t="inlineStr">
        <is>
          <t>Naturvårdsverket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34155-2025</t>
        </is>
      </c>
      <c r="B1049" s="1" t="n">
        <v>45845.57334490741</v>
      </c>
      <c r="C1049" s="1" t="n">
        <v>45916</v>
      </c>
      <c r="D1049" t="inlineStr">
        <is>
          <t>JÄMTLANDS LÄN</t>
        </is>
      </c>
      <c r="E1049" t="inlineStr">
        <is>
          <t>BRÄCKE</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18965-2025</t>
        </is>
      </c>
      <c r="B1050" s="1" t="n">
        <v>45764.53155092592</v>
      </c>
      <c r="C1050" s="1" t="n">
        <v>45916</v>
      </c>
      <c r="D1050" t="inlineStr">
        <is>
          <t>JÄMTLANDS LÄN</t>
        </is>
      </c>
      <c r="E1050" t="inlineStr">
        <is>
          <t>BRÄCKE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18982-2025</t>
        </is>
      </c>
      <c r="B1051" s="1" t="n">
        <v>45764.55288194444</v>
      </c>
      <c r="C1051" s="1" t="n">
        <v>45916</v>
      </c>
      <c r="D1051" t="inlineStr">
        <is>
          <t>JÄMTLANDS LÄN</t>
        </is>
      </c>
      <c r="E1051" t="inlineStr">
        <is>
          <t>BRÄCKE</t>
        </is>
      </c>
      <c r="F1051" t="inlineStr">
        <is>
          <t>SCA</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43785-2022</t>
        </is>
      </c>
      <c r="B1052" s="1" t="n">
        <v>44837</v>
      </c>
      <c r="C1052" s="1" t="n">
        <v>45916</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26665-2021</t>
        </is>
      </c>
      <c r="B1053" s="1" t="n">
        <v>44348</v>
      </c>
      <c r="C1053" s="1" t="n">
        <v>45916</v>
      </c>
      <c r="D1053" t="inlineStr">
        <is>
          <t>JÄMTLANDS LÄN</t>
        </is>
      </c>
      <c r="E1053" t="inlineStr">
        <is>
          <t>BRÄCKE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41313-2024</t>
        </is>
      </c>
      <c r="B1054" s="1" t="n">
        <v>45559.6359837963</v>
      </c>
      <c r="C1054" s="1" t="n">
        <v>45916</v>
      </c>
      <c r="D1054" t="inlineStr">
        <is>
          <t>JÄMTLANDS LÄN</t>
        </is>
      </c>
      <c r="E1054" t="inlineStr">
        <is>
          <t>BRÄCKE</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34460-2025</t>
        </is>
      </c>
      <c r="B1055" s="1" t="n">
        <v>45847.34458333333</v>
      </c>
      <c r="C1055" s="1" t="n">
        <v>45916</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59932-2022</t>
        </is>
      </c>
      <c r="B1056" s="1" t="n">
        <v>44909.36262731482</v>
      </c>
      <c r="C1056" s="1" t="n">
        <v>45916</v>
      </c>
      <c r="D1056" t="inlineStr">
        <is>
          <t>JÄMTLANDS LÄN</t>
        </is>
      </c>
      <c r="E1056" t="inlineStr">
        <is>
          <t>BRÄCKE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34338-2025</t>
        </is>
      </c>
      <c r="B1057" s="1" t="n">
        <v>45846.45711805556</v>
      </c>
      <c r="C1057" s="1" t="n">
        <v>45916</v>
      </c>
      <c r="D1057" t="inlineStr">
        <is>
          <t>JÄMTLANDS LÄN</t>
        </is>
      </c>
      <c r="E1057" t="inlineStr">
        <is>
          <t>BRÄCKE</t>
        </is>
      </c>
      <c r="G1057" t="n">
        <v>13.3</v>
      </c>
      <c r="H1057" t="n">
        <v>0</v>
      </c>
      <c r="I1057" t="n">
        <v>0</v>
      </c>
      <c r="J1057" t="n">
        <v>0</v>
      </c>
      <c r="K1057" t="n">
        <v>0</v>
      </c>
      <c r="L1057" t="n">
        <v>0</v>
      </c>
      <c r="M1057" t="n">
        <v>0</v>
      </c>
      <c r="N1057" t="n">
        <v>0</v>
      </c>
      <c r="O1057" t="n">
        <v>0</v>
      </c>
      <c r="P1057" t="n">
        <v>0</v>
      </c>
      <c r="Q1057" t="n">
        <v>0</v>
      </c>
      <c r="R1057" s="2" t="inlineStr"/>
    </row>
    <row r="1058" ht="15" customHeight="1">
      <c r="A1058" t="inlineStr">
        <is>
          <t>A 39088-2025</t>
        </is>
      </c>
      <c r="B1058" s="1" t="n">
        <v>45888.49105324074</v>
      </c>
      <c r="C1058" s="1" t="n">
        <v>45916</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39116-2025</t>
        </is>
      </c>
      <c r="B1059" s="1" t="n">
        <v>45888.55255787037</v>
      </c>
      <c r="C1059" s="1" t="n">
        <v>45916</v>
      </c>
      <c r="D1059" t="inlineStr">
        <is>
          <t>JÄMTLANDS LÄN</t>
        </is>
      </c>
      <c r="E1059" t="inlineStr">
        <is>
          <t>BRÄCKE</t>
        </is>
      </c>
      <c r="F1059" t="inlineStr">
        <is>
          <t>SCA</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34294-2025</t>
        </is>
      </c>
      <c r="B1060" s="1" t="n">
        <v>45846.34422453704</v>
      </c>
      <c r="C1060" s="1" t="n">
        <v>45916</v>
      </c>
      <c r="D1060" t="inlineStr">
        <is>
          <t>JÄMTLANDS LÄN</t>
        </is>
      </c>
      <c r="E1060" t="inlineStr">
        <is>
          <t>BRÄCKE</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24056-2022</t>
        </is>
      </c>
      <c r="B1061" s="1" t="n">
        <v>44724.938125</v>
      </c>
      <c r="C1061" s="1" t="n">
        <v>45916</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24049-2023</t>
        </is>
      </c>
      <c r="B1062" s="1" t="n">
        <v>45078.93966435185</v>
      </c>
      <c r="C1062" s="1" t="n">
        <v>45916</v>
      </c>
      <c r="D1062" t="inlineStr">
        <is>
          <t>JÄMTLANDS LÄN</t>
        </is>
      </c>
      <c r="E1062" t="inlineStr">
        <is>
          <t>BRÄCKE</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34469-2025</t>
        </is>
      </c>
      <c r="B1063" s="1" t="n">
        <v>45847.34608796296</v>
      </c>
      <c r="C1063" s="1" t="n">
        <v>45916</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39385-2025</t>
        </is>
      </c>
      <c r="B1064" s="1" t="n">
        <v>45889.61550925926</v>
      </c>
      <c r="C1064" s="1" t="n">
        <v>45916</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34322-2025</t>
        </is>
      </c>
      <c r="B1065" s="1" t="n">
        <v>45846.42747685185</v>
      </c>
      <c r="C1065" s="1" t="n">
        <v>45916</v>
      </c>
      <c r="D1065" t="inlineStr">
        <is>
          <t>JÄMTLANDS LÄN</t>
        </is>
      </c>
      <c r="E1065" t="inlineStr">
        <is>
          <t>BRÄCKE</t>
        </is>
      </c>
      <c r="F1065" t="inlineStr">
        <is>
          <t>SCA</t>
        </is>
      </c>
      <c r="G1065" t="n">
        <v>32.6</v>
      </c>
      <c r="H1065" t="n">
        <v>0</v>
      </c>
      <c r="I1065" t="n">
        <v>0</v>
      </c>
      <c r="J1065" t="n">
        <v>0</v>
      </c>
      <c r="K1065" t="n">
        <v>0</v>
      </c>
      <c r="L1065" t="n">
        <v>0</v>
      </c>
      <c r="M1065" t="n">
        <v>0</v>
      </c>
      <c r="N1065" t="n">
        <v>0</v>
      </c>
      <c r="O1065" t="n">
        <v>0</v>
      </c>
      <c r="P1065" t="n">
        <v>0</v>
      </c>
      <c r="Q1065" t="n">
        <v>0</v>
      </c>
      <c r="R1065" s="2" t="inlineStr"/>
    </row>
    <row r="1066" ht="15" customHeight="1">
      <c r="A1066" t="inlineStr">
        <is>
          <t>A 39272-2025</t>
        </is>
      </c>
      <c r="B1066" s="1" t="n">
        <v>45889.38640046296</v>
      </c>
      <c r="C1066" s="1" t="n">
        <v>45916</v>
      </c>
      <c r="D1066" t="inlineStr">
        <is>
          <t>JÄMTLANDS LÄN</t>
        </is>
      </c>
      <c r="E1066" t="inlineStr">
        <is>
          <t>BRÄCKE</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34613-2025</t>
        </is>
      </c>
      <c r="B1067" s="1" t="n">
        <v>45847.67751157407</v>
      </c>
      <c r="C1067" s="1" t="n">
        <v>45916</v>
      </c>
      <c r="D1067" t="inlineStr">
        <is>
          <t>JÄMTLANDS LÄN</t>
        </is>
      </c>
      <c r="E1067" t="inlineStr">
        <is>
          <t>BRÄCKE</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34614-2025</t>
        </is>
      </c>
      <c r="B1068" s="1" t="n">
        <v>45847.67768518518</v>
      </c>
      <c r="C1068" s="1" t="n">
        <v>45916</v>
      </c>
      <c r="D1068" t="inlineStr">
        <is>
          <t>JÄMTLANDS LÄN</t>
        </is>
      </c>
      <c r="E1068" t="inlineStr">
        <is>
          <t>BRÄCKE</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39355-2025</t>
        </is>
      </c>
      <c r="B1069" s="1" t="n">
        <v>45889.55252314815</v>
      </c>
      <c r="C1069" s="1" t="n">
        <v>45916</v>
      </c>
      <c r="D1069" t="inlineStr">
        <is>
          <t>JÄMTLANDS LÄN</t>
        </is>
      </c>
      <c r="E1069" t="inlineStr">
        <is>
          <t>BRÄCKE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20624-2023</t>
        </is>
      </c>
      <c r="B1070" s="1" t="n">
        <v>45057.94346064814</v>
      </c>
      <c r="C1070" s="1" t="n">
        <v>45916</v>
      </c>
      <c r="D1070" t="inlineStr">
        <is>
          <t>JÄMTLANDS LÄN</t>
        </is>
      </c>
      <c r="E1070" t="inlineStr">
        <is>
          <t>BRÄCKE</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39273-2025</t>
        </is>
      </c>
      <c r="B1071" s="1" t="n">
        <v>45889.38655092593</v>
      </c>
      <c r="C1071" s="1" t="n">
        <v>45916</v>
      </c>
      <c r="D1071" t="inlineStr">
        <is>
          <t>JÄMTLANDS LÄN</t>
        </is>
      </c>
      <c r="E1071" t="inlineStr">
        <is>
          <t>BRÄCKE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57073-2020</t>
        </is>
      </c>
      <c r="B1072" s="1" t="n">
        <v>44138</v>
      </c>
      <c r="C1072" s="1" t="n">
        <v>45916</v>
      </c>
      <c r="D1072" t="inlineStr">
        <is>
          <t>JÄMTLANDS LÄN</t>
        </is>
      </c>
      <c r="E1072" t="inlineStr">
        <is>
          <t>BRÄCKE</t>
        </is>
      </c>
      <c r="F1072" t="inlineStr">
        <is>
          <t>SCA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39086-2025</t>
        </is>
      </c>
      <c r="B1073" s="1" t="n">
        <v>45888.49046296296</v>
      </c>
      <c r="C1073" s="1" t="n">
        <v>45916</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39376-2025</t>
        </is>
      </c>
      <c r="B1074" s="1" t="n">
        <v>45889.59425925926</v>
      </c>
      <c r="C1074" s="1" t="n">
        <v>45916</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17313-2025</t>
        </is>
      </c>
      <c r="B1075" s="1" t="n">
        <v>45756.61498842593</v>
      </c>
      <c r="C1075" s="1" t="n">
        <v>45916</v>
      </c>
      <c r="D1075" t="inlineStr">
        <is>
          <t>JÄMTLANDS LÄN</t>
        </is>
      </c>
      <c r="E1075" t="inlineStr">
        <is>
          <t>BRÄCKE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39117-2025</t>
        </is>
      </c>
      <c r="B1076" s="1" t="n">
        <v>45888.55275462963</v>
      </c>
      <c r="C1076" s="1" t="n">
        <v>45916</v>
      </c>
      <c r="D1076" t="inlineStr">
        <is>
          <t>JÄMTLANDS LÄN</t>
        </is>
      </c>
      <c r="E1076" t="inlineStr">
        <is>
          <t>BRÄCKE</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39344-2025</t>
        </is>
      </c>
      <c r="B1077" s="1" t="n">
        <v>45889.53175925926</v>
      </c>
      <c r="C1077" s="1" t="n">
        <v>45916</v>
      </c>
      <c r="D1077" t="inlineStr">
        <is>
          <t>JÄMTLANDS LÄN</t>
        </is>
      </c>
      <c r="E1077" t="inlineStr">
        <is>
          <t>BRÄCKE</t>
        </is>
      </c>
      <c r="F1077" t="inlineStr">
        <is>
          <t>SCA</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64302-2023</t>
        </is>
      </c>
      <c r="B1078" s="1" t="n">
        <v>45280</v>
      </c>
      <c r="C1078" s="1" t="n">
        <v>45916</v>
      </c>
      <c r="D1078" t="inlineStr">
        <is>
          <t>JÄMTLANDS LÄN</t>
        </is>
      </c>
      <c r="E1078" t="inlineStr">
        <is>
          <t>BRÄCKE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39052-2025</t>
        </is>
      </c>
      <c r="B1079" s="1" t="n">
        <v>45888.44829861111</v>
      </c>
      <c r="C1079" s="1" t="n">
        <v>45916</v>
      </c>
      <c r="D1079" t="inlineStr">
        <is>
          <t>JÄMTLANDS LÄN</t>
        </is>
      </c>
      <c r="E1079" t="inlineStr">
        <is>
          <t>BRÄCKE</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39087-2025</t>
        </is>
      </c>
      <c r="B1080" s="1" t="n">
        <v>45888.49076388889</v>
      </c>
      <c r="C1080" s="1" t="n">
        <v>45916</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34518-2025</t>
        </is>
      </c>
      <c r="B1081" s="1" t="n">
        <v>45847.46910879629</v>
      </c>
      <c r="C1081" s="1" t="n">
        <v>45916</v>
      </c>
      <c r="D1081" t="inlineStr">
        <is>
          <t>JÄMTLANDS LÄN</t>
        </is>
      </c>
      <c r="E1081" t="inlineStr">
        <is>
          <t>BRÄCKE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35564-2021</t>
        </is>
      </c>
      <c r="B1082" s="1" t="n">
        <v>44385.93597222222</v>
      </c>
      <c r="C1082" s="1" t="n">
        <v>45916</v>
      </c>
      <c r="D1082" t="inlineStr">
        <is>
          <t>JÄMTLANDS LÄN</t>
        </is>
      </c>
      <c r="E1082" t="inlineStr">
        <is>
          <t>BRÄCKE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15779-2025</t>
        </is>
      </c>
      <c r="B1083" s="1" t="n">
        <v>45748.60634259259</v>
      </c>
      <c r="C1083" s="1" t="n">
        <v>45916</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45916</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16322-2025</t>
        </is>
      </c>
      <c r="B1085" s="1" t="n">
        <v>45751.34886574074</v>
      </c>
      <c r="C1085" s="1" t="n">
        <v>45916</v>
      </c>
      <c r="D1085" t="inlineStr">
        <is>
          <t>JÄMTLANDS LÄN</t>
        </is>
      </c>
      <c r="E1085" t="inlineStr">
        <is>
          <t>BRÄCKE</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39377-2025</t>
        </is>
      </c>
      <c r="B1086" s="1" t="n">
        <v>45889.59434027778</v>
      </c>
      <c r="C1086" s="1" t="n">
        <v>45916</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30685-2024</t>
        </is>
      </c>
      <c r="B1087" s="1" t="n">
        <v>45495.95159722222</v>
      </c>
      <c r="C1087" s="1" t="n">
        <v>45916</v>
      </c>
      <c r="D1087" t="inlineStr">
        <is>
          <t>JÄMTLANDS LÄN</t>
        </is>
      </c>
      <c r="E1087" t="inlineStr">
        <is>
          <t>BRÄCKE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39100-2025</t>
        </is>
      </c>
      <c r="B1088" s="1" t="n">
        <v>45888.5108912037</v>
      </c>
      <c r="C1088" s="1" t="n">
        <v>45916</v>
      </c>
      <c r="D1088" t="inlineStr">
        <is>
          <t>JÄMTLANDS LÄN</t>
        </is>
      </c>
      <c r="E1088" t="inlineStr">
        <is>
          <t>BRÄCKE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54571-2021</t>
        </is>
      </c>
      <c r="B1089" s="1" t="n">
        <v>44473</v>
      </c>
      <c r="C1089" s="1" t="n">
        <v>45916</v>
      </c>
      <c r="D1089" t="inlineStr">
        <is>
          <t>JÄMTLANDS LÄN</t>
        </is>
      </c>
      <c r="E1089" t="inlineStr">
        <is>
          <t>BRÄCKE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23640-2024</t>
        </is>
      </c>
      <c r="B1090" s="1" t="n">
        <v>45454.49516203703</v>
      </c>
      <c r="C1090" s="1" t="n">
        <v>45916</v>
      </c>
      <c r="D1090" t="inlineStr">
        <is>
          <t>JÄMTLANDS LÄN</t>
        </is>
      </c>
      <c r="E1090" t="inlineStr">
        <is>
          <t>BRÄCKE</t>
        </is>
      </c>
      <c r="G1090" t="n">
        <v>19.4</v>
      </c>
      <c r="H1090" t="n">
        <v>0</v>
      </c>
      <c r="I1090" t="n">
        <v>0</v>
      </c>
      <c r="J1090" t="n">
        <v>0</v>
      </c>
      <c r="K1090" t="n">
        <v>0</v>
      </c>
      <c r="L1090" t="n">
        <v>0</v>
      </c>
      <c r="M1090" t="n">
        <v>0</v>
      </c>
      <c r="N1090" t="n">
        <v>0</v>
      </c>
      <c r="O1090" t="n">
        <v>0</v>
      </c>
      <c r="P1090" t="n">
        <v>0</v>
      </c>
      <c r="Q1090" t="n">
        <v>0</v>
      </c>
      <c r="R1090" s="2" t="inlineStr"/>
    </row>
    <row r="1091" ht="15" customHeight="1">
      <c r="A1091" t="inlineStr">
        <is>
          <t>A 39767-2025</t>
        </is>
      </c>
      <c r="B1091" s="1" t="n">
        <v>45891.44828703703</v>
      </c>
      <c r="C1091" s="1" t="n">
        <v>45916</v>
      </c>
      <c r="D1091" t="inlineStr">
        <is>
          <t>JÄMTLANDS LÄN</t>
        </is>
      </c>
      <c r="E1091" t="inlineStr">
        <is>
          <t>BRÄCKE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46860-2023</t>
        </is>
      </c>
      <c r="B1092" s="1" t="n">
        <v>45200.12724537037</v>
      </c>
      <c r="C1092" s="1" t="n">
        <v>45916</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34983-2025</t>
        </is>
      </c>
      <c r="B1093" s="1" t="n">
        <v>45849.71234953704</v>
      </c>
      <c r="C1093" s="1" t="n">
        <v>45916</v>
      </c>
      <c r="D1093" t="inlineStr">
        <is>
          <t>JÄMTLANDS LÄN</t>
        </is>
      </c>
      <c r="E1093" t="inlineStr">
        <is>
          <t>BRÄCKE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34680-2025</t>
        </is>
      </c>
      <c r="B1094" s="1" t="n">
        <v>45848.42799768518</v>
      </c>
      <c r="C1094" s="1" t="n">
        <v>45916</v>
      </c>
      <c r="D1094" t="inlineStr">
        <is>
          <t>JÄMTLANDS LÄN</t>
        </is>
      </c>
      <c r="E1094" t="inlineStr">
        <is>
          <t>BRÄCKE</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39532-2025</t>
        </is>
      </c>
      <c r="B1095" s="1" t="n">
        <v>45890.44847222222</v>
      </c>
      <c r="C1095" s="1" t="n">
        <v>45916</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39505-2025</t>
        </is>
      </c>
      <c r="B1096" s="1" t="n">
        <v>45890.40689814815</v>
      </c>
      <c r="C1096" s="1" t="n">
        <v>45916</v>
      </c>
      <c r="D1096" t="inlineStr">
        <is>
          <t>JÄMTLANDS LÄN</t>
        </is>
      </c>
      <c r="E1096" t="inlineStr">
        <is>
          <t>BRÄCKE</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39535-2025</t>
        </is>
      </c>
      <c r="B1097" s="1" t="n">
        <v>45890.44881944444</v>
      </c>
      <c r="C1097" s="1" t="n">
        <v>45916</v>
      </c>
      <c r="D1097" t="inlineStr">
        <is>
          <t>JÄMTLANDS LÄN</t>
        </is>
      </c>
      <c r="E1097" t="inlineStr">
        <is>
          <t>BRÄCKE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39666-2025</t>
        </is>
      </c>
      <c r="B1098" s="1" t="n">
        <v>45890.63628472222</v>
      </c>
      <c r="C1098" s="1" t="n">
        <v>45916</v>
      </c>
      <c r="D1098" t="inlineStr">
        <is>
          <t>JÄMTLANDS LÄN</t>
        </is>
      </c>
      <c r="E1098" t="inlineStr">
        <is>
          <t>BRÄCKE</t>
        </is>
      </c>
      <c r="F1098" t="inlineStr">
        <is>
          <t>SCA</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34828-2025</t>
        </is>
      </c>
      <c r="B1099" s="1" t="n">
        <v>45849.38579861111</v>
      </c>
      <c r="C1099" s="1" t="n">
        <v>45916</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39506-2025</t>
        </is>
      </c>
      <c r="B1100" s="1" t="n">
        <v>45890.40703703704</v>
      </c>
      <c r="C1100" s="1" t="n">
        <v>45916</v>
      </c>
      <c r="D1100" t="inlineStr">
        <is>
          <t>JÄMTLANDS LÄN</t>
        </is>
      </c>
      <c r="E1100" t="inlineStr">
        <is>
          <t>BRÄCKE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53260-2024</t>
        </is>
      </c>
      <c r="B1101" s="1" t="n">
        <v>45614</v>
      </c>
      <c r="C1101" s="1" t="n">
        <v>45916</v>
      </c>
      <c r="D1101" t="inlineStr">
        <is>
          <t>JÄMTLANDS LÄN</t>
        </is>
      </c>
      <c r="E1101" t="inlineStr">
        <is>
          <t>BRÄCKE</t>
        </is>
      </c>
      <c r="F1101" t="inlineStr">
        <is>
          <t>SCA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34746-2025</t>
        </is>
      </c>
      <c r="B1102" s="1" t="n">
        <v>45848.61505787037</v>
      </c>
      <c r="C1102" s="1" t="n">
        <v>45916</v>
      </c>
      <c r="D1102" t="inlineStr">
        <is>
          <t>JÄMTLANDS LÄN</t>
        </is>
      </c>
      <c r="E1102" t="inlineStr">
        <is>
          <t>BRÄCKE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59416-2023</t>
        </is>
      </c>
      <c r="B1103" s="1" t="n">
        <v>45253</v>
      </c>
      <c r="C1103" s="1" t="n">
        <v>45916</v>
      </c>
      <c r="D1103" t="inlineStr">
        <is>
          <t>JÄMTLANDS LÄN</t>
        </is>
      </c>
      <c r="E1103" t="inlineStr">
        <is>
          <t>BRÄCKE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34648-2025</t>
        </is>
      </c>
      <c r="B1104" s="1" t="n">
        <v>45848.34487268519</v>
      </c>
      <c r="C1104" s="1" t="n">
        <v>45916</v>
      </c>
      <c r="D1104" t="inlineStr">
        <is>
          <t>JÄMTLANDS LÄN</t>
        </is>
      </c>
      <c r="E1104" t="inlineStr">
        <is>
          <t>BRÄCKE</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39487-2025</t>
        </is>
      </c>
      <c r="B1105" s="1" t="n">
        <v>45890.3650462963</v>
      </c>
      <c r="C1105" s="1" t="n">
        <v>45916</v>
      </c>
      <c r="D1105" t="inlineStr">
        <is>
          <t>JÄMTLANDS LÄN</t>
        </is>
      </c>
      <c r="E1105" t="inlineStr">
        <is>
          <t>BRÄCKE</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21183-2023</t>
        </is>
      </c>
      <c r="B1106" s="1" t="n">
        <v>45058</v>
      </c>
      <c r="C1106" s="1" t="n">
        <v>45916</v>
      </c>
      <c r="D1106" t="inlineStr">
        <is>
          <t>JÄMTLANDS LÄN</t>
        </is>
      </c>
      <c r="E1106" t="inlineStr">
        <is>
          <t>BRÄCKE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49709-2024</t>
        </is>
      </c>
      <c r="B1107" s="1" t="n">
        <v>45596.69858796296</v>
      </c>
      <c r="C1107" s="1" t="n">
        <v>45916</v>
      </c>
      <c r="D1107" t="inlineStr">
        <is>
          <t>JÄMTLANDS LÄN</t>
        </is>
      </c>
      <c r="E1107" t="inlineStr">
        <is>
          <t>BRÄCKE</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61663-2022</t>
        </is>
      </c>
      <c r="B1108" s="1" t="n">
        <v>44916</v>
      </c>
      <c r="C1108" s="1" t="n">
        <v>45916</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39680-2025</t>
        </is>
      </c>
      <c r="B1109" s="1" t="n">
        <v>45890.65677083333</v>
      </c>
      <c r="C1109" s="1" t="n">
        <v>45916</v>
      </c>
      <c r="D1109" t="inlineStr">
        <is>
          <t>JÄMTLANDS LÄN</t>
        </is>
      </c>
      <c r="E1109" t="inlineStr">
        <is>
          <t>BRÄCKE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34783-2025</t>
        </is>
      </c>
      <c r="B1110" s="1" t="n">
        <v>45848.67740740741</v>
      </c>
      <c r="C1110" s="1" t="n">
        <v>45916</v>
      </c>
      <c r="D1110" t="inlineStr">
        <is>
          <t>JÄMTLANDS LÄN</t>
        </is>
      </c>
      <c r="E1110" t="inlineStr">
        <is>
          <t>BRÄCKE</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34773-2025</t>
        </is>
      </c>
      <c r="B1111" s="1" t="n">
        <v>45848.65672453704</v>
      </c>
      <c r="C1111" s="1" t="n">
        <v>45916</v>
      </c>
      <c r="D1111" t="inlineStr">
        <is>
          <t>JÄMTLANDS LÄN</t>
        </is>
      </c>
      <c r="E1111" t="inlineStr">
        <is>
          <t>BRÄCKE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58079-2023</t>
        </is>
      </c>
      <c r="B1112" s="1" t="n">
        <v>45247.96510416667</v>
      </c>
      <c r="C1112" s="1" t="n">
        <v>45916</v>
      </c>
      <c r="D1112" t="inlineStr">
        <is>
          <t>JÄMTLANDS LÄN</t>
        </is>
      </c>
      <c r="E1112" t="inlineStr">
        <is>
          <t>BRÄCKE</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45916</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39901-2025</t>
        </is>
      </c>
      <c r="B1114" s="1" t="n">
        <v>45891.63577546296</v>
      </c>
      <c r="C1114" s="1" t="n">
        <v>45916</v>
      </c>
      <c r="D1114" t="inlineStr">
        <is>
          <t>JÄMTLANDS LÄN</t>
        </is>
      </c>
      <c r="E1114" t="inlineStr">
        <is>
          <t>BRÄCKE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46952-2021</t>
        </is>
      </c>
      <c r="B1115" s="1" t="n">
        <v>44446</v>
      </c>
      <c r="C1115" s="1" t="n">
        <v>45916</v>
      </c>
      <c r="D1115" t="inlineStr">
        <is>
          <t>JÄMTLANDS LÄN</t>
        </is>
      </c>
      <c r="E1115" t="inlineStr">
        <is>
          <t>BRÄCKE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34912-2025</t>
        </is>
      </c>
      <c r="B1116" s="1" t="n">
        <v>45849.5378587963</v>
      </c>
      <c r="C1116" s="1" t="n">
        <v>45916</v>
      </c>
      <c r="D1116" t="inlineStr">
        <is>
          <t>JÄMTLANDS LÄN</t>
        </is>
      </c>
      <c r="E1116" t="inlineStr">
        <is>
          <t>BRÄCKE</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39745-2025</t>
        </is>
      </c>
      <c r="B1117" s="1" t="n">
        <v>45891.38579861111</v>
      </c>
      <c r="C1117" s="1" t="n">
        <v>45916</v>
      </c>
      <c r="D1117" t="inlineStr">
        <is>
          <t>JÄMTLANDS LÄN</t>
        </is>
      </c>
      <c r="E1117" t="inlineStr">
        <is>
          <t>BRÄCKE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39122-2024</t>
        </is>
      </c>
      <c r="B1118" s="1" t="n">
        <v>45548.5940162037</v>
      </c>
      <c r="C1118" s="1" t="n">
        <v>45916</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39933-2025</t>
        </is>
      </c>
      <c r="B1119" s="1" t="n">
        <v>45891.71150462963</v>
      </c>
      <c r="C1119" s="1" t="n">
        <v>45916</v>
      </c>
      <c r="D1119" t="inlineStr">
        <is>
          <t>JÄMTLANDS LÄN</t>
        </is>
      </c>
      <c r="E1119" t="inlineStr">
        <is>
          <t>BRÄCKE</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34786-2025</t>
        </is>
      </c>
      <c r="B1120" s="1" t="n">
        <v>45848.67784722222</v>
      </c>
      <c r="C1120" s="1" t="n">
        <v>45916</v>
      </c>
      <c r="D1120" t="inlineStr">
        <is>
          <t>JÄMTLANDS LÄN</t>
        </is>
      </c>
      <c r="E1120" t="inlineStr">
        <is>
          <t>BRÄCKE</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49185-2024</t>
        </is>
      </c>
      <c r="B1121" s="1" t="n">
        <v>45595.34466435185</v>
      </c>
      <c r="C1121" s="1" t="n">
        <v>45916</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11699-2025</t>
        </is>
      </c>
      <c r="B1122" s="1" t="n">
        <v>45727.57402777778</v>
      </c>
      <c r="C1122" s="1" t="n">
        <v>45916</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24974-2024</t>
        </is>
      </c>
      <c r="B1123" s="1" t="n">
        <v>45461</v>
      </c>
      <c r="C1123" s="1" t="n">
        <v>45916</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40133-2025</t>
        </is>
      </c>
      <c r="B1124" s="1" t="n">
        <v>45894.55248842593</v>
      </c>
      <c r="C1124" s="1" t="n">
        <v>45916</v>
      </c>
      <c r="D1124" t="inlineStr">
        <is>
          <t>JÄMTLANDS LÄN</t>
        </is>
      </c>
      <c r="E1124" t="inlineStr">
        <is>
          <t>BRÄCKE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40411-2025</t>
        </is>
      </c>
      <c r="B1125" s="1" t="n">
        <v>45895.57373842593</v>
      </c>
      <c r="C1125" s="1" t="n">
        <v>45916</v>
      </c>
      <c r="D1125" t="inlineStr">
        <is>
          <t>JÄMTLANDS LÄN</t>
        </is>
      </c>
      <c r="E1125" t="inlineStr">
        <is>
          <t>BRÄCKE</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48900-2023</t>
        </is>
      </c>
      <c r="B1126" s="1" t="n">
        <v>45209</v>
      </c>
      <c r="C1126" s="1" t="n">
        <v>45916</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57011-2022</t>
        </is>
      </c>
      <c r="B1127" s="1" t="n">
        <v>44894</v>
      </c>
      <c r="C1127" s="1" t="n">
        <v>45916</v>
      </c>
      <c r="D1127" t="inlineStr">
        <is>
          <t>JÄMTLANDS LÄN</t>
        </is>
      </c>
      <c r="E1127" t="inlineStr">
        <is>
          <t>BRÄCKE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28738-2022</t>
        </is>
      </c>
      <c r="B1128" s="1" t="n">
        <v>44748.94701388889</v>
      </c>
      <c r="C1128" s="1" t="n">
        <v>45916</v>
      </c>
      <c r="D1128" t="inlineStr">
        <is>
          <t>JÄMTLANDS LÄN</t>
        </is>
      </c>
      <c r="E1128" t="inlineStr">
        <is>
          <t>BRÄCKE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35060-2025</t>
        </is>
      </c>
      <c r="B1129" s="1" t="n">
        <v>45852.42747685185</v>
      </c>
      <c r="C1129" s="1" t="n">
        <v>45916</v>
      </c>
      <c r="D1129" t="inlineStr">
        <is>
          <t>JÄMTLANDS LÄN</t>
        </is>
      </c>
      <c r="E1129" t="inlineStr">
        <is>
          <t>BRÄCKE</t>
        </is>
      </c>
      <c r="F1129" t="inlineStr">
        <is>
          <t>SCA</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38862-2024</t>
        </is>
      </c>
      <c r="B1130" s="1" t="n">
        <v>45547.63063657407</v>
      </c>
      <c r="C1130" s="1" t="n">
        <v>45916</v>
      </c>
      <c r="D1130" t="inlineStr">
        <is>
          <t>JÄMTLANDS LÄN</t>
        </is>
      </c>
      <c r="E1130" t="inlineStr">
        <is>
          <t>BRÄCKE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26437-2022</t>
        </is>
      </c>
      <c r="B1131" s="1" t="n">
        <v>44736.93912037037</v>
      </c>
      <c r="C1131" s="1" t="n">
        <v>45916</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29107-2025</t>
        </is>
      </c>
      <c r="B1132" s="1" t="n">
        <v>45821.58030092593</v>
      </c>
      <c r="C1132" s="1" t="n">
        <v>45916</v>
      </c>
      <c r="D1132" t="inlineStr">
        <is>
          <t>JÄMTLANDS LÄN</t>
        </is>
      </c>
      <c r="E1132" t="inlineStr">
        <is>
          <t>BRÄCKE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57412-2023</t>
        </is>
      </c>
      <c r="B1133" s="1" t="n">
        <v>45245</v>
      </c>
      <c r="C1133" s="1" t="n">
        <v>45916</v>
      </c>
      <c r="D1133" t="inlineStr">
        <is>
          <t>JÄMTLANDS LÄN</t>
        </is>
      </c>
      <c r="E1133" t="inlineStr">
        <is>
          <t>BRÄCKE</t>
        </is>
      </c>
      <c r="F1133" t="inlineStr">
        <is>
          <t>SCA</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57419-2023</t>
        </is>
      </c>
      <c r="B1134" s="1" t="n">
        <v>45245.96983796296</v>
      </c>
      <c r="C1134" s="1" t="n">
        <v>45916</v>
      </c>
      <c r="D1134" t="inlineStr">
        <is>
          <t>JÄMTLANDS LÄN</t>
        </is>
      </c>
      <c r="E1134" t="inlineStr">
        <is>
          <t>BRÄCKE</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1127-2025</t>
        </is>
      </c>
      <c r="B1135" s="1" t="n">
        <v>45666.67756944444</v>
      </c>
      <c r="C1135" s="1" t="n">
        <v>45916</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62871-2020</t>
        </is>
      </c>
      <c r="B1136" s="1" t="n">
        <v>44161</v>
      </c>
      <c r="C1136" s="1" t="n">
        <v>45916</v>
      </c>
      <c r="D1136" t="inlineStr">
        <is>
          <t>JÄMTLANDS LÄN</t>
        </is>
      </c>
      <c r="E1136" t="inlineStr">
        <is>
          <t>BRÄCKE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14290-2025</t>
        </is>
      </c>
      <c r="B1137" s="1" t="n">
        <v>45740.67755787037</v>
      </c>
      <c r="C1137" s="1" t="n">
        <v>45916</v>
      </c>
      <c r="D1137" t="inlineStr">
        <is>
          <t>JÄMTLANDS LÄN</t>
        </is>
      </c>
      <c r="E1137" t="inlineStr">
        <is>
          <t>BRÄCKE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41647-2023</t>
        </is>
      </c>
      <c r="B1138" s="1" t="n">
        <v>45175.95690972222</v>
      </c>
      <c r="C1138" s="1" t="n">
        <v>45916</v>
      </c>
      <c r="D1138" t="inlineStr">
        <is>
          <t>JÄMTLANDS LÄN</t>
        </is>
      </c>
      <c r="E1138" t="inlineStr">
        <is>
          <t>BRÄCKE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5052-2024</t>
        </is>
      </c>
      <c r="B1139" s="1" t="n">
        <v>45329.93077546296</v>
      </c>
      <c r="C1139" s="1" t="n">
        <v>45916</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5053-2024</t>
        </is>
      </c>
      <c r="B1140" s="1" t="n">
        <v>45329.93084490741</v>
      </c>
      <c r="C1140" s="1" t="n">
        <v>45916</v>
      </c>
      <c r="D1140" t="inlineStr">
        <is>
          <t>JÄMTLANDS LÄN</t>
        </is>
      </c>
      <c r="E1140" t="inlineStr">
        <is>
          <t>BRÄCKE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10110-2025</t>
        </is>
      </c>
      <c r="B1141" s="1" t="n">
        <v>45719.58855324074</v>
      </c>
      <c r="C1141" s="1" t="n">
        <v>45916</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40334-2025</t>
        </is>
      </c>
      <c r="B1142" s="1" t="n">
        <v>45895.46305555556</v>
      </c>
      <c r="C1142" s="1" t="n">
        <v>45916</v>
      </c>
      <c r="D1142" t="inlineStr">
        <is>
          <t>JÄMTLANDS LÄN</t>
        </is>
      </c>
      <c r="E1142" t="inlineStr">
        <is>
          <t>BRÄCKE</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16372-2023</t>
        </is>
      </c>
      <c r="B1143" s="1" t="n">
        <v>45028.94083333333</v>
      </c>
      <c r="C1143" s="1" t="n">
        <v>45916</v>
      </c>
      <c r="D1143" t="inlineStr">
        <is>
          <t>JÄMTLANDS LÄN</t>
        </is>
      </c>
      <c r="E1143" t="inlineStr">
        <is>
          <t>BRÄCKE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31692-2024</t>
        </is>
      </c>
      <c r="B1144" s="1" t="n">
        <v>45507.95684027778</v>
      </c>
      <c r="C1144" s="1" t="n">
        <v>45916</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35229-2025</t>
        </is>
      </c>
      <c r="B1145" s="1" t="n">
        <v>45853.59420138889</v>
      </c>
      <c r="C1145" s="1" t="n">
        <v>45916</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35216-2025</t>
        </is>
      </c>
      <c r="B1146" s="1" t="n">
        <v>45853.49005787037</v>
      </c>
      <c r="C1146" s="1" t="n">
        <v>45916</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53608-2024</t>
        </is>
      </c>
      <c r="B1147" s="1" t="n">
        <v>45614</v>
      </c>
      <c r="C1147" s="1" t="n">
        <v>45916</v>
      </c>
      <c r="D1147" t="inlineStr">
        <is>
          <t>JÄMTLANDS LÄN</t>
        </is>
      </c>
      <c r="E1147" t="inlineStr">
        <is>
          <t>BRÄCKE</t>
        </is>
      </c>
      <c r="F1147" t="inlineStr">
        <is>
          <t>SCA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51270-2022</t>
        </is>
      </c>
      <c r="B1148" s="1" t="n">
        <v>44866</v>
      </c>
      <c r="C1148" s="1" t="n">
        <v>45916</v>
      </c>
      <c r="D1148" t="inlineStr">
        <is>
          <t>JÄMTLANDS LÄN</t>
        </is>
      </c>
      <c r="E1148" t="inlineStr">
        <is>
          <t>BRÄCKE</t>
        </is>
      </c>
      <c r="F1148" t="inlineStr">
        <is>
          <t>Kommuner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52127-2023</t>
        </is>
      </c>
      <c r="B1149" s="1" t="n">
        <v>45223.96543981481</v>
      </c>
      <c r="C1149" s="1" t="n">
        <v>45916</v>
      </c>
      <c r="D1149" t="inlineStr">
        <is>
          <t>JÄMTLANDS LÄN</t>
        </is>
      </c>
      <c r="E1149" t="inlineStr">
        <is>
          <t>BRÄCKE</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40748-2025</t>
        </is>
      </c>
      <c r="B1150" s="1" t="n">
        <v>45897.38009259259</v>
      </c>
      <c r="C1150" s="1" t="n">
        <v>45916</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61141-2020</t>
        </is>
      </c>
      <c r="B1151" s="1" t="n">
        <v>44154</v>
      </c>
      <c r="C1151" s="1" t="n">
        <v>45916</v>
      </c>
      <c r="D1151" t="inlineStr">
        <is>
          <t>JÄMTLANDS LÄN</t>
        </is>
      </c>
      <c r="E1151" t="inlineStr">
        <is>
          <t>BRÄCKE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61144-2020</t>
        </is>
      </c>
      <c r="B1152" s="1" t="n">
        <v>44154</v>
      </c>
      <c r="C1152" s="1" t="n">
        <v>45916</v>
      </c>
      <c r="D1152" t="inlineStr">
        <is>
          <t>JÄMTLANDS LÄN</t>
        </is>
      </c>
      <c r="E1152" t="inlineStr">
        <is>
          <t>BRÄCKE</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40757-2025</t>
        </is>
      </c>
      <c r="B1153" s="1" t="n">
        <v>45897.39034722222</v>
      </c>
      <c r="C1153" s="1" t="n">
        <v>45916</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35325-2025</t>
        </is>
      </c>
      <c r="B1154" s="1" t="n">
        <v>45854.52606481482</v>
      </c>
      <c r="C1154" s="1" t="n">
        <v>45916</v>
      </c>
      <c r="D1154" t="inlineStr">
        <is>
          <t>JÄMTLANDS LÄN</t>
        </is>
      </c>
      <c r="E1154" t="inlineStr">
        <is>
          <t>BRÄCKE</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26351-2023</t>
        </is>
      </c>
      <c r="B1155" s="1" t="n">
        <v>45091</v>
      </c>
      <c r="C1155" s="1" t="n">
        <v>45916</v>
      </c>
      <c r="D1155" t="inlineStr">
        <is>
          <t>JÄMTLANDS LÄN</t>
        </is>
      </c>
      <c r="E1155" t="inlineStr">
        <is>
          <t>BRÄCKE</t>
        </is>
      </c>
      <c r="F1155" t="inlineStr">
        <is>
          <t>SCA</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40871-2025</t>
        </is>
      </c>
      <c r="B1156" s="1" t="n">
        <v>45897.57418981481</v>
      </c>
      <c r="C1156" s="1" t="n">
        <v>45916</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51832-2023</t>
        </is>
      </c>
      <c r="B1157" s="1" t="n">
        <v>45222.96841435185</v>
      </c>
      <c r="C1157" s="1" t="n">
        <v>45916</v>
      </c>
      <c r="D1157" t="inlineStr">
        <is>
          <t>JÄMTLANDS LÄN</t>
        </is>
      </c>
      <c r="E1157" t="inlineStr">
        <is>
          <t>BRÄCKE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35324-2025</t>
        </is>
      </c>
      <c r="B1158" s="1" t="n">
        <v>45854.51079861111</v>
      </c>
      <c r="C1158" s="1" t="n">
        <v>45916</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35326-2025</t>
        </is>
      </c>
      <c r="B1159" s="1" t="n">
        <v>45854.52724537037</v>
      </c>
      <c r="C1159" s="1" t="n">
        <v>45916</v>
      </c>
      <c r="D1159" t="inlineStr">
        <is>
          <t>JÄMTLANDS LÄN</t>
        </is>
      </c>
      <c r="E1159" t="inlineStr">
        <is>
          <t>BRÄCKE</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40900-2025</t>
        </is>
      </c>
      <c r="B1160" s="1" t="n">
        <v>45897.61546296296</v>
      </c>
      <c r="C1160" s="1" t="n">
        <v>45916</v>
      </c>
      <c r="D1160" t="inlineStr">
        <is>
          <t>JÄMTLANDS LÄN</t>
        </is>
      </c>
      <c r="E1160" t="inlineStr">
        <is>
          <t>BRÄCKE</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40903-2025</t>
        </is>
      </c>
      <c r="B1161" s="1" t="n">
        <v>45897.61609953704</v>
      </c>
      <c r="C1161" s="1" t="n">
        <v>45916</v>
      </c>
      <c r="D1161" t="inlineStr">
        <is>
          <t>JÄMTLANDS LÄN</t>
        </is>
      </c>
      <c r="E1161" t="inlineStr">
        <is>
          <t>BRÄCKE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40809-2025</t>
        </is>
      </c>
      <c r="B1162" s="1" t="n">
        <v>45897.46936342592</v>
      </c>
      <c r="C1162" s="1" t="n">
        <v>45916</v>
      </c>
      <c r="D1162" t="inlineStr">
        <is>
          <t>JÄMTLANDS LÄN</t>
        </is>
      </c>
      <c r="E1162" t="inlineStr">
        <is>
          <t>BRÄCKE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40832-2025</t>
        </is>
      </c>
      <c r="B1163" s="1" t="n">
        <v>45897.51096064815</v>
      </c>
      <c r="C1163" s="1" t="n">
        <v>45916</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40793-2025</t>
        </is>
      </c>
      <c r="B1164" s="1" t="n">
        <v>45897.44868055556</v>
      </c>
      <c r="C1164" s="1" t="n">
        <v>45916</v>
      </c>
      <c r="D1164" t="inlineStr">
        <is>
          <t>JÄMTLANDS LÄN</t>
        </is>
      </c>
      <c r="E1164" t="inlineStr">
        <is>
          <t>BRÄCKE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35445-2025</t>
        </is>
      </c>
      <c r="B1165" s="1" t="n">
        <v>45855.53196759259</v>
      </c>
      <c r="C1165" s="1" t="n">
        <v>45916</v>
      </c>
      <c r="D1165" t="inlineStr">
        <is>
          <t>JÄMTLANDS LÄN</t>
        </is>
      </c>
      <c r="E1165" t="inlineStr">
        <is>
          <t>BRÄCKE</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22978-2024</t>
        </is>
      </c>
      <c r="B1166" s="1" t="n">
        <v>45449</v>
      </c>
      <c r="C1166" s="1" t="n">
        <v>45916</v>
      </c>
      <c r="D1166" t="inlineStr">
        <is>
          <t>JÄMTLANDS LÄN</t>
        </is>
      </c>
      <c r="E1166" t="inlineStr">
        <is>
          <t>BRÄCKE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35327-2025</t>
        </is>
      </c>
      <c r="B1167" s="1" t="n">
        <v>45854.5283449074</v>
      </c>
      <c r="C1167" s="1" t="n">
        <v>45916</v>
      </c>
      <c r="D1167" t="inlineStr">
        <is>
          <t>JÄMTLANDS LÄN</t>
        </is>
      </c>
      <c r="E1167" t="inlineStr">
        <is>
          <t>BRÄCKE</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35331-2025</t>
        </is>
      </c>
      <c r="B1168" s="1" t="n">
        <v>45854.57344907407</v>
      </c>
      <c r="C1168" s="1" t="n">
        <v>45916</v>
      </c>
      <c r="D1168" t="inlineStr">
        <is>
          <t>JÄMTLANDS LÄN</t>
        </is>
      </c>
      <c r="E1168" t="inlineStr">
        <is>
          <t>BRÄCKE</t>
        </is>
      </c>
      <c r="F1168" t="inlineStr">
        <is>
          <t>SCA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29456-2024</t>
        </is>
      </c>
      <c r="B1169" s="1" t="n">
        <v>45483.96898148148</v>
      </c>
      <c r="C1169" s="1" t="n">
        <v>45916</v>
      </c>
      <c r="D1169" t="inlineStr">
        <is>
          <t>JÄMTLANDS LÄN</t>
        </is>
      </c>
      <c r="E1169" t="inlineStr">
        <is>
          <t>BRÄCKE</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29460-2024</t>
        </is>
      </c>
      <c r="B1170" s="1" t="n">
        <v>45483.96952546296</v>
      </c>
      <c r="C1170" s="1" t="n">
        <v>45916</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40749-2025</t>
        </is>
      </c>
      <c r="B1171" s="1" t="n">
        <v>45897.38248842592</v>
      </c>
      <c r="C1171" s="1" t="n">
        <v>45916</v>
      </c>
      <c r="D1171" t="inlineStr">
        <is>
          <t>JÄMTLANDS LÄN</t>
        </is>
      </c>
      <c r="E1171" t="inlineStr">
        <is>
          <t>BRÄCKE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40834-2025</t>
        </is>
      </c>
      <c r="B1172" s="1" t="n">
        <v>45897.51135416667</v>
      </c>
      <c r="C1172" s="1" t="n">
        <v>45916</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40843-2025</t>
        </is>
      </c>
      <c r="B1173" s="1" t="n">
        <v>45897.5321412037</v>
      </c>
      <c r="C1173" s="1" t="n">
        <v>45916</v>
      </c>
      <c r="D1173" t="inlineStr">
        <is>
          <t>JÄMTLANDS LÄN</t>
        </is>
      </c>
      <c r="E1173" t="inlineStr">
        <is>
          <t>BRÄCKE</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40607-2025</t>
        </is>
      </c>
      <c r="B1174" s="1" t="n">
        <v>45896.57346064815</v>
      </c>
      <c r="C1174" s="1" t="n">
        <v>45916</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6707-2025</t>
        </is>
      </c>
      <c r="B1175" s="1" t="n">
        <v>45700.55247685185</v>
      </c>
      <c r="C1175" s="1" t="n">
        <v>45916</v>
      </c>
      <c r="D1175" t="inlineStr">
        <is>
          <t>JÄMTLANDS LÄN</t>
        </is>
      </c>
      <c r="E1175" t="inlineStr">
        <is>
          <t>BRÄCKE</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40908-2025</t>
        </is>
      </c>
      <c r="B1176" s="1" t="n">
        <v>45897.61657407408</v>
      </c>
      <c r="C1176" s="1" t="n">
        <v>45916</v>
      </c>
      <c r="D1176" t="inlineStr">
        <is>
          <t>JÄMTLANDS LÄN</t>
        </is>
      </c>
      <c r="E1176" t="inlineStr">
        <is>
          <t>BRÄCKE</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40959-2025</t>
        </is>
      </c>
      <c r="B1177" s="1" t="n">
        <v>45897.67890046296</v>
      </c>
      <c r="C1177" s="1" t="n">
        <v>45916</v>
      </c>
      <c r="D1177" t="inlineStr">
        <is>
          <t>JÄMTLANDS LÄN</t>
        </is>
      </c>
      <c r="E1177" t="inlineStr">
        <is>
          <t>BRÄCKE</t>
        </is>
      </c>
      <c r="F1177" t="inlineStr">
        <is>
          <t>Naturvårdsverket</t>
        </is>
      </c>
      <c r="G1177" t="n">
        <v>12.6</v>
      </c>
      <c r="H1177" t="n">
        <v>0</v>
      </c>
      <c r="I1177" t="n">
        <v>0</v>
      </c>
      <c r="J1177" t="n">
        <v>0</v>
      </c>
      <c r="K1177" t="n">
        <v>0</v>
      </c>
      <c r="L1177" t="n">
        <v>0</v>
      </c>
      <c r="M1177" t="n">
        <v>0</v>
      </c>
      <c r="N1177" t="n">
        <v>0</v>
      </c>
      <c r="O1177" t="n">
        <v>0</v>
      </c>
      <c r="P1177" t="n">
        <v>0</v>
      </c>
      <c r="Q1177" t="n">
        <v>0</v>
      </c>
      <c r="R1177" s="2" t="inlineStr"/>
    </row>
    <row r="1178" ht="15" customHeight="1">
      <c r="A1178" t="inlineStr">
        <is>
          <t>A 40868-2025</t>
        </is>
      </c>
      <c r="B1178" s="1" t="n">
        <v>45897.57365740741</v>
      </c>
      <c r="C1178" s="1" t="n">
        <v>45916</v>
      </c>
      <c r="D1178" t="inlineStr">
        <is>
          <t>JÄMTLANDS LÄN</t>
        </is>
      </c>
      <c r="E1178" t="inlineStr">
        <is>
          <t>BRÄCKE</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40869-2025</t>
        </is>
      </c>
      <c r="B1179" s="1" t="n">
        <v>45897.57383101852</v>
      </c>
      <c r="C1179" s="1" t="n">
        <v>45916</v>
      </c>
      <c r="D1179" t="inlineStr">
        <is>
          <t>JÄMTLANDS LÄN</t>
        </is>
      </c>
      <c r="E1179" t="inlineStr">
        <is>
          <t>BRÄCKE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16634-2025</t>
        </is>
      </c>
      <c r="B1180" s="1" t="n">
        <v>45754.3653125</v>
      </c>
      <c r="C1180" s="1" t="n">
        <v>45916</v>
      </c>
      <c r="D1180" t="inlineStr">
        <is>
          <t>JÄMTLANDS LÄN</t>
        </is>
      </c>
      <c r="E1180" t="inlineStr">
        <is>
          <t>BRÄCKE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12601-2022</t>
        </is>
      </c>
      <c r="B1181" s="1" t="n">
        <v>44638</v>
      </c>
      <c r="C1181" s="1" t="n">
        <v>45916</v>
      </c>
      <c r="D1181" t="inlineStr">
        <is>
          <t>JÄMTLANDS LÄN</t>
        </is>
      </c>
      <c r="E1181" t="inlineStr">
        <is>
          <t>BRÄCKE</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15944-2025</t>
        </is>
      </c>
      <c r="B1182" s="1" t="n">
        <v>45749.48545138889</v>
      </c>
      <c r="C1182" s="1" t="n">
        <v>45916</v>
      </c>
      <c r="D1182" t="inlineStr">
        <is>
          <t>JÄMTLANDS LÄN</t>
        </is>
      </c>
      <c r="E1182" t="inlineStr">
        <is>
          <t>BRÄCKE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41510-2025</t>
        </is>
      </c>
      <c r="B1183" s="1" t="n">
        <v>45901.53417824074</v>
      </c>
      <c r="C1183" s="1" t="n">
        <v>45916</v>
      </c>
      <c r="D1183" t="inlineStr">
        <is>
          <t>JÄMTLANDS LÄN</t>
        </is>
      </c>
      <c r="E1183" t="inlineStr">
        <is>
          <t>BRÄCKE</t>
        </is>
      </c>
      <c r="F1183" t="inlineStr">
        <is>
          <t>Övriga Aktiebolag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41193-2025</t>
        </is>
      </c>
      <c r="B1184" s="1" t="n">
        <v>45898.56891203704</v>
      </c>
      <c r="C1184" s="1" t="n">
        <v>45916</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41503-2025</t>
        </is>
      </c>
      <c r="B1185" s="1" t="n">
        <v>45901.51952546297</v>
      </c>
      <c r="C1185" s="1" t="n">
        <v>45916</v>
      </c>
      <c r="D1185" t="inlineStr">
        <is>
          <t>JÄMTLANDS LÄN</t>
        </is>
      </c>
      <c r="E1185" t="inlineStr">
        <is>
          <t>BRÄCKE</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35903-2024</t>
        </is>
      </c>
      <c r="B1186" s="1" t="n">
        <v>45533.40648148148</v>
      </c>
      <c r="C1186" s="1" t="n">
        <v>45916</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41547-2025</t>
        </is>
      </c>
      <c r="B1187" s="1" t="n">
        <v>45901.57991898148</v>
      </c>
      <c r="C1187" s="1" t="n">
        <v>45916</v>
      </c>
      <c r="D1187" t="inlineStr">
        <is>
          <t>JÄMTLANDS LÄN</t>
        </is>
      </c>
      <c r="E1187" t="inlineStr">
        <is>
          <t>BRÄCKE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35395-2024</t>
        </is>
      </c>
      <c r="B1188" s="1" t="n">
        <v>45531.403125</v>
      </c>
      <c r="C1188" s="1" t="n">
        <v>45916</v>
      </c>
      <c r="D1188" t="inlineStr">
        <is>
          <t>JÄMTLANDS LÄN</t>
        </is>
      </c>
      <c r="E1188" t="inlineStr">
        <is>
          <t>BRÄCKE</t>
        </is>
      </c>
      <c r="F1188" t="inlineStr">
        <is>
          <t>SCA</t>
        </is>
      </c>
      <c r="G1188" t="n">
        <v>23.2</v>
      </c>
      <c r="H1188" t="n">
        <v>0</v>
      </c>
      <c r="I1188" t="n">
        <v>0</v>
      </c>
      <c r="J1188" t="n">
        <v>0</v>
      </c>
      <c r="K1188" t="n">
        <v>0</v>
      </c>
      <c r="L1188" t="n">
        <v>0</v>
      </c>
      <c r="M1188" t="n">
        <v>0</v>
      </c>
      <c r="N1188" t="n">
        <v>0</v>
      </c>
      <c r="O1188" t="n">
        <v>0</v>
      </c>
      <c r="P1188" t="n">
        <v>0</v>
      </c>
      <c r="Q1188" t="n">
        <v>0</v>
      </c>
      <c r="R1188" s="2" t="inlineStr"/>
    </row>
    <row r="1189" ht="15" customHeight="1">
      <c r="A1189" t="inlineStr">
        <is>
          <t>A 35400-2024</t>
        </is>
      </c>
      <c r="B1189" s="1" t="n">
        <v>45531.40457175926</v>
      </c>
      <c r="C1189" s="1" t="n">
        <v>45916</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41345-2025</t>
        </is>
      </c>
      <c r="B1190" s="1" t="n">
        <v>45899.46903935185</v>
      </c>
      <c r="C1190" s="1" t="n">
        <v>45916</v>
      </c>
      <c r="D1190" t="inlineStr">
        <is>
          <t>JÄMTLANDS LÄN</t>
        </is>
      </c>
      <c r="E1190" t="inlineStr">
        <is>
          <t>BRÄCKE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45939-2024</t>
        </is>
      </c>
      <c r="B1191" s="1" t="n">
        <v>45580.53155092592</v>
      </c>
      <c r="C1191" s="1" t="n">
        <v>45916</v>
      </c>
      <c r="D1191" t="inlineStr">
        <is>
          <t>JÄMTLANDS LÄN</t>
        </is>
      </c>
      <c r="E1191" t="inlineStr">
        <is>
          <t>BRÄCKE</t>
        </is>
      </c>
      <c r="F1191" t="inlineStr">
        <is>
          <t>Naturvårdsverket</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25674-2023</t>
        </is>
      </c>
      <c r="B1192" s="1" t="n">
        <v>45089</v>
      </c>
      <c r="C1192" s="1" t="n">
        <v>45916</v>
      </c>
      <c r="D1192" t="inlineStr">
        <is>
          <t>JÄMTLANDS LÄN</t>
        </is>
      </c>
      <c r="E1192" t="inlineStr">
        <is>
          <t>BRÄCKE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41060-2025</t>
        </is>
      </c>
      <c r="B1193" s="1" t="n">
        <v>45898.4071875</v>
      </c>
      <c r="C1193" s="1" t="n">
        <v>45916</v>
      </c>
      <c r="D1193" t="inlineStr">
        <is>
          <t>JÄMTLANDS LÄN</t>
        </is>
      </c>
      <c r="E1193" t="inlineStr">
        <is>
          <t>BRÄCKE</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41094-2025</t>
        </is>
      </c>
      <c r="B1194" s="1" t="n">
        <v>45898.44246527777</v>
      </c>
      <c r="C1194" s="1" t="n">
        <v>45916</v>
      </c>
      <c r="D1194" t="inlineStr">
        <is>
          <t>JÄMTLANDS LÄN</t>
        </is>
      </c>
      <c r="E1194" t="inlineStr">
        <is>
          <t>BRÄCKE</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35642-2025</t>
        </is>
      </c>
      <c r="B1195" s="1" t="n">
        <v>45859.48991898148</v>
      </c>
      <c r="C1195" s="1" t="n">
        <v>45916</v>
      </c>
      <c r="D1195" t="inlineStr">
        <is>
          <t>JÄMTLANDS LÄN</t>
        </is>
      </c>
      <c r="E1195" t="inlineStr">
        <is>
          <t>BRÄCKE</t>
        </is>
      </c>
      <c r="F1195" t="inlineStr">
        <is>
          <t>SCA</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35668-2025</t>
        </is>
      </c>
      <c r="B1196" s="1" t="n">
        <v>45859.61552083334</v>
      </c>
      <c r="C1196" s="1" t="n">
        <v>45916</v>
      </c>
      <c r="D1196" t="inlineStr">
        <is>
          <t>JÄMTLANDS LÄN</t>
        </is>
      </c>
      <c r="E1196" t="inlineStr">
        <is>
          <t>BRÄCKE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41207-2025</t>
        </is>
      </c>
      <c r="B1197" s="1" t="n">
        <v>45898.57672453704</v>
      </c>
      <c r="C1197" s="1" t="n">
        <v>45916</v>
      </c>
      <c r="D1197" t="inlineStr">
        <is>
          <t>JÄMTLANDS LÄN</t>
        </is>
      </c>
      <c r="E1197" t="inlineStr">
        <is>
          <t>BRÄCKE</t>
        </is>
      </c>
      <c r="F1197" t="inlineStr">
        <is>
          <t>Övriga Aktiebolag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25413-2024</t>
        </is>
      </c>
      <c r="B1198" s="1" t="n">
        <v>45462</v>
      </c>
      <c r="C1198" s="1" t="n">
        <v>45916</v>
      </c>
      <c r="D1198" t="inlineStr">
        <is>
          <t>JÄMTLANDS LÄN</t>
        </is>
      </c>
      <c r="E1198" t="inlineStr">
        <is>
          <t>BRÄCKE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41236-2025</t>
        </is>
      </c>
      <c r="B1199" s="1" t="n">
        <v>45898.59565972222</v>
      </c>
      <c r="C1199" s="1" t="n">
        <v>45916</v>
      </c>
      <c r="D1199" t="inlineStr">
        <is>
          <t>JÄMTLANDS LÄN</t>
        </is>
      </c>
      <c r="E1199" t="inlineStr">
        <is>
          <t>BRÄCKE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41526-2025</t>
        </is>
      </c>
      <c r="B1200" s="1" t="n">
        <v>45901.5528587963</v>
      </c>
      <c r="C1200" s="1" t="n">
        <v>45916</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41344-2025</t>
        </is>
      </c>
      <c r="B1201" s="1" t="n">
        <v>45899.46899305555</v>
      </c>
      <c r="C1201" s="1" t="n">
        <v>45916</v>
      </c>
      <c r="D1201" t="inlineStr">
        <is>
          <t>JÄMTLANDS LÄN</t>
        </is>
      </c>
      <c r="E1201" t="inlineStr">
        <is>
          <t>BRÄCKE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41285-2025</t>
        </is>
      </c>
      <c r="B1202" s="1" t="n">
        <v>45898.63637731481</v>
      </c>
      <c r="C1202" s="1" t="n">
        <v>45916</v>
      </c>
      <c r="D1202" t="inlineStr">
        <is>
          <t>JÄMTLANDS LÄN</t>
        </is>
      </c>
      <c r="E1202" t="inlineStr">
        <is>
          <t>BRÄCKE</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41297-2025</t>
        </is>
      </c>
      <c r="B1203" s="1" t="n">
        <v>45898.66872685185</v>
      </c>
      <c r="C1203" s="1" t="n">
        <v>45916</v>
      </c>
      <c r="D1203" t="inlineStr">
        <is>
          <t>JÄMTLANDS LÄN</t>
        </is>
      </c>
      <c r="E1203" t="inlineStr">
        <is>
          <t>BRÄCKE</t>
        </is>
      </c>
      <c r="F1203" t="inlineStr">
        <is>
          <t>Övriga Aktiebolag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41367-2025</t>
        </is>
      </c>
      <c r="B1204" s="1" t="n">
        <v>45900.55118055556</v>
      </c>
      <c r="C1204" s="1" t="n">
        <v>45916</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41368-2025</t>
        </is>
      </c>
      <c r="B1205" s="1" t="n">
        <v>45900.5678125</v>
      </c>
      <c r="C1205" s="1" t="n">
        <v>45916</v>
      </c>
      <c r="D1205" t="inlineStr">
        <is>
          <t>JÄMTLANDS LÄN</t>
        </is>
      </c>
      <c r="E1205" t="inlineStr">
        <is>
          <t>BRÄCKE</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41195-2025</t>
        </is>
      </c>
      <c r="B1206" s="1" t="n">
        <v>45898.57331018519</v>
      </c>
      <c r="C1206" s="1" t="n">
        <v>45916</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41196-2025</t>
        </is>
      </c>
      <c r="B1207" s="1" t="n">
        <v>45898.57332175926</v>
      </c>
      <c r="C1207" s="1" t="n">
        <v>45916</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41600-2025</t>
        </is>
      </c>
      <c r="B1208" s="1" t="n">
        <v>45901.65686342592</v>
      </c>
      <c r="C1208" s="1" t="n">
        <v>45916</v>
      </c>
      <c r="D1208" t="inlineStr">
        <is>
          <t>JÄMTLANDS LÄN</t>
        </is>
      </c>
      <c r="E1208" t="inlineStr">
        <is>
          <t>BRÄCKE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41187-2025</t>
        </is>
      </c>
      <c r="B1209" s="1" t="n">
        <v>45898.56390046296</v>
      </c>
      <c r="C1209" s="1" t="n">
        <v>45916</v>
      </c>
      <c r="D1209" t="inlineStr">
        <is>
          <t>JÄMTLANDS LÄN</t>
        </is>
      </c>
      <c r="E1209" t="inlineStr">
        <is>
          <t>BRÄCKE</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41049-2025</t>
        </is>
      </c>
      <c r="B1210" s="1" t="n">
        <v>45898.40252314815</v>
      </c>
      <c r="C1210" s="1" t="n">
        <v>45916</v>
      </c>
      <c r="D1210" t="inlineStr">
        <is>
          <t>JÄMTLANDS LÄN</t>
        </is>
      </c>
      <c r="E1210" t="inlineStr">
        <is>
          <t>BRÄCKE</t>
        </is>
      </c>
      <c r="F1210" t="inlineStr">
        <is>
          <t>Övriga Aktiebolag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41026-2025</t>
        </is>
      </c>
      <c r="B1211" s="1" t="n">
        <v>45898.36888888889</v>
      </c>
      <c r="C1211" s="1" t="n">
        <v>45916</v>
      </c>
      <c r="D1211" t="inlineStr">
        <is>
          <t>JÄMTLANDS LÄN</t>
        </is>
      </c>
      <c r="E1211" t="inlineStr">
        <is>
          <t>BRÄCKE</t>
        </is>
      </c>
      <c r="F1211" t="inlineStr">
        <is>
          <t>Övriga Aktiebolag</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35766-2023</t>
        </is>
      </c>
      <c r="B1212" s="1" t="n">
        <v>45147</v>
      </c>
      <c r="C1212" s="1" t="n">
        <v>45916</v>
      </c>
      <c r="D1212" t="inlineStr">
        <is>
          <t>JÄMTLANDS LÄN</t>
        </is>
      </c>
      <c r="E1212" t="inlineStr">
        <is>
          <t>BRÄCKE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7943-2025</t>
        </is>
      </c>
      <c r="B1213" s="1" t="n">
        <v>45707.40697916667</v>
      </c>
      <c r="C1213" s="1" t="n">
        <v>45916</v>
      </c>
      <c r="D1213" t="inlineStr">
        <is>
          <t>JÄMTLANDS LÄN</t>
        </is>
      </c>
      <c r="E1213" t="inlineStr">
        <is>
          <t>BRÄCKE</t>
        </is>
      </c>
      <c r="F1213" t="inlineStr">
        <is>
          <t>SCA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50220-2023</t>
        </is>
      </c>
      <c r="B1214" s="1" t="n">
        <v>45215</v>
      </c>
      <c r="C1214" s="1" t="n">
        <v>45916</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31888-2024</t>
        </is>
      </c>
      <c r="B1215" s="1" t="n">
        <v>45509</v>
      </c>
      <c r="C1215" s="1" t="n">
        <v>45916</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41257-2025</t>
        </is>
      </c>
      <c r="B1216" s="1" t="n">
        <v>45898.6084375</v>
      </c>
      <c r="C1216" s="1" t="n">
        <v>45916</v>
      </c>
      <c r="D1216" t="inlineStr">
        <is>
          <t>JÄMTLANDS LÄN</t>
        </is>
      </c>
      <c r="E1216" t="inlineStr">
        <is>
          <t>BRÄCKE</t>
        </is>
      </c>
      <c r="F1216" t="inlineStr">
        <is>
          <t>Övriga Aktiebolag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41757-2025</t>
        </is>
      </c>
      <c r="B1217" s="1" t="n">
        <v>45902.50755787037</v>
      </c>
      <c r="C1217" s="1" t="n">
        <v>45916</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35731-2025</t>
        </is>
      </c>
      <c r="B1218" s="1" t="n">
        <v>45860.46923611111</v>
      </c>
      <c r="C1218" s="1" t="n">
        <v>45916</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26100-2021</t>
        </is>
      </c>
      <c r="B1219" s="1" t="n">
        <v>44344.93584490741</v>
      </c>
      <c r="C1219" s="1" t="n">
        <v>45916</v>
      </c>
      <c r="D1219" t="inlineStr">
        <is>
          <t>JÄMTLANDS LÄN</t>
        </is>
      </c>
      <c r="E1219" t="inlineStr">
        <is>
          <t>BRÄCKE</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23687-2022</t>
        </is>
      </c>
      <c r="B1220" s="1" t="n">
        <v>44721</v>
      </c>
      <c r="C1220" s="1" t="n">
        <v>45916</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50840-2023</t>
        </is>
      </c>
      <c r="B1221" s="1" t="n">
        <v>45217</v>
      </c>
      <c r="C1221" s="1" t="n">
        <v>45916</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41694-2025</t>
        </is>
      </c>
      <c r="B1222" s="1" t="n">
        <v>45902.40611111111</v>
      </c>
      <c r="C1222" s="1" t="n">
        <v>45916</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18626-2024</t>
        </is>
      </c>
      <c r="B1223" s="1" t="n">
        <v>45425.96429398148</v>
      </c>
      <c r="C1223" s="1" t="n">
        <v>45916</v>
      </c>
      <c r="D1223" t="inlineStr">
        <is>
          <t>JÄMTLANDS LÄN</t>
        </is>
      </c>
      <c r="E1223" t="inlineStr">
        <is>
          <t>BRÄCKE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35712-2025</t>
        </is>
      </c>
      <c r="B1224" s="1" t="n">
        <v>45860.40660879629</v>
      </c>
      <c r="C1224" s="1" t="n">
        <v>45916</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30592-2021</t>
        </is>
      </c>
      <c r="B1225" s="1" t="n">
        <v>44364.93850694445</v>
      </c>
      <c r="C1225" s="1" t="n">
        <v>45916</v>
      </c>
      <c r="D1225" t="inlineStr">
        <is>
          <t>JÄMTLANDS LÄN</t>
        </is>
      </c>
      <c r="E1225" t="inlineStr">
        <is>
          <t>BRÄCKE</t>
        </is>
      </c>
      <c r="F1225" t="inlineStr">
        <is>
          <t>SCA</t>
        </is>
      </c>
      <c r="G1225" t="n">
        <v>22.4</v>
      </c>
      <c r="H1225" t="n">
        <v>0</v>
      </c>
      <c r="I1225" t="n">
        <v>0</v>
      </c>
      <c r="J1225" t="n">
        <v>0</v>
      </c>
      <c r="K1225" t="n">
        <v>0</v>
      </c>
      <c r="L1225" t="n">
        <v>0</v>
      </c>
      <c r="M1225" t="n">
        <v>0</v>
      </c>
      <c r="N1225" t="n">
        <v>0</v>
      </c>
      <c r="O1225" t="n">
        <v>0</v>
      </c>
      <c r="P1225" t="n">
        <v>0</v>
      </c>
      <c r="Q1225" t="n">
        <v>0</v>
      </c>
      <c r="R1225" s="2" t="inlineStr"/>
    </row>
    <row r="1226" ht="15" customHeight="1">
      <c r="A1226" t="inlineStr">
        <is>
          <t>A 42959-2024</t>
        </is>
      </c>
      <c r="B1226" s="1" t="n">
        <v>45567.37144675926</v>
      </c>
      <c r="C1226" s="1" t="n">
        <v>45916</v>
      </c>
      <c r="D1226" t="inlineStr">
        <is>
          <t>JÄMTLANDS LÄN</t>
        </is>
      </c>
      <c r="E1226" t="inlineStr">
        <is>
          <t>BRÄCKE</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41981-2025</t>
        </is>
      </c>
      <c r="B1227" s="1" t="n">
        <v>45903.53172453704</v>
      </c>
      <c r="C1227" s="1" t="n">
        <v>45916</v>
      </c>
      <c r="D1227" t="inlineStr">
        <is>
          <t>JÄMTLANDS LÄN</t>
        </is>
      </c>
      <c r="E1227" t="inlineStr">
        <is>
          <t>BRÄCKE</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31567-2024</t>
        </is>
      </c>
      <c r="B1228" s="1" t="n">
        <v>45505.96689814814</v>
      </c>
      <c r="C1228" s="1" t="n">
        <v>45916</v>
      </c>
      <c r="D1228" t="inlineStr">
        <is>
          <t>JÄMTLANDS LÄN</t>
        </is>
      </c>
      <c r="E1228" t="inlineStr">
        <is>
          <t>BRÄCKE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42270-2025</t>
        </is>
      </c>
      <c r="B1229" s="1" t="n">
        <v>45904.60445601852</v>
      </c>
      <c r="C1229" s="1" t="n">
        <v>45916</v>
      </c>
      <c r="D1229" t="inlineStr">
        <is>
          <t>JÄMTLANDS LÄN</t>
        </is>
      </c>
      <c r="E1229" t="inlineStr">
        <is>
          <t>BRÄCKE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42131-2025</t>
        </is>
      </c>
      <c r="B1230" s="1" t="n">
        <v>45904.34542824074</v>
      </c>
      <c r="C1230" s="1" t="n">
        <v>45916</v>
      </c>
      <c r="D1230" t="inlineStr">
        <is>
          <t>JÄMTLANDS LÄN</t>
        </is>
      </c>
      <c r="E1230" t="inlineStr">
        <is>
          <t>BRÄCKE</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42280-2025</t>
        </is>
      </c>
      <c r="B1231" s="1" t="n">
        <v>45904.61605324074</v>
      </c>
      <c r="C1231" s="1" t="n">
        <v>45916</v>
      </c>
      <c r="D1231" t="inlineStr">
        <is>
          <t>JÄMTLANDS LÄN</t>
        </is>
      </c>
      <c r="E1231" t="inlineStr">
        <is>
          <t>BRÄCKE</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42128-2025</t>
        </is>
      </c>
      <c r="B1232" s="1" t="n">
        <v>45904.34517361111</v>
      </c>
      <c r="C1232" s="1" t="n">
        <v>45916</v>
      </c>
      <c r="D1232" t="inlineStr">
        <is>
          <t>JÄMTLANDS LÄN</t>
        </is>
      </c>
      <c r="E1232" t="inlineStr">
        <is>
          <t>BRÄCKE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42130-2025</t>
        </is>
      </c>
      <c r="B1233" s="1" t="n">
        <v>45904.34540509259</v>
      </c>
      <c r="C1233" s="1" t="n">
        <v>45916</v>
      </c>
      <c r="D1233" t="inlineStr">
        <is>
          <t>JÄMTLANDS LÄN</t>
        </is>
      </c>
      <c r="E1233" t="inlineStr">
        <is>
          <t>BRÄCKE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427-2025</t>
        </is>
      </c>
      <c r="B1234" s="1" t="n">
        <v>45664.35195601852</v>
      </c>
      <c r="C1234" s="1" t="n">
        <v>45916</v>
      </c>
      <c r="D1234" t="inlineStr">
        <is>
          <t>JÄMTLANDS LÄN</t>
        </is>
      </c>
      <c r="E1234" t="inlineStr">
        <is>
          <t>BRÄCKE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45916</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42379-2025</t>
        </is>
      </c>
      <c r="B1236" s="1" t="n">
        <v>45905.34443287037</v>
      </c>
      <c r="C1236" s="1" t="n">
        <v>45916</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59369-2022</t>
        </is>
      </c>
      <c r="B1237" s="1" t="n">
        <v>44904.94859953703</v>
      </c>
      <c r="C1237" s="1" t="n">
        <v>45916</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42435-2025</t>
        </is>
      </c>
      <c r="B1238" s="1" t="n">
        <v>45905.42763888889</v>
      </c>
      <c r="C1238" s="1" t="n">
        <v>45916</v>
      </c>
      <c r="D1238" t="inlineStr">
        <is>
          <t>JÄMTLANDS LÄN</t>
        </is>
      </c>
      <c r="E1238" t="inlineStr">
        <is>
          <t>BRÄCKE</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2581-2025</t>
        </is>
      </c>
      <c r="B1239" s="1" t="n">
        <v>45674.67771990741</v>
      </c>
      <c r="C1239" s="1" t="n">
        <v>45916</v>
      </c>
      <c r="D1239" t="inlineStr">
        <is>
          <t>JÄMTLANDS LÄN</t>
        </is>
      </c>
      <c r="E1239" t="inlineStr">
        <is>
          <t>BRÄCKE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35880-2025</t>
        </is>
      </c>
      <c r="B1240" s="1" t="n">
        <v>45862.38334490741</v>
      </c>
      <c r="C1240" s="1" t="n">
        <v>45916</v>
      </c>
      <c r="D1240" t="inlineStr">
        <is>
          <t>JÄMTLANDS LÄN</t>
        </is>
      </c>
      <c r="E1240" t="inlineStr">
        <is>
          <t>BRÄCKE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35906-2025</t>
        </is>
      </c>
      <c r="B1241" s="1" t="n">
        <v>45862.51081018519</v>
      </c>
      <c r="C1241" s="1" t="n">
        <v>45916</v>
      </c>
      <c r="D1241" t="inlineStr">
        <is>
          <t>JÄMTLANDS LÄN</t>
        </is>
      </c>
      <c r="E1241" t="inlineStr">
        <is>
          <t>BRÄCKE</t>
        </is>
      </c>
      <c r="F1241" t="inlineStr">
        <is>
          <t>SCA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42507-2025</t>
        </is>
      </c>
      <c r="B1242" s="1" t="n">
        <v>45905.53167824074</v>
      </c>
      <c r="C1242" s="1" t="n">
        <v>45916</v>
      </c>
      <c r="D1242" t="inlineStr">
        <is>
          <t>JÄMTLANDS LÄN</t>
        </is>
      </c>
      <c r="E1242" t="inlineStr">
        <is>
          <t>BRÄCKE</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35879-2025</t>
        </is>
      </c>
      <c r="B1243" s="1" t="n">
        <v>45862.37929398148</v>
      </c>
      <c r="C1243" s="1" t="n">
        <v>45916</v>
      </c>
      <c r="D1243" t="inlineStr">
        <is>
          <t>JÄMTLANDS LÄN</t>
        </is>
      </c>
      <c r="E1243" t="inlineStr">
        <is>
          <t>BRÄCKE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42380-2025</t>
        </is>
      </c>
      <c r="B1244" s="1" t="n">
        <v>45905.34456018519</v>
      </c>
      <c r="C1244" s="1" t="n">
        <v>45916</v>
      </c>
      <c r="D1244" t="inlineStr">
        <is>
          <t>JÄMTLANDS LÄN</t>
        </is>
      </c>
      <c r="E1244" t="inlineStr">
        <is>
          <t>BRÄCKE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59846-2024</t>
        </is>
      </c>
      <c r="B1245" s="1" t="n">
        <v>45639.67769675926</v>
      </c>
      <c r="C1245" s="1" t="n">
        <v>45916</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42590-2025</t>
        </is>
      </c>
      <c r="B1246" s="1" t="n">
        <v>45905.63607638889</v>
      </c>
      <c r="C1246" s="1" t="n">
        <v>45916</v>
      </c>
      <c r="D1246" t="inlineStr">
        <is>
          <t>JÄMTLANDS LÄN</t>
        </is>
      </c>
      <c r="E1246" t="inlineStr">
        <is>
          <t>BRÄCKE</t>
        </is>
      </c>
      <c r="F1246" t="inlineStr">
        <is>
          <t>SCA</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41923-2023</t>
        </is>
      </c>
      <c r="B1247" s="1" t="n">
        <v>45176</v>
      </c>
      <c r="C1247" s="1" t="n">
        <v>45916</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42123-2025</t>
        </is>
      </c>
      <c r="B1248" s="1" t="n">
        <v>45904.34429398148</v>
      </c>
      <c r="C1248" s="1" t="n">
        <v>45916</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42132-2025</t>
        </is>
      </c>
      <c r="B1249" s="1" t="n">
        <v>45904.34546296296</v>
      </c>
      <c r="C1249" s="1" t="n">
        <v>45916</v>
      </c>
      <c r="D1249" t="inlineStr">
        <is>
          <t>JÄMTLANDS LÄN</t>
        </is>
      </c>
      <c r="E1249" t="inlineStr">
        <is>
          <t>BRÄCKE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35908-2025</t>
        </is>
      </c>
      <c r="B1250" s="1" t="n">
        <v>45862.51113425926</v>
      </c>
      <c r="C1250" s="1" t="n">
        <v>45916</v>
      </c>
      <c r="D1250" t="inlineStr">
        <is>
          <t>JÄMTLANDS LÄN</t>
        </is>
      </c>
      <c r="E1250" t="inlineStr">
        <is>
          <t>BRÄCKE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29941-2023</t>
        </is>
      </c>
      <c r="B1251" s="1" t="n">
        <v>45107</v>
      </c>
      <c r="C1251" s="1" t="n">
        <v>45916</v>
      </c>
      <c r="D1251" t="inlineStr">
        <is>
          <t>JÄMTLANDS LÄN</t>
        </is>
      </c>
      <c r="E1251" t="inlineStr">
        <is>
          <t>BRÄCKE</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54568-2022</t>
        </is>
      </c>
      <c r="B1252" s="1" t="n">
        <v>44882.95480324074</v>
      </c>
      <c r="C1252" s="1" t="n">
        <v>45916</v>
      </c>
      <c r="D1252" t="inlineStr">
        <is>
          <t>JÄMTLANDS LÄN</t>
        </is>
      </c>
      <c r="E1252" t="inlineStr">
        <is>
          <t>BRÄCKE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42312-2025</t>
        </is>
      </c>
      <c r="B1253" s="1" t="n">
        <v>45904.65673611111</v>
      </c>
      <c r="C1253" s="1" t="n">
        <v>45916</v>
      </c>
      <c r="D1253" t="inlineStr">
        <is>
          <t>JÄMTLANDS LÄN</t>
        </is>
      </c>
      <c r="E1253" t="inlineStr">
        <is>
          <t>BRÄCKE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42784-2025</t>
        </is>
      </c>
      <c r="B1254" s="1" t="n">
        <v>45908.51035879629</v>
      </c>
      <c r="C1254" s="1" t="n">
        <v>45916</v>
      </c>
      <c r="D1254" t="inlineStr">
        <is>
          <t>JÄMTLANDS LÄN</t>
        </is>
      </c>
      <c r="E1254" t="inlineStr">
        <is>
          <t>BRÄCKE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29323-2023</t>
        </is>
      </c>
      <c r="B1255" s="1" t="n">
        <v>45105</v>
      </c>
      <c r="C1255" s="1" t="n">
        <v>45916</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60150-2024</t>
        </is>
      </c>
      <c r="B1256" s="1" t="n">
        <v>45639</v>
      </c>
      <c r="C1256" s="1" t="n">
        <v>45916</v>
      </c>
      <c r="D1256" t="inlineStr">
        <is>
          <t>JÄMTLANDS LÄN</t>
        </is>
      </c>
      <c r="E1256" t="inlineStr">
        <is>
          <t>BRÄCKE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25676-2023</t>
        </is>
      </c>
      <c r="B1257" s="1" t="n">
        <v>45089.93925925926</v>
      </c>
      <c r="C1257" s="1" t="n">
        <v>45916</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39930-2022</t>
        </is>
      </c>
      <c r="B1258" s="1" t="n">
        <v>44819</v>
      </c>
      <c r="C1258" s="1" t="n">
        <v>45916</v>
      </c>
      <c r="D1258" t="inlineStr">
        <is>
          <t>JÄMTLANDS LÄN</t>
        </is>
      </c>
      <c r="E1258" t="inlineStr">
        <is>
          <t>BRÄCKE</t>
        </is>
      </c>
      <c r="F1258" t="inlineStr">
        <is>
          <t>SCA</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36223-2025</t>
        </is>
      </c>
      <c r="B1259" s="1" t="n">
        <v>45867.51101851852</v>
      </c>
      <c r="C1259" s="1" t="n">
        <v>45916</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43022-2025</t>
        </is>
      </c>
      <c r="B1260" s="1" t="n">
        <v>45909.51016203704</v>
      </c>
      <c r="C1260" s="1" t="n">
        <v>45916</v>
      </c>
      <c r="D1260" t="inlineStr">
        <is>
          <t>JÄMTLANDS LÄN</t>
        </is>
      </c>
      <c r="E1260" t="inlineStr">
        <is>
          <t>BRÄCKE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48284-2021</t>
        </is>
      </c>
      <c r="B1261" s="1" t="n">
        <v>44449.75931712963</v>
      </c>
      <c r="C1261" s="1" t="n">
        <v>45916</v>
      </c>
      <c r="D1261" t="inlineStr">
        <is>
          <t>JÄMTLANDS LÄN</t>
        </is>
      </c>
      <c r="E1261" t="inlineStr">
        <is>
          <t>BRÄCKE</t>
        </is>
      </c>
      <c r="G1261" t="n">
        <v>12.9</v>
      </c>
      <c r="H1261" t="n">
        <v>0</v>
      </c>
      <c r="I1261" t="n">
        <v>0</v>
      </c>
      <c r="J1261" t="n">
        <v>0</v>
      </c>
      <c r="K1261" t="n">
        <v>0</v>
      </c>
      <c r="L1261" t="n">
        <v>0</v>
      </c>
      <c r="M1261" t="n">
        <v>0</v>
      </c>
      <c r="N1261" t="n">
        <v>0</v>
      </c>
      <c r="O1261" t="n">
        <v>0</v>
      </c>
      <c r="P1261" t="n">
        <v>0</v>
      </c>
      <c r="Q1261" t="n">
        <v>0</v>
      </c>
      <c r="R1261" s="2" t="inlineStr"/>
    </row>
    <row r="1262" ht="15" customHeight="1">
      <c r="A1262" t="inlineStr">
        <is>
          <t>A 4170-2024</t>
        </is>
      </c>
      <c r="B1262" s="1" t="n">
        <v>45323.94685185186</v>
      </c>
      <c r="C1262" s="1" t="n">
        <v>45916</v>
      </c>
      <c r="D1262" t="inlineStr">
        <is>
          <t>JÄMTLANDS LÄN</t>
        </is>
      </c>
      <c r="E1262" t="inlineStr">
        <is>
          <t>BRÄCKE</t>
        </is>
      </c>
      <c r="F1262" t="inlineStr">
        <is>
          <t>SCA</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42732-2025</t>
        </is>
      </c>
      <c r="B1263" s="1" t="n">
        <v>45908.40704861111</v>
      </c>
      <c r="C1263" s="1" t="n">
        <v>45916</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36034-2025</t>
        </is>
      </c>
      <c r="B1264" s="1" t="n">
        <v>45865.64755787037</v>
      </c>
      <c r="C1264" s="1" t="n">
        <v>45916</v>
      </c>
      <c r="D1264" t="inlineStr">
        <is>
          <t>JÄMTLANDS LÄN</t>
        </is>
      </c>
      <c r="E1264" t="inlineStr">
        <is>
          <t>BRÄCKE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42936-2025</t>
        </is>
      </c>
      <c r="B1265" s="1" t="n">
        <v>45909.32590277777</v>
      </c>
      <c r="C1265" s="1" t="n">
        <v>45916</v>
      </c>
      <c r="D1265" t="inlineStr">
        <is>
          <t>JÄMTLANDS LÄN</t>
        </is>
      </c>
      <c r="E1265" t="inlineStr">
        <is>
          <t>BRÄCKE</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42933-2025</t>
        </is>
      </c>
      <c r="B1266" s="1" t="n">
        <v>45909.32215277778</v>
      </c>
      <c r="C1266" s="1" t="n">
        <v>45916</v>
      </c>
      <c r="D1266" t="inlineStr">
        <is>
          <t>JÄMTLANDS LÄN</t>
        </is>
      </c>
      <c r="E1266" t="inlineStr">
        <is>
          <t>BRÄCKE</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53046-2023</t>
        </is>
      </c>
      <c r="B1267" s="1" t="n">
        <v>45226.96388888889</v>
      </c>
      <c r="C1267" s="1" t="n">
        <v>45916</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36222-2025</t>
        </is>
      </c>
      <c r="B1268" s="1" t="n">
        <v>45867.51087962963</v>
      </c>
      <c r="C1268" s="1" t="n">
        <v>45916</v>
      </c>
      <c r="D1268" t="inlineStr">
        <is>
          <t>JÄMTLANDS LÄN</t>
        </is>
      </c>
      <c r="E1268" t="inlineStr">
        <is>
          <t>BRÄCKE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36169-2025</t>
        </is>
      </c>
      <c r="B1269" s="1" t="n">
        <v>45867.38596064815</v>
      </c>
      <c r="C1269" s="1" t="n">
        <v>45916</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42659-2025</t>
        </is>
      </c>
      <c r="B1270" s="1" t="n">
        <v>45907.56715277778</v>
      </c>
      <c r="C1270" s="1" t="n">
        <v>45916</v>
      </c>
      <c r="D1270" t="inlineStr">
        <is>
          <t>JÄMTLANDS LÄN</t>
        </is>
      </c>
      <c r="E1270" t="inlineStr">
        <is>
          <t>BRÄCKE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58776-2023</t>
        </is>
      </c>
      <c r="B1271" s="1" t="n">
        <v>45251.96740740741</v>
      </c>
      <c r="C1271" s="1" t="n">
        <v>45916</v>
      </c>
      <c r="D1271" t="inlineStr">
        <is>
          <t>JÄMTLANDS LÄN</t>
        </is>
      </c>
      <c r="E1271" t="inlineStr">
        <is>
          <t>BRÄCKE</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36508-2025</t>
        </is>
      </c>
      <c r="B1272" s="1" t="n">
        <v>45869.57351851852</v>
      </c>
      <c r="C1272" s="1" t="n">
        <v>45916</v>
      </c>
      <c r="D1272" t="inlineStr">
        <is>
          <t>JÄMTLANDS LÄN</t>
        </is>
      </c>
      <c r="E1272" t="inlineStr">
        <is>
          <t>BRÄCKE</t>
        </is>
      </c>
      <c r="F1272" t="inlineStr">
        <is>
          <t>SCA</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17905-2025</t>
        </is>
      </c>
      <c r="B1273" s="1" t="n">
        <v>45758.71907407408</v>
      </c>
      <c r="C1273" s="1" t="n">
        <v>45916</v>
      </c>
      <c r="D1273" t="inlineStr">
        <is>
          <t>JÄMTLANDS LÄN</t>
        </is>
      </c>
      <c r="E1273" t="inlineStr">
        <is>
          <t>BRÄCKE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18640-2024</t>
        </is>
      </c>
      <c r="B1274" s="1" t="n">
        <v>45425.96644675926</v>
      </c>
      <c r="C1274" s="1" t="n">
        <v>45916</v>
      </c>
      <c r="D1274" t="inlineStr">
        <is>
          <t>JÄMTLANDS LÄN</t>
        </is>
      </c>
      <c r="E1274" t="inlineStr">
        <is>
          <t>BRÄCKE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43416-2025</t>
        </is>
      </c>
      <c r="B1275" s="1" t="n">
        <v>45911.40685185185</v>
      </c>
      <c r="C1275" s="1" t="n">
        <v>45916</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43591-2025</t>
        </is>
      </c>
      <c r="B1276" s="1" t="n">
        <v>45911.65681712963</v>
      </c>
      <c r="C1276" s="1" t="n">
        <v>45916</v>
      </c>
      <c r="D1276" t="inlineStr">
        <is>
          <t>JÄMTLANDS LÄN</t>
        </is>
      </c>
      <c r="E1276" t="inlineStr">
        <is>
          <t>BRÄCKE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43618-2025</t>
        </is>
      </c>
      <c r="B1277" s="1" t="n">
        <v>45911.67806712963</v>
      </c>
      <c r="C1277" s="1" t="n">
        <v>45916</v>
      </c>
      <c r="D1277" t="inlineStr">
        <is>
          <t>JÄMTLANDS LÄN</t>
        </is>
      </c>
      <c r="E1277" t="inlineStr">
        <is>
          <t>BRÄCKE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41418-2024</t>
        </is>
      </c>
      <c r="B1278" s="1" t="n">
        <v>45560.34599537037</v>
      </c>
      <c r="C1278" s="1" t="n">
        <v>45916</v>
      </c>
      <c r="D1278" t="inlineStr">
        <is>
          <t>JÄMTLANDS LÄN</t>
        </is>
      </c>
      <c r="E1278" t="inlineStr">
        <is>
          <t>BRÄCKE</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41419-2024</t>
        </is>
      </c>
      <c r="B1279" s="1" t="n">
        <v>45560</v>
      </c>
      <c r="C1279" s="1" t="n">
        <v>45916</v>
      </c>
      <c r="D1279" t="inlineStr">
        <is>
          <t>JÄMTLANDS LÄN</t>
        </is>
      </c>
      <c r="E1279" t="inlineStr">
        <is>
          <t>BRÄCKE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16462-2024</t>
        </is>
      </c>
      <c r="B1280" s="1" t="n">
        <v>45408.05018518519</v>
      </c>
      <c r="C1280" s="1" t="n">
        <v>45916</v>
      </c>
      <c r="D1280" t="inlineStr">
        <is>
          <t>JÄMTLANDS LÄN</t>
        </is>
      </c>
      <c r="E1280" t="inlineStr">
        <is>
          <t>BRÄCKE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39662-2024</t>
        </is>
      </c>
      <c r="B1281" s="1" t="n">
        <v>45552.51068287037</v>
      </c>
      <c r="C1281" s="1" t="n">
        <v>45916</v>
      </c>
      <c r="D1281" t="inlineStr">
        <is>
          <t>JÄMTLANDS LÄN</t>
        </is>
      </c>
      <c r="E1281" t="inlineStr">
        <is>
          <t>BRÄCKE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41450-2024</t>
        </is>
      </c>
      <c r="B1282" s="1" t="n">
        <v>45560.40653935185</v>
      </c>
      <c r="C1282" s="1" t="n">
        <v>45916</v>
      </c>
      <c r="D1282" t="inlineStr">
        <is>
          <t>JÄMTLANDS LÄN</t>
        </is>
      </c>
      <c r="E1282" t="inlineStr">
        <is>
          <t>BRÄCKE</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36507-2025</t>
        </is>
      </c>
      <c r="B1283" s="1" t="n">
        <v>45869.57335648148</v>
      </c>
      <c r="C1283" s="1" t="n">
        <v>45916</v>
      </c>
      <c r="D1283" t="inlineStr">
        <is>
          <t>JÄMTLANDS LÄN</t>
        </is>
      </c>
      <c r="E1283" t="inlineStr">
        <is>
          <t>BRÄCKE</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58547-2022</t>
        </is>
      </c>
      <c r="B1284" s="1" t="n">
        <v>44894</v>
      </c>
      <c r="C1284" s="1" t="n">
        <v>45916</v>
      </c>
      <c r="D1284" t="inlineStr">
        <is>
          <t>JÄMTLANDS LÄN</t>
        </is>
      </c>
      <c r="E1284" t="inlineStr">
        <is>
          <t>BRÄCKE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43180-2025</t>
        </is>
      </c>
      <c r="B1285" s="1" t="n">
        <v>45910.40699074074</v>
      </c>
      <c r="C1285" s="1" t="n">
        <v>45916</v>
      </c>
      <c r="D1285" t="inlineStr">
        <is>
          <t>JÄMTLANDS LÄN</t>
        </is>
      </c>
      <c r="E1285" t="inlineStr">
        <is>
          <t>BRÄCKE</t>
        </is>
      </c>
      <c r="F1285" t="inlineStr">
        <is>
          <t>SCA</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58461-2023</t>
        </is>
      </c>
      <c r="B1286" s="1" t="n">
        <v>45250</v>
      </c>
      <c r="C1286" s="1" t="n">
        <v>45916</v>
      </c>
      <c r="D1286" t="inlineStr">
        <is>
          <t>JÄMTLANDS LÄN</t>
        </is>
      </c>
      <c r="E1286" t="inlineStr">
        <is>
          <t>BRÄCKE</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58467-2023</t>
        </is>
      </c>
      <c r="B1287" s="1" t="n">
        <v>45250.96192129629</v>
      </c>
      <c r="C1287" s="1" t="n">
        <v>45916</v>
      </c>
      <c r="D1287" t="inlineStr">
        <is>
          <t>JÄMTLANDS LÄN</t>
        </is>
      </c>
      <c r="E1287" t="inlineStr">
        <is>
          <t>BRÄCKE</t>
        </is>
      </c>
      <c r="F1287" t="inlineStr">
        <is>
          <t>SCA</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43254-2025</t>
        </is>
      </c>
      <c r="B1288" s="1" t="n">
        <v>45910.553125</v>
      </c>
      <c r="C1288" s="1" t="n">
        <v>45916</v>
      </c>
      <c r="D1288" t="inlineStr">
        <is>
          <t>JÄMTLANDS LÄN</t>
        </is>
      </c>
      <c r="E1288" t="inlineStr">
        <is>
          <t>BRÄCKE</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36386-2025</t>
        </is>
      </c>
      <c r="B1289" s="1" t="n">
        <v>45868.59412037037</v>
      </c>
      <c r="C1289" s="1" t="n">
        <v>45916</v>
      </c>
      <c r="D1289" t="inlineStr">
        <is>
          <t>JÄMTLANDS LÄN</t>
        </is>
      </c>
      <c r="E1289" t="inlineStr">
        <is>
          <t>BRÄCKE</t>
        </is>
      </c>
      <c r="F1289" t="inlineStr">
        <is>
          <t>SCA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43387-2025</t>
        </is>
      </c>
      <c r="B1290" s="1" t="n">
        <v>45911.3653587963</v>
      </c>
      <c r="C1290" s="1" t="n">
        <v>45916</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10769-2025</t>
        </is>
      </c>
      <c r="B1291" s="1" t="n">
        <v>45722.4690625</v>
      </c>
      <c r="C1291" s="1" t="n">
        <v>45916</v>
      </c>
      <c r="D1291" t="inlineStr">
        <is>
          <t>JÄMTLANDS LÄN</t>
        </is>
      </c>
      <c r="E1291" t="inlineStr">
        <is>
          <t>BRÄCKE</t>
        </is>
      </c>
      <c r="F1291" t="inlineStr">
        <is>
          <t>SCA</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2483-2025</t>
        </is>
      </c>
      <c r="B1292" s="1" t="n">
        <v>45673</v>
      </c>
      <c r="C1292" s="1" t="n">
        <v>45916</v>
      </c>
      <c r="D1292" t="inlineStr">
        <is>
          <t>JÄMTLANDS LÄN</t>
        </is>
      </c>
      <c r="E1292" t="inlineStr">
        <is>
          <t>BRÄCKE</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13083-2025</t>
        </is>
      </c>
      <c r="B1293" s="1" t="n">
        <v>45734</v>
      </c>
      <c r="C1293" s="1" t="n">
        <v>45916</v>
      </c>
      <c r="D1293" t="inlineStr">
        <is>
          <t>JÄMTLANDS LÄN</t>
        </is>
      </c>
      <c r="E1293" t="inlineStr">
        <is>
          <t>BRÄCKE</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4887-2025</t>
        </is>
      </c>
      <c r="B1294" s="1" t="n">
        <v>45688.67800925926</v>
      </c>
      <c r="C1294" s="1" t="n">
        <v>45916</v>
      </c>
      <c r="D1294" t="inlineStr">
        <is>
          <t>JÄMTLANDS LÄN</t>
        </is>
      </c>
      <c r="E1294" t="inlineStr">
        <is>
          <t>BRÄCKE</t>
        </is>
      </c>
      <c r="F1294" t="inlineStr">
        <is>
          <t>SCA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4893-2025</t>
        </is>
      </c>
      <c r="B1295" s="1" t="n">
        <v>45688.67871527778</v>
      </c>
      <c r="C1295" s="1" t="n">
        <v>45916</v>
      </c>
      <c r="D1295" t="inlineStr">
        <is>
          <t>JÄMTLANDS LÄN</t>
        </is>
      </c>
      <c r="E1295" t="inlineStr">
        <is>
          <t>BRÄCKE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54328-2023</t>
        </is>
      </c>
      <c r="B1296" s="1" t="n">
        <v>45232.95774305556</v>
      </c>
      <c r="C1296" s="1" t="n">
        <v>45916</v>
      </c>
      <c r="D1296" t="inlineStr">
        <is>
          <t>JÄMTLANDS LÄN</t>
        </is>
      </c>
      <c r="E1296" t="inlineStr">
        <is>
          <t>BRÄCKE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47550-2024</t>
        </is>
      </c>
      <c r="B1297" s="1" t="n">
        <v>45587.66041666667</v>
      </c>
      <c r="C1297" s="1" t="n">
        <v>45916</v>
      </c>
      <c r="D1297" t="inlineStr">
        <is>
          <t>JÄMTLANDS LÄN</t>
        </is>
      </c>
      <c r="E1297" t="inlineStr">
        <is>
          <t>BRÄCKE</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36311-2025</t>
        </is>
      </c>
      <c r="B1298" s="1" t="n">
        <v>45868.34434027778</v>
      </c>
      <c r="C1298" s="1" t="n">
        <v>45916</v>
      </c>
      <c r="D1298" t="inlineStr">
        <is>
          <t>JÄMTLANDS LÄN</t>
        </is>
      </c>
      <c r="E1298" t="inlineStr">
        <is>
          <t>BRÄCKE</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8386-2025</t>
        </is>
      </c>
      <c r="B1299" s="1" t="n">
        <v>45709.35850694445</v>
      </c>
      <c r="C1299" s="1" t="n">
        <v>45916</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44030-2025</t>
        </is>
      </c>
      <c r="B1300" s="1" t="n">
        <v>45915.49006944444</v>
      </c>
      <c r="C1300" s="1" t="n">
        <v>45916</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59910-2022</t>
        </is>
      </c>
      <c r="B1301" s="1" t="n">
        <v>44908</v>
      </c>
      <c r="C1301" s="1" t="n">
        <v>45916</v>
      </c>
      <c r="D1301" t="inlineStr">
        <is>
          <t>JÄMTLANDS LÄN</t>
        </is>
      </c>
      <c r="E1301" t="inlineStr">
        <is>
          <t>BRÄCKE</t>
        </is>
      </c>
      <c r="F1301" t="inlineStr">
        <is>
          <t>SCA</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59915-2022</t>
        </is>
      </c>
      <c r="B1302" s="1" t="n">
        <v>44908.96019675926</v>
      </c>
      <c r="C1302" s="1" t="n">
        <v>45916</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20276-2023</t>
        </is>
      </c>
      <c r="B1303" s="1" t="n">
        <v>45055.94465277778</v>
      </c>
      <c r="C1303" s="1" t="n">
        <v>45916</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10857-2024</t>
        </is>
      </c>
      <c r="B1304" s="1" t="n">
        <v>45370.01916666667</v>
      </c>
      <c r="C1304" s="1" t="n">
        <v>45916</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17606-2025</t>
        </is>
      </c>
      <c r="B1305" s="1" t="n">
        <v>45757.73796296296</v>
      </c>
      <c r="C1305" s="1" t="n">
        <v>45916</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23534-2024</t>
        </is>
      </c>
      <c r="B1306" s="1" t="n">
        <v>45453.95170138889</v>
      </c>
      <c r="C1306" s="1" t="n">
        <v>45916</v>
      </c>
      <c r="D1306" t="inlineStr">
        <is>
          <t>JÄMTLANDS LÄN</t>
        </is>
      </c>
      <c r="E1306" t="inlineStr">
        <is>
          <t>BRÄCKE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44217-2025</t>
        </is>
      </c>
      <c r="B1307" s="1" t="n">
        <v>45915.6362037037</v>
      </c>
      <c r="C1307" s="1" t="n">
        <v>45916</v>
      </c>
      <c r="D1307" t="inlineStr">
        <is>
          <t>JÄMTLANDS LÄN</t>
        </is>
      </c>
      <c r="E1307" t="inlineStr">
        <is>
          <t>BRÄCKE</t>
        </is>
      </c>
      <c r="F1307" t="inlineStr">
        <is>
          <t>SCA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13095-2025</t>
        </is>
      </c>
      <c r="B1308" s="1" t="n">
        <v>45734.65609953704</v>
      </c>
      <c r="C1308" s="1" t="n">
        <v>45916</v>
      </c>
      <c r="D1308" t="inlineStr">
        <is>
          <t>JÄMTLANDS LÄN</t>
        </is>
      </c>
      <c r="E1308" t="inlineStr">
        <is>
          <t>BRÄCKE</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36534-2025</t>
        </is>
      </c>
      <c r="B1309" s="1" t="n">
        <v>45869.61495370371</v>
      </c>
      <c r="C1309" s="1" t="n">
        <v>45916</v>
      </c>
      <c r="D1309" t="inlineStr">
        <is>
          <t>JÄMTLANDS LÄN</t>
        </is>
      </c>
      <c r="E1309" t="inlineStr">
        <is>
          <t>BRÄCKE</t>
        </is>
      </c>
      <c r="F1309" t="inlineStr">
        <is>
          <t>SCA</t>
        </is>
      </c>
      <c r="G1309" t="n">
        <v>22.1</v>
      </c>
      <c r="H1309" t="n">
        <v>0</v>
      </c>
      <c r="I1309" t="n">
        <v>0</v>
      </c>
      <c r="J1309" t="n">
        <v>0</v>
      </c>
      <c r="K1309" t="n">
        <v>0</v>
      </c>
      <c r="L1309" t="n">
        <v>0</v>
      </c>
      <c r="M1309" t="n">
        <v>0</v>
      </c>
      <c r="N1309" t="n">
        <v>0</v>
      </c>
      <c r="O1309" t="n">
        <v>0</v>
      </c>
      <c r="P1309" t="n">
        <v>0</v>
      </c>
      <c r="Q1309" t="n">
        <v>0</v>
      </c>
      <c r="R1309" s="2" t="inlineStr"/>
    </row>
    <row r="1310" ht="15" customHeight="1">
      <c r="A1310" t="inlineStr">
        <is>
          <t>A 56895-2021</t>
        </is>
      </c>
      <c r="B1310" s="1" t="n">
        <v>44481.92086805555</v>
      </c>
      <c r="C1310" s="1" t="n">
        <v>45916</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29314-2021</t>
        </is>
      </c>
      <c r="B1311" s="1" t="n">
        <v>44361</v>
      </c>
      <c r="C1311" s="1" t="n">
        <v>45916</v>
      </c>
      <c r="D1311" t="inlineStr">
        <is>
          <t>JÄMTLANDS LÄN</t>
        </is>
      </c>
      <c r="E1311" t="inlineStr">
        <is>
          <t>BRÄCKE</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31517-2024</t>
        </is>
      </c>
      <c r="B1312" s="1" t="n">
        <v>45505</v>
      </c>
      <c r="C1312" s="1" t="n">
        <v>45916</v>
      </c>
      <c r="D1312" t="inlineStr">
        <is>
          <t>JÄMTLANDS LÄN</t>
        </is>
      </c>
      <c r="E1312" t="inlineStr">
        <is>
          <t>BRÄCKE</t>
        </is>
      </c>
      <c r="F1312" t="inlineStr">
        <is>
          <t>SCA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44057-2025</t>
        </is>
      </c>
      <c r="B1313" s="1" t="n">
        <v>45915.53097222222</v>
      </c>
      <c r="C1313" s="1" t="n">
        <v>45916</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8422-2022</t>
        </is>
      </c>
      <c r="B1314" s="1" t="n">
        <v>44610</v>
      </c>
      <c r="C1314" s="1" t="n">
        <v>45916</v>
      </c>
      <c r="D1314" t="inlineStr">
        <is>
          <t>JÄMTLANDS LÄN</t>
        </is>
      </c>
      <c r="E1314" t="inlineStr">
        <is>
          <t>BRÄCKE</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44216-2025</t>
        </is>
      </c>
      <c r="B1315" s="1" t="n">
        <v>45915.6359837963</v>
      </c>
      <c r="C1315" s="1" t="n">
        <v>45916</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38280-2021</t>
        </is>
      </c>
      <c r="B1316" s="1" t="n">
        <v>44405</v>
      </c>
      <c r="C1316" s="1" t="n">
        <v>45916</v>
      </c>
      <c r="D1316" t="inlineStr">
        <is>
          <t>JÄMTLANDS LÄN</t>
        </is>
      </c>
      <c r="E1316" t="inlineStr">
        <is>
          <t>BRÄCKE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11545-2025</t>
        </is>
      </c>
      <c r="B1317" s="1" t="n">
        <v>45727.34413194445</v>
      </c>
      <c r="C1317" s="1" t="n">
        <v>45916</v>
      </c>
      <c r="D1317" t="inlineStr">
        <is>
          <t>JÄMTLANDS LÄN</t>
        </is>
      </c>
      <c r="E1317" t="inlineStr">
        <is>
          <t>BRÄCKE</t>
        </is>
      </c>
      <c r="F1317" t="inlineStr">
        <is>
          <t>SCA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26923-2024</t>
        </is>
      </c>
      <c r="B1318" s="1" t="n">
        <v>45470.93094907407</v>
      </c>
      <c r="C1318" s="1" t="n">
        <v>45916</v>
      </c>
      <c r="D1318" t="inlineStr">
        <is>
          <t>JÄMTLANDS LÄN</t>
        </is>
      </c>
      <c r="E1318" t="inlineStr">
        <is>
          <t>BRÄCKE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4861-2025</t>
        </is>
      </c>
      <c r="B1319" s="1" t="n">
        <v>45688.67481481482</v>
      </c>
      <c r="C1319" s="1" t="n">
        <v>45916</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37238-2023</t>
        </is>
      </c>
      <c r="B1320" s="1" t="n">
        <v>45155.95366898148</v>
      </c>
      <c r="C1320" s="1" t="n">
        <v>45916</v>
      </c>
      <c r="D1320" t="inlineStr">
        <is>
          <t>JÄMTLANDS LÄN</t>
        </is>
      </c>
      <c r="E1320" t="inlineStr">
        <is>
          <t>BRÄCKE</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3031-2023</t>
        </is>
      </c>
      <c r="B1321" s="1" t="n">
        <v>44945</v>
      </c>
      <c r="C1321" s="1" t="n">
        <v>45916</v>
      </c>
      <c r="D1321" t="inlineStr">
        <is>
          <t>JÄMTLANDS LÄN</t>
        </is>
      </c>
      <c r="E1321" t="inlineStr">
        <is>
          <t>BRÄCKE</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3033-2023</t>
        </is>
      </c>
      <c r="B1322" s="1" t="n">
        <v>44945</v>
      </c>
      <c r="C1322" s="1" t="n">
        <v>45916</v>
      </c>
      <c r="D1322" t="inlineStr">
        <is>
          <t>JÄMTLANDS LÄN</t>
        </is>
      </c>
      <c r="E1322" t="inlineStr">
        <is>
          <t>BRÄCKE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3036-2023</t>
        </is>
      </c>
      <c r="B1323" s="1" t="n">
        <v>44945.94201388889</v>
      </c>
      <c r="C1323" s="1" t="n">
        <v>45916</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44247-2025</t>
        </is>
      </c>
      <c r="B1324" s="1" t="n">
        <v>45915.68195601852</v>
      </c>
      <c r="C1324" s="1" t="n">
        <v>45916</v>
      </c>
      <c r="D1324" t="inlineStr">
        <is>
          <t>JÄMTLANDS LÄN</t>
        </is>
      </c>
      <c r="E1324" t="inlineStr">
        <is>
          <t>BRÄCKE</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43723-2025</t>
        </is>
      </c>
      <c r="B1325" s="1" t="n">
        <v>45912.42844907408</v>
      </c>
      <c r="C1325" s="1" t="n">
        <v>45916</v>
      </c>
      <c r="D1325" t="inlineStr">
        <is>
          <t>JÄMTLANDS LÄN</t>
        </is>
      </c>
      <c r="E1325" t="inlineStr">
        <is>
          <t>BRÄCKE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44035-2025</t>
        </is>
      </c>
      <c r="B1326" s="1" t="n">
        <v>45915.49084490741</v>
      </c>
      <c r="C1326" s="1" t="n">
        <v>45916</v>
      </c>
      <c r="D1326" t="inlineStr">
        <is>
          <t>JÄMTLANDS LÄN</t>
        </is>
      </c>
      <c r="E1326" t="inlineStr">
        <is>
          <t>BRÄCKE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40765-2023</t>
        </is>
      </c>
      <c r="B1327" s="1" t="n">
        <v>45170</v>
      </c>
      <c r="C1327" s="1" t="n">
        <v>45916</v>
      </c>
      <c r="D1327" t="inlineStr">
        <is>
          <t>JÄMTLANDS LÄN</t>
        </is>
      </c>
      <c r="E1327" t="inlineStr">
        <is>
          <t>BRÄCKE</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43736-2025</t>
        </is>
      </c>
      <c r="B1328" s="1" t="n">
        <v>45912.44840277778</v>
      </c>
      <c r="C1328" s="1" t="n">
        <v>45916</v>
      </c>
      <c r="D1328" t="inlineStr">
        <is>
          <t>JÄMTLANDS LÄN</t>
        </is>
      </c>
      <c r="E1328" t="inlineStr">
        <is>
          <t>BRÄCKE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44245-2025</t>
        </is>
      </c>
      <c r="B1329" s="1" t="n">
        <v>45915.67982638889</v>
      </c>
      <c r="C1329" s="1" t="n">
        <v>45916</v>
      </c>
      <c r="D1329" t="inlineStr">
        <is>
          <t>JÄMTLANDS LÄN</t>
        </is>
      </c>
      <c r="E1329" t="inlineStr">
        <is>
          <t>BRÄCKE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58082-2023</t>
        </is>
      </c>
      <c r="B1330" s="1" t="n">
        <v>45247.96538194444</v>
      </c>
      <c r="C1330" s="1" t="n">
        <v>45916</v>
      </c>
      <c r="D1330" t="inlineStr">
        <is>
          <t>JÄMTLANDS LÄN</t>
        </is>
      </c>
      <c r="E1330" t="inlineStr">
        <is>
          <t>BRÄCKE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58083-2023</t>
        </is>
      </c>
      <c r="B1331" s="1" t="n">
        <v>45247</v>
      </c>
      <c r="C1331" s="1" t="n">
        <v>45916</v>
      </c>
      <c r="D1331" t="inlineStr">
        <is>
          <t>JÄMTLANDS LÄN</t>
        </is>
      </c>
      <c r="E1331" t="inlineStr">
        <is>
          <t>BRÄCKE</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22986-2023</t>
        </is>
      </c>
      <c r="B1332" s="1" t="n">
        <v>45072.94140046297</v>
      </c>
      <c r="C1332" s="1" t="n">
        <v>45916</v>
      </c>
      <c r="D1332" t="inlineStr">
        <is>
          <t>JÄMTLANDS LÄN</t>
        </is>
      </c>
      <c r="E1332" t="inlineStr">
        <is>
          <t>BRÄCKE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1799-2024</t>
        </is>
      </c>
      <c r="B1333" s="1" t="n">
        <v>45307</v>
      </c>
      <c r="C1333" s="1" t="n">
        <v>45916</v>
      </c>
      <c r="D1333" t="inlineStr">
        <is>
          <t>JÄMTLANDS LÄN</t>
        </is>
      </c>
      <c r="E1333" t="inlineStr">
        <is>
          <t>BRÄCKE</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50151-2023</t>
        </is>
      </c>
      <c r="B1334" s="1" t="n">
        <v>45208</v>
      </c>
      <c r="C1334" s="1" t="n">
        <v>45916</v>
      </c>
      <c r="D1334" t="inlineStr">
        <is>
          <t>JÄMTLANDS LÄN</t>
        </is>
      </c>
      <c r="E1334" t="inlineStr">
        <is>
          <t>BRÄCKE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48433-2023</t>
        </is>
      </c>
      <c r="B1335" s="1" t="n">
        <v>45205</v>
      </c>
      <c r="C1335" s="1" t="n">
        <v>45916</v>
      </c>
      <c r="D1335" t="inlineStr">
        <is>
          <t>JÄMTLANDS LÄN</t>
        </is>
      </c>
      <c r="E1335" t="inlineStr">
        <is>
          <t>BRÄCKE</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48473-2023</t>
        </is>
      </c>
      <c r="B1336" s="1" t="n">
        <v>45206.95770833334</v>
      </c>
      <c r="C1336" s="1" t="n">
        <v>45916</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19342-2025</t>
        </is>
      </c>
      <c r="B1337" s="1" t="n">
        <v>45769.59520833333</v>
      </c>
      <c r="C1337" s="1" t="n">
        <v>45916</v>
      </c>
      <c r="D1337" t="inlineStr">
        <is>
          <t>JÄMTLANDS LÄN</t>
        </is>
      </c>
      <c r="E1337" t="inlineStr">
        <is>
          <t>BRÄCKE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10476-2022</t>
        </is>
      </c>
      <c r="B1338" s="1" t="n">
        <v>44623</v>
      </c>
      <c r="C1338" s="1" t="n">
        <v>45916</v>
      </c>
      <c r="D1338" t="inlineStr">
        <is>
          <t>JÄMTLANDS LÄN</t>
        </is>
      </c>
      <c r="E1338" t="inlineStr">
        <is>
          <t>BRÄCKE</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10542-2022</t>
        </is>
      </c>
      <c r="B1339" s="1" t="n">
        <v>44623.92204861111</v>
      </c>
      <c r="C1339" s="1" t="n">
        <v>45916</v>
      </c>
      <c r="D1339" t="inlineStr">
        <is>
          <t>JÄMTLANDS LÄN</t>
        </is>
      </c>
      <c r="E1339" t="inlineStr">
        <is>
          <t>BRÄCKE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32636-2024</t>
        </is>
      </c>
      <c r="B1340" s="1" t="n">
        <v>45513.96137731482</v>
      </c>
      <c r="C1340" s="1" t="n">
        <v>45916</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49861-2022</t>
        </is>
      </c>
      <c r="B1341" s="1" t="n">
        <v>44862</v>
      </c>
      <c r="C1341" s="1" t="n">
        <v>45916</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20003-2024</t>
        </is>
      </c>
      <c r="B1342" s="1" t="n">
        <v>45433.94275462963</v>
      </c>
      <c r="C1342" s="1" t="n">
        <v>45916</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20009-2024</t>
        </is>
      </c>
      <c r="B1343" s="1" t="n">
        <v>45433.94325231481</v>
      </c>
      <c r="C1343" s="1" t="n">
        <v>45916</v>
      </c>
      <c r="D1343" t="inlineStr">
        <is>
          <t>JÄMTLANDS LÄN</t>
        </is>
      </c>
      <c r="E1343" t="inlineStr">
        <is>
          <t>BRÄCKE</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20265-2023</t>
        </is>
      </c>
      <c r="B1344" s="1" t="n">
        <v>45055.94337962963</v>
      </c>
      <c r="C1344" s="1" t="n">
        <v>45916</v>
      </c>
      <c r="D1344" t="inlineStr">
        <is>
          <t>JÄMTLANDS LÄN</t>
        </is>
      </c>
      <c r="E1344" t="inlineStr">
        <is>
          <t>BRÄCKE</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13069-2025</t>
        </is>
      </c>
      <c r="B1345" s="1" t="n">
        <v>45734.61494212963</v>
      </c>
      <c r="C1345" s="1" t="n">
        <v>45916</v>
      </c>
      <c r="D1345" t="inlineStr">
        <is>
          <t>JÄMTLANDS LÄN</t>
        </is>
      </c>
      <c r="E1345" t="inlineStr">
        <is>
          <t>BRÄCKE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13165-2025</t>
        </is>
      </c>
      <c r="B1346" s="1" t="n">
        <v>45735.36491898148</v>
      </c>
      <c r="C1346" s="1" t="n">
        <v>45916</v>
      </c>
      <c r="D1346" t="inlineStr">
        <is>
          <t>JÄMTLANDS LÄN</t>
        </is>
      </c>
      <c r="E1346" t="inlineStr">
        <is>
          <t>BRÄCKE</t>
        </is>
      </c>
      <c r="F1346" t="inlineStr">
        <is>
          <t>SCA</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22116-2024</t>
        </is>
      </c>
      <c r="B1347" s="1" t="n">
        <v>45443.95230324074</v>
      </c>
      <c r="C1347" s="1" t="n">
        <v>45916</v>
      </c>
      <c r="D1347" t="inlineStr">
        <is>
          <t>JÄMTLANDS LÄN</t>
        </is>
      </c>
      <c r="E1347" t="inlineStr">
        <is>
          <t>BRÄCKE</t>
        </is>
      </c>
      <c r="F1347" t="inlineStr">
        <is>
          <t>SCA</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28077-2024</t>
        </is>
      </c>
      <c r="B1348" s="1" t="n">
        <v>45476.58508101852</v>
      </c>
      <c r="C1348" s="1" t="n">
        <v>45916</v>
      </c>
      <c r="D1348" t="inlineStr">
        <is>
          <t>JÄMTLANDS LÄN</t>
        </is>
      </c>
      <c r="E1348" t="inlineStr">
        <is>
          <t>BRÄCKE</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62074-2023</t>
        </is>
      </c>
      <c r="B1349" s="1" t="n">
        <v>45266</v>
      </c>
      <c r="C1349" s="1" t="n">
        <v>45916</v>
      </c>
      <c r="D1349" t="inlineStr">
        <is>
          <t>JÄMTLANDS LÄN</t>
        </is>
      </c>
      <c r="E1349" t="inlineStr">
        <is>
          <t>BRÄCKE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4381-2023</t>
        </is>
      </c>
      <c r="B1350" s="1" t="n">
        <v>44955</v>
      </c>
      <c r="C1350" s="1" t="n">
        <v>45916</v>
      </c>
      <c r="D1350" t="inlineStr">
        <is>
          <t>JÄMTLANDS LÄN</t>
        </is>
      </c>
      <c r="E1350" t="inlineStr">
        <is>
          <t>BRÄCKE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57066-2024</t>
        </is>
      </c>
      <c r="B1351" s="1" t="n">
        <v>45629.35359953704</v>
      </c>
      <c r="C1351" s="1" t="n">
        <v>45916</v>
      </c>
      <c r="D1351" t="inlineStr">
        <is>
          <t>JÄMTLANDS LÄN</t>
        </is>
      </c>
      <c r="E1351" t="inlineStr">
        <is>
          <t>BRÄCKE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24874-2024</t>
        </is>
      </c>
      <c r="B1352" s="1" t="n">
        <v>45461.52280092592</v>
      </c>
      <c r="C1352" s="1" t="n">
        <v>45916</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24878-2024</t>
        </is>
      </c>
      <c r="B1353" s="1" t="n">
        <v>45461.55193287037</v>
      </c>
      <c r="C1353" s="1" t="n">
        <v>45916</v>
      </c>
      <c r="D1353" t="inlineStr">
        <is>
          <t>JÄMTLANDS LÄN</t>
        </is>
      </c>
      <c r="E1353" t="inlineStr">
        <is>
          <t>BRÄCKE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61787-2023</t>
        </is>
      </c>
      <c r="B1354" s="1" t="n">
        <v>45265.95765046297</v>
      </c>
      <c r="C1354" s="1" t="n">
        <v>45916</v>
      </c>
      <c r="D1354" t="inlineStr">
        <is>
          <t>JÄMTLANDS LÄN</t>
        </is>
      </c>
      <c r="E1354" t="inlineStr">
        <is>
          <t>BRÄCKE</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42290-2022</t>
        </is>
      </c>
      <c r="B1355" s="1" t="n">
        <v>44830</v>
      </c>
      <c r="C1355" s="1" t="n">
        <v>45916</v>
      </c>
      <c r="D1355" t="inlineStr">
        <is>
          <t>JÄMTLANDS LÄN</t>
        </is>
      </c>
      <c r="E1355" t="inlineStr">
        <is>
          <t>BRÄCKE</t>
        </is>
      </c>
      <c r="F1355" t="inlineStr">
        <is>
          <t>SCA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782-2025</t>
        </is>
      </c>
      <c r="B1356" s="1" t="n">
        <v>45665.48423611111</v>
      </c>
      <c r="C1356" s="1" t="n">
        <v>45916</v>
      </c>
      <c r="D1356" t="inlineStr">
        <is>
          <t>JÄMTLANDS LÄN</t>
        </is>
      </c>
      <c r="E1356" t="inlineStr">
        <is>
          <t>BRÄCKE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49707-2024</t>
        </is>
      </c>
      <c r="B1357" s="1" t="n">
        <v>45596.69832175926</v>
      </c>
      <c r="C1357" s="1" t="n">
        <v>45916</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54447-2023</t>
        </is>
      </c>
      <c r="B1358" s="1" t="n">
        <v>45233.44271990741</v>
      </c>
      <c r="C1358" s="1" t="n">
        <v>45916</v>
      </c>
      <c r="D1358" t="inlineStr">
        <is>
          <t>JÄMTLANDS LÄN</t>
        </is>
      </c>
      <c r="E1358" t="inlineStr">
        <is>
          <t>BRÄCKE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41936-2023</t>
        </is>
      </c>
      <c r="B1359" s="1" t="n">
        <v>45176.94594907408</v>
      </c>
      <c r="C1359" s="1" t="n">
        <v>45916</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58078-2023</t>
        </is>
      </c>
      <c r="B1360" s="1" t="n">
        <v>45247.965</v>
      </c>
      <c r="C1360" s="1" t="n">
        <v>45916</v>
      </c>
      <c r="D1360" t="inlineStr">
        <is>
          <t>JÄMTLANDS LÄN</t>
        </is>
      </c>
      <c r="E1360" t="inlineStr">
        <is>
          <t>BRÄCKE</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18047-2025</t>
        </is>
      </c>
      <c r="B1361" s="1" t="n">
        <v>45761.46606481481</v>
      </c>
      <c r="C1361" s="1" t="n">
        <v>45916</v>
      </c>
      <c r="D1361" t="inlineStr">
        <is>
          <t>JÄMTLANDS LÄN</t>
        </is>
      </c>
      <c r="E1361" t="inlineStr">
        <is>
          <t>BRÄCKE</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33112-2024</t>
        </is>
      </c>
      <c r="B1362" s="1" t="n">
        <v>45517.92994212963</v>
      </c>
      <c r="C1362" s="1" t="n">
        <v>45916</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35746-2022</t>
        </is>
      </c>
      <c r="B1363" s="1" t="n">
        <v>44799.94366898148</v>
      </c>
      <c r="C1363" s="1" t="n">
        <v>45916</v>
      </c>
      <c r="D1363" t="inlineStr">
        <is>
          <t>JÄMTLANDS LÄN</t>
        </is>
      </c>
      <c r="E1363" t="inlineStr">
        <is>
          <t>BRÄCKE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59419-2023</t>
        </is>
      </c>
      <c r="B1364" s="1" t="n">
        <v>45253.96864583333</v>
      </c>
      <c r="C1364" s="1" t="n">
        <v>45916</v>
      </c>
      <c r="D1364" t="inlineStr">
        <is>
          <t>JÄMTLANDS LÄN</t>
        </is>
      </c>
      <c r="E1364" t="inlineStr">
        <is>
          <t>BRÄCKE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8865-2023</t>
        </is>
      </c>
      <c r="B1365" s="1" t="n">
        <v>44978</v>
      </c>
      <c r="C1365" s="1" t="n">
        <v>45916</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61483-2024</t>
        </is>
      </c>
      <c r="B1366" s="1" t="n">
        <v>45646.52915509259</v>
      </c>
      <c r="C1366" s="1" t="n">
        <v>45916</v>
      </c>
      <c r="D1366" t="inlineStr">
        <is>
          <t>JÄMTLANDS LÄN</t>
        </is>
      </c>
      <c r="E1366" t="inlineStr">
        <is>
          <t>BRÄCKE</t>
        </is>
      </c>
      <c r="F1366" t="inlineStr">
        <is>
          <t>Övriga Aktiebolag</t>
        </is>
      </c>
      <c r="G1366" t="n">
        <v>13.8</v>
      </c>
      <c r="H1366" t="n">
        <v>0</v>
      </c>
      <c r="I1366" t="n">
        <v>0</v>
      </c>
      <c r="J1366" t="n">
        <v>0</v>
      </c>
      <c r="K1366" t="n">
        <v>0</v>
      </c>
      <c r="L1366" t="n">
        <v>0</v>
      </c>
      <c r="M1366" t="n">
        <v>0</v>
      </c>
      <c r="N1366" t="n">
        <v>0</v>
      </c>
      <c r="O1366" t="n">
        <v>0</v>
      </c>
      <c r="P1366" t="n">
        <v>0</v>
      </c>
      <c r="Q1366" t="n">
        <v>0</v>
      </c>
      <c r="R1366" s="2" t="inlineStr"/>
    </row>
    <row r="1367" ht="15" customHeight="1">
      <c r="A1367" t="inlineStr">
        <is>
          <t>A 17016-2024</t>
        </is>
      </c>
      <c r="B1367" s="1" t="n">
        <v>45411</v>
      </c>
      <c r="C1367" s="1" t="n">
        <v>45916</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8958-2023</t>
        </is>
      </c>
      <c r="B1368" s="1" t="n">
        <v>44979.47976851852</v>
      </c>
      <c r="C1368" s="1" t="n">
        <v>45916</v>
      </c>
      <c r="D1368" t="inlineStr">
        <is>
          <t>JÄMTLANDS LÄN</t>
        </is>
      </c>
      <c r="E1368" t="inlineStr">
        <is>
          <t>BRÄCKE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17252-2025</t>
        </is>
      </c>
      <c r="B1369" s="1" t="n">
        <v>45756.5109837963</v>
      </c>
      <c r="C1369" s="1" t="n">
        <v>45916</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6768-2023</t>
        </is>
      </c>
      <c r="B1370" s="1" t="n">
        <v>44966.93079861111</v>
      </c>
      <c r="C1370" s="1" t="n">
        <v>45916</v>
      </c>
      <c r="D1370" t="inlineStr">
        <is>
          <t>JÄMTLANDS LÄN</t>
        </is>
      </c>
      <c r="E1370" t="inlineStr">
        <is>
          <t>BRÄCKE</t>
        </is>
      </c>
      <c r="G1370" t="n">
        <v>3.4</v>
      </c>
      <c r="H1370" t="n">
        <v>0</v>
      </c>
      <c r="I1370" t="n">
        <v>0</v>
      </c>
      <c r="J1370" t="n">
        <v>0</v>
      </c>
      <c r="K1370" t="n">
        <v>0</v>
      </c>
      <c r="L1370" t="n">
        <v>0</v>
      </c>
      <c r="M1370" t="n">
        <v>0</v>
      </c>
      <c r="N1370" t="n">
        <v>0</v>
      </c>
      <c r="O1370" t="n">
        <v>0</v>
      </c>
      <c r="P1370" t="n">
        <v>0</v>
      </c>
      <c r="Q1370" t="n">
        <v>0</v>
      </c>
      <c r="R1370" s="2" t="inlineStr"/>
      <c r="U1370">
        <f>HYPERLINK("https://klasma.github.io/Logging_2305/knärot/A 6768-2023 karta knärot.png", "A 6768-2023")</f>
        <v/>
      </c>
      <c r="V1370">
        <f>HYPERLINK("https://klasma.github.io/Logging_2305/klagomål/A 6768-2023 FSC-klagomål.docx", "A 6768-2023")</f>
        <v/>
      </c>
      <c r="W1370">
        <f>HYPERLINK("https://klasma.github.io/Logging_2305/klagomålsmail/A 6768-2023 FSC-klagomål mail.docx", "A 6768-2023")</f>
        <v/>
      </c>
      <c r="X1370">
        <f>HYPERLINK("https://klasma.github.io/Logging_2305/tillsyn/A 6768-2023 tillsynsbegäran.docx", "A 6768-2023")</f>
        <v/>
      </c>
      <c r="Y1370">
        <f>HYPERLINK("https://klasma.github.io/Logging_2305/tillsynsmail/A 6768-2023 tillsynsbegäran mail.docx", "A 6768-2023")</f>
        <v/>
      </c>
    </row>
    <row r="1371" ht="15" customHeight="1">
      <c r="A1371" t="inlineStr">
        <is>
          <t>A 9816-2024</t>
        </is>
      </c>
      <c r="B1371" s="1" t="n">
        <v>45363.04525462963</v>
      </c>
      <c r="C1371" s="1" t="n">
        <v>45916</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37960-2024</t>
        </is>
      </c>
      <c r="B1372" s="1" t="n">
        <v>45544.53925925926</v>
      </c>
      <c r="C1372" s="1" t="n">
        <v>45916</v>
      </c>
      <c r="D1372" t="inlineStr">
        <is>
          <t>JÄMTLANDS LÄN</t>
        </is>
      </c>
      <c r="E1372" t="inlineStr">
        <is>
          <t>BRÄCKE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43551-2023</t>
        </is>
      </c>
      <c r="B1373" s="1" t="n">
        <v>45181</v>
      </c>
      <c r="C1373" s="1" t="n">
        <v>45916</v>
      </c>
      <c r="D1373" t="inlineStr">
        <is>
          <t>JÄMTLANDS LÄN</t>
        </is>
      </c>
      <c r="E1373" t="inlineStr">
        <is>
          <t>BRÄCKE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49526-2024</t>
        </is>
      </c>
      <c r="B1374" s="1" t="n">
        <v>45596.40731481482</v>
      </c>
      <c r="C1374" s="1" t="n">
        <v>45916</v>
      </c>
      <c r="D1374" t="inlineStr">
        <is>
          <t>JÄMTLANDS LÄN</t>
        </is>
      </c>
      <c r="E1374" t="inlineStr">
        <is>
          <t>BRÄCKE</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45758-2024</t>
        </is>
      </c>
      <c r="B1375" s="1" t="n">
        <v>45579.6357175926</v>
      </c>
      <c r="C1375" s="1" t="n">
        <v>45916</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48770-2023</t>
        </is>
      </c>
      <c r="B1376" s="1" t="n">
        <v>45208.9489699074</v>
      </c>
      <c r="C1376" s="1" t="n">
        <v>45916</v>
      </c>
      <c r="D1376" t="inlineStr">
        <is>
          <t>JÄMTLANDS LÄN</t>
        </is>
      </c>
      <c r="E1376" t="inlineStr">
        <is>
          <t>BRÄCKE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48435-2023</t>
        </is>
      </c>
      <c r="B1377" s="1" t="n">
        <v>45205</v>
      </c>
      <c r="C1377" s="1" t="n">
        <v>45916</v>
      </c>
      <c r="D1377" t="inlineStr">
        <is>
          <t>JÄMTLANDS LÄN</t>
        </is>
      </c>
      <c r="E1377" t="inlineStr">
        <is>
          <t>BRÄCKE</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55976-2024</t>
        </is>
      </c>
      <c r="B1378" s="1" t="n">
        <v>45623.65659722222</v>
      </c>
      <c r="C1378" s="1" t="n">
        <v>45916</v>
      </c>
      <c r="D1378" t="inlineStr">
        <is>
          <t>JÄMTLANDS LÄN</t>
        </is>
      </c>
      <c r="E1378" t="inlineStr">
        <is>
          <t>BRÄCKE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48480-2023</t>
        </is>
      </c>
      <c r="B1379" s="1" t="n">
        <v>45206.95831018518</v>
      </c>
      <c r="C1379" s="1" t="n">
        <v>45916</v>
      </c>
      <c r="D1379" t="inlineStr">
        <is>
          <t>JÄMTLANDS LÄN</t>
        </is>
      </c>
      <c r="E1379" t="inlineStr">
        <is>
          <t>BRÄCKE</t>
        </is>
      </c>
      <c r="F1379" t="inlineStr">
        <is>
          <t>SCA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45807-2024</t>
        </is>
      </c>
      <c r="B1380" s="1" t="n">
        <v>45579.69815972223</v>
      </c>
      <c r="C1380" s="1" t="n">
        <v>45916</v>
      </c>
      <c r="D1380" t="inlineStr">
        <is>
          <t>JÄMTLANDS LÄN</t>
        </is>
      </c>
      <c r="E1380" t="inlineStr">
        <is>
          <t>BRÄCKE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52610-2024</t>
        </is>
      </c>
      <c r="B1381" s="1" t="n">
        <v>45609.78957175926</v>
      </c>
      <c r="C1381" s="1" t="n">
        <v>45916</v>
      </c>
      <c r="D1381" t="inlineStr">
        <is>
          <t>JÄMTLANDS LÄN</t>
        </is>
      </c>
      <c r="E1381" t="inlineStr">
        <is>
          <t>BRÄCKE</t>
        </is>
      </c>
      <c r="G1381" t="n">
        <v>16.7</v>
      </c>
      <c r="H1381" t="n">
        <v>0</v>
      </c>
      <c r="I1381" t="n">
        <v>0</v>
      </c>
      <c r="J1381" t="n">
        <v>0</v>
      </c>
      <c r="K1381" t="n">
        <v>0</v>
      </c>
      <c r="L1381" t="n">
        <v>0</v>
      </c>
      <c r="M1381" t="n">
        <v>0</v>
      </c>
      <c r="N1381" t="n">
        <v>0</v>
      </c>
      <c r="O1381" t="n">
        <v>0</v>
      </c>
      <c r="P1381" t="n">
        <v>0</v>
      </c>
      <c r="Q1381" t="n">
        <v>0</v>
      </c>
      <c r="R1381" s="2" t="inlineStr"/>
    </row>
    <row r="1382" ht="15" customHeight="1">
      <c r="A1382" t="inlineStr">
        <is>
          <t>A 55468-2024</t>
        </is>
      </c>
      <c r="B1382" s="1" t="n">
        <v>45622.43024305555</v>
      </c>
      <c r="C1382" s="1" t="n">
        <v>45916</v>
      </c>
      <c r="D1382" t="inlineStr">
        <is>
          <t>JÄMTLANDS LÄN</t>
        </is>
      </c>
      <c r="E1382" t="inlineStr">
        <is>
          <t>BRÄCKE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58903-2024</t>
        </is>
      </c>
      <c r="B1383" s="1" t="n">
        <v>45636.4775</v>
      </c>
      <c r="C1383" s="1" t="n">
        <v>45916</v>
      </c>
      <c r="D1383" t="inlineStr">
        <is>
          <t>JÄMTLANDS LÄN</t>
        </is>
      </c>
      <c r="E1383" t="inlineStr">
        <is>
          <t>BRÄCKE</t>
        </is>
      </c>
      <c r="F1383" t="inlineStr">
        <is>
          <t>Övriga Aktiebolag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47560-2021</t>
        </is>
      </c>
      <c r="B1384" s="1" t="n">
        <v>44447.94313657407</v>
      </c>
      <c r="C1384" s="1" t="n">
        <v>45916</v>
      </c>
      <c r="D1384" t="inlineStr">
        <is>
          <t>JÄMTLANDS LÄN</t>
        </is>
      </c>
      <c r="E1384" t="inlineStr">
        <is>
          <t>BRÄCKE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30287-2024</t>
        </is>
      </c>
      <c r="B1385" s="1" t="n">
        <v>45490.6452199074</v>
      </c>
      <c r="C1385" s="1" t="n">
        <v>45916</v>
      </c>
      <c r="D1385" t="inlineStr">
        <is>
          <t>JÄMTLANDS LÄN</t>
        </is>
      </c>
      <c r="E1385" t="inlineStr">
        <is>
          <t>BRÄCKE</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6213-2025</t>
        </is>
      </c>
      <c r="B1386" s="1" t="n">
        <v>45698.51072916666</v>
      </c>
      <c r="C1386" s="1" t="n">
        <v>45916</v>
      </c>
      <c r="D1386" t="inlineStr">
        <is>
          <t>JÄMTLANDS LÄN</t>
        </is>
      </c>
      <c r="E1386" t="inlineStr">
        <is>
          <t>BRÄCKE</t>
        </is>
      </c>
      <c r="F1386" t="inlineStr">
        <is>
          <t>SCA</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39937-2022</t>
        </is>
      </c>
      <c r="B1387" s="1" t="n">
        <v>44819.9487962963</v>
      </c>
      <c r="C1387" s="1" t="n">
        <v>45916</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4121-2025</t>
        </is>
      </c>
      <c r="B1388" s="1" t="n">
        <v>45685.26607638889</v>
      </c>
      <c r="C1388" s="1" t="n">
        <v>45916</v>
      </c>
      <c r="D1388" t="inlineStr">
        <is>
          <t>JÄMTLANDS LÄN</t>
        </is>
      </c>
      <c r="E1388" t="inlineStr">
        <is>
          <t>BRÄCKE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60954-2023</t>
        </is>
      </c>
      <c r="B1389" s="1" t="n">
        <v>45261.45638888889</v>
      </c>
      <c r="C1389" s="1" t="n">
        <v>45916</v>
      </c>
      <c r="D1389" t="inlineStr">
        <is>
          <t>JÄMTLANDS LÄN</t>
        </is>
      </c>
      <c r="E1389" t="inlineStr">
        <is>
          <t>BRÄCKE</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27354-2023</t>
        </is>
      </c>
      <c r="B1390" s="1" t="n">
        <v>45096</v>
      </c>
      <c r="C1390" s="1" t="n">
        <v>45916</v>
      </c>
      <c r="D1390" t="inlineStr">
        <is>
          <t>JÄMTLANDS LÄN</t>
        </is>
      </c>
      <c r="E1390" t="inlineStr">
        <is>
          <t>BRÄCKE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28903-2021</t>
        </is>
      </c>
      <c r="B1391" s="1" t="n">
        <v>44357</v>
      </c>
      <c r="C1391" s="1" t="n">
        <v>45916</v>
      </c>
      <c r="D1391" t="inlineStr">
        <is>
          <t>JÄMTLANDS LÄN</t>
        </is>
      </c>
      <c r="E1391" t="inlineStr">
        <is>
          <t>BRÄCKE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24053-2022</t>
        </is>
      </c>
      <c r="B1392" s="1" t="n">
        <v>44724.93731481482</v>
      </c>
      <c r="C1392" s="1" t="n">
        <v>45916</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19485-2023</t>
        </is>
      </c>
      <c r="B1393" s="1" t="n">
        <v>45049</v>
      </c>
      <c r="C1393" s="1" t="n">
        <v>45916</v>
      </c>
      <c r="D1393" t="inlineStr">
        <is>
          <t>JÄMTLANDS LÄN</t>
        </is>
      </c>
      <c r="E1393" t="inlineStr">
        <is>
          <t>BRÄCKE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20798-2024</t>
        </is>
      </c>
      <c r="B1394" s="1" t="n">
        <v>45438.94798611111</v>
      </c>
      <c r="C1394" s="1" t="n">
        <v>45916</v>
      </c>
      <c r="D1394" t="inlineStr">
        <is>
          <t>JÄMTLANDS LÄN</t>
        </is>
      </c>
      <c r="E1394" t="inlineStr">
        <is>
          <t>BRÄCKE</t>
        </is>
      </c>
      <c r="F1394" t="inlineStr">
        <is>
          <t>SCA</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231-2025</t>
        </is>
      </c>
      <c r="B1395" s="1" t="n">
        <v>45660.36972222223</v>
      </c>
      <c r="C1395" s="1" t="n">
        <v>45916</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278-2025</t>
        </is>
      </c>
      <c r="B1396" s="1" t="n">
        <v>45660.49075231481</v>
      </c>
      <c r="C1396" s="1" t="n">
        <v>45916</v>
      </c>
      <c r="D1396" t="inlineStr">
        <is>
          <t>JÄMTLANDS LÄN</t>
        </is>
      </c>
      <c r="E1396" t="inlineStr">
        <is>
          <t>BRÄCKE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16059-2024</t>
        </is>
      </c>
      <c r="B1397" s="1" t="n">
        <v>45406.04950231482</v>
      </c>
      <c r="C1397" s="1" t="n">
        <v>45916</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12889-2024</t>
        </is>
      </c>
      <c r="B1398" s="1" t="n">
        <v>45385</v>
      </c>
      <c r="C1398" s="1" t="n">
        <v>45916</v>
      </c>
      <c r="D1398" t="inlineStr">
        <is>
          <t>JÄMTLANDS LÄN</t>
        </is>
      </c>
      <c r="E1398" t="inlineStr">
        <is>
          <t>BRÄCKE</t>
        </is>
      </c>
      <c r="F1398" t="inlineStr">
        <is>
          <t>Kyrkan</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46601-2022</t>
        </is>
      </c>
      <c r="B1399" s="1" t="n">
        <v>44848</v>
      </c>
      <c r="C1399" s="1" t="n">
        <v>45916</v>
      </c>
      <c r="D1399" t="inlineStr">
        <is>
          <t>JÄMTLANDS LÄN</t>
        </is>
      </c>
      <c r="E1399" t="inlineStr">
        <is>
          <t>BRÄCKE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6622-2025</t>
        </is>
      </c>
      <c r="B1400" s="1" t="n">
        <v>45700.36594907408</v>
      </c>
      <c r="C1400" s="1" t="n">
        <v>45916</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9994-2021</t>
        </is>
      </c>
      <c r="B1401" s="1" t="n">
        <v>44254</v>
      </c>
      <c r="C1401" s="1" t="n">
        <v>45916</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12732-2025</t>
        </is>
      </c>
      <c r="B1402" s="1" t="n">
        <v>45733.51090277778</v>
      </c>
      <c r="C1402" s="1" t="n">
        <v>45916</v>
      </c>
      <c r="D1402" t="inlineStr">
        <is>
          <t>JÄMTLANDS LÄN</t>
        </is>
      </c>
      <c r="E1402" t="inlineStr">
        <is>
          <t>BRÄCKE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21117-2023</t>
        </is>
      </c>
      <c r="B1403" s="1" t="n">
        <v>45061</v>
      </c>
      <c r="C1403" s="1" t="n">
        <v>45916</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11371-2025</t>
        </is>
      </c>
      <c r="B1404" s="1" t="n">
        <v>45726.55258101852</v>
      </c>
      <c r="C1404" s="1" t="n">
        <v>45916</v>
      </c>
      <c r="D1404" t="inlineStr">
        <is>
          <t>JÄMTLANDS LÄN</t>
        </is>
      </c>
      <c r="E1404" t="inlineStr">
        <is>
          <t>BRÄCKE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31558-2024</t>
        </is>
      </c>
      <c r="B1405" s="1" t="n">
        <v>45505</v>
      </c>
      <c r="C1405" s="1" t="n">
        <v>45916</v>
      </c>
      <c r="D1405" t="inlineStr">
        <is>
          <t>JÄMTLANDS LÄN</t>
        </is>
      </c>
      <c r="E1405" t="inlineStr">
        <is>
          <t>BRÄCKE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14178-2021</t>
        </is>
      </c>
      <c r="B1406" s="1" t="n">
        <v>44278</v>
      </c>
      <c r="C1406" s="1" t="n">
        <v>45916</v>
      </c>
      <c r="D1406" t="inlineStr">
        <is>
          <t>JÄMTLANDS LÄN</t>
        </is>
      </c>
      <c r="E1406" t="inlineStr">
        <is>
          <t>BRÄCKE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26350-2023</t>
        </is>
      </c>
      <c r="B1407" s="1" t="n">
        <v>45091.9421412037</v>
      </c>
      <c r="C1407" s="1" t="n">
        <v>45916</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61662-2022</t>
        </is>
      </c>
      <c r="B1408" s="1" t="n">
        <v>44916.96359953703</v>
      </c>
      <c r="C1408" s="1" t="n">
        <v>45916</v>
      </c>
      <c r="D1408" t="inlineStr">
        <is>
          <t>JÄMTLANDS LÄN</t>
        </is>
      </c>
      <c r="E1408" t="inlineStr">
        <is>
          <t>BRÄCKE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15262-2025</t>
        </is>
      </c>
      <c r="B1409" s="1" t="n">
        <v>45744.65693287037</v>
      </c>
      <c r="C1409" s="1" t="n">
        <v>45916</v>
      </c>
      <c r="D1409" t="inlineStr">
        <is>
          <t>JÄMTLANDS LÄN</t>
        </is>
      </c>
      <c r="E1409" t="inlineStr">
        <is>
          <t>BRÄCKE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40410-2023</t>
        </is>
      </c>
      <c r="B1410" s="1" t="n">
        <v>45169</v>
      </c>
      <c r="C1410" s="1" t="n">
        <v>45916</v>
      </c>
      <c r="D1410" t="inlineStr">
        <is>
          <t>JÄMTLANDS LÄN</t>
        </is>
      </c>
      <c r="E1410" t="inlineStr">
        <is>
          <t>BRÄCKE</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41722-2023</t>
        </is>
      </c>
      <c r="B1411" s="1" t="n">
        <v>45176.4012037037</v>
      </c>
      <c r="C1411" s="1" t="n">
        <v>45916</v>
      </c>
      <c r="D1411" t="inlineStr">
        <is>
          <t>JÄMTLANDS LÄN</t>
        </is>
      </c>
      <c r="E1411" t="inlineStr">
        <is>
          <t>BRÄCKE</t>
        </is>
      </c>
      <c r="G1411" t="n">
        <v>21.3</v>
      </c>
      <c r="H1411" t="n">
        <v>0</v>
      </c>
      <c r="I1411" t="n">
        <v>0</v>
      </c>
      <c r="J1411" t="n">
        <v>0</v>
      </c>
      <c r="K1411" t="n">
        <v>0</v>
      </c>
      <c r="L1411" t="n">
        <v>0</v>
      </c>
      <c r="M1411" t="n">
        <v>0</v>
      </c>
      <c r="N1411" t="n">
        <v>0</v>
      </c>
      <c r="O1411" t="n">
        <v>0</v>
      </c>
      <c r="P1411" t="n">
        <v>0</v>
      </c>
      <c r="Q1411" t="n">
        <v>0</v>
      </c>
      <c r="R1411" s="2" t="inlineStr"/>
    </row>
    <row r="1412" ht="15" customHeight="1">
      <c r="A1412" t="inlineStr">
        <is>
          <t>A 30478-2022</t>
        </is>
      </c>
      <c r="B1412" s="1" t="n">
        <v>44761</v>
      </c>
      <c r="C1412" s="1" t="n">
        <v>45916</v>
      </c>
      <c r="D1412" t="inlineStr">
        <is>
          <t>JÄMTLANDS LÄN</t>
        </is>
      </c>
      <c r="E1412" t="inlineStr">
        <is>
          <t>BRÄCKE</t>
        </is>
      </c>
      <c r="F1412" t="inlineStr">
        <is>
          <t>SCA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29572-2024</t>
        </is>
      </c>
      <c r="B1413" s="1" t="n">
        <v>45484.55929398148</v>
      </c>
      <c r="C1413" s="1" t="n">
        <v>45916</v>
      </c>
      <c r="D1413" t="inlineStr">
        <is>
          <t>JÄMTLANDS LÄN</t>
        </is>
      </c>
      <c r="E1413" t="inlineStr">
        <is>
          <t>BRÄCKE</t>
        </is>
      </c>
      <c r="F1413" t="inlineStr">
        <is>
          <t>Övriga Aktiebolag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52714-2022</t>
        </is>
      </c>
      <c r="B1414" s="1" t="n">
        <v>44874.95511574074</v>
      </c>
      <c r="C1414" s="1" t="n">
        <v>45916</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37504-2023</t>
        </is>
      </c>
      <c r="B1415" s="1" t="n">
        <v>45157.59725694444</v>
      </c>
      <c r="C1415" s="1" t="n">
        <v>45916</v>
      </c>
      <c r="D1415" t="inlineStr">
        <is>
          <t>JÄMTLANDS LÄN</t>
        </is>
      </c>
      <c r="E1415" t="inlineStr">
        <is>
          <t>BRÄCKE</t>
        </is>
      </c>
      <c r="F1415" t="inlineStr">
        <is>
          <t>Sveaskog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44445-2022</t>
        </is>
      </c>
      <c r="B1416" s="1" t="n">
        <v>44839.95482638889</v>
      </c>
      <c r="C1416" s="1" t="n">
        <v>45916</v>
      </c>
      <c r="D1416" t="inlineStr">
        <is>
          <t>JÄMTLANDS LÄN</t>
        </is>
      </c>
      <c r="E1416" t="inlineStr">
        <is>
          <t>BRÄCKE</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7123-2025</t>
        </is>
      </c>
      <c r="B1417" s="1" t="n">
        <v>45702.34427083333</v>
      </c>
      <c r="C1417" s="1" t="n">
        <v>45916</v>
      </c>
      <c r="D1417" t="inlineStr">
        <is>
          <t>JÄMTLANDS LÄN</t>
        </is>
      </c>
      <c r="E1417" t="inlineStr">
        <is>
          <t>BRÄCKE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48342-2024</t>
        </is>
      </c>
      <c r="B1418" s="1" t="n">
        <v>45590.55238425926</v>
      </c>
      <c r="C1418" s="1" t="n">
        <v>45916</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68763-2021</t>
        </is>
      </c>
      <c r="B1419" s="1" t="n">
        <v>44529</v>
      </c>
      <c r="C1419" s="1" t="n">
        <v>45916</v>
      </c>
      <c r="D1419" t="inlineStr">
        <is>
          <t>JÄMTLANDS LÄN</t>
        </is>
      </c>
      <c r="E1419" t="inlineStr">
        <is>
          <t>BRÄCKE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60654-2024</t>
        </is>
      </c>
      <c r="B1420" s="1" t="n">
        <v>45644</v>
      </c>
      <c r="C1420" s="1" t="n">
        <v>45916</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56047-2024</t>
        </is>
      </c>
      <c r="B1421" s="1" t="n">
        <v>45624.34450231482</v>
      </c>
      <c r="C1421" s="1" t="n">
        <v>45916</v>
      </c>
      <c r="D1421" t="inlineStr">
        <is>
          <t>JÄMTLANDS LÄN</t>
        </is>
      </c>
      <c r="E1421" t="inlineStr">
        <is>
          <t>BRÄCKE</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24307-2024</t>
        </is>
      </c>
      <c r="B1422" s="1" t="n">
        <v>45457.49471064815</v>
      </c>
      <c r="C1422" s="1" t="n">
        <v>45916</v>
      </c>
      <c r="D1422" t="inlineStr">
        <is>
          <t>JÄMTLANDS LÄN</t>
        </is>
      </c>
      <c r="E1422" t="inlineStr">
        <is>
          <t>BRÄCKE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59586-2023</t>
        </is>
      </c>
      <c r="B1423" s="1" t="n">
        <v>45254.61172453704</v>
      </c>
      <c r="C1423" s="1" t="n">
        <v>45916</v>
      </c>
      <c r="D1423" t="inlineStr">
        <is>
          <t>JÄMTLANDS LÄN</t>
        </is>
      </c>
      <c r="E1423" t="inlineStr">
        <is>
          <t>BRÄCKE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23443-2022</t>
        </is>
      </c>
      <c r="B1424" s="1" t="n">
        <v>44720.94112268519</v>
      </c>
      <c r="C1424" s="1" t="n">
        <v>45916</v>
      </c>
      <c r="D1424" t="inlineStr">
        <is>
          <t>JÄMTLANDS LÄN</t>
        </is>
      </c>
      <c r="E1424" t="inlineStr">
        <is>
          <t>BRÄCKE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11548-2023</t>
        </is>
      </c>
      <c r="B1425" s="1" t="n">
        <v>44993.9484837963</v>
      </c>
      <c r="C1425" s="1" t="n">
        <v>45916</v>
      </c>
      <c r="D1425" t="inlineStr">
        <is>
          <t>JÄMTLANDS LÄN</t>
        </is>
      </c>
      <c r="E1425" t="inlineStr">
        <is>
          <t>BRÄCKE</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31467-2023</t>
        </is>
      </c>
      <c r="B1426" s="1" t="n">
        <v>45104</v>
      </c>
      <c r="C1426" s="1" t="n">
        <v>45916</v>
      </c>
      <c r="D1426" t="inlineStr">
        <is>
          <t>JÄMTLANDS LÄN</t>
        </is>
      </c>
      <c r="E1426" t="inlineStr">
        <is>
          <t>BRÄCKE</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58449-2024</t>
        </is>
      </c>
      <c r="B1427" s="1" t="n">
        <v>45635.34413194445</v>
      </c>
      <c r="C1427" s="1" t="n">
        <v>45916</v>
      </c>
      <c r="D1427" t="inlineStr">
        <is>
          <t>JÄMTLANDS LÄN</t>
        </is>
      </c>
      <c r="E1427" t="inlineStr">
        <is>
          <t>BRÄCKE</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4635-2022</t>
        </is>
      </c>
      <c r="B1428" s="1" t="n">
        <v>44592.41413194445</v>
      </c>
      <c r="C1428" s="1" t="n">
        <v>45916</v>
      </c>
      <c r="D1428" t="inlineStr">
        <is>
          <t>JÄMTLANDS LÄN</t>
        </is>
      </c>
      <c r="E1428" t="inlineStr">
        <is>
          <t>BRÄCKE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58491-2024</t>
        </is>
      </c>
      <c r="B1429" s="1" t="n">
        <v>45635.40408564815</v>
      </c>
      <c r="C1429" s="1" t="n">
        <v>45916</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48419-2023</t>
        </is>
      </c>
      <c r="B1430" s="1" t="n">
        <v>45205</v>
      </c>
      <c r="C1430" s="1" t="n">
        <v>45916</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49291-2024</t>
        </is>
      </c>
      <c r="B1431" s="1" t="n">
        <v>45595.53299768519</v>
      </c>
      <c r="C1431" s="1" t="n">
        <v>45916</v>
      </c>
      <c r="D1431" t="inlineStr">
        <is>
          <t>JÄMTLANDS LÄN</t>
        </is>
      </c>
      <c r="E1431" t="inlineStr">
        <is>
          <t>BRÄCKE</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47186-2023</t>
        </is>
      </c>
      <c r="B1432" s="1" t="n">
        <v>45201</v>
      </c>
      <c r="C1432" s="1" t="n">
        <v>45916</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73102-2021</t>
        </is>
      </c>
      <c r="B1433" s="1" t="n">
        <v>44550.45236111111</v>
      </c>
      <c r="C1433" s="1" t="n">
        <v>45916</v>
      </c>
      <c r="D1433" t="inlineStr">
        <is>
          <t>JÄMTLANDS LÄN</t>
        </is>
      </c>
      <c r="E1433" t="inlineStr">
        <is>
          <t>BRÄCKE</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16512-2024</t>
        </is>
      </c>
      <c r="B1434" s="1" t="n">
        <v>45408.39922453704</v>
      </c>
      <c r="C1434" s="1" t="n">
        <v>45916</v>
      </c>
      <c r="D1434" t="inlineStr">
        <is>
          <t>JÄMTLANDS LÄN</t>
        </is>
      </c>
      <c r="E1434" t="inlineStr">
        <is>
          <t>BRÄCKE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26910-2024</t>
        </is>
      </c>
      <c r="B1435" s="1" t="n">
        <v>45470.76403935185</v>
      </c>
      <c r="C1435" s="1" t="n">
        <v>45916</v>
      </c>
      <c r="D1435" t="inlineStr">
        <is>
          <t>JÄMTLANDS LÄN</t>
        </is>
      </c>
      <c r="E1435" t="inlineStr">
        <is>
          <t>BRÄCKE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53696-2024</t>
        </is>
      </c>
      <c r="B1436" s="1" t="n">
        <v>45615.3857175926</v>
      </c>
      <c r="C1436" s="1" t="n">
        <v>45916</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20095-2023</t>
        </is>
      </c>
      <c r="B1437" s="1" t="n">
        <v>45054.94199074074</v>
      </c>
      <c r="C1437" s="1" t="n">
        <v>45916</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20100-2023</t>
        </is>
      </c>
      <c r="B1438" s="1" t="n">
        <v>45054.94239583334</v>
      </c>
      <c r="C1438" s="1" t="n">
        <v>45916</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20101-2023</t>
        </is>
      </c>
      <c r="B1439" s="1" t="n">
        <v>45054.94247685185</v>
      </c>
      <c r="C1439" s="1" t="n">
        <v>45916</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18267-2025</t>
        </is>
      </c>
      <c r="B1440" s="1" t="n">
        <v>45762.36527777778</v>
      </c>
      <c r="C1440" s="1" t="n">
        <v>45916</v>
      </c>
      <c r="D1440" t="inlineStr">
        <is>
          <t>JÄMTLANDS LÄN</t>
        </is>
      </c>
      <c r="E1440" t="inlineStr">
        <is>
          <t>BRÄCKE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33172-2023</t>
        </is>
      </c>
      <c r="B1441" s="1" t="n">
        <v>45126.94283564815</v>
      </c>
      <c r="C1441" s="1" t="n">
        <v>45916</v>
      </c>
      <c r="D1441" t="inlineStr">
        <is>
          <t>JÄMTLANDS LÄN</t>
        </is>
      </c>
      <c r="E1441" t="inlineStr">
        <is>
          <t>BRÄCKE</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49330-2023</t>
        </is>
      </c>
      <c r="B1442" s="1" t="n">
        <v>45210.94927083333</v>
      </c>
      <c r="C1442" s="1" t="n">
        <v>45916</v>
      </c>
      <c r="D1442" t="inlineStr">
        <is>
          <t>JÄMTLANDS LÄN</t>
        </is>
      </c>
      <c r="E1442" t="inlineStr">
        <is>
          <t>BRÄCKE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19088-2021</t>
        </is>
      </c>
      <c r="B1443" s="1" t="n">
        <v>44308</v>
      </c>
      <c r="C1443" s="1" t="n">
        <v>45916</v>
      </c>
      <c r="D1443" t="inlineStr">
        <is>
          <t>JÄMTLANDS LÄN</t>
        </is>
      </c>
      <c r="E1443" t="inlineStr">
        <is>
          <t>BRÄCKE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22001-2024</t>
        </is>
      </c>
      <c r="B1444" s="1" t="n">
        <v>45443.56649305556</v>
      </c>
      <c r="C1444" s="1" t="n">
        <v>45916</v>
      </c>
      <c r="D1444" t="inlineStr">
        <is>
          <t>JÄMTLANDS LÄN</t>
        </is>
      </c>
      <c r="E1444" t="inlineStr">
        <is>
          <t>BRÄCKE</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10510-2025</t>
        </is>
      </c>
      <c r="B1445" s="1" t="n">
        <v>45721.40363425926</v>
      </c>
      <c r="C1445" s="1" t="n">
        <v>45916</v>
      </c>
      <c r="D1445" t="inlineStr">
        <is>
          <t>JÄMTLANDS LÄN</t>
        </is>
      </c>
      <c r="E1445" t="inlineStr">
        <is>
          <t>BRÄCKE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10606-2025</t>
        </is>
      </c>
      <c r="B1446" s="1" t="n">
        <v>45721.59429398148</v>
      </c>
      <c r="C1446" s="1" t="n">
        <v>45916</v>
      </c>
      <c r="D1446" t="inlineStr">
        <is>
          <t>JÄMTLANDS LÄN</t>
        </is>
      </c>
      <c r="E1446" t="inlineStr">
        <is>
          <t>BRÄCKE</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3180-2024</t>
        </is>
      </c>
      <c r="B1447" s="1" t="n">
        <v>45316.64880787037</v>
      </c>
      <c r="C1447" s="1" t="n">
        <v>45916</v>
      </c>
      <c r="D1447" t="inlineStr">
        <is>
          <t>JÄMTLANDS LÄN</t>
        </is>
      </c>
      <c r="E1447" t="inlineStr">
        <is>
          <t>BRÄCKE</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3182-2024</t>
        </is>
      </c>
      <c r="B1448" s="1" t="n">
        <v>45316.65004629629</v>
      </c>
      <c r="C1448" s="1" t="n">
        <v>45916</v>
      </c>
      <c r="D1448" t="inlineStr">
        <is>
          <t>JÄMTLANDS LÄN</t>
        </is>
      </c>
      <c r="E1448" t="inlineStr">
        <is>
          <t>BRÄCKE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10815-2022</t>
        </is>
      </c>
      <c r="B1449" s="1" t="n">
        <v>44627</v>
      </c>
      <c r="C1449" s="1" t="n">
        <v>45916</v>
      </c>
      <c r="D1449" t="inlineStr">
        <is>
          <t>JÄMTLANDS LÄN</t>
        </is>
      </c>
      <c r="E1449" t="inlineStr">
        <is>
          <t>BRÄCKE</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52723-2023</t>
        </is>
      </c>
      <c r="B1450" s="1" t="n">
        <v>45225</v>
      </c>
      <c r="C1450" s="1" t="n">
        <v>45916</v>
      </c>
      <c r="D1450" t="inlineStr">
        <is>
          <t>JÄMTLANDS LÄN</t>
        </is>
      </c>
      <c r="E1450" t="inlineStr">
        <is>
          <t>BRÄCKE</t>
        </is>
      </c>
      <c r="G1450" t="n">
        <v>9.699999999999999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29028-2024</t>
        </is>
      </c>
      <c r="B1451" s="1" t="n">
        <v>45481.59387731482</v>
      </c>
      <c r="C1451" s="1" t="n">
        <v>45916</v>
      </c>
      <c r="D1451" t="inlineStr">
        <is>
          <t>JÄMTLANDS LÄN</t>
        </is>
      </c>
      <c r="E1451" t="inlineStr">
        <is>
          <t>BRÄCKE</t>
        </is>
      </c>
      <c r="F1451" t="inlineStr">
        <is>
          <t>Övriga Aktiebolag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44753-2022</t>
        </is>
      </c>
      <c r="B1452" s="1" t="n">
        <v>44840</v>
      </c>
      <c r="C1452" s="1" t="n">
        <v>45916</v>
      </c>
      <c r="D1452" t="inlineStr">
        <is>
          <t>JÄMTLANDS LÄN</t>
        </is>
      </c>
      <c r="E1452" t="inlineStr">
        <is>
          <t>BRÄCKE</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45005-2023</t>
        </is>
      </c>
      <c r="B1453" s="1" t="n">
        <v>45190</v>
      </c>
      <c r="C1453" s="1" t="n">
        <v>45916</v>
      </c>
      <c r="D1453" t="inlineStr">
        <is>
          <t>JÄMTLANDS LÄN</t>
        </is>
      </c>
      <c r="E1453" t="inlineStr">
        <is>
          <t>BRÄCKE</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11309-2025</t>
        </is>
      </c>
      <c r="B1454" s="1" t="n">
        <v>45726.44820601852</v>
      </c>
      <c r="C1454" s="1" t="n">
        <v>45916</v>
      </c>
      <c r="D1454" t="inlineStr">
        <is>
          <t>JÄMTLANDS LÄN</t>
        </is>
      </c>
      <c r="E1454" t="inlineStr">
        <is>
          <t>BRÄCKE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6399-2021</t>
        </is>
      </c>
      <c r="B1455" s="1" t="n">
        <v>44232</v>
      </c>
      <c r="C1455" s="1" t="n">
        <v>45916</v>
      </c>
      <c r="D1455" t="inlineStr">
        <is>
          <t>JÄMTLANDS LÄN</t>
        </is>
      </c>
      <c r="E1455" t="inlineStr">
        <is>
          <t>BRÄCKE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32961-2022</t>
        </is>
      </c>
      <c r="B1456" s="1" t="n">
        <v>44784.92487268519</v>
      </c>
      <c r="C1456" s="1" t="n">
        <v>45916</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35424-2023</t>
        </is>
      </c>
      <c r="B1457" s="1" t="n">
        <v>45146.6240625</v>
      </c>
      <c r="C1457" s="1" t="n">
        <v>45916</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2954-2023</t>
        </is>
      </c>
      <c r="B1458" s="1" t="n">
        <v>44945.62861111111</v>
      </c>
      <c r="C1458" s="1" t="n">
        <v>45916</v>
      </c>
      <c r="D1458" t="inlineStr">
        <is>
          <t>JÄMTLANDS LÄN</t>
        </is>
      </c>
      <c r="E1458" t="inlineStr">
        <is>
          <t>BRÄCKE</t>
        </is>
      </c>
      <c r="F1458" t="inlineStr">
        <is>
          <t>Övriga Aktiebolag</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51809-2023</t>
        </is>
      </c>
      <c r="B1459" s="1" t="n">
        <v>45222.96574074074</v>
      </c>
      <c r="C1459" s="1" t="n">
        <v>45916</v>
      </c>
      <c r="D1459" t="inlineStr">
        <is>
          <t>JÄMTLANDS LÄN</t>
        </is>
      </c>
      <c r="E1459" t="inlineStr">
        <is>
          <t>BRÄCKE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20760-2024</t>
        </is>
      </c>
      <c r="B1460" s="1" t="n">
        <v>45436.92543981481</v>
      </c>
      <c r="C1460" s="1" t="n">
        <v>45916</v>
      </c>
      <c r="D1460" t="inlineStr">
        <is>
          <t>JÄMTLANDS LÄN</t>
        </is>
      </c>
      <c r="E1460" t="inlineStr">
        <is>
          <t>BRÄCKE</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67612-2020</t>
        </is>
      </c>
      <c r="B1461" s="1" t="n">
        <v>44181</v>
      </c>
      <c r="C1461" s="1" t="n">
        <v>45916</v>
      </c>
      <c r="D1461" t="inlineStr">
        <is>
          <t>JÄMTLANDS LÄN</t>
        </is>
      </c>
      <c r="E1461" t="inlineStr">
        <is>
          <t>BRÄCKE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1863-2022</t>
        </is>
      </c>
      <c r="B1462" s="1" t="n">
        <v>44574</v>
      </c>
      <c r="C1462" s="1" t="n">
        <v>45916</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1865-2022</t>
        </is>
      </c>
      <c r="B1463" s="1" t="n">
        <v>44574</v>
      </c>
      <c r="C1463" s="1" t="n">
        <v>45916</v>
      </c>
      <c r="D1463" t="inlineStr">
        <is>
          <t>JÄMTLANDS LÄN</t>
        </is>
      </c>
      <c r="E1463" t="inlineStr">
        <is>
          <t>BRÄCKE</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7756-2025</t>
        </is>
      </c>
      <c r="B1464" s="1" t="n">
        <v>45706.51079861111</v>
      </c>
      <c r="C1464" s="1" t="n">
        <v>45916</v>
      </c>
      <c r="D1464" t="inlineStr">
        <is>
          <t>JÄMTLANDS LÄN</t>
        </is>
      </c>
      <c r="E1464" t="inlineStr">
        <is>
          <t>BRÄCKE</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7757-2025</t>
        </is>
      </c>
      <c r="B1465" s="1" t="n">
        <v>45706.51085648148</v>
      </c>
      <c r="C1465" s="1" t="n">
        <v>45916</v>
      </c>
      <c r="D1465" t="inlineStr">
        <is>
          <t>JÄMTLANDS LÄN</t>
        </is>
      </c>
      <c r="E1465" t="inlineStr">
        <is>
          <t>BRÄCKE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5482-2025</t>
        </is>
      </c>
      <c r="B1466" s="1" t="n">
        <v>45693.34427083333</v>
      </c>
      <c r="C1466" s="1" t="n">
        <v>45916</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14266-2025</t>
        </is>
      </c>
      <c r="B1467" s="1" t="n">
        <v>45740.63572916666</v>
      </c>
      <c r="C1467" s="1" t="n">
        <v>45916</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40791-2024</t>
        </is>
      </c>
      <c r="B1468" s="1" t="n">
        <v>45558.50222222223</v>
      </c>
      <c r="C1468" s="1" t="n">
        <v>45916</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57623-2024</t>
        </is>
      </c>
      <c r="B1469" s="1" t="n">
        <v>45630.55260416667</v>
      </c>
      <c r="C1469" s="1" t="n">
        <v>45916</v>
      </c>
      <c r="D1469" t="inlineStr">
        <is>
          <t>JÄMTLANDS LÄN</t>
        </is>
      </c>
      <c r="E1469" t="inlineStr">
        <is>
          <t>BRÄCKE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48416-2024</t>
        </is>
      </c>
      <c r="B1470" s="1" t="n">
        <v>45590.64153935185</v>
      </c>
      <c r="C1470" s="1" t="n">
        <v>45916</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43910-2023</t>
        </is>
      </c>
      <c r="B1471" s="1" t="n">
        <v>45182</v>
      </c>
      <c r="C1471" s="1" t="n">
        <v>45916</v>
      </c>
      <c r="D1471" t="inlineStr">
        <is>
          <t>JÄMTLANDS LÄN</t>
        </is>
      </c>
      <c r="E1471" t="inlineStr">
        <is>
          <t>BRÄCKE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5536-2025</t>
        </is>
      </c>
      <c r="B1472" s="1" t="n">
        <v>45693.44846064815</v>
      </c>
      <c r="C1472" s="1" t="n">
        <v>45916</v>
      </c>
      <c r="D1472" t="inlineStr">
        <is>
          <t>JÄMTLANDS LÄN</t>
        </is>
      </c>
      <c r="E1472" t="inlineStr">
        <is>
          <t>BRÄCKE</t>
        </is>
      </c>
      <c r="F1472" t="inlineStr">
        <is>
          <t>SCA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5537-2025</t>
        </is>
      </c>
      <c r="B1473" s="1" t="n">
        <v>45693.44858796296</v>
      </c>
      <c r="C1473" s="1" t="n">
        <v>45916</v>
      </c>
      <c r="D1473" t="inlineStr">
        <is>
          <t>JÄMTLANDS LÄN</t>
        </is>
      </c>
      <c r="E1473" t="inlineStr">
        <is>
          <t>BRÄCKE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14868-2021</t>
        </is>
      </c>
      <c r="B1474" s="1" t="n">
        <v>44280</v>
      </c>
      <c r="C1474" s="1" t="n">
        <v>45916</v>
      </c>
      <c r="D1474" t="inlineStr">
        <is>
          <t>JÄMTLANDS LÄN</t>
        </is>
      </c>
      <c r="E1474" t="inlineStr">
        <is>
          <t>BRÄCKE</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34807-2024</t>
        </is>
      </c>
      <c r="B1475" s="1" t="n">
        <v>45526.69046296296</v>
      </c>
      <c r="C1475" s="1" t="n">
        <v>45916</v>
      </c>
      <c r="D1475" t="inlineStr">
        <is>
          <t>JÄMTLANDS LÄN</t>
        </is>
      </c>
      <c r="E1475" t="inlineStr">
        <is>
          <t>BRÄCKE</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17907-2025</t>
        </is>
      </c>
      <c r="B1476" s="1" t="n">
        <v>45758.73046296297</v>
      </c>
      <c r="C1476" s="1" t="n">
        <v>45916</v>
      </c>
      <c r="D1476" t="inlineStr">
        <is>
          <t>JÄMTLANDS LÄN</t>
        </is>
      </c>
      <c r="E1476" t="inlineStr">
        <is>
          <t>BRÄCKE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39326-2024</t>
        </is>
      </c>
      <c r="B1477" s="1" t="n">
        <v>45551.42741898148</v>
      </c>
      <c r="C1477" s="1" t="n">
        <v>45916</v>
      </c>
      <c r="D1477" t="inlineStr">
        <is>
          <t>JÄMTLANDS LÄN</t>
        </is>
      </c>
      <c r="E1477" t="inlineStr">
        <is>
          <t>BRÄCKE</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27280-2024</t>
        </is>
      </c>
      <c r="B1478" s="1" t="n">
        <v>45471.92576388889</v>
      </c>
      <c r="C1478" s="1" t="n">
        <v>45916</v>
      </c>
      <c r="D1478" t="inlineStr">
        <is>
          <t>JÄMTLANDS LÄN</t>
        </is>
      </c>
      <c r="E1478" t="inlineStr">
        <is>
          <t>BRÄCKE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45414-2024</t>
        </is>
      </c>
      <c r="B1479" s="1" t="n">
        <v>45576.5943287037</v>
      </c>
      <c r="C1479" s="1" t="n">
        <v>45916</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60666-2024</t>
        </is>
      </c>
      <c r="B1480" s="1" t="n">
        <v>45644.44833333333</v>
      </c>
      <c r="C1480" s="1" t="n">
        <v>45916</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21086-2024</t>
        </is>
      </c>
      <c r="B1481" s="1" t="n">
        <v>45439.92791666667</v>
      </c>
      <c r="C1481" s="1" t="n">
        <v>45916</v>
      </c>
      <c r="D1481" t="inlineStr">
        <is>
          <t>JÄMTLANDS LÄN</t>
        </is>
      </c>
      <c r="E1481" t="inlineStr">
        <is>
          <t>BRÄCKE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65096-2023</t>
        </is>
      </c>
      <c r="B1482" s="1" t="n">
        <v>45288</v>
      </c>
      <c r="C1482" s="1" t="n">
        <v>45916</v>
      </c>
      <c r="D1482" t="inlineStr">
        <is>
          <t>JÄMTLANDS LÄN</t>
        </is>
      </c>
      <c r="E1482" t="inlineStr">
        <is>
          <t>BRÄCKE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11550-2023</t>
        </is>
      </c>
      <c r="B1483" s="1" t="n">
        <v>44993</v>
      </c>
      <c r="C1483" s="1" t="n">
        <v>45916</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14838-2025</t>
        </is>
      </c>
      <c r="B1484" s="1" t="n">
        <v>45743.38582175926</v>
      </c>
      <c r="C1484" s="1" t="n">
        <v>45916</v>
      </c>
      <c r="D1484" t="inlineStr">
        <is>
          <t>JÄMTLANDS LÄN</t>
        </is>
      </c>
      <c r="E1484" t="inlineStr">
        <is>
          <t>BRÄCKE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57417-2023</t>
        </is>
      </c>
      <c r="B1485" s="1" t="n">
        <v>45245.96966435185</v>
      </c>
      <c r="C1485" s="1" t="n">
        <v>45916</v>
      </c>
      <c r="D1485" t="inlineStr">
        <is>
          <t>JÄMTLANDS LÄN</t>
        </is>
      </c>
      <c r="E1485" t="inlineStr">
        <is>
          <t>BRÄCKE</t>
        </is>
      </c>
      <c r="F1485" t="inlineStr">
        <is>
          <t>SCA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10103-2025</t>
        </is>
      </c>
      <c r="B1486" s="1" t="n">
        <v>45719.57978009259</v>
      </c>
      <c r="C1486" s="1" t="n">
        <v>45916</v>
      </c>
      <c r="D1486" t="inlineStr">
        <is>
          <t>JÄMTLANDS LÄN</t>
        </is>
      </c>
      <c r="E1486" t="inlineStr">
        <is>
          <t>BRÄCKE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12705-2025</t>
        </is>
      </c>
      <c r="B1487" s="1" t="n">
        <v>45733.46938657408</v>
      </c>
      <c r="C1487" s="1" t="n">
        <v>45916</v>
      </c>
      <c r="D1487" t="inlineStr">
        <is>
          <t>JÄMTLANDS LÄN</t>
        </is>
      </c>
      <c r="E1487" t="inlineStr">
        <is>
          <t>BRÄCKE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12722-2025</t>
        </is>
      </c>
      <c r="B1488" s="1" t="n">
        <v>45733.48998842593</v>
      </c>
      <c r="C1488" s="1" t="n">
        <v>45916</v>
      </c>
      <c r="D1488" t="inlineStr">
        <is>
          <t>JÄMTLANDS LÄN</t>
        </is>
      </c>
      <c r="E1488" t="inlineStr">
        <is>
          <t>BRÄCKE</t>
        </is>
      </c>
      <c r="F1488" t="inlineStr">
        <is>
          <t>SCA</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59405-2022</t>
        </is>
      </c>
      <c r="B1489" s="1" t="n">
        <v>44906</v>
      </c>
      <c r="C1489" s="1" t="n">
        <v>45916</v>
      </c>
      <c r="D1489" t="inlineStr">
        <is>
          <t>JÄMTLANDS LÄN</t>
        </is>
      </c>
      <c r="E1489" t="inlineStr">
        <is>
          <t>BRÄCKE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20625-2023</t>
        </is>
      </c>
      <c r="B1490" s="1" t="n">
        <v>45057.94351851852</v>
      </c>
      <c r="C1490" s="1" t="n">
        <v>45916</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20014-2022</t>
        </is>
      </c>
      <c r="B1491" s="1" t="n">
        <v>44697.64387731482</v>
      </c>
      <c r="C1491" s="1" t="n">
        <v>45916</v>
      </c>
      <c r="D1491" t="inlineStr">
        <is>
          <t>JÄMTLANDS LÄN</t>
        </is>
      </c>
      <c r="E1491" t="inlineStr">
        <is>
          <t>BRÄCKE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37957-2021</t>
        </is>
      </c>
      <c r="B1492" s="1" t="n">
        <v>44403</v>
      </c>
      <c r="C1492" s="1" t="n">
        <v>45916</v>
      </c>
      <c r="D1492" t="inlineStr">
        <is>
          <t>JÄMTLANDS LÄN</t>
        </is>
      </c>
      <c r="E1492" t="inlineStr">
        <is>
          <t>BRÄCKE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9996-2025</t>
        </is>
      </c>
      <c r="B1493" s="1" t="n">
        <v>45719.44133101852</v>
      </c>
      <c r="C1493" s="1" t="n">
        <v>45916</v>
      </c>
      <c r="D1493" t="inlineStr">
        <is>
          <t>JÄMTLANDS LÄN</t>
        </is>
      </c>
      <c r="E1493" t="inlineStr">
        <is>
          <t>BRÄCKE</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21366-2021</t>
        </is>
      </c>
      <c r="B1494" s="1" t="n">
        <v>44320</v>
      </c>
      <c r="C1494" s="1" t="n">
        <v>45916</v>
      </c>
      <c r="D1494" t="inlineStr">
        <is>
          <t>JÄMTLANDS LÄN</t>
        </is>
      </c>
      <c r="E1494" t="inlineStr">
        <is>
          <t>BRÄCKE</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40482-2021</t>
        </is>
      </c>
      <c r="B1495" s="1" t="n">
        <v>44419.94334490741</v>
      </c>
      <c r="C1495" s="1" t="n">
        <v>45916</v>
      </c>
      <c r="D1495" t="inlineStr">
        <is>
          <t>JÄMTLANDS LÄN</t>
        </is>
      </c>
      <c r="E1495" t="inlineStr">
        <is>
          <t>BRÄCKE</t>
        </is>
      </c>
      <c r="F1495" t="inlineStr">
        <is>
          <t>SCA</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41311-2024</t>
        </is>
      </c>
      <c r="B1496" s="1" t="n">
        <v>45559.63569444444</v>
      </c>
      <c r="C1496" s="1" t="n">
        <v>45916</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41315-2024</t>
        </is>
      </c>
      <c r="B1497" s="1" t="n">
        <v>45559.63628472222</v>
      </c>
      <c r="C1497" s="1" t="n">
        <v>45916</v>
      </c>
      <c r="D1497" t="inlineStr">
        <is>
          <t>JÄMTLANDS LÄN</t>
        </is>
      </c>
      <c r="E1497" t="inlineStr">
        <is>
          <t>BRÄCKE</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66859-2020</t>
        </is>
      </c>
      <c r="B1498" s="1" t="n">
        <v>44179</v>
      </c>
      <c r="C1498" s="1" t="n">
        <v>45916</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13033-2023</t>
        </is>
      </c>
      <c r="B1499" s="1" t="n">
        <v>45001</v>
      </c>
      <c r="C1499" s="1" t="n">
        <v>45916</v>
      </c>
      <c r="D1499" t="inlineStr">
        <is>
          <t>JÄMTLANDS LÄN</t>
        </is>
      </c>
      <c r="E1499" t="inlineStr">
        <is>
          <t>BRÄCKE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26522-2024</t>
        </is>
      </c>
      <c r="B1500" s="1" t="n">
        <v>45469</v>
      </c>
      <c r="C1500" s="1" t="n">
        <v>45916</v>
      </c>
      <c r="D1500" t="inlineStr">
        <is>
          <t>JÄMTLANDS LÄN</t>
        </is>
      </c>
      <c r="E1500" t="inlineStr">
        <is>
          <t>BRÄCKE</t>
        </is>
      </c>
      <c r="G1500" t="n">
        <v>14.1</v>
      </c>
      <c r="H1500" t="n">
        <v>0</v>
      </c>
      <c r="I1500" t="n">
        <v>0</v>
      </c>
      <c r="J1500" t="n">
        <v>0</v>
      </c>
      <c r="K1500" t="n">
        <v>0</v>
      </c>
      <c r="L1500" t="n">
        <v>0</v>
      </c>
      <c r="M1500" t="n">
        <v>0</v>
      </c>
      <c r="N1500" t="n">
        <v>0</v>
      </c>
      <c r="O1500" t="n">
        <v>0</v>
      </c>
      <c r="P1500" t="n">
        <v>0</v>
      </c>
      <c r="Q1500" t="n">
        <v>0</v>
      </c>
      <c r="R1500" s="2" t="inlineStr"/>
    </row>
    <row r="1501" ht="15" customHeight="1">
      <c r="A1501" t="inlineStr">
        <is>
          <t>A 51558-2022</t>
        </is>
      </c>
      <c r="B1501" s="1" t="n">
        <v>44869.9497337963</v>
      </c>
      <c r="C1501" s="1" t="n">
        <v>45916</v>
      </c>
      <c r="D1501" t="inlineStr">
        <is>
          <t>JÄMTLANDS LÄN</t>
        </is>
      </c>
      <c r="E1501" t="inlineStr">
        <is>
          <t>BRÄCKE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30685-2023</t>
        </is>
      </c>
      <c r="B1502" s="1" t="n">
        <v>45112.56471064815</v>
      </c>
      <c r="C1502" s="1" t="n">
        <v>45916</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3865-2025</t>
        </is>
      </c>
      <c r="B1503" s="1" t="n">
        <v>45684.31815972222</v>
      </c>
      <c r="C1503" s="1" t="n">
        <v>45916</v>
      </c>
      <c r="D1503" t="inlineStr">
        <is>
          <t>JÄMTLANDS LÄN</t>
        </is>
      </c>
      <c r="E1503" t="inlineStr">
        <is>
          <t>BRÄCKE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36549-2024</t>
        </is>
      </c>
      <c r="B1504" s="1" t="n">
        <v>45537.46791666667</v>
      </c>
      <c r="C1504" s="1" t="n">
        <v>45916</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20157-2025</t>
        </is>
      </c>
      <c r="B1505" s="1" t="n">
        <v>45772.56060185185</v>
      </c>
      <c r="C1505" s="1" t="n">
        <v>45916</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39004-2023</t>
        </is>
      </c>
      <c r="B1506" s="1" t="n">
        <v>45162</v>
      </c>
      <c r="C1506" s="1" t="n">
        <v>45916</v>
      </c>
      <c r="D1506" t="inlineStr">
        <is>
          <t>JÄMTLANDS LÄN</t>
        </is>
      </c>
      <c r="E1506" t="inlineStr">
        <is>
          <t>BRÄCKE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53941-2022</t>
        </is>
      </c>
      <c r="B1507" s="1" t="n">
        <v>44880</v>
      </c>
      <c r="C1507" s="1" t="n">
        <v>45916</v>
      </c>
      <c r="D1507" t="inlineStr">
        <is>
          <t>JÄMTLANDS LÄN</t>
        </is>
      </c>
      <c r="E1507" t="inlineStr">
        <is>
          <t>BRÄCKE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46597-2022</t>
        </is>
      </c>
      <c r="B1508" s="1" t="n">
        <v>44848</v>
      </c>
      <c r="C1508" s="1" t="n">
        <v>45916</v>
      </c>
      <c r="D1508" t="inlineStr">
        <is>
          <t>JÄMTLANDS LÄN</t>
        </is>
      </c>
      <c r="E1508" t="inlineStr">
        <is>
          <t>BRÄCKE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35880-2023</t>
        </is>
      </c>
      <c r="B1509" s="1" t="n">
        <v>45148</v>
      </c>
      <c r="C1509" s="1" t="n">
        <v>45916</v>
      </c>
      <c r="D1509" t="inlineStr">
        <is>
          <t>JÄMTLANDS LÄN</t>
        </is>
      </c>
      <c r="E1509" t="inlineStr">
        <is>
          <t>BRÄCKE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14474-2025</t>
        </is>
      </c>
      <c r="B1510" s="1" t="n">
        <v>45741.57782407408</v>
      </c>
      <c r="C1510" s="1" t="n">
        <v>45916</v>
      </c>
      <c r="D1510" t="inlineStr">
        <is>
          <t>JÄMTLANDS LÄN</t>
        </is>
      </c>
      <c r="E1510" t="inlineStr">
        <is>
          <t>BRÄCKE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5167-2025</t>
        </is>
      </c>
      <c r="B1511" s="1" t="n">
        <v>45691.61539351852</v>
      </c>
      <c r="C1511" s="1" t="n">
        <v>45916</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56640-2021</t>
        </is>
      </c>
      <c r="B1512" s="1" t="n">
        <v>44480</v>
      </c>
      <c r="C1512" s="1" t="n">
        <v>45916</v>
      </c>
      <c r="D1512" t="inlineStr">
        <is>
          <t>JÄMTLANDS LÄN</t>
        </is>
      </c>
      <c r="E1512" t="inlineStr">
        <is>
          <t>BRÄCKE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53724-2024</t>
        </is>
      </c>
      <c r="B1513" s="1" t="n">
        <v>45615.45042824074</v>
      </c>
      <c r="C1513" s="1" t="n">
        <v>45916</v>
      </c>
      <c r="D1513" t="inlineStr">
        <is>
          <t>JÄMTLANDS LÄN</t>
        </is>
      </c>
      <c r="E1513" t="inlineStr">
        <is>
          <t>BRÄCKE</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49189-2024</t>
        </is>
      </c>
      <c r="B1514" s="1" t="n">
        <v>45595.34502314815</v>
      </c>
      <c r="C1514" s="1" t="n">
        <v>45916</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33538-2021</t>
        </is>
      </c>
      <c r="B1515" s="1" t="n">
        <v>44377</v>
      </c>
      <c r="C1515" s="1" t="n">
        <v>45916</v>
      </c>
      <c r="D1515" t="inlineStr">
        <is>
          <t>JÄMTLANDS LÄN</t>
        </is>
      </c>
      <c r="E1515" t="inlineStr">
        <is>
          <t>BRÄCKE</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54863-2024</t>
        </is>
      </c>
      <c r="B1516" s="1" t="n">
        <v>45618.59431712963</v>
      </c>
      <c r="C1516" s="1" t="n">
        <v>45916</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54865-2024</t>
        </is>
      </c>
      <c r="B1517" s="1" t="n">
        <v>45618.59471064815</v>
      </c>
      <c r="C1517" s="1" t="n">
        <v>45916</v>
      </c>
      <c r="D1517" t="inlineStr">
        <is>
          <t>JÄMTLANDS LÄN</t>
        </is>
      </c>
      <c r="E1517" t="inlineStr">
        <is>
          <t>BRÄCKE</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57420-2023</t>
        </is>
      </c>
      <c r="B1518" s="1" t="n">
        <v>45245.96990740741</v>
      </c>
      <c r="C1518" s="1" t="n">
        <v>45916</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1914-2025</t>
        </is>
      </c>
      <c r="B1519" s="1" t="n">
        <v>45671.65984953703</v>
      </c>
      <c r="C1519" s="1" t="n">
        <v>45916</v>
      </c>
      <c r="D1519" t="inlineStr">
        <is>
          <t>JÄMTLANDS LÄN</t>
        </is>
      </c>
      <c r="E1519" t="inlineStr">
        <is>
          <t>BRÄCKE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59650-2024</t>
        </is>
      </c>
      <c r="B1520" s="1" t="n">
        <v>45639.34488425926</v>
      </c>
      <c r="C1520" s="1" t="n">
        <v>45916</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46798-2023</t>
        </is>
      </c>
      <c r="B1521" s="1" t="n">
        <v>45198</v>
      </c>
      <c r="C1521" s="1" t="n">
        <v>45916</v>
      </c>
      <c r="D1521" t="inlineStr">
        <is>
          <t>JÄMTLANDS LÄN</t>
        </is>
      </c>
      <c r="E1521" t="inlineStr">
        <is>
          <t>BRÄCKE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24214-2023</t>
        </is>
      </c>
      <c r="B1522" s="1" t="n">
        <v>45079.5752199074</v>
      </c>
      <c r="C1522" s="1" t="n">
        <v>45916</v>
      </c>
      <c r="D1522" t="inlineStr">
        <is>
          <t>JÄMTLANDS LÄN</t>
        </is>
      </c>
      <c r="E1522" t="inlineStr">
        <is>
          <t>BRÄCKE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2179-2025</t>
        </is>
      </c>
      <c r="B1523" s="1" t="n">
        <v>45673.34421296296</v>
      </c>
      <c r="C1523" s="1" t="n">
        <v>45916</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19584-2024</t>
        </is>
      </c>
      <c r="B1524" s="1" t="n">
        <v>45429</v>
      </c>
      <c r="C1524" s="1" t="n">
        <v>45916</v>
      </c>
      <c r="D1524" t="inlineStr">
        <is>
          <t>JÄMTLANDS LÄN</t>
        </is>
      </c>
      <c r="E1524" t="inlineStr">
        <is>
          <t>BRÄCKE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23081-2024</t>
        </is>
      </c>
      <c r="B1525" s="1" t="n">
        <v>45450.50152777778</v>
      </c>
      <c r="C1525" s="1" t="n">
        <v>45916</v>
      </c>
      <c r="D1525" t="inlineStr">
        <is>
          <t>JÄMTLANDS LÄN</t>
        </is>
      </c>
      <c r="E1525" t="inlineStr">
        <is>
          <t>BRÄCKE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30569-2024</t>
        </is>
      </c>
      <c r="B1526" s="1" t="n">
        <v>45492.95690972222</v>
      </c>
      <c r="C1526" s="1" t="n">
        <v>45916</v>
      </c>
      <c r="D1526" t="inlineStr">
        <is>
          <t>JÄMTLANDS LÄN</t>
        </is>
      </c>
      <c r="E1526" t="inlineStr">
        <is>
          <t>BRÄCKE</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47746-2024</t>
        </is>
      </c>
      <c r="B1527" s="1" t="n">
        <v>45588.53438657407</v>
      </c>
      <c r="C1527" s="1" t="n">
        <v>45916</v>
      </c>
      <c r="D1527" t="inlineStr">
        <is>
          <t>JÄMTLANDS LÄN</t>
        </is>
      </c>
      <c r="E1527" t="inlineStr">
        <is>
          <t>BRÄCKE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1080-2025</t>
        </is>
      </c>
      <c r="B1528" s="1" t="n">
        <v>45666.61513888889</v>
      </c>
      <c r="C1528" s="1" t="n">
        <v>45916</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5621-2025</t>
        </is>
      </c>
      <c r="B1529" s="1" t="n">
        <v>45693.6357175926</v>
      </c>
      <c r="C1529" s="1" t="n">
        <v>45916</v>
      </c>
      <c r="D1529" t="inlineStr">
        <is>
          <t>JÄMTLANDS LÄN</t>
        </is>
      </c>
      <c r="E1529" t="inlineStr">
        <is>
          <t>BRÄCKE</t>
        </is>
      </c>
      <c r="F1529" t="inlineStr">
        <is>
          <t>SCA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32229-2023</t>
        </is>
      </c>
      <c r="B1530" s="1" t="n">
        <v>45119.94334490741</v>
      </c>
      <c r="C1530" s="1" t="n">
        <v>45916</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57096-2024</t>
        </is>
      </c>
      <c r="B1531" s="1" t="n">
        <v>45629.35810185185</v>
      </c>
      <c r="C1531" s="1" t="n">
        <v>45916</v>
      </c>
      <c r="D1531" t="inlineStr">
        <is>
          <t>JÄMTLANDS LÄN</t>
        </is>
      </c>
      <c r="E1531" t="inlineStr">
        <is>
          <t>BRÄCKE</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57473-2024</t>
        </is>
      </c>
      <c r="B1532" s="1" t="n">
        <v>45630.34438657408</v>
      </c>
      <c r="C1532" s="1" t="n">
        <v>45916</v>
      </c>
      <c r="D1532" t="inlineStr">
        <is>
          <t>JÄMTLANDS LÄN</t>
        </is>
      </c>
      <c r="E1532" t="inlineStr">
        <is>
          <t>BRÄCKE</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18984-2022</t>
        </is>
      </c>
      <c r="B1533" s="1" t="n">
        <v>44690</v>
      </c>
      <c r="C1533" s="1" t="n">
        <v>45916</v>
      </c>
      <c r="D1533" t="inlineStr">
        <is>
          <t>JÄMTLANDS LÄN</t>
        </is>
      </c>
      <c r="E1533" t="inlineStr">
        <is>
          <t>BRÄCKE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45169.93751157408</v>
      </c>
      <c r="C1534" s="1" t="n">
        <v>45916</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34409-2021</t>
        </is>
      </c>
      <c r="B1535" s="1" t="n">
        <v>44379</v>
      </c>
      <c r="C1535" s="1" t="n">
        <v>45916</v>
      </c>
      <c r="D1535" t="inlineStr">
        <is>
          <t>JÄMTLANDS LÄN</t>
        </is>
      </c>
      <c r="E1535" t="inlineStr">
        <is>
          <t>BRÄCKE</t>
        </is>
      </c>
      <c r="F1535" t="inlineStr">
        <is>
          <t>SCA</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28765-2024</t>
        </is>
      </c>
      <c r="B1536" s="1" t="n">
        <v>45478.59344907408</v>
      </c>
      <c r="C1536" s="1" t="n">
        <v>45916</v>
      </c>
      <c r="D1536" t="inlineStr">
        <is>
          <t>JÄMTLANDS LÄN</t>
        </is>
      </c>
      <c r="E1536" t="inlineStr">
        <is>
          <t>BRÄCKE</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20778-2025</t>
        </is>
      </c>
      <c r="B1537" s="1" t="n">
        <v>45776.59439814815</v>
      </c>
      <c r="C1537" s="1" t="n">
        <v>45916</v>
      </c>
      <c r="D1537" t="inlineStr">
        <is>
          <t>JÄMTLANDS LÄN</t>
        </is>
      </c>
      <c r="E1537" t="inlineStr">
        <is>
          <t>BRÄCKE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31520-2022</t>
        </is>
      </c>
      <c r="B1538" s="1" t="n">
        <v>44774.94930555556</v>
      </c>
      <c r="C1538" s="1" t="n">
        <v>45916</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52760-2023</t>
        </is>
      </c>
      <c r="B1539" s="1" t="n">
        <v>45225</v>
      </c>
      <c r="C1539" s="1" t="n">
        <v>45916</v>
      </c>
      <c r="D1539" t="inlineStr">
        <is>
          <t>JÄMTLANDS LÄN</t>
        </is>
      </c>
      <c r="E1539" t="inlineStr">
        <is>
          <t>BRÄCKE</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20870-2025</t>
        </is>
      </c>
      <c r="B1540" s="1" t="n">
        <v>45777.34517361111</v>
      </c>
      <c r="C1540" s="1" t="n">
        <v>45916</v>
      </c>
      <c r="D1540" t="inlineStr">
        <is>
          <t>JÄMTLANDS LÄN</t>
        </is>
      </c>
      <c r="E1540" t="inlineStr">
        <is>
          <t>BRÄCKE</t>
        </is>
      </c>
      <c r="F1540" t="inlineStr">
        <is>
          <t>SCA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24026-2024</t>
        </is>
      </c>
      <c r="B1541" s="1" t="n">
        <v>45456.45159722222</v>
      </c>
      <c r="C1541" s="1" t="n">
        <v>45916</v>
      </c>
      <c r="D1541" t="inlineStr">
        <is>
          <t>JÄMTLANDS LÄN</t>
        </is>
      </c>
      <c r="E1541" t="inlineStr">
        <is>
          <t>BRÄCKE</t>
        </is>
      </c>
      <c r="F1541" t="inlineStr">
        <is>
          <t>Övriga Aktiebolag</t>
        </is>
      </c>
      <c r="G1541" t="n">
        <v>23.7</v>
      </c>
      <c r="H1541" t="n">
        <v>0</v>
      </c>
      <c r="I1541" t="n">
        <v>0</v>
      </c>
      <c r="J1541" t="n">
        <v>0</v>
      </c>
      <c r="K1541" t="n">
        <v>0</v>
      </c>
      <c r="L1541" t="n">
        <v>0</v>
      </c>
      <c r="M1541" t="n">
        <v>0</v>
      </c>
      <c r="N1541" t="n">
        <v>0</v>
      </c>
      <c r="O1541" t="n">
        <v>0</v>
      </c>
      <c r="P1541" t="n">
        <v>0</v>
      </c>
      <c r="Q1541" t="n">
        <v>0</v>
      </c>
      <c r="R1541" s="2" t="inlineStr"/>
    </row>
    <row r="1542" ht="15" customHeight="1">
      <c r="A1542" t="inlineStr">
        <is>
          <t>A 67613-2020</t>
        </is>
      </c>
      <c r="B1542" s="1" t="n">
        <v>44181</v>
      </c>
      <c r="C1542" s="1" t="n">
        <v>45916</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20756-2025</t>
        </is>
      </c>
      <c r="B1543" s="1" t="n">
        <v>45776.57333333333</v>
      </c>
      <c r="C1543" s="1" t="n">
        <v>45916</v>
      </c>
      <c r="D1543" t="inlineStr">
        <is>
          <t>JÄMTLANDS LÄN</t>
        </is>
      </c>
      <c r="E1543" t="inlineStr">
        <is>
          <t>BRÄCKE</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20909-2025</t>
        </is>
      </c>
      <c r="B1544" s="1" t="n">
        <v>45777.40672453704</v>
      </c>
      <c r="C1544" s="1" t="n">
        <v>45916</v>
      </c>
      <c r="D1544" t="inlineStr">
        <is>
          <t>JÄMTLANDS LÄN</t>
        </is>
      </c>
      <c r="E1544" t="inlineStr">
        <is>
          <t>BRÄCKE</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104-2025</t>
        </is>
      </c>
      <c r="B1545" s="1" t="n">
        <v>45659</v>
      </c>
      <c r="C1545" s="1" t="n">
        <v>45916</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9706-2025</t>
        </is>
      </c>
      <c r="B1546" s="1" t="n">
        <v>45716.3858912037</v>
      </c>
      <c r="C1546" s="1" t="n">
        <v>45916</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51827-2023</t>
        </is>
      </c>
      <c r="B1547" s="1" t="n">
        <v>45222.96791666667</v>
      </c>
      <c r="C1547" s="1" t="n">
        <v>45916</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29409-2024</t>
        </is>
      </c>
      <c r="B1548" s="1" t="n">
        <v>45483.67341435186</v>
      </c>
      <c r="C1548" s="1" t="n">
        <v>45916</v>
      </c>
      <c r="D1548" t="inlineStr">
        <is>
          <t>JÄMTLANDS LÄN</t>
        </is>
      </c>
      <c r="E1548" t="inlineStr">
        <is>
          <t>BRÄCKE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63713-2023</t>
        </is>
      </c>
      <c r="B1549" s="1" t="n">
        <v>45275</v>
      </c>
      <c r="C1549" s="1" t="n">
        <v>45916</v>
      </c>
      <c r="D1549" t="inlineStr">
        <is>
          <t>JÄMTLANDS LÄN</t>
        </is>
      </c>
      <c r="E1549" t="inlineStr">
        <is>
          <t>BRÄCKE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51378-2024</t>
        </is>
      </c>
      <c r="B1550" s="1" t="n">
        <v>45604.38572916666</v>
      </c>
      <c r="C1550" s="1" t="n">
        <v>45916</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34646-2024</t>
        </is>
      </c>
      <c r="B1551" s="1" t="n">
        <v>45526.4784375</v>
      </c>
      <c r="C1551" s="1" t="n">
        <v>45916</v>
      </c>
      <c r="D1551" t="inlineStr">
        <is>
          <t>JÄMTLANDS LÄN</t>
        </is>
      </c>
      <c r="E1551" t="inlineStr">
        <is>
          <t>BRÄCKE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26919-2024</t>
        </is>
      </c>
      <c r="B1552" s="1" t="n">
        <v>45470.93050925926</v>
      </c>
      <c r="C1552" s="1" t="n">
        <v>45916</v>
      </c>
      <c r="D1552" t="inlineStr">
        <is>
          <t>JÄMTLANDS LÄN</t>
        </is>
      </c>
      <c r="E1552" t="inlineStr">
        <is>
          <t>BRÄCKE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24531-2022</t>
        </is>
      </c>
      <c r="B1553" s="1" t="n">
        <v>44726</v>
      </c>
      <c r="C1553" s="1" t="n">
        <v>45916</v>
      </c>
      <c r="D1553" t="inlineStr">
        <is>
          <t>JÄMTLANDS LÄN</t>
        </is>
      </c>
      <c r="E1553" t="inlineStr">
        <is>
          <t>BRÄCKE</t>
        </is>
      </c>
      <c r="F1553" t="inlineStr">
        <is>
          <t>SCA</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51195-2024</t>
        </is>
      </c>
      <c r="B1554" s="1" t="n">
        <v>45603.61532407408</v>
      </c>
      <c r="C1554" s="1" t="n">
        <v>45916</v>
      </c>
      <c r="D1554" t="inlineStr">
        <is>
          <t>JÄMTLANDS LÄN</t>
        </is>
      </c>
      <c r="E1554" t="inlineStr">
        <is>
          <t>BRÄCKE</t>
        </is>
      </c>
      <c r="F1554" t="inlineStr">
        <is>
          <t>SCA</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9438-2025</t>
        </is>
      </c>
      <c r="B1555" s="1" t="n">
        <v>45715.41347222222</v>
      </c>
      <c r="C1555" s="1" t="n">
        <v>45916</v>
      </c>
      <c r="D1555" t="inlineStr">
        <is>
          <t>JÄMTLANDS LÄN</t>
        </is>
      </c>
      <c r="E1555" t="inlineStr">
        <is>
          <t>BRÄCKE</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21634-2025</t>
        </is>
      </c>
      <c r="B1556" s="1" t="n">
        <v>45783.42775462963</v>
      </c>
      <c r="C1556" s="1" t="n">
        <v>45916</v>
      </c>
      <c r="D1556" t="inlineStr">
        <is>
          <t>JÄMTLANDS LÄN</t>
        </is>
      </c>
      <c r="E1556" t="inlineStr">
        <is>
          <t>BRÄCKE</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21368-2025</t>
        </is>
      </c>
      <c r="B1557" s="1" t="n">
        <v>45782.44824074074</v>
      </c>
      <c r="C1557" s="1" t="n">
        <v>45916</v>
      </c>
      <c r="D1557" t="inlineStr">
        <is>
          <t>JÄMTLANDS LÄN</t>
        </is>
      </c>
      <c r="E1557" t="inlineStr">
        <is>
          <t>BRÄCKE</t>
        </is>
      </c>
      <c r="F1557" t="inlineStr">
        <is>
          <t>SCA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21449-2025</t>
        </is>
      </c>
      <c r="B1558" s="1" t="n">
        <v>45782.55255787037</v>
      </c>
      <c r="C1558" s="1" t="n">
        <v>45916</v>
      </c>
      <c r="D1558" t="inlineStr">
        <is>
          <t>JÄMTLANDS LÄN</t>
        </is>
      </c>
      <c r="E1558" t="inlineStr">
        <is>
          <t>BRÄCKE</t>
        </is>
      </c>
      <c r="F1558" t="inlineStr">
        <is>
          <t>SCA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21450-2025</t>
        </is>
      </c>
      <c r="B1559" s="1" t="n">
        <v>45782.55275462963</v>
      </c>
      <c r="C1559" s="1" t="n">
        <v>45916</v>
      </c>
      <c r="D1559" t="inlineStr">
        <is>
          <t>JÄMTLANDS LÄN</t>
        </is>
      </c>
      <c r="E1559" t="inlineStr">
        <is>
          <t>BRÄCKE</t>
        </is>
      </c>
      <c r="F1559" t="inlineStr">
        <is>
          <t>SCA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57072-2020</t>
        </is>
      </c>
      <c r="B1560" s="1" t="n">
        <v>44138</v>
      </c>
      <c r="C1560" s="1" t="n">
        <v>45916</v>
      </c>
      <c r="D1560" t="inlineStr">
        <is>
          <t>JÄMTLANDS LÄN</t>
        </is>
      </c>
      <c r="E1560" t="inlineStr">
        <is>
          <t>BRÄCKE</t>
        </is>
      </c>
      <c r="F1560" t="inlineStr">
        <is>
          <t>SCA</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21486-2025</t>
        </is>
      </c>
      <c r="B1561" s="1" t="n">
        <v>45782.59521990741</v>
      </c>
      <c r="C1561" s="1" t="n">
        <v>45916</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32963-2022</t>
        </is>
      </c>
      <c r="B1562" s="1" t="n">
        <v>44784.92496527778</v>
      </c>
      <c r="C1562" s="1" t="n">
        <v>45916</v>
      </c>
      <c r="D1562" t="inlineStr">
        <is>
          <t>JÄMTLANDS LÄN</t>
        </is>
      </c>
      <c r="E1562" t="inlineStr">
        <is>
          <t>BRÄCKE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3390-2024</t>
        </is>
      </c>
      <c r="B1563" s="1" t="n">
        <v>45317.94108796296</v>
      </c>
      <c r="C1563" s="1" t="n">
        <v>45916</v>
      </c>
      <c r="D1563" t="inlineStr">
        <is>
          <t>JÄMTLANDS LÄN</t>
        </is>
      </c>
      <c r="E1563" t="inlineStr">
        <is>
          <t>BRÄCKE</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62674-2021</t>
        </is>
      </c>
      <c r="B1564" s="1" t="n">
        <v>44503.94478009259</v>
      </c>
      <c r="C1564" s="1" t="n">
        <v>45916</v>
      </c>
      <c r="D1564" t="inlineStr">
        <is>
          <t>JÄMTLANDS LÄN</t>
        </is>
      </c>
      <c r="E1564" t="inlineStr">
        <is>
          <t>BRÄCKE</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30479-2022</t>
        </is>
      </c>
      <c r="B1565" s="1" t="n">
        <v>44761.94013888889</v>
      </c>
      <c r="C1565" s="1" t="n">
        <v>45916</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16317-2025</t>
        </is>
      </c>
      <c r="B1566" s="1" t="n">
        <v>45751.3480787037</v>
      </c>
      <c r="C1566" s="1" t="n">
        <v>45916</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21551-2025</t>
        </is>
      </c>
      <c r="B1567" s="1" t="n">
        <v>45782.67771990741</v>
      </c>
      <c r="C1567" s="1" t="n">
        <v>45916</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21549-2025</t>
        </is>
      </c>
      <c r="B1568" s="1" t="n">
        <v>45782.67743055556</v>
      </c>
      <c r="C1568" s="1" t="n">
        <v>45916</v>
      </c>
      <c r="D1568" t="inlineStr">
        <is>
          <t>JÄMTLANDS LÄN</t>
        </is>
      </c>
      <c r="E1568" t="inlineStr">
        <is>
          <t>BRÄCKE</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34647-2024</t>
        </is>
      </c>
      <c r="B1569" s="1" t="n">
        <v>45526.47844907407</v>
      </c>
      <c r="C1569" s="1" t="n">
        <v>45916</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21305-2025</t>
        </is>
      </c>
      <c r="B1570" s="1" t="n">
        <v>45781.40665509259</v>
      </c>
      <c r="C1570" s="1" t="n">
        <v>45916</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55997-2024</t>
        </is>
      </c>
      <c r="B1571" s="1" t="n">
        <v>45623.6984837963</v>
      </c>
      <c r="C1571" s="1" t="n">
        <v>45916</v>
      </c>
      <c r="D1571" t="inlineStr">
        <is>
          <t>JÄMTLANDS LÄN</t>
        </is>
      </c>
      <c r="E1571" t="inlineStr">
        <is>
          <t>BRÄCKE</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53113-2022</t>
        </is>
      </c>
      <c r="B1572" s="1" t="n">
        <v>44873</v>
      </c>
      <c r="C1572" s="1" t="n">
        <v>45916</v>
      </c>
      <c r="D1572" t="inlineStr">
        <is>
          <t>JÄMTLANDS LÄN</t>
        </is>
      </c>
      <c r="E1572" t="inlineStr">
        <is>
          <t>BRÄCKE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22164-2025</t>
        </is>
      </c>
      <c r="B1573" s="1" t="n">
        <v>45785.59428240741</v>
      </c>
      <c r="C1573" s="1" t="n">
        <v>45916</v>
      </c>
      <c r="D1573" t="inlineStr">
        <is>
          <t>JÄMTLANDS LÄN</t>
        </is>
      </c>
      <c r="E1573" t="inlineStr">
        <is>
          <t>BRÄCKE</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3528-2024</t>
        </is>
      </c>
      <c r="B1574" s="1" t="n">
        <v>45320</v>
      </c>
      <c r="C1574" s="1" t="n">
        <v>45916</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6378-2025</t>
        </is>
      </c>
      <c r="B1575" s="1" t="n">
        <v>45699.40689814815</v>
      </c>
      <c r="C1575" s="1" t="n">
        <v>45916</v>
      </c>
      <c r="D1575" t="inlineStr">
        <is>
          <t>JÄMTLANDS LÄN</t>
        </is>
      </c>
      <c r="E1575" t="inlineStr">
        <is>
          <t>BRÄCKE</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18255-2025</t>
        </is>
      </c>
      <c r="B1576" s="1" t="n">
        <v>45762.3446412037</v>
      </c>
      <c r="C1576" s="1" t="n">
        <v>45916</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10088-2025</t>
        </is>
      </c>
      <c r="B1577" s="1" t="n">
        <v>45719.57335648148</v>
      </c>
      <c r="C1577" s="1" t="n">
        <v>45916</v>
      </c>
      <c r="D1577" t="inlineStr">
        <is>
          <t>JÄMTLANDS LÄN</t>
        </is>
      </c>
      <c r="E1577" t="inlineStr">
        <is>
          <t>BRÄCKE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10106-2025</t>
        </is>
      </c>
      <c r="B1578" s="1" t="n">
        <v>45719.58611111111</v>
      </c>
      <c r="C1578" s="1" t="n">
        <v>45916</v>
      </c>
      <c r="D1578" t="inlineStr">
        <is>
          <t>JÄMTLANDS LÄN</t>
        </is>
      </c>
      <c r="E1578" t="inlineStr">
        <is>
          <t>BRÄCKE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21961-2025</t>
        </is>
      </c>
      <c r="B1579" s="1" t="n">
        <v>45784.61517361111</v>
      </c>
      <c r="C1579" s="1" t="n">
        <v>45916</v>
      </c>
      <c r="D1579" t="inlineStr">
        <is>
          <t>JÄMTLANDS LÄN</t>
        </is>
      </c>
      <c r="E1579" t="inlineStr">
        <is>
          <t>BRÄCKE</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11313-2022</t>
        </is>
      </c>
      <c r="B1580" s="1" t="n">
        <v>44629.94712962963</v>
      </c>
      <c r="C1580" s="1" t="n">
        <v>45916</v>
      </c>
      <c r="D1580" t="inlineStr">
        <is>
          <t>JÄMTLANDS LÄN</t>
        </is>
      </c>
      <c r="E1580" t="inlineStr">
        <is>
          <t>BRÄCKE</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22936-2024</t>
        </is>
      </c>
      <c r="B1581" s="1" t="n">
        <v>45448.94478009259</v>
      </c>
      <c r="C1581" s="1" t="n">
        <v>45916</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48482-2023</t>
        </is>
      </c>
      <c r="B1582" s="1" t="n">
        <v>45206.95846064815</v>
      </c>
      <c r="C1582" s="1" t="n">
        <v>45916</v>
      </c>
      <c r="D1582" t="inlineStr">
        <is>
          <t>JÄMTLANDS LÄN</t>
        </is>
      </c>
      <c r="E1582" t="inlineStr">
        <is>
          <t>BRÄCKE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22167-2025</t>
        </is>
      </c>
      <c r="B1583" s="1" t="n">
        <v>45785.59498842592</v>
      </c>
      <c r="C1583" s="1" t="n">
        <v>45916</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23747-2021</t>
        </is>
      </c>
      <c r="B1584" s="1" t="n">
        <v>44334</v>
      </c>
      <c r="C1584" s="1" t="n">
        <v>45916</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13019-2023</t>
        </is>
      </c>
      <c r="B1585" s="1" t="n">
        <v>45001</v>
      </c>
      <c r="C1585" s="1" t="n">
        <v>45916</v>
      </c>
      <c r="D1585" t="inlineStr">
        <is>
          <t>JÄMTLANDS LÄN</t>
        </is>
      </c>
      <c r="E1585" t="inlineStr">
        <is>
          <t>BRÄCKE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61362-2024</t>
        </is>
      </c>
      <c r="B1586" s="1" t="n">
        <v>45646.3857175926</v>
      </c>
      <c r="C1586" s="1" t="n">
        <v>45916</v>
      </c>
      <c r="D1586" t="inlineStr">
        <is>
          <t>JÄMTLANDS LÄN</t>
        </is>
      </c>
      <c r="E1586" t="inlineStr">
        <is>
          <t>BRÄCKE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49339-2024</t>
        </is>
      </c>
      <c r="B1587" s="1" t="n">
        <v>45595.59420138889</v>
      </c>
      <c r="C1587" s="1" t="n">
        <v>45916</v>
      </c>
      <c r="D1587" t="inlineStr">
        <is>
          <t>JÄMTLANDS LÄN</t>
        </is>
      </c>
      <c r="E1587" t="inlineStr">
        <is>
          <t>BRÄCKE</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60178-2022</t>
        </is>
      </c>
      <c r="B1588" s="1" t="n">
        <v>44909</v>
      </c>
      <c r="C1588" s="1" t="n">
        <v>45916</v>
      </c>
      <c r="D1588" t="inlineStr">
        <is>
          <t>JÄMTLANDS LÄN</t>
        </is>
      </c>
      <c r="E1588" t="inlineStr">
        <is>
          <t>BRÄCKE</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22981-2024</t>
        </is>
      </c>
      <c r="B1589" s="1" t="n">
        <v>45449.90369212963</v>
      </c>
      <c r="C1589" s="1" t="n">
        <v>45916</v>
      </c>
      <c r="D1589" t="inlineStr">
        <is>
          <t>JÄMTLANDS LÄN</t>
        </is>
      </c>
      <c r="E1589" t="inlineStr">
        <is>
          <t>BRÄCKE</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22000-2025</t>
        </is>
      </c>
      <c r="B1590" s="1" t="n">
        <v>45784.69851851852</v>
      </c>
      <c r="C1590" s="1" t="n">
        <v>45916</v>
      </c>
      <c r="D1590" t="inlineStr">
        <is>
          <t>JÄMTLANDS LÄN</t>
        </is>
      </c>
      <c r="E1590" t="inlineStr">
        <is>
          <t>BRÄCKE</t>
        </is>
      </c>
      <c r="F1590" t="inlineStr">
        <is>
          <t>SCA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29821-2022</t>
        </is>
      </c>
      <c r="B1591" s="1" t="n">
        <v>44755.94486111111</v>
      </c>
      <c r="C1591" s="1" t="n">
        <v>45916</v>
      </c>
      <c r="D1591" t="inlineStr">
        <is>
          <t>JÄMTLANDS LÄN</t>
        </is>
      </c>
      <c r="E1591" t="inlineStr">
        <is>
          <t>BRÄCKE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16466-2024</t>
        </is>
      </c>
      <c r="B1592" s="1" t="n">
        <v>45408.050625</v>
      </c>
      <c r="C1592" s="1" t="n">
        <v>45916</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54334-2023</t>
        </is>
      </c>
      <c r="B1593" s="1" t="n">
        <v>45232.95790509259</v>
      </c>
      <c r="C1593" s="1" t="n">
        <v>45916</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31521-2022</t>
        </is>
      </c>
      <c r="B1594" s="1" t="n">
        <v>44774.949375</v>
      </c>
      <c r="C1594" s="1" t="n">
        <v>45916</v>
      </c>
      <c r="D1594" t="inlineStr">
        <is>
          <t>JÄMTLANDS LÄN</t>
        </is>
      </c>
      <c r="E1594" t="inlineStr">
        <is>
          <t>BRÄCKE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41922-2023</t>
        </is>
      </c>
      <c r="B1595" s="1" t="n">
        <v>45176</v>
      </c>
      <c r="C1595" s="1" t="n">
        <v>45916</v>
      </c>
      <c r="D1595" t="inlineStr">
        <is>
          <t>JÄMTLANDS LÄN</t>
        </is>
      </c>
      <c r="E1595" t="inlineStr">
        <is>
          <t>BRÄCKE</t>
        </is>
      </c>
      <c r="F1595" t="inlineStr">
        <is>
          <t>SCA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5005-2025</t>
        </is>
      </c>
      <c r="B1596" s="1" t="n">
        <v>45691.36862268519</v>
      </c>
      <c r="C1596" s="1" t="n">
        <v>45916</v>
      </c>
      <c r="D1596" t="inlineStr">
        <is>
          <t>JÄMTLANDS LÄN</t>
        </is>
      </c>
      <c r="E1596" t="inlineStr">
        <is>
          <t>BRÄCKE</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22652-2025</t>
        </is>
      </c>
      <c r="B1597" s="1" t="n">
        <v>45789.46920138889</v>
      </c>
      <c r="C1597" s="1" t="n">
        <v>45916</v>
      </c>
      <c r="D1597" t="inlineStr">
        <is>
          <t>JÄMTLANDS LÄN</t>
        </is>
      </c>
      <c r="E1597" t="inlineStr">
        <is>
          <t>BRÄCKE</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20667-2022</t>
        </is>
      </c>
      <c r="B1598" s="1" t="n">
        <v>44700.65226851852</v>
      </c>
      <c r="C1598" s="1" t="n">
        <v>45916</v>
      </c>
      <c r="D1598" t="inlineStr">
        <is>
          <t>JÄMTLANDS LÄN</t>
        </is>
      </c>
      <c r="E1598" t="inlineStr">
        <is>
          <t>BRÄCKE</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20514-2024</t>
        </is>
      </c>
      <c r="B1599" s="1" t="n">
        <v>45435.94387731481</v>
      </c>
      <c r="C1599" s="1" t="n">
        <v>45916</v>
      </c>
      <c r="D1599" t="inlineStr">
        <is>
          <t>JÄMTLANDS LÄN</t>
        </is>
      </c>
      <c r="E1599" t="inlineStr">
        <is>
          <t>BRÄCKE</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10883-2025</t>
        </is>
      </c>
      <c r="B1600" s="1" t="n">
        <v>45722.65655092592</v>
      </c>
      <c r="C1600" s="1" t="n">
        <v>45916</v>
      </c>
      <c r="D1600" t="inlineStr">
        <is>
          <t>JÄMTLANDS LÄN</t>
        </is>
      </c>
      <c r="E1600" t="inlineStr">
        <is>
          <t>BRÄCKE</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59914-2022</t>
        </is>
      </c>
      <c r="B1601" s="1" t="n">
        <v>44908.96010416667</v>
      </c>
      <c r="C1601" s="1" t="n">
        <v>45916</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50813-2024</t>
        </is>
      </c>
      <c r="B1602" s="1" t="n">
        <v>45602</v>
      </c>
      <c r="C1602" s="1" t="n">
        <v>45916</v>
      </c>
      <c r="D1602" t="inlineStr">
        <is>
          <t>JÄMTLANDS LÄN</t>
        </is>
      </c>
      <c r="E1602" t="inlineStr">
        <is>
          <t>BRÄCKE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22772-2025</t>
        </is>
      </c>
      <c r="B1603" s="1" t="n">
        <v>45789.63618055556</v>
      </c>
      <c r="C1603" s="1" t="n">
        <v>45916</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65433-2021</t>
        </is>
      </c>
      <c r="B1604" s="1" t="n">
        <v>44515.93875</v>
      </c>
      <c r="C1604" s="1" t="n">
        <v>45916</v>
      </c>
      <c r="D1604" t="inlineStr">
        <is>
          <t>JÄMTLANDS LÄN</t>
        </is>
      </c>
      <c r="E1604" t="inlineStr">
        <is>
          <t>BRÄCKE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17097-2025</t>
        </is>
      </c>
      <c r="B1605" s="1" t="n">
        <v>45755.65677083333</v>
      </c>
      <c r="C1605" s="1" t="n">
        <v>45916</v>
      </c>
      <c r="D1605" t="inlineStr">
        <is>
          <t>JÄMTLANDS LÄN</t>
        </is>
      </c>
      <c r="E1605" t="inlineStr">
        <is>
          <t>BRÄCKE</t>
        </is>
      </c>
      <c r="F1605" t="inlineStr">
        <is>
          <t>SCA</t>
        </is>
      </c>
      <c r="G1605" t="n">
        <v>29.9</v>
      </c>
      <c r="H1605" t="n">
        <v>0</v>
      </c>
      <c r="I1605" t="n">
        <v>0</v>
      </c>
      <c r="J1605" t="n">
        <v>0</v>
      </c>
      <c r="K1605" t="n">
        <v>0</v>
      </c>
      <c r="L1605" t="n">
        <v>0</v>
      </c>
      <c r="M1605" t="n">
        <v>0</v>
      </c>
      <c r="N1605" t="n">
        <v>0</v>
      </c>
      <c r="O1605" t="n">
        <v>0</v>
      </c>
      <c r="P1605" t="n">
        <v>0</v>
      </c>
      <c r="Q1605" t="n">
        <v>0</v>
      </c>
      <c r="R1605" s="2" t="inlineStr"/>
    </row>
    <row r="1606" ht="15" customHeight="1">
      <c r="A1606" t="inlineStr">
        <is>
          <t>A 10763-2023</t>
        </is>
      </c>
      <c r="B1606" s="1" t="n">
        <v>44988</v>
      </c>
      <c r="C1606" s="1" t="n">
        <v>45916</v>
      </c>
      <c r="D1606" t="inlineStr">
        <is>
          <t>JÄMTLANDS LÄN</t>
        </is>
      </c>
      <c r="E1606" t="inlineStr">
        <is>
          <t>BRÄCKE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50591-2024</t>
        </is>
      </c>
      <c r="B1607" s="1" t="n">
        <v>45601.6190625</v>
      </c>
      <c r="C1607" s="1" t="n">
        <v>45916</v>
      </c>
      <c r="D1607" t="inlineStr">
        <is>
          <t>JÄMTLANDS LÄN</t>
        </is>
      </c>
      <c r="E1607" t="inlineStr">
        <is>
          <t>BRÄCKE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43123-2023</t>
        </is>
      </c>
      <c r="B1608" s="1" t="n">
        <v>45182</v>
      </c>
      <c r="C1608" s="1" t="n">
        <v>45916</v>
      </c>
      <c r="D1608" t="inlineStr">
        <is>
          <t>JÄMTLANDS LÄN</t>
        </is>
      </c>
      <c r="E1608" t="inlineStr">
        <is>
          <t>BRÄCKE</t>
        </is>
      </c>
      <c r="F1608" t="inlineStr">
        <is>
          <t>Naturvårdsverket</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60015-2021</t>
        </is>
      </c>
      <c r="B1609" s="1" t="n">
        <v>44494.94096064815</v>
      </c>
      <c r="C1609" s="1" t="n">
        <v>45916</v>
      </c>
      <c r="D1609" t="inlineStr">
        <is>
          <t>JÄMTLANDS LÄN</t>
        </is>
      </c>
      <c r="E1609" t="inlineStr">
        <is>
          <t>BRÄCKE</t>
        </is>
      </c>
      <c r="G1609" t="n">
        <v>18.7</v>
      </c>
      <c r="H1609" t="n">
        <v>0</v>
      </c>
      <c r="I1609" t="n">
        <v>0</v>
      </c>
      <c r="J1609" t="n">
        <v>0</v>
      </c>
      <c r="K1609" t="n">
        <v>0</v>
      </c>
      <c r="L1609" t="n">
        <v>0</v>
      </c>
      <c r="M1609" t="n">
        <v>0</v>
      </c>
      <c r="N1609" t="n">
        <v>0</v>
      </c>
      <c r="O1609" t="n">
        <v>0</v>
      </c>
      <c r="P1609" t="n">
        <v>0</v>
      </c>
      <c r="Q1609" t="n">
        <v>0</v>
      </c>
      <c r="R1609" s="2" t="inlineStr"/>
    </row>
    <row r="1610" ht="15" customHeight="1">
      <c r="A1610" t="inlineStr">
        <is>
          <t>A 57783-2023</t>
        </is>
      </c>
      <c r="B1610" s="1" t="n">
        <v>45246.96743055555</v>
      </c>
      <c r="C1610" s="1" t="n">
        <v>45916</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22841-2025</t>
        </is>
      </c>
      <c r="B1611" s="1" t="n">
        <v>45789</v>
      </c>
      <c r="C1611" s="1" t="n">
        <v>45916</v>
      </c>
      <c r="D1611" t="inlineStr">
        <is>
          <t>JÄMTLANDS LÄN</t>
        </is>
      </c>
      <c r="E1611" t="inlineStr">
        <is>
          <t>BRÄCKE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1672-2025</t>
        </is>
      </c>
      <c r="B1612" s="1" t="n">
        <v>45670.6781712963</v>
      </c>
      <c r="C1612" s="1" t="n">
        <v>45916</v>
      </c>
      <c r="D1612" t="inlineStr">
        <is>
          <t>JÄMTLANDS LÄN</t>
        </is>
      </c>
      <c r="E1612" t="inlineStr">
        <is>
          <t>BRÄCKE</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22313-2025</t>
        </is>
      </c>
      <c r="B1613" s="1" t="n">
        <v>45786.38583333333</v>
      </c>
      <c r="C1613" s="1" t="n">
        <v>45916</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22705-2025</t>
        </is>
      </c>
      <c r="B1614" s="1" t="n">
        <v>45789.55271990741</v>
      </c>
      <c r="C1614" s="1" t="n">
        <v>45916</v>
      </c>
      <c r="D1614" t="inlineStr">
        <is>
          <t>JÄMTLANDS LÄN</t>
        </is>
      </c>
      <c r="E1614" t="inlineStr">
        <is>
          <t>BRÄCKE</t>
        </is>
      </c>
      <c r="F1614" t="inlineStr">
        <is>
          <t>SCA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4491-2024</t>
        </is>
      </c>
      <c r="B1615" s="1" t="n">
        <v>45327</v>
      </c>
      <c r="C1615" s="1" t="n">
        <v>45916</v>
      </c>
      <c r="D1615" t="inlineStr">
        <is>
          <t>JÄMTLANDS LÄN</t>
        </is>
      </c>
      <c r="E1615" t="inlineStr">
        <is>
          <t>BRÄCKE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32429-2024</t>
        </is>
      </c>
      <c r="B1616" s="1" t="n">
        <v>45512.92820601852</v>
      </c>
      <c r="C1616" s="1" t="n">
        <v>45916</v>
      </c>
      <c r="D1616" t="inlineStr">
        <is>
          <t>JÄMTLANDS LÄN</t>
        </is>
      </c>
      <c r="E1616" t="inlineStr">
        <is>
          <t>BRÄCKE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47983-2021</t>
        </is>
      </c>
      <c r="B1617" s="1" t="n">
        <v>44448</v>
      </c>
      <c r="C1617" s="1" t="n">
        <v>45916</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49721-2024</t>
        </is>
      </c>
      <c r="B1618" s="1" t="n">
        <v>45596.72841435186</v>
      </c>
      <c r="C1618" s="1" t="n">
        <v>45916</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14601-2025</t>
        </is>
      </c>
      <c r="B1619" s="1" t="n">
        <v>45742.36497685185</v>
      </c>
      <c r="C1619" s="1" t="n">
        <v>45916</v>
      </c>
      <c r="D1619" t="inlineStr">
        <is>
          <t>JÄMTLANDS LÄN</t>
        </is>
      </c>
      <c r="E1619" t="inlineStr">
        <is>
          <t>BRÄCKE</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62249-2021</t>
        </is>
      </c>
      <c r="B1620" s="1" t="n">
        <v>44503</v>
      </c>
      <c r="C1620" s="1" t="n">
        <v>45916</v>
      </c>
      <c r="D1620" t="inlineStr">
        <is>
          <t>JÄMTLANDS LÄN</t>
        </is>
      </c>
      <c r="E1620" t="inlineStr">
        <is>
          <t>BRÄCKE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56780-2020</t>
        </is>
      </c>
      <c r="B1621" s="1" t="n">
        <v>44137</v>
      </c>
      <c r="C1621" s="1" t="n">
        <v>45916</v>
      </c>
      <c r="D1621" t="inlineStr">
        <is>
          <t>JÄMTLANDS LÄN</t>
        </is>
      </c>
      <c r="E1621" t="inlineStr">
        <is>
          <t>BRÄCKE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22773-2025</t>
        </is>
      </c>
      <c r="B1622" s="1" t="n">
        <v>45789.63637731481</v>
      </c>
      <c r="C1622" s="1" t="n">
        <v>45916</v>
      </c>
      <c r="D1622" t="inlineStr">
        <is>
          <t>JÄMTLANDS LÄN</t>
        </is>
      </c>
      <c r="E1622" t="inlineStr">
        <is>
          <t>BRÄCKE</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22792-2025</t>
        </is>
      </c>
      <c r="B1623" s="1" t="n">
        <v>45789.65681712963</v>
      </c>
      <c r="C1623" s="1" t="n">
        <v>45916</v>
      </c>
      <c r="D1623" t="inlineStr">
        <is>
          <t>JÄMTLANDS LÄN</t>
        </is>
      </c>
      <c r="E1623" t="inlineStr">
        <is>
          <t>BRÄCKE</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22816-2025</t>
        </is>
      </c>
      <c r="B1624" s="1" t="n">
        <v>45789.69841435185</v>
      </c>
      <c r="C1624" s="1" t="n">
        <v>45916</v>
      </c>
      <c r="D1624" t="inlineStr">
        <is>
          <t>JÄMTLANDS LÄN</t>
        </is>
      </c>
      <c r="E1624" t="inlineStr">
        <is>
          <t>BRÄCKE</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22670-2025</t>
        </is>
      </c>
      <c r="B1625" s="1" t="n">
        <v>45789.49024305555</v>
      </c>
      <c r="C1625" s="1" t="n">
        <v>45916</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23363-2025</t>
        </is>
      </c>
      <c r="B1626" s="1" t="n">
        <v>45791.67775462963</v>
      </c>
      <c r="C1626" s="1" t="n">
        <v>45916</v>
      </c>
      <c r="D1626" t="inlineStr">
        <is>
          <t>JÄMTLANDS LÄN</t>
        </is>
      </c>
      <c r="E1626" t="inlineStr">
        <is>
          <t>BRÄCKE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22940-2025</t>
        </is>
      </c>
      <c r="B1627" s="1" t="n">
        <v>45790.46918981482</v>
      </c>
      <c r="C1627" s="1" t="n">
        <v>45916</v>
      </c>
      <c r="D1627" t="inlineStr">
        <is>
          <t>JÄMTLANDS LÄN</t>
        </is>
      </c>
      <c r="E1627" t="inlineStr">
        <is>
          <t>BRÄCKE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23211-2025</t>
        </is>
      </c>
      <c r="B1628" s="1" t="n">
        <v>45791.46956018519</v>
      </c>
      <c r="C1628" s="1" t="n">
        <v>45916</v>
      </c>
      <c r="D1628" t="inlineStr">
        <is>
          <t>JÄMTLANDS LÄN</t>
        </is>
      </c>
      <c r="E1628" t="inlineStr">
        <is>
          <t>BRÄCKE</t>
        </is>
      </c>
      <c r="F1628" t="inlineStr">
        <is>
          <t>SCA</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22958-2025</t>
        </is>
      </c>
      <c r="B1629" s="1" t="n">
        <v>45790.53184027778</v>
      </c>
      <c r="C1629" s="1" t="n">
        <v>45916</v>
      </c>
      <c r="D1629" t="inlineStr">
        <is>
          <t>JÄMTLANDS LÄN</t>
        </is>
      </c>
      <c r="E1629" t="inlineStr">
        <is>
          <t>BRÄCKE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19615-2025</t>
        </is>
      </c>
      <c r="B1630" s="1" t="n">
        <v>45770.61519675926</v>
      </c>
      <c r="C1630" s="1" t="n">
        <v>45916</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11310-2025</t>
        </is>
      </c>
      <c r="B1631" s="1" t="n">
        <v>45726.44832175926</v>
      </c>
      <c r="C1631" s="1" t="n">
        <v>45916</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6362-2024</t>
        </is>
      </c>
      <c r="B1632" s="1" t="n">
        <v>45338</v>
      </c>
      <c r="C1632" s="1" t="n">
        <v>45916</v>
      </c>
      <c r="D1632" t="inlineStr">
        <is>
          <t>JÄMTLANDS LÄN</t>
        </is>
      </c>
      <c r="E1632" t="inlineStr">
        <is>
          <t>BRÄCKE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19996-2024</t>
        </is>
      </c>
      <c r="B1633" s="1" t="n">
        <v>45433.92756944444</v>
      </c>
      <c r="C1633" s="1" t="n">
        <v>45916</v>
      </c>
      <c r="D1633" t="inlineStr">
        <is>
          <t>JÄMTLANDS LÄN</t>
        </is>
      </c>
      <c r="E1633" t="inlineStr">
        <is>
          <t>BRÄCKE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21781-2023</t>
        </is>
      </c>
      <c r="B1634" s="1" t="n">
        <v>45065</v>
      </c>
      <c r="C1634" s="1" t="n">
        <v>45916</v>
      </c>
      <c r="D1634" t="inlineStr">
        <is>
          <t>JÄMTLANDS LÄN</t>
        </is>
      </c>
      <c r="E1634" t="inlineStr">
        <is>
          <t>BRÄCKE</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23013-2021</t>
        </is>
      </c>
      <c r="B1635" s="1" t="n">
        <v>44328</v>
      </c>
      <c r="C1635" s="1" t="n">
        <v>45916</v>
      </c>
      <c r="D1635" t="inlineStr">
        <is>
          <t>JÄMTLANDS LÄN</t>
        </is>
      </c>
      <c r="E1635" t="inlineStr">
        <is>
          <t>BRÄCKE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21637-2021</t>
        </is>
      </c>
      <c r="B1636" s="1" t="n">
        <v>44321</v>
      </c>
      <c r="C1636" s="1" t="n">
        <v>45916</v>
      </c>
      <c r="D1636" t="inlineStr">
        <is>
          <t>JÄMTLANDS LÄN</t>
        </is>
      </c>
      <c r="E1636" t="inlineStr">
        <is>
          <t>BRÄCKE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57590-2024</t>
        </is>
      </c>
      <c r="B1637" s="1" t="n">
        <v>45630.49729166667</v>
      </c>
      <c r="C1637" s="1" t="n">
        <v>45916</v>
      </c>
      <c r="D1637" t="inlineStr">
        <is>
          <t>JÄMTLANDS LÄN</t>
        </is>
      </c>
      <c r="E1637" t="inlineStr">
        <is>
          <t>BRÄCKE</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22957-2025</t>
        </is>
      </c>
      <c r="B1638" s="1" t="n">
        <v>45790.53179398148</v>
      </c>
      <c r="C1638" s="1" t="n">
        <v>45916</v>
      </c>
      <c r="D1638" t="inlineStr">
        <is>
          <t>JÄMTLANDS LÄN</t>
        </is>
      </c>
      <c r="E1638" t="inlineStr">
        <is>
          <t>BRÄCKE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55667-2023</t>
        </is>
      </c>
      <c r="B1639" s="1" t="n">
        <v>45238.96780092592</v>
      </c>
      <c r="C1639" s="1" t="n">
        <v>45916</v>
      </c>
      <c r="D1639" t="inlineStr">
        <is>
          <t>JÄMTLANDS LÄN</t>
        </is>
      </c>
      <c r="E1639" t="inlineStr">
        <is>
          <t>BRÄCKE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55668-2023</t>
        </is>
      </c>
      <c r="B1640" s="1" t="n">
        <v>45238</v>
      </c>
      <c r="C1640" s="1" t="n">
        <v>45916</v>
      </c>
      <c r="D1640" t="inlineStr">
        <is>
          <t>JÄMTLANDS LÄN</t>
        </is>
      </c>
      <c r="E1640" t="inlineStr">
        <is>
          <t>BRÄCKE</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23344-2025</t>
        </is>
      </c>
      <c r="B1641" s="1" t="n">
        <v>45791.65712962963</v>
      </c>
      <c r="C1641" s="1" t="n">
        <v>45916</v>
      </c>
      <c r="D1641" t="inlineStr">
        <is>
          <t>JÄMTLANDS LÄN</t>
        </is>
      </c>
      <c r="E1641" t="inlineStr">
        <is>
          <t>BRÄCKE</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52249-2023</t>
        </is>
      </c>
      <c r="B1642" s="1" t="n">
        <v>45217</v>
      </c>
      <c r="C1642" s="1" t="n">
        <v>45916</v>
      </c>
      <c r="D1642" t="inlineStr">
        <is>
          <t>JÄMTLANDS LÄN</t>
        </is>
      </c>
      <c r="E1642" t="inlineStr">
        <is>
          <t>BRÄCKE</t>
        </is>
      </c>
      <c r="F1642" t="inlineStr">
        <is>
          <t>SCA</t>
        </is>
      </c>
      <c r="G1642" t="n">
        <v>8.5</v>
      </c>
      <c r="H1642" t="n">
        <v>0</v>
      </c>
      <c r="I1642" t="n">
        <v>0</v>
      </c>
      <c r="J1642" t="n">
        <v>0</v>
      </c>
      <c r="K1642" t="n">
        <v>0</v>
      </c>
      <c r="L1642" t="n">
        <v>0</v>
      </c>
      <c r="M1642" t="n">
        <v>0</v>
      </c>
      <c r="N1642" t="n">
        <v>0</v>
      </c>
      <c r="O1642" t="n">
        <v>0</v>
      </c>
      <c r="P1642" t="n">
        <v>0</v>
      </c>
      <c r="Q1642" t="n">
        <v>0</v>
      </c>
      <c r="R1642" s="2" t="inlineStr"/>
    </row>
    <row r="1643">
      <c r="A1643" t="inlineStr">
        <is>
          <t>A 23064-2024</t>
        </is>
      </c>
      <c r="B1643" s="1" t="n">
        <v>45450.44827546296</v>
      </c>
      <c r="C1643" s="1" t="n">
        <v>45916</v>
      </c>
      <c r="D1643" t="inlineStr">
        <is>
          <t>JÄMTLANDS LÄN</t>
        </is>
      </c>
      <c r="E1643" t="inlineStr">
        <is>
          <t>BRÄCKE</t>
        </is>
      </c>
      <c r="G1643" t="n">
        <v>0.8</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2025-09-16T08:55:50Z</dcterms:created>
  <dcterms:modified xmlns:dcterms="http://purl.org/dc/terms/" xmlns:xsi="http://www.w3.org/2001/XMLSchema-instance" xsi:type="dcterms:W3CDTF">2025-09-16T08:55:52Z</dcterms:modified>
</cp:coreProperties>
</file>