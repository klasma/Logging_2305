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45997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45997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45997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45997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45997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45997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45997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45997</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45997</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45997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45997</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45997</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45997</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45997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31470-2024</t>
        </is>
      </c>
      <c r="B21" s="1" t="n">
        <v>45505</v>
      </c>
      <c r="C21" s="1" t="n">
        <v>45997</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29467-2025</t>
        </is>
      </c>
      <c r="B22" s="1" t="n">
        <v>45824.69877314815</v>
      </c>
      <c r="C22" s="1" t="n">
        <v>45997</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28153-2025</t>
        </is>
      </c>
      <c r="B23" s="1" t="n">
        <v>45818.35738425926</v>
      </c>
      <c r="C23" s="1" t="n">
        <v>45997</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28599-2021</t>
        </is>
      </c>
      <c r="B24" s="1" t="n">
        <v>44356</v>
      </c>
      <c r="C24" s="1" t="n">
        <v>45997</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45997</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45997</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39116-2025</t>
        </is>
      </c>
      <c r="B27" s="1" t="n">
        <v>45888.55255787037</v>
      </c>
      <c r="C27" s="1" t="n">
        <v>45997</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23037-2021</t>
        </is>
      </c>
      <c r="B28" s="1" t="n">
        <v>44328</v>
      </c>
      <c r="C28" s="1" t="n">
        <v>45997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45997</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29244-2024</t>
        </is>
      </c>
      <c r="B30" s="1" t="n">
        <v>45482</v>
      </c>
      <c r="C30" s="1" t="n">
        <v>45997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45997</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45997</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67343-2021</t>
        </is>
      </c>
      <c r="B33" s="1" t="n">
        <v>44523</v>
      </c>
      <c r="C33" s="1" t="n">
        <v>45997</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v>
      </c>
      <c r="C34" s="1" t="n">
        <v>45997</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58080-2023</t>
        </is>
      </c>
      <c r="B35" s="1" t="n">
        <v>45247.9652199074</v>
      </c>
      <c r="C35" s="1" t="n">
        <v>45997</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45997</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23506-2025</t>
        </is>
      </c>
      <c r="B37" s="1" t="n">
        <v>45792.49002314815</v>
      </c>
      <c r="C37" s="1" t="n">
        <v>45997</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44933-2025</t>
        </is>
      </c>
      <c r="B38" s="1" t="n">
        <v>45918.57365740741</v>
      </c>
      <c r="C38" s="1" t="n">
        <v>45997</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45997</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49540-2022</t>
        </is>
      </c>
      <c r="B40" s="1" t="n">
        <v>44861</v>
      </c>
      <c r="C40" s="1" t="n">
        <v>45997</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45997</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45997</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45997</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45997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45997</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45997</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23587-2025</t>
        </is>
      </c>
      <c r="B47" s="1" t="n">
        <v>45792.63597222222</v>
      </c>
      <c r="C47" s="1" t="n">
        <v>45997</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45997</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45997</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45997</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45997</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45997</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20087-2025</t>
        </is>
      </c>
      <c r="B53" s="1" t="n">
        <v>45772.45626157407</v>
      </c>
      <c r="C53" s="1" t="n">
        <v>45997</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51820-2023</t>
        </is>
      </c>
      <c r="B54" s="1" t="n">
        <v>45222</v>
      </c>
      <c r="C54" s="1" t="n">
        <v>45997</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49336-2023</t>
        </is>
      </c>
      <c r="B55" s="1" t="n">
        <v>45210</v>
      </c>
      <c r="C55" s="1" t="n">
        <v>45997</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45997</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55271-2025</t>
        </is>
      </c>
      <c r="B57" s="1" t="n">
        <v>45968.67741898148</v>
      </c>
      <c r="C57" s="1" t="n">
        <v>45997</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32565-2025</t>
        </is>
      </c>
      <c r="B58" s="1" t="n">
        <v>45838.57340277778</v>
      </c>
      <c r="C58" s="1" t="n">
        <v>45997</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45997</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49372-2024</t>
        </is>
      </c>
      <c r="B60" s="1" t="n">
        <v>45595.64168981482</v>
      </c>
      <c r="C60" s="1" t="n">
        <v>45997</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49712-2024</t>
        </is>
      </c>
      <c r="B61" s="1" t="n">
        <v>45596.69923611111</v>
      </c>
      <c r="C61" s="1" t="n">
        <v>45997</v>
      </c>
      <c r="D61" t="inlineStr">
        <is>
          <t>JÄMTLANDS LÄN</t>
        </is>
      </c>
      <c r="E61" t="inlineStr">
        <is>
          <t>BRÄCKE</t>
        </is>
      </c>
      <c r="F61" t="inlineStr">
        <is>
          <t>Naturvårdsverket</t>
        </is>
      </c>
      <c r="G61" t="n">
        <v>1.9</v>
      </c>
      <c r="H61" t="n">
        <v>1</v>
      </c>
      <c r="I61" t="n">
        <v>3</v>
      </c>
      <c r="J61" t="n">
        <v>4</v>
      </c>
      <c r="K61" t="n">
        <v>1</v>
      </c>
      <c r="L61" t="n">
        <v>0</v>
      </c>
      <c r="M61" t="n">
        <v>0</v>
      </c>
      <c r="N61" t="n">
        <v>0</v>
      </c>
      <c r="O61" t="n">
        <v>5</v>
      </c>
      <c r="P61" t="n">
        <v>1</v>
      </c>
      <c r="Q61" t="n">
        <v>8</v>
      </c>
      <c r="R61" s="2" t="inlineStr">
        <is>
          <t>Knärot
Garnlav
Harticka
Lunglav
Rosenticka
Svart trolldruva
Svavelriska
Tibast</t>
        </is>
      </c>
      <c r="S61">
        <f>HYPERLINK("https://klasma.github.io/Logging_2305/artfynd/A 49712-2024 artfynd.xlsx", "A 49712-2024")</f>
        <v/>
      </c>
      <c r="T61">
        <f>HYPERLINK("https://klasma.github.io/Logging_2305/kartor/A 49712-2024 karta.png", "A 49712-2024")</f>
        <v/>
      </c>
      <c r="U61">
        <f>HYPERLINK("https://klasma.github.io/Logging_2305/knärot/A 49712-2024 karta knärot.png", "A 49712-2024")</f>
        <v/>
      </c>
      <c r="V61">
        <f>HYPERLINK("https://klasma.github.io/Logging_2305/klagomål/A 49712-2024 FSC-klagomål.docx", "A 49712-2024")</f>
        <v/>
      </c>
      <c r="W61">
        <f>HYPERLINK("https://klasma.github.io/Logging_2305/klagomålsmail/A 49712-2024 FSC-klagomål mail.docx", "A 49712-2024")</f>
        <v/>
      </c>
      <c r="X61">
        <f>HYPERLINK("https://klasma.github.io/Logging_2305/tillsyn/A 49712-2024 tillsynsbegäran.docx", "A 49712-2024")</f>
        <v/>
      </c>
      <c r="Y61">
        <f>HYPERLINK("https://klasma.github.io/Logging_2305/tillsynsmail/A 49712-2024 tillsynsbegäran mail.docx", "A 49712-2024")</f>
        <v/>
      </c>
    </row>
    <row r="62" ht="15" customHeight="1">
      <c r="A62" t="inlineStr">
        <is>
          <t>A 8707-2025</t>
        </is>
      </c>
      <c r="B62" s="1" t="n">
        <v>45712.49047453704</v>
      </c>
      <c r="C62" s="1" t="n">
        <v>45997</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44514-2024</t>
        </is>
      </c>
      <c r="B63" s="1" t="n">
        <v>45574.42746527777</v>
      </c>
      <c r="C63" s="1" t="n">
        <v>45997</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26956-2024</t>
        </is>
      </c>
      <c r="B64" s="1" t="n">
        <v>45470.97053240741</v>
      </c>
      <c r="C64" s="1" t="n">
        <v>45997</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62113-2023</t>
        </is>
      </c>
      <c r="B65" s="1" t="n">
        <v>45266</v>
      </c>
      <c r="C65" s="1" t="n">
        <v>45997</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21452-2025</t>
        </is>
      </c>
      <c r="B66" s="1" t="n">
        <v>45782.55300925926</v>
      </c>
      <c r="C66" s="1" t="n">
        <v>45997</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18898-2025</t>
        </is>
      </c>
      <c r="B67" s="1" t="n">
        <v>45764.44885416667</v>
      </c>
      <c r="C67" s="1" t="n">
        <v>45997</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45109-2024</t>
        </is>
      </c>
      <c r="B68" s="1" t="n">
        <v>45575.59435185185</v>
      </c>
      <c r="C68" s="1" t="n">
        <v>45997</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41199-2025</t>
        </is>
      </c>
      <c r="B69" s="1" t="n">
        <v>45898.57366898148</v>
      </c>
      <c r="C69" s="1" t="n">
        <v>45997</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40482-2021</t>
        </is>
      </c>
      <c r="B70" s="1" t="n">
        <v>44419.94334490741</v>
      </c>
      <c r="C70" s="1" t="n">
        <v>45997</v>
      </c>
      <c r="D70" t="inlineStr">
        <is>
          <t>JÄMTLANDS LÄN</t>
        </is>
      </c>
      <c r="E70" t="inlineStr">
        <is>
          <t>BRÄCKE</t>
        </is>
      </c>
      <c r="F70" t="inlineStr">
        <is>
          <t>SCA</t>
        </is>
      </c>
      <c r="G70" t="n">
        <v>6.6</v>
      </c>
      <c r="H70" t="n">
        <v>5</v>
      </c>
      <c r="I70" t="n">
        <v>1</v>
      </c>
      <c r="J70" t="n">
        <v>5</v>
      </c>
      <c r="K70" t="n">
        <v>0</v>
      </c>
      <c r="L70" t="n">
        <v>0</v>
      </c>
      <c r="M70" t="n">
        <v>0</v>
      </c>
      <c r="N70" t="n">
        <v>0</v>
      </c>
      <c r="O70" t="n">
        <v>5</v>
      </c>
      <c r="P70" t="n">
        <v>0</v>
      </c>
      <c r="Q70" t="n">
        <v>7</v>
      </c>
      <c r="R70" s="2" t="inlineStr">
        <is>
          <t>Lunglav
Smålom
Spillkråka
Talltita
Tretåig hackspett
Norrlandslav
Orre</t>
        </is>
      </c>
      <c r="S70">
        <f>HYPERLINK("https://klasma.github.io/Logging_2305/artfynd/A 40482-2021 artfynd.xlsx", "A 40482-2021")</f>
        <v/>
      </c>
      <c r="T70">
        <f>HYPERLINK("https://klasma.github.io/Logging_2305/kartor/A 40482-2021 karta.png", "A 40482-2021")</f>
        <v/>
      </c>
      <c r="V70">
        <f>HYPERLINK("https://klasma.github.io/Logging_2305/klagomål/A 40482-2021 FSC-klagomål.docx", "A 40482-2021")</f>
        <v/>
      </c>
      <c r="W70">
        <f>HYPERLINK("https://klasma.github.io/Logging_2305/klagomålsmail/A 40482-2021 FSC-klagomål mail.docx", "A 40482-2021")</f>
        <v/>
      </c>
      <c r="X70">
        <f>HYPERLINK("https://klasma.github.io/Logging_2305/tillsyn/A 40482-2021 tillsynsbegäran.docx", "A 40482-2021")</f>
        <v/>
      </c>
      <c r="Y70">
        <f>HYPERLINK("https://klasma.github.io/Logging_2305/tillsynsmail/A 40482-2021 tillsynsbegäran mail.docx", "A 40482-2021")</f>
        <v/>
      </c>
      <c r="Z70">
        <f>HYPERLINK("https://klasma.github.io/Logging_2305/fåglar/A 40482-2021 prioriterade fågelarter.docx", "A 40482-2021")</f>
        <v/>
      </c>
    </row>
    <row r="71" ht="15" customHeight="1">
      <c r="A71" t="inlineStr">
        <is>
          <t>A 34300-2025</t>
        </is>
      </c>
      <c r="B71" s="1" t="n">
        <v>45846.34518518519</v>
      </c>
      <c r="C71" s="1" t="n">
        <v>45997</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45997</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35419-2024</t>
        </is>
      </c>
      <c r="B73" s="1" t="n">
        <v>45531.40895833333</v>
      </c>
      <c r="C73" s="1" t="n">
        <v>45997</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45555.4065162037</v>
      </c>
      <c r="C74" s="1" t="n">
        <v>45997</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29464-2024</t>
        </is>
      </c>
      <c r="B75" s="1" t="n">
        <v>45483.97010416666</v>
      </c>
      <c r="C75" s="1" t="n">
        <v>45997</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59719-2024</t>
        </is>
      </c>
      <c r="B76" s="1" t="n">
        <v>45639.47033564815</v>
      </c>
      <c r="C76" s="1" t="n">
        <v>45997</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48779-2023</t>
        </is>
      </c>
      <c r="B77" s="1" t="n">
        <v>45208.9496875</v>
      </c>
      <c r="C77" s="1" t="n">
        <v>45997</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14576-2024</t>
        </is>
      </c>
      <c r="B78" s="1" t="n">
        <v>45394.95033564815</v>
      </c>
      <c r="C78" s="1" t="n">
        <v>45997</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43982-2023</t>
        </is>
      </c>
      <c r="B79" s="1" t="n">
        <v>45187</v>
      </c>
      <c r="C79" s="1" t="n">
        <v>45997</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13548-2024</t>
        </is>
      </c>
      <c r="B80" s="1" t="n">
        <v>45387.95348379629</v>
      </c>
      <c r="C80" s="1" t="n">
        <v>45997</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43989-2023</t>
        </is>
      </c>
      <c r="B81" s="1" t="n">
        <v>45187</v>
      </c>
      <c r="C81" s="1" t="n">
        <v>45997</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22143-2025</t>
        </is>
      </c>
      <c r="B82" s="1" t="n">
        <v>45785.55251157407</v>
      </c>
      <c r="C82" s="1" t="n">
        <v>45997</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45997</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45997</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29272-2024</t>
        </is>
      </c>
      <c r="B85" s="1" t="n">
        <v>45482</v>
      </c>
      <c r="C85" s="1" t="n">
        <v>45997</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32580-2025</t>
        </is>
      </c>
      <c r="B86" s="1" t="n">
        <v>45838.59434027778</v>
      </c>
      <c r="C86" s="1" t="n">
        <v>45997</v>
      </c>
      <c r="D86" t="inlineStr">
        <is>
          <t>JÄMTLANDS LÄN</t>
        </is>
      </c>
      <c r="E86" t="inlineStr">
        <is>
          <t>BRÄCKE</t>
        </is>
      </c>
      <c r="G86" t="n">
        <v>20.9</v>
      </c>
      <c r="H86" t="n">
        <v>4</v>
      </c>
      <c r="I86" t="n">
        <v>2</v>
      </c>
      <c r="J86" t="n">
        <v>3</v>
      </c>
      <c r="K86" t="n">
        <v>1</v>
      </c>
      <c r="L86" t="n">
        <v>0</v>
      </c>
      <c r="M86" t="n">
        <v>0</v>
      </c>
      <c r="N86" t="n">
        <v>0</v>
      </c>
      <c r="O86" t="n">
        <v>4</v>
      </c>
      <c r="P86" t="n">
        <v>1</v>
      </c>
      <c r="Q86" t="n">
        <v>6</v>
      </c>
      <c r="R86" s="2" t="inlineStr">
        <is>
          <t>Knärot
Garnlav
Talltita
Tretåig hackspett
Dropptaggsvamp
Plattlummer</t>
        </is>
      </c>
      <c r="S86">
        <f>HYPERLINK("https://klasma.github.io/Logging_2305/artfynd/A 32580-2025 artfynd.xlsx", "A 32580-2025")</f>
        <v/>
      </c>
      <c r="T86">
        <f>HYPERLINK("https://klasma.github.io/Logging_2305/kartor/A 32580-2025 karta.png", "A 32580-2025")</f>
        <v/>
      </c>
      <c r="U86">
        <f>HYPERLINK("https://klasma.github.io/Logging_2305/knärot/A 32580-2025 karta knärot.png", "A 32580-2025")</f>
        <v/>
      </c>
      <c r="V86">
        <f>HYPERLINK("https://klasma.github.io/Logging_2305/klagomål/A 32580-2025 FSC-klagomål.docx", "A 32580-2025")</f>
        <v/>
      </c>
      <c r="W86">
        <f>HYPERLINK("https://klasma.github.io/Logging_2305/klagomålsmail/A 32580-2025 FSC-klagomål mail.docx", "A 32580-2025")</f>
        <v/>
      </c>
      <c r="X86">
        <f>HYPERLINK("https://klasma.github.io/Logging_2305/tillsyn/A 32580-2025 tillsynsbegäran.docx", "A 32580-2025")</f>
        <v/>
      </c>
      <c r="Y86">
        <f>HYPERLINK("https://klasma.github.io/Logging_2305/tillsynsmail/A 32580-2025 tillsynsbegäran mail.docx", "A 32580-2025")</f>
        <v/>
      </c>
      <c r="Z86">
        <f>HYPERLINK("https://klasma.github.io/Logging_2305/fåglar/A 32580-2025 prioriterade fågelarter.docx", "A 32580-2025")</f>
        <v/>
      </c>
    </row>
    <row r="87" ht="15" customHeight="1">
      <c r="A87" t="inlineStr">
        <is>
          <t>A 52152-2024</t>
        </is>
      </c>
      <c r="B87" s="1" t="n">
        <v>45608.52387731482</v>
      </c>
      <c r="C87" s="1" t="n">
        <v>45997</v>
      </c>
      <c r="D87" t="inlineStr">
        <is>
          <t>JÄMTLANDS LÄN</t>
        </is>
      </c>
      <c r="E87" t="inlineStr">
        <is>
          <t>BRÄCKE</t>
        </is>
      </c>
      <c r="F87" t="inlineStr">
        <is>
          <t>SCA</t>
        </is>
      </c>
      <c r="G87" t="n">
        <v>3</v>
      </c>
      <c r="H87" t="n">
        <v>0</v>
      </c>
      <c r="I87" t="n">
        <v>1</v>
      </c>
      <c r="J87" t="n">
        <v>4</v>
      </c>
      <c r="K87" t="n">
        <v>1</v>
      </c>
      <c r="L87" t="n">
        <v>0</v>
      </c>
      <c r="M87" t="n">
        <v>0</v>
      </c>
      <c r="N87" t="n">
        <v>0</v>
      </c>
      <c r="O87" t="n">
        <v>5</v>
      </c>
      <c r="P87" t="n">
        <v>1</v>
      </c>
      <c r="Q87" t="n">
        <v>6</v>
      </c>
      <c r="R87" s="2" t="inlineStr">
        <is>
          <t>Rynkskinn
Lunglav
Skrovellav
Vedflikmossa
Vedtrappmossa
Tallfingersvamp</t>
        </is>
      </c>
      <c r="S87">
        <f>HYPERLINK("https://klasma.github.io/Logging_2305/artfynd/A 52152-2024 artfynd.xlsx", "A 52152-2024")</f>
        <v/>
      </c>
      <c r="T87">
        <f>HYPERLINK("https://klasma.github.io/Logging_2305/kartor/A 52152-2024 karta.png", "A 52152-2024")</f>
        <v/>
      </c>
      <c r="U87">
        <f>HYPERLINK("https://klasma.github.io/Logging_2305/knärot/A 52152-2024 karta knärot.png", "A 52152-2024")</f>
        <v/>
      </c>
      <c r="V87">
        <f>HYPERLINK("https://klasma.github.io/Logging_2305/klagomål/A 52152-2024 FSC-klagomål.docx", "A 52152-2024")</f>
        <v/>
      </c>
      <c r="W87">
        <f>HYPERLINK("https://klasma.github.io/Logging_2305/klagomålsmail/A 52152-2024 FSC-klagomål mail.docx", "A 52152-2024")</f>
        <v/>
      </c>
      <c r="X87">
        <f>HYPERLINK("https://klasma.github.io/Logging_2305/tillsyn/A 52152-2024 tillsynsbegäran.docx", "A 52152-2024")</f>
        <v/>
      </c>
      <c r="Y87">
        <f>HYPERLINK("https://klasma.github.io/Logging_2305/tillsynsmail/A 52152-2024 tillsynsbegäran mail.docx", "A 52152-2024")</f>
        <v/>
      </c>
    </row>
    <row r="88" ht="15" customHeight="1">
      <c r="A88" t="inlineStr">
        <is>
          <t>A 23729-2024</t>
        </is>
      </c>
      <c r="B88" s="1" t="n">
        <v>45454.95868055556</v>
      </c>
      <c r="C88" s="1" t="n">
        <v>45997</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53280-2022</t>
        </is>
      </c>
      <c r="B89" s="1" t="n">
        <v>44876</v>
      </c>
      <c r="C89" s="1" t="n">
        <v>45997</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47560-2024</t>
        </is>
      </c>
      <c r="B90" s="1" t="n">
        <v>45587.6758449074</v>
      </c>
      <c r="C90" s="1" t="n">
        <v>45997</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48780-2023</t>
        </is>
      </c>
      <c r="B91" s="1" t="n">
        <v>45208</v>
      </c>
      <c r="C91" s="1" t="n">
        <v>45997</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23246-2025</t>
        </is>
      </c>
      <c r="B92" s="1" t="n">
        <v>45791.51086805556</v>
      </c>
      <c r="C92" s="1" t="n">
        <v>45997</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38527-2025</t>
        </is>
      </c>
      <c r="B93" s="1" t="n">
        <v>45884.40715277778</v>
      </c>
      <c r="C93" s="1" t="n">
        <v>45997</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56737-2025</t>
        </is>
      </c>
      <c r="B94" s="1" t="n">
        <v>45978.34453703704</v>
      </c>
      <c r="C94" s="1" t="n">
        <v>45997</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44217-2025</t>
        </is>
      </c>
      <c r="B95" s="1" t="n">
        <v>45915.6362037037</v>
      </c>
      <c r="C95" s="1" t="n">
        <v>45997</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30620-2025</t>
        </is>
      </c>
      <c r="B96" s="1" t="n">
        <v>45831.46936342592</v>
      </c>
      <c r="C96" s="1" t="n">
        <v>45997</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45997</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45997</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45997</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45997</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34748-2025</t>
        </is>
      </c>
      <c r="B101" s="1" t="n">
        <v>45848.6153587963</v>
      </c>
      <c r="C101" s="1" t="n">
        <v>45997</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18634-2025</t>
        </is>
      </c>
      <c r="B102" s="1" t="n">
        <v>45763.55266203704</v>
      </c>
      <c r="C102" s="1" t="n">
        <v>45997</v>
      </c>
      <c r="D102" t="inlineStr">
        <is>
          <t>JÄMTLANDS LÄN</t>
        </is>
      </c>
      <c r="E102" t="inlineStr">
        <is>
          <t>BRÄCKE</t>
        </is>
      </c>
      <c r="F102" t="inlineStr">
        <is>
          <t>SCA</t>
        </is>
      </c>
      <c r="G102" t="n">
        <v>8.300000000000001</v>
      </c>
      <c r="H102" t="n">
        <v>2</v>
      </c>
      <c r="I102" t="n">
        <v>2</v>
      </c>
      <c r="J102" t="n">
        <v>2</v>
      </c>
      <c r="K102" t="n">
        <v>1</v>
      </c>
      <c r="L102" t="n">
        <v>0</v>
      </c>
      <c r="M102" t="n">
        <v>0</v>
      </c>
      <c r="N102" t="n">
        <v>0</v>
      </c>
      <c r="O102" t="n">
        <v>3</v>
      </c>
      <c r="P102" t="n">
        <v>1</v>
      </c>
      <c r="Q102" t="n">
        <v>5</v>
      </c>
      <c r="R102" s="2" t="inlineStr">
        <is>
          <t>Knärot
Garnlav
Lunglav
Korallblylav
Plattlummer</t>
        </is>
      </c>
      <c r="S102">
        <f>HYPERLINK("https://klasma.github.io/Logging_2305/artfynd/A 18634-2025 artfynd.xlsx", "A 18634-2025")</f>
        <v/>
      </c>
      <c r="T102">
        <f>HYPERLINK("https://klasma.github.io/Logging_2305/kartor/A 18634-2025 karta.png", "A 18634-2025")</f>
        <v/>
      </c>
      <c r="U102">
        <f>HYPERLINK("https://klasma.github.io/Logging_2305/knärot/A 18634-2025 karta knärot.png", "A 18634-2025")</f>
        <v/>
      </c>
      <c r="V102">
        <f>HYPERLINK("https://klasma.github.io/Logging_2305/klagomål/A 18634-2025 FSC-klagomål.docx", "A 18634-2025")</f>
        <v/>
      </c>
      <c r="W102">
        <f>HYPERLINK("https://klasma.github.io/Logging_2305/klagomålsmail/A 18634-2025 FSC-klagomål mail.docx", "A 18634-2025")</f>
        <v/>
      </c>
      <c r="X102">
        <f>HYPERLINK("https://klasma.github.io/Logging_2305/tillsyn/A 18634-2025 tillsynsbegäran.docx", "A 18634-2025")</f>
        <v/>
      </c>
      <c r="Y102">
        <f>HYPERLINK("https://klasma.github.io/Logging_2305/tillsynsmail/A 18634-2025 tillsynsbegäran mail.docx", "A 18634-2025")</f>
        <v/>
      </c>
    </row>
    <row r="103" ht="15" customHeight="1">
      <c r="A103" t="inlineStr">
        <is>
          <t>A 30991-2024</t>
        </is>
      </c>
      <c r="B103" s="1" t="n">
        <v>45499.55119212963</v>
      </c>
      <c r="C103" s="1" t="n">
        <v>45997</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36820-2021</t>
        </is>
      </c>
      <c r="B104" s="1" t="n">
        <v>44392</v>
      </c>
      <c r="C104" s="1" t="n">
        <v>45997</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45997</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45997</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45997</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45997</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45997</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45997</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45997</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47499-2023</t>
        </is>
      </c>
      <c r="B112" s="1" t="n">
        <v>45202</v>
      </c>
      <c r="C112" s="1" t="n">
        <v>45997</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32260-2024</t>
        </is>
      </c>
      <c r="B113" s="1" t="n">
        <v>45511.95291666667</v>
      </c>
      <c r="C113" s="1" t="n">
        <v>45997</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43620-2023</t>
        </is>
      </c>
      <c r="B114" s="1" t="n">
        <v>45184</v>
      </c>
      <c r="C114" s="1" t="n">
        <v>45997</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45997</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57076-2024</t>
        </is>
      </c>
      <c r="B116" s="1" t="n">
        <v>45629.35486111111</v>
      </c>
      <c r="C116" s="1" t="n">
        <v>45997</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14978-2025</t>
        </is>
      </c>
      <c r="B117" s="1" t="n">
        <v>45743.59503472222</v>
      </c>
      <c r="C117" s="1" t="n">
        <v>45997</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21412-2025</t>
        </is>
      </c>
      <c r="B118" s="1" t="n">
        <v>45782.49100694444</v>
      </c>
      <c r="C118" s="1" t="n">
        <v>45997</v>
      </c>
      <c r="D118" t="inlineStr">
        <is>
          <t>JÄMTLANDS LÄN</t>
        </is>
      </c>
      <c r="E118" t="inlineStr">
        <is>
          <t>BRÄCKE</t>
        </is>
      </c>
      <c r="F118" t="inlineStr">
        <is>
          <t>SCA</t>
        </is>
      </c>
      <c r="G118" t="n">
        <v>1.7</v>
      </c>
      <c r="H118" t="n">
        <v>1</v>
      </c>
      <c r="I118" t="n">
        <v>2</v>
      </c>
      <c r="J118" t="n">
        <v>1</v>
      </c>
      <c r="K118" t="n">
        <v>0</v>
      </c>
      <c r="L118" t="n">
        <v>0</v>
      </c>
      <c r="M118" t="n">
        <v>0</v>
      </c>
      <c r="N118" t="n">
        <v>0</v>
      </c>
      <c r="O118" t="n">
        <v>1</v>
      </c>
      <c r="P118" t="n">
        <v>0</v>
      </c>
      <c r="Q118" t="n">
        <v>4</v>
      </c>
      <c r="R118" s="2" t="inlineStr">
        <is>
          <t>Lunglav
Kransrams
Svart trolldruva
Fläcknycklar</t>
        </is>
      </c>
      <c r="S118">
        <f>HYPERLINK("https://klasma.github.io/Logging_2305/artfynd/A 21412-2025 artfynd.xlsx", "A 21412-2025")</f>
        <v/>
      </c>
      <c r="T118">
        <f>HYPERLINK("https://klasma.github.io/Logging_2305/kartor/A 21412-2025 karta.png", "A 21412-2025")</f>
        <v/>
      </c>
      <c r="V118">
        <f>HYPERLINK("https://klasma.github.io/Logging_2305/klagomål/A 21412-2025 FSC-klagomål.docx", "A 21412-2025")</f>
        <v/>
      </c>
      <c r="W118">
        <f>HYPERLINK("https://klasma.github.io/Logging_2305/klagomålsmail/A 21412-2025 FSC-klagomål mail.docx", "A 21412-2025")</f>
        <v/>
      </c>
      <c r="X118">
        <f>HYPERLINK("https://klasma.github.io/Logging_2305/tillsyn/A 21412-2025 tillsynsbegäran.docx", "A 21412-2025")</f>
        <v/>
      </c>
      <c r="Y118">
        <f>HYPERLINK("https://klasma.github.io/Logging_2305/tillsynsmail/A 21412-2025 tillsynsbegäran mail.docx", "A 21412-2025")</f>
        <v/>
      </c>
    </row>
    <row r="119" ht="15" customHeight="1">
      <c r="A119" t="inlineStr">
        <is>
          <t>A 21441-2025</t>
        </is>
      </c>
      <c r="B119" s="1" t="n">
        <v>45782.53157407408</v>
      </c>
      <c r="C119" s="1" t="n">
        <v>45997</v>
      </c>
      <c r="D119" t="inlineStr">
        <is>
          <t>JÄMTLANDS LÄN</t>
        </is>
      </c>
      <c r="E119" t="inlineStr">
        <is>
          <t>BRÄCKE</t>
        </is>
      </c>
      <c r="F119" t="inlineStr">
        <is>
          <t>SCA</t>
        </is>
      </c>
      <c r="G119" t="n">
        <v>5.5</v>
      </c>
      <c r="H119" t="n">
        <v>2</v>
      </c>
      <c r="I119" t="n">
        <v>1</v>
      </c>
      <c r="J119" t="n">
        <v>3</v>
      </c>
      <c r="K119" t="n">
        <v>0</v>
      </c>
      <c r="L119" t="n">
        <v>0</v>
      </c>
      <c r="M119" t="n">
        <v>0</v>
      </c>
      <c r="N119" t="n">
        <v>0</v>
      </c>
      <c r="O119" t="n">
        <v>3</v>
      </c>
      <c r="P119" t="n">
        <v>0</v>
      </c>
      <c r="Q119" t="n">
        <v>4</v>
      </c>
      <c r="R119" s="2" t="inlineStr">
        <is>
          <t>Garnlav
Lunglav
Tretåig hackspett
Spindelblomster</t>
        </is>
      </c>
      <c r="S119">
        <f>HYPERLINK("https://klasma.github.io/Logging_2305/artfynd/A 21441-2025 artfynd.xlsx", "A 21441-2025")</f>
        <v/>
      </c>
      <c r="T119">
        <f>HYPERLINK("https://klasma.github.io/Logging_2305/kartor/A 21441-2025 karta.png", "A 21441-2025")</f>
        <v/>
      </c>
      <c r="V119">
        <f>HYPERLINK("https://klasma.github.io/Logging_2305/klagomål/A 21441-2025 FSC-klagomål.docx", "A 21441-2025")</f>
        <v/>
      </c>
      <c r="W119">
        <f>HYPERLINK("https://klasma.github.io/Logging_2305/klagomålsmail/A 21441-2025 FSC-klagomål mail.docx", "A 21441-2025")</f>
        <v/>
      </c>
      <c r="X119">
        <f>HYPERLINK("https://klasma.github.io/Logging_2305/tillsyn/A 21441-2025 tillsynsbegäran.docx", "A 21441-2025")</f>
        <v/>
      </c>
      <c r="Y119">
        <f>HYPERLINK("https://klasma.github.io/Logging_2305/tillsynsmail/A 21441-2025 tillsynsbegäran mail.docx", "A 21441-2025")</f>
        <v/>
      </c>
      <c r="Z119">
        <f>HYPERLINK("https://klasma.github.io/Logging_2305/fåglar/A 21441-2025 prioriterade fågelarter.docx", "A 21441-2025")</f>
        <v/>
      </c>
    </row>
    <row r="120" ht="15" customHeight="1">
      <c r="A120" t="inlineStr">
        <is>
          <t>A 48479-2023</t>
        </is>
      </c>
      <c r="B120" s="1" t="n">
        <v>45206</v>
      </c>
      <c r="C120" s="1" t="n">
        <v>45997</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57079-2023</t>
        </is>
      </c>
      <c r="B121" s="1" t="n">
        <v>45244</v>
      </c>
      <c r="C121" s="1" t="n">
        <v>45997</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57606-2024</t>
        </is>
      </c>
      <c r="B122" s="1" t="n">
        <v>45630.53204861111</v>
      </c>
      <c r="C122" s="1" t="n">
        <v>45997</v>
      </c>
      <c r="D122" t="inlineStr">
        <is>
          <t>JÄMTLANDS LÄN</t>
        </is>
      </c>
      <c r="E122" t="inlineStr">
        <is>
          <t>BRÄCKE</t>
        </is>
      </c>
      <c r="F122" t="inlineStr">
        <is>
          <t>SCA</t>
        </is>
      </c>
      <c r="G122" t="n">
        <v>3.3</v>
      </c>
      <c r="H122" t="n">
        <v>4</v>
      </c>
      <c r="I122" t="n">
        <v>0</v>
      </c>
      <c r="J122" t="n">
        <v>2</v>
      </c>
      <c r="K122" t="n">
        <v>1</v>
      </c>
      <c r="L122" t="n">
        <v>0</v>
      </c>
      <c r="M122" t="n">
        <v>0</v>
      </c>
      <c r="N122" t="n">
        <v>0</v>
      </c>
      <c r="O122" t="n">
        <v>3</v>
      </c>
      <c r="P122" t="n">
        <v>1</v>
      </c>
      <c r="Q122" t="n">
        <v>4</v>
      </c>
      <c r="R122" s="2" t="inlineStr">
        <is>
          <t>Knärot
Spillkråka
Tretåig hackspett
Gråspett</t>
        </is>
      </c>
      <c r="S122">
        <f>HYPERLINK("https://klasma.github.io/Logging_2305/artfynd/A 57606-2024 artfynd.xlsx", "A 57606-2024")</f>
        <v/>
      </c>
      <c r="T122">
        <f>HYPERLINK("https://klasma.github.io/Logging_2305/kartor/A 57606-2024 karta.png", "A 57606-2024")</f>
        <v/>
      </c>
      <c r="U122">
        <f>HYPERLINK("https://klasma.github.io/Logging_2305/knärot/A 57606-2024 karta knärot.png", "A 57606-2024")</f>
        <v/>
      </c>
      <c r="V122">
        <f>HYPERLINK("https://klasma.github.io/Logging_2305/klagomål/A 57606-2024 FSC-klagomål.docx", "A 57606-2024")</f>
        <v/>
      </c>
      <c r="W122">
        <f>HYPERLINK("https://klasma.github.io/Logging_2305/klagomålsmail/A 57606-2024 FSC-klagomål mail.docx", "A 57606-2024")</f>
        <v/>
      </c>
      <c r="X122">
        <f>HYPERLINK("https://klasma.github.io/Logging_2305/tillsyn/A 57606-2024 tillsynsbegäran.docx", "A 57606-2024")</f>
        <v/>
      </c>
      <c r="Y122">
        <f>HYPERLINK("https://klasma.github.io/Logging_2305/tillsynsmail/A 57606-2024 tillsynsbegäran mail.docx", "A 57606-2024")</f>
        <v/>
      </c>
      <c r="Z122">
        <f>HYPERLINK("https://klasma.github.io/Logging_2305/fåglar/A 57606-2024 prioriterade fågelarter.docx", "A 57606-2024")</f>
        <v/>
      </c>
    </row>
    <row r="123" ht="15" customHeight="1">
      <c r="A123" t="inlineStr">
        <is>
          <t>A 15263-2025</t>
        </is>
      </c>
      <c r="B123" s="1" t="n">
        <v>45744.65704861111</v>
      </c>
      <c r="C123" s="1" t="n">
        <v>45997</v>
      </c>
      <c r="D123" t="inlineStr">
        <is>
          <t>JÄMTLANDS LÄN</t>
        </is>
      </c>
      <c r="E123" t="inlineStr">
        <is>
          <t>BRÄCKE</t>
        </is>
      </c>
      <c r="F123" t="inlineStr">
        <is>
          <t>SCA</t>
        </is>
      </c>
      <c r="G123" t="n">
        <v>2</v>
      </c>
      <c r="H123" t="n">
        <v>0</v>
      </c>
      <c r="I123" t="n">
        <v>1</v>
      </c>
      <c r="J123" t="n">
        <v>3</v>
      </c>
      <c r="K123" t="n">
        <v>0</v>
      </c>
      <c r="L123" t="n">
        <v>0</v>
      </c>
      <c r="M123" t="n">
        <v>0</v>
      </c>
      <c r="N123" t="n">
        <v>0</v>
      </c>
      <c r="O123" t="n">
        <v>3</v>
      </c>
      <c r="P123" t="n">
        <v>0</v>
      </c>
      <c r="Q123" t="n">
        <v>4</v>
      </c>
      <c r="R123" s="2" t="inlineStr">
        <is>
          <t>Garnlav
Lunglav
Skrovellav
Stuplav</t>
        </is>
      </c>
      <c r="S123">
        <f>HYPERLINK("https://klasma.github.io/Logging_2305/artfynd/A 15263-2025 artfynd.xlsx", "A 15263-2025")</f>
        <v/>
      </c>
      <c r="T123">
        <f>HYPERLINK("https://klasma.github.io/Logging_2305/kartor/A 15263-2025 karta.png", "A 15263-2025")</f>
        <v/>
      </c>
      <c r="V123">
        <f>HYPERLINK("https://klasma.github.io/Logging_2305/klagomål/A 15263-2025 FSC-klagomål.docx", "A 15263-2025")</f>
        <v/>
      </c>
      <c r="W123">
        <f>HYPERLINK("https://klasma.github.io/Logging_2305/klagomålsmail/A 15263-2025 FSC-klagomål mail.docx", "A 15263-2025")</f>
        <v/>
      </c>
      <c r="X123">
        <f>HYPERLINK("https://klasma.github.io/Logging_2305/tillsyn/A 15263-2025 tillsynsbegäran.docx", "A 15263-2025")</f>
        <v/>
      </c>
      <c r="Y123">
        <f>HYPERLINK("https://klasma.github.io/Logging_2305/tillsynsmail/A 15263-2025 tillsynsbegäran mail.docx", "A 15263-2025")</f>
        <v/>
      </c>
    </row>
    <row r="124" ht="15" customHeight="1">
      <c r="A124" t="inlineStr">
        <is>
          <t>A 28553-2024</t>
        </is>
      </c>
      <c r="B124" s="1" t="n">
        <v>45478</v>
      </c>
      <c r="C124" s="1" t="n">
        <v>45997</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43461-2025</t>
        </is>
      </c>
      <c r="B125" s="1" t="n">
        <v>45911.46922453704</v>
      </c>
      <c r="C125" s="1" t="n">
        <v>45997</v>
      </c>
      <c r="D125" t="inlineStr">
        <is>
          <t>JÄMTLANDS LÄN</t>
        </is>
      </c>
      <c r="E125" t="inlineStr">
        <is>
          <t>BRÄCKE</t>
        </is>
      </c>
      <c r="F125" t="inlineStr">
        <is>
          <t>SCA</t>
        </is>
      </c>
      <c r="G125" t="n">
        <v>2.3</v>
      </c>
      <c r="H125" t="n">
        <v>1</v>
      </c>
      <c r="I125" t="n">
        <v>0</v>
      </c>
      <c r="J125" t="n">
        <v>3</v>
      </c>
      <c r="K125" t="n">
        <v>1</v>
      </c>
      <c r="L125" t="n">
        <v>0</v>
      </c>
      <c r="M125" t="n">
        <v>0</v>
      </c>
      <c r="N125" t="n">
        <v>0</v>
      </c>
      <c r="O125" t="n">
        <v>4</v>
      </c>
      <c r="P125" t="n">
        <v>1</v>
      </c>
      <c r="Q125" t="n">
        <v>4</v>
      </c>
      <c r="R125" s="2" t="inlineStr">
        <is>
          <t>Doftticka
Doftskinn
Lunglav
Ullticka</t>
        </is>
      </c>
      <c r="S125">
        <f>HYPERLINK("https://klasma.github.io/Logging_2305/artfynd/A 43461-2025 artfynd.xlsx", "A 43461-2025")</f>
        <v/>
      </c>
      <c r="T125">
        <f>HYPERLINK("https://klasma.github.io/Logging_2305/kartor/A 43461-2025 karta.png", "A 43461-2025")</f>
        <v/>
      </c>
      <c r="V125">
        <f>HYPERLINK("https://klasma.github.io/Logging_2305/klagomål/A 43461-2025 FSC-klagomål.docx", "A 43461-2025")</f>
        <v/>
      </c>
      <c r="W125">
        <f>HYPERLINK("https://klasma.github.io/Logging_2305/klagomålsmail/A 43461-2025 FSC-klagomål mail.docx", "A 43461-2025")</f>
        <v/>
      </c>
      <c r="X125">
        <f>HYPERLINK("https://klasma.github.io/Logging_2305/tillsyn/A 43461-2025 tillsynsbegäran.docx", "A 43461-2025")</f>
        <v/>
      </c>
      <c r="Y125">
        <f>HYPERLINK("https://klasma.github.io/Logging_2305/tillsynsmail/A 43461-2025 tillsynsbegäran mail.docx", "A 43461-2025")</f>
        <v/>
      </c>
    </row>
    <row r="126" ht="15" customHeight="1">
      <c r="A126" t="inlineStr">
        <is>
          <t>A 10543-2022</t>
        </is>
      </c>
      <c r="B126" s="1" t="n">
        <v>44623</v>
      </c>
      <c r="C126" s="1" t="n">
        <v>45997</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34529-2025</t>
        </is>
      </c>
      <c r="B127" s="1" t="n">
        <v>45847.48991898148</v>
      </c>
      <c r="C127" s="1" t="n">
        <v>45997</v>
      </c>
      <c r="D127" t="inlineStr">
        <is>
          <t>JÄMTLANDS LÄN</t>
        </is>
      </c>
      <c r="E127" t="inlineStr">
        <is>
          <t>BRÄCKE</t>
        </is>
      </c>
      <c r="F127" t="inlineStr">
        <is>
          <t>SCA</t>
        </is>
      </c>
      <c r="G127" t="n">
        <v>2.4</v>
      </c>
      <c r="H127" t="n">
        <v>1</v>
      </c>
      <c r="I127" t="n">
        <v>1</v>
      </c>
      <c r="J127" t="n">
        <v>2</v>
      </c>
      <c r="K127" t="n">
        <v>1</v>
      </c>
      <c r="L127" t="n">
        <v>0</v>
      </c>
      <c r="M127" t="n">
        <v>0</v>
      </c>
      <c r="N127" t="n">
        <v>0</v>
      </c>
      <c r="O127" t="n">
        <v>3</v>
      </c>
      <c r="P127" t="n">
        <v>1</v>
      </c>
      <c r="Q127" t="n">
        <v>4</v>
      </c>
      <c r="R127" s="2" t="inlineStr">
        <is>
          <t>Knärot
Orange taggsvamp
Tallriska
Dropptaggsvamp</t>
        </is>
      </c>
      <c r="S127">
        <f>HYPERLINK("https://klasma.github.io/Logging_2305/artfynd/A 34529-2025 artfynd.xlsx", "A 34529-2025")</f>
        <v/>
      </c>
      <c r="T127">
        <f>HYPERLINK("https://klasma.github.io/Logging_2305/kartor/A 34529-2025 karta.png", "A 34529-2025")</f>
        <v/>
      </c>
      <c r="U127">
        <f>HYPERLINK("https://klasma.github.io/Logging_2305/knärot/A 34529-2025 karta knärot.png", "A 34529-2025")</f>
        <v/>
      </c>
      <c r="V127">
        <f>HYPERLINK("https://klasma.github.io/Logging_2305/klagomål/A 34529-2025 FSC-klagomål.docx", "A 34529-2025")</f>
        <v/>
      </c>
      <c r="W127">
        <f>HYPERLINK("https://klasma.github.io/Logging_2305/klagomålsmail/A 34529-2025 FSC-klagomål mail.docx", "A 34529-2025")</f>
        <v/>
      </c>
      <c r="X127">
        <f>HYPERLINK("https://klasma.github.io/Logging_2305/tillsyn/A 34529-2025 tillsynsbegäran.docx", "A 34529-2025")</f>
        <v/>
      </c>
      <c r="Y127">
        <f>HYPERLINK("https://klasma.github.io/Logging_2305/tillsynsmail/A 34529-2025 tillsynsbegäran mail.docx", "A 34529-2025")</f>
        <v/>
      </c>
    </row>
    <row r="128" ht="15" customHeight="1">
      <c r="A128" t="inlineStr">
        <is>
          <t>A 30881-2025</t>
        </is>
      </c>
      <c r="B128" s="1" t="n">
        <v>45832.34538194445</v>
      </c>
      <c r="C128" s="1" t="n">
        <v>45997</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32654-2024</t>
        </is>
      </c>
      <c r="B129" s="1" t="n">
        <v>45513.96465277778</v>
      </c>
      <c r="C129" s="1" t="n">
        <v>45997</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7445-2025</t>
        </is>
      </c>
      <c r="B130" s="1" t="n">
        <v>45705.40694444445</v>
      </c>
      <c r="C130" s="1" t="n">
        <v>45997</v>
      </c>
      <c r="D130" t="inlineStr">
        <is>
          <t>JÄMTLANDS LÄN</t>
        </is>
      </c>
      <c r="E130" t="inlineStr">
        <is>
          <t>BRÄCKE</t>
        </is>
      </c>
      <c r="G130" t="n">
        <v>2.1</v>
      </c>
      <c r="H130" t="n">
        <v>1</v>
      </c>
      <c r="I130" t="n">
        <v>1</v>
      </c>
      <c r="J130" t="n">
        <v>2</v>
      </c>
      <c r="K130" t="n">
        <v>0</v>
      </c>
      <c r="L130" t="n">
        <v>0</v>
      </c>
      <c r="M130" t="n">
        <v>0</v>
      </c>
      <c r="N130" t="n">
        <v>0</v>
      </c>
      <c r="O130" t="n">
        <v>2</v>
      </c>
      <c r="P130" t="n">
        <v>0</v>
      </c>
      <c r="Q130" t="n">
        <v>4</v>
      </c>
      <c r="R130" s="2" t="inlineStr">
        <is>
          <t>Garnlav
Lunglav
Stuplav
Revlummer</t>
        </is>
      </c>
      <c r="S130">
        <f>HYPERLINK("https://klasma.github.io/Logging_2305/artfynd/A 7445-2025 artfynd.xlsx", "A 7445-2025")</f>
        <v/>
      </c>
      <c r="T130">
        <f>HYPERLINK("https://klasma.github.io/Logging_2305/kartor/A 7445-2025 karta.png", "A 7445-2025")</f>
        <v/>
      </c>
      <c r="V130">
        <f>HYPERLINK("https://klasma.github.io/Logging_2305/klagomål/A 7445-2025 FSC-klagomål.docx", "A 7445-2025")</f>
        <v/>
      </c>
      <c r="W130">
        <f>HYPERLINK("https://klasma.github.io/Logging_2305/klagomålsmail/A 7445-2025 FSC-klagomål mail.docx", "A 7445-2025")</f>
        <v/>
      </c>
      <c r="X130">
        <f>HYPERLINK("https://klasma.github.io/Logging_2305/tillsyn/A 7445-2025 tillsynsbegäran.docx", "A 7445-2025")</f>
        <v/>
      </c>
      <c r="Y130">
        <f>HYPERLINK("https://klasma.github.io/Logging_2305/tillsynsmail/A 7445-2025 tillsynsbegäran mail.docx", "A 7445-2025")</f>
        <v/>
      </c>
    </row>
    <row r="131" ht="15" customHeight="1">
      <c r="A131" t="inlineStr">
        <is>
          <t>A 47172-2023</t>
        </is>
      </c>
      <c r="B131" s="1" t="n">
        <v>45201</v>
      </c>
      <c r="C131" s="1" t="n">
        <v>45997</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20496-2025</t>
        </is>
      </c>
      <c r="B132" s="1" t="n">
        <v>45775.57347222222</v>
      </c>
      <c r="C132" s="1" t="n">
        <v>45997</v>
      </c>
      <c r="D132" t="inlineStr">
        <is>
          <t>JÄMTLANDS LÄN</t>
        </is>
      </c>
      <c r="E132" t="inlineStr">
        <is>
          <t>BRÄCKE</t>
        </is>
      </c>
      <c r="F132" t="inlineStr">
        <is>
          <t>SCA</t>
        </is>
      </c>
      <c r="G132" t="n">
        <v>2.2</v>
      </c>
      <c r="H132" t="n">
        <v>0</v>
      </c>
      <c r="I132" t="n">
        <v>1</v>
      </c>
      <c r="J132" t="n">
        <v>2</v>
      </c>
      <c r="K132" t="n">
        <v>1</v>
      </c>
      <c r="L132" t="n">
        <v>0</v>
      </c>
      <c r="M132" t="n">
        <v>0</v>
      </c>
      <c r="N132" t="n">
        <v>0</v>
      </c>
      <c r="O132" t="n">
        <v>3</v>
      </c>
      <c r="P132" t="n">
        <v>1</v>
      </c>
      <c r="Q132" t="n">
        <v>4</v>
      </c>
      <c r="R132" s="2" t="inlineStr">
        <is>
          <t>Gräddporing
Dvärgbägarlav
Kolflarnlav
Korallblylav</t>
        </is>
      </c>
      <c r="S132">
        <f>HYPERLINK("https://klasma.github.io/Logging_2305/artfynd/A 20496-2025 artfynd.xlsx", "A 20496-2025")</f>
        <v/>
      </c>
      <c r="T132">
        <f>HYPERLINK("https://klasma.github.io/Logging_2305/kartor/A 20496-2025 karta.png", "A 20496-2025")</f>
        <v/>
      </c>
      <c r="V132">
        <f>HYPERLINK("https://klasma.github.io/Logging_2305/klagomål/A 20496-2025 FSC-klagomål.docx", "A 20496-2025")</f>
        <v/>
      </c>
      <c r="W132">
        <f>HYPERLINK("https://klasma.github.io/Logging_2305/klagomålsmail/A 20496-2025 FSC-klagomål mail.docx", "A 20496-2025")</f>
        <v/>
      </c>
      <c r="X132">
        <f>HYPERLINK("https://klasma.github.io/Logging_2305/tillsyn/A 20496-2025 tillsynsbegäran.docx", "A 20496-2025")</f>
        <v/>
      </c>
      <c r="Y132">
        <f>HYPERLINK("https://klasma.github.io/Logging_2305/tillsynsmail/A 20496-2025 tillsynsbegäran mail.docx", "A 20496-2025")</f>
        <v/>
      </c>
    </row>
    <row r="133" ht="15" customHeight="1">
      <c r="A133" t="inlineStr">
        <is>
          <t>A 56222-2021</t>
        </is>
      </c>
      <c r="B133" s="1" t="n">
        <v>44477</v>
      </c>
      <c r="C133" s="1" t="n">
        <v>45997</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45997</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45997</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45997</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17912-2025</t>
        </is>
      </c>
      <c r="B137" s="1" t="n">
        <v>45758.75871527778</v>
      </c>
      <c r="C137" s="1" t="n">
        <v>45997</v>
      </c>
      <c r="D137" t="inlineStr">
        <is>
          <t>JÄMTLANDS LÄN</t>
        </is>
      </c>
      <c r="E137" t="inlineStr">
        <is>
          <t>BRÄCKE</t>
        </is>
      </c>
      <c r="G137" t="n">
        <v>2</v>
      </c>
      <c r="H137" t="n">
        <v>0</v>
      </c>
      <c r="I137" t="n">
        <v>1</v>
      </c>
      <c r="J137" t="n">
        <v>2</v>
      </c>
      <c r="K137" t="n">
        <v>0</v>
      </c>
      <c r="L137" t="n">
        <v>0</v>
      </c>
      <c r="M137" t="n">
        <v>0</v>
      </c>
      <c r="N137" t="n">
        <v>0</v>
      </c>
      <c r="O137" t="n">
        <v>2</v>
      </c>
      <c r="P137" t="n">
        <v>0</v>
      </c>
      <c r="Q137" t="n">
        <v>3</v>
      </c>
      <c r="R137" s="2" t="inlineStr">
        <is>
          <t>Kolflarnlav
Lunglav
Grönpyrola</t>
        </is>
      </c>
      <c r="S137">
        <f>HYPERLINK("https://klasma.github.io/Logging_2305/artfynd/A 17912-2025 artfynd.xlsx", "A 17912-2025")</f>
        <v/>
      </c>
      <c r="T137">
        <f>HYPERLINK("https://klasma.github.io/Logging_2305/kartor/A 17912-2025 karta.png", "A 17912-2025")</f>
        <v/>
      </c>
      <c r="V137">
        <f>HYPERLINK("https://klasma.github.io/Logging_2305/klagomål/A 17912-2025 FSC-klagomål.docx", "A 17912-2025")</f>
        <v/>
      </c>
      <c r="W137">
        <f>HYPERLINK("https://klasma.github.io/Logging_2305/klagomålsmail/A 17912-2025 FSC-klagomål mail.docx", "A 17912-2025")</f>
        <v/>
      </c>
      <c r="X137">
        <f>HYPERLINK("https://klasma.github.io/Logging_2305/tillsyn/A 17912-2025 tillsynsbegäran.docx", "A 17912-2025")</f>
        <v/>
      </c>
      <c r="Y137">
        <f>HYPERLINK("https://klasma.github.io/Logging_2305/tillsynsmail/A 17912-2025 tillsynsbegäran mail.docx", "A 17912-2025")</f>
        <v/>
      </c>
    </row>
    <row r="138" ht="15" customHeight="1">
      <c r="A138" t="inlineStr">
        <is>
          <t>A 25717-2024</t>
        </is>
      </c>
      <c r="B138" s="1" t="n">
        <v>45463.94459490741</v>
      </c>
      <c r="C138" s="1" t="n">
        <v>45997</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29689-2024</t>
        </is>
      </c>
      <c r="B139" s="1" t="n">
        <v>45484.94427083333</v>
      </c>
      <c r="C139" s="1" t="n">
        <v>45997</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45997</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16959-2025</t>
        </is>
      </c>
      <c r="B141" s="1" t="n">
        <v>45755.44854166666</v>
      </c>
      <c r="C141" s="1" t="n">
        <v>45997</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58584-2021</t>
        </is>
      </c>
      <c r="B142" s="1" t="n">
        <v>44488</v>
      </c>
      <c r="C142" s="1" t="n">
        <v>45997</v>
      </c>
      <c r="D142" t="inlineStr">
        <is>
          <t>JÄMTLANDS LÄN</t>
        </is>
      </c>
      <c r="E142" t="inlineStr">
        <is>
          <t>BRÄCKE</t>
        </is>
      </c>
      <c r="G142" t="n">
        <v>32</v>
      </c>
      <c r="H142" t="n">
        <v>0</v>
      </c>
      <c r="I142" t="n">
        <v>1</v>
      </c>
      <c r="J142" t="n">
        <v>2</v>
      </c>
      <c r="K142" t="n">
        <v>0</v>
      </c>
      <c r="L142" t="n">
        <v>0</v>
      </c>
      <c r="M142" t="n">
        <v>0</v>
      </c>
      <c r="N142" t="n">
        <v>0</v>
      </c>
      <c r="O142" t="n">
        <v>2</v>
      </c>
      <c r="P142" t="n">
        <v>0</v>
      </c>
      <c r="Q142" t="n">
        <v>3</v>
      </c>
      <c r="R142" s="2" t="inlineStr">
        <is>
          <t>Garnlav
Lunglav
Bårdlav</t>
        </is>
      </c>
      <c r="S142">
        <f>HYPERLINK("https://klasma.github.io/Logging_2305/artfynd/A 58584-2021 artfynd.xlsx", "A 58584-2021")</f>
        <v/>
      </c>
      <c r="T142">
        <f>HYPERLINK("https://klasma.github.io/Logging_2305/kartor/A 58584-2021 karta.png", "A 58584-2021")</f>
        <v/>
      </c>
      <c r="U142">
        <f>HYPERLINK("https://klasma.github.io/Logging_2305/knärot/A 58584-2021 karta knärot.png", "A 58584-2021")</f>
        <v/>
      </c>
      <c r="V142">
        <f>HYPERLINK("https://klasma.github.io/Logging_2305/klagomål/A 58584-2021 FSC-klagomål.docx", "A 58584-2021")</f>
        <v/>
      </c>
      <c r="W142">
        <f>HYPERLINK("https://klasma.github.io/Logging_2305/klagomålsmail/A 58584-2021 FSC-klagomål mail.docx", "A 58584-2021")</f>
        <v/>
      </c>
      <c r="X142">
        <f>HYPERLINK("https://klasma.github.io/Logging_2305/tillsyn/A 58584-2021 tillsynsbegäran.docx", "A 58584-2021")</f>
        <v/>
      </c>
      <c r="Y142">
        <f>HYPERLINK("https://klasma.github.io/Logging_2305/tillsynsmail/A 58584-2021 tillsynsbegäran mail.docx", "A 58584-2021")</f>
        <v/>
      </c>
    </row>
    <row r="143" ht="15" customHeight="1">
      <c r="A143" t="inlineStr">
        <is>
          <t>A 50616-2024</t>
        </is>
      </c>
      <c r="B143" s="1" t="n">
        <v>45601.63574074074</v>
      </c>
      <c r="C143" s="1" t="n">
        <v>45997</v>
      </c>
      <c r="D143" t="inlineStr">
        <is>
          <t>JÄMTLANDS LÄN</t>
        </is>
      </c>
      <c r="E143" t="inlineStr">
        <is>
          <t>BRÄCKE</t>
        </is>
      </c>
      <c r="F143" t="inlineStr">
        <is>
          <t>SCA</t>
        </is>
      </c>
      <c r="G143" t="n">
        <v>3.5</v>
      </c>
      <c r="H143" t="n">
        <v>0</v>
      </c>
      <c r="I143" t="n">
        <v>1</v>
      </c>
      <c r="J143" t="n">
        <v>2</v>
      </c>
      <c r="K143" t="n">
        <v>0</v>
      </c>
      <c r="L143" t="n">
        <v>0</v>
      </c>
      <c r="M143" t="n">
        <v>0</v>
      </c>
      <c r="N143" t="n">
        <v>0</v>
      </c>
      <c r="O143" t="n">
        <v>2</v>
      </c>
      <c r="P143" t="n">
        <v>0</v>
      </c>
      <c r="Q143" t="n">
        <v>3</v>
      </c>
      <c r="R143" s="2" t="inlineStr">
        <is>
          <t>Garnlav
Lunglav
Stuplav</t>
        </is>
      </c>
      <c r="S143">
        <f>HYPERLINK("https://klasma.github.io/Logging_2305/artfynd/A 50616-2024 artfynd.xlsx", "A 50616-2024")</f>
        <v/>
      </c>
      <c r="T143">
        <f>HYPERLINK("https://klasma.github.io/Logging_2305/kartor/A 50616-2024 karta.png", "A 50616-2024")</f>
        <v/>
      </c>
      <c r="V143">
        <f>HYPERLINK("https://klasma.github.io/Logging_2305/klagomål/A 50616-2024 FSC-klagomål.docx", "A 50616-2024")</f>
        <v/>
      </c>
      <c r="W143">
        <f>HYPERLINK("https://klasma.github.io/Logging_2305/klagomålsmail/A 50616-2024 FSC-klagomål mail.docx", "A 50616-2024")</f>
        <v/>
      </c>
      <c r="X143">
        <f>HYPERLINK("https://klasma.github.io/Logging_2305/tillsyn/A 50616-2024 tillsynsbegäran.docx", "A 50616-2024")</f>
        <v/>
      </c>
      <c r="Y143">
        <f>HYPERLINK("https://klasma.github.io/Logging_2305/tillsynsmail/A 50616-2024 tillsynsbegäran mail.docx", "A 50616-2024")</f>
        <v/>
      </c>
    </row>
    <row r="144" ht="15" customHeight="1">
      <c r="A144" t="inlineStr">
        <is>
          <t>A 11002-2022</t>
        </is>
      </c>
      <c r="B144" s="1" t="n">
        <v>44628</v>
      </c>
      <c r="C144" s="1" t="n">
        <v>45997</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4180-2022</t>
        </is>
      </c>
      <c r="B145" s="1" t="n">
        <v>44588</v>
      </c>
      <c r="C145" s="1" t="n">
        <v>45997</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19437-2023</t>
        </is>
      </c>
      <c r="B146" s="1" t="n">
        <v>45049</v>
      </c>
      <c r="C146" s="1" t="n">
        <v>45997</v>
      </c>
      <c r="D146" t="inlineStr">
        <is>
          <t>JÄMTLANDS LÄN</t>
        </is>
      </c>
      <c r="E146" t="inlineStr">
        <is>
          <t>BRÄCKE</t>
        </is>
      </c>
      <c r="G146" t="n">
        <v>1.5</v>
      </c>
      <c r="H146" t="n">
        <v>0</v>
      </c>
      <c r="I146" t="n">
        <v>2</v>
      </c>
      <c r="J146" t="n">
        <v>1</v>
      </c>
      <c r="K146" t="n">
        <v>0</v>
      </c>
      <c r="L146" t="n">
        <v>0</v>
      </c>
      <c r="M146" t="n">
        <v>0</v>
      </c>
      <c r="N146" t="n">
        <v>0</v>
      </c>
      <c r="O146" t="n">
        <v>1</v>
      </c>
      <c r="P146" t="n">
        <v>0</v>
      </c>
      <c r="Q146" t="n">
        <v>3</v>
      </c>
      <c r="R146" s="2" t="inlineStr">
        <is>
          <t>Ullticka
Stuplav
Svart trolldruva</t>
        </is>
      </c>
      <c r="S146">
        <f>HYPERLINK("https://klasma.github.io/Logging_2305/artfynd/A 19437-2023 artfynd.xlsx", "A 19437-2023")</f>
        <v/>
      </c>
      <c r="T146">
        <f>HYPERLINK("https://klasma.github.io/Logging_2305/kartor/A 19437-2023 karta.png", "A 19437-2023")</f>
        <v/>
      </c>
      <c r="U146">
        <f>HYPERLINK("https://klasma.github.io/Logging_2305/knärot/A 19437-2023 karta knärot.png", "A 19437-2023")</f>
        <v/>
      </c>
      <c r="V146">
        <f>HYPERLINK("https://klasma.github.io/Logging_2305/klagomål/A 19437-2023 FSC-klagomål.docx", "A 19437-2023")</f>
        <v/>
      </c>
      <c r="W146">
        <f>HYPERLINK("https://klasma.github.io/Logging_2305/klagomålsmail/A 19437-2023 FSC-klagomål mail.docx", "A 19437-2023")</f>
        <v/>
      </c>
      <c r="X146">
        <f>HYPERLINK("https://klasma.github.io/Logging_2305/tillsyn/A 19437-2023 tillsynsbegäran.docx", "A 19437-2023")</f>
        <v/>
      </c>
      <c r="Y146">
        <f>HYPERLINK("https://klasma.github.io/Logging_2305/tillsynsmail/A 19437-2023 tillsynsbegäran mail.docx", "A 19437-2023")</f>
        <v/>
      </c>
    </row>
    <row r="147" ht="15" customHeight="1">
      <c r="A147" t="inlineStr">
        <is>
          <t>A 30486-2024</t>
        </is>
      </c>
      <c r="B147" s="1" t="n">
        <v>45491.95018518518</v>
      </c>
      <c r="C147" s="1" t="n">
        <v>45997</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45997</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30989-2024</t>
        </is>
      </c>
      <c r="B149" s="1" t="n">
        <v>45499.54851851852</v>
      </c>
      <c r="C149" s="1" t="n">
        <v>45997</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2298-2025</t>
        </is>
      </c>
      <c r="B150" s="1" t="n">
        <v>45673.595</v>
      </c>
      <c r="C150" s="1" t="n">
        <v>45997</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48067-2023</t>
        </is>
      </c>
      <c r="B151" s="1" t="n">
        <v>45204</v>
      </c>
      <c r="C151" s="1" t="n">
        <v>45997</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19336-2024</t>
        </is>
      </c>
      <c r="B152" s="1" t="n">
        <v>45428.97079861111</v>
      </c>
      <c r="C152" s="1" t="n">
        <v>45997</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57105-2024</t>
        </is>
      </c>
      <c r="B153" s="1" t="n">
        <v>45629.35895833333</v>
      </c>
      <c r="C153" s="1" t="n">
        <v>45997</v>
      </c>
      <c r="D153" t="inlineStr">
        <is>
          <t>JÄMTLANDS LÄN</t>
        </is>
      </c>
      <c r="E153" t="inlineStr">
        <is>
          <t>BRÄCKE</t>
        </is>
      </c>
      <c r="G153" t="n">
        <v>1.7</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57105-2024 artfynd.xlsx", "A 57105-2024")</f>
        <v/>
      </c>
      <c r="T153">
        <f>HYPERLINK("https://klasma.github.io/Logging_2305/kartor/A 57105-2024 karta.png", "A 57105-2024")</f>
        <v/>
      </c>
      <c r="V153">
        <f>HYPERLINK("https://klasma.github.io/Logging_2305/klagomål/A 57105-2024 FSC-klagomål.docx", "A 57105-2024")</f>
        <v/>
      </c>
      <c r="W153">
        <f>HYPERLINK("https://klasma.github.io/Logging_2305/klagomålsmail/A 57105-2024 FSC-klagomål mail.docx", "A 57105-2024")</f>
        <v/>
      </c>
      <c r="X153">
        <f>HYPERLINK("https://klasma.github.io/Logging_2305/tillsyn/A 57105-2024 tillsynsbegäran.docx", "A 57105-2024")</f>
        <v/>
      </c>
      <c r="Y153">
        <f>HYPERLINK("https://klasma.github.io/Logging_2305/tillsynsmail/A 57105-2024 tillsynsbegäran mail.docx", "A 57105-2024")</f>
        <v/>
      </c>
    </row>
    <row r="154" ht="15" customHeight="1">
      <c r="A154" t="inlineStr">
        <is>
          <t>A 47183-2023</t>
        </is>
      </c>
      <c r="B154" s="1" t="n">
        <v>45201</v>
      </c>
      <c r="C154" s="1" t="n">
        <v>45997</v>
      </c>
      <c r="D154" t="inlineStr">
        <is>
          <t>JÄMTLANDS LÄN</t>
        </is>
      </c>
      <c r="E154" t="inlineStr">
        <is>
          <t>BRÄCKE</t>
        </is>
      </c>
      <c r="F154" t="inlineStr">
        <is>
          <t>SCA</t>
        </is>
      </c>
      <c r="G154" t="n">
        <v>1.2</v>
      </c>
      <c r="H154" t="n">
        <v>2</v>
      </c>
      <c r="I154" t="n">
        <v>1</v>
      </c>
      <c r="J154" t="n">
        <v>1</v>
      </c>
      <c r="K154" t="n">
        <v>0</v>
      </c>
      <c r="L154" t="n">
        <v>0</v>
      </c>
      <c r="M154" t="n">
        <v>0</v>
      </c>
      <c r="N154" t="n">
        <v>0</v>
      </c>
      <c r="O154" t="n">
        <v>1</v>
      </c>
      <c r="P154" t="n">
        <v>0</v>
      </c>
      <c r="Q154" t="n">
        <v>3</v>
      </c>
      <c r="R154" s="2" t="inlineStr">
        <is>
          <t>Lunglav
Spindelblomster
Fläcknycklar</t>
        </is>
      </c>
      <c r="S154">
        <f>HYPERLINK("https://klasma.github.io/Logging_2305/artfynd/A 47183-2023 artfynd.xlsx", "A 47183-2023")</f>
        <v/>
      </c>
      <c r="T154">
        <f>HYPERLINK("https://klasma.github.io/Logging_2305/kartor/A 47183-2023 karta.png", "A 47183-2023")</f>
        <v/>
      </c>
      <c r="U154">
        <f>HYPERLINK("https://klasma.github.io/Logging_2305/knärot/A 47183-2023 karta knärot.png", "A 47183-2023")</f>
        <v/>
      </c>
      <c r="V154">
        <f>HYPERLINK("https://klasma.github.io/Logging_2305/klagomål/A 47183-2023 FSC-klagomål.docx", "A 47183-2023")</f>
        <v/>
      </c>
      <c r="W154">
        <f>HYPERLINK("https://klasma.github.io/Logging_2305/klagomålsmail/A 47183-2023 FSC-klagomål mail.docx", "A 47183-2023")</f>
        <v/>
      </c>
      <c r="X154">
        <f>HYPERLINK("https://klasma.github.io/Logging_2305/tillsyn/A 47183-2023 tillsynsbegäran.docx", "A 47183-2023")</f>
        <v/>
      </c>
      <c r="Y154">
        <f>HYPERLINK("https://klasma.github.io/Logging_2305/tillsynsmail/A 47183-2023 tillsynsbegäran mail.docx", "A 47183-2023")</f>
        <v/>
      </c>
    </row>
    <row r="155" ht="15" customHeight="1">
      <c r="A155" t="inlineStr">
        <is>
          <t>A 35907-2025</t>
        </is>
      </c>
      <c r="B155" s="1" t="n">
        <v>45862.5109837963</v>
      </c>
      <c r="C155" s="1" t="n">
        <v>45997</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22546-2025</t>
        </is>
      </c>
      <c r="B156" s="1" t="n">
        <v>45788.46329861111</v>
      </c>
      <c r="C156" s="1" t="n">
        <v>45997</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103-2025</t>
        </is>
      </c>
      <c r="B157" s="1" t="n">
        <v>45659</v>
      </c>
      <c r="C157" s="1" t="n">
        <v>45997</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45997</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47073-2025</t>
        </is>
      </c>
      <c r="B159" s="1" t="n">
        <v>45929.63668981481</v>
      </c>
      <c r="C159" s="1" t="n">
        <v>45997</v>
      </c>
      <c r="D159" t="inlineStr">
        <is>
          <t>JÄMTLANDS LÄN</t>
        </is>
      </c>
      <c r="E159" t="inlineStr">
        <is>
          <t>BRÄCKE</t>
        </is>
      </c>
      <c r="F159" t="inlineStr">
        <is>
          <t>SCA</t>
        </is>
      </c>
      <c r="G159" t="n">
        <v>4</v>
      </c>
      <c r="H159" t="n">
        <v>0</v>
      </c>
      <c r="I159" t="n">
        <v>0</v>
      </c>
      <c r="J159" t="n">
        <v>3</v>
      </c>
      <c r="K159" t="n">
        <v>0</v>
      </c>
      <c r="L159" t="n">
        <v>0</v>
      </c>
      <c r="M159" t="n">
        <v>0</v>
      </c>
      <c r="N159" t="n">
        <v>0</v>
      </c>
      <c r="O159" t="n">
        <v>3</v>
      </c>
      <c r="P159" t="n">
        <v>0</v>
      </c>
      <c r="Q159" t="n">
        <v>3</v>
      </c>
      <c r="R159" s="2" t="inlineStr">
        <is>
          <t>Dvärgbägarlav
Mörk kolflarnlav
Reliktbock</t>
        </is>
      </c>
      <c r="S159">
        <f>HYPERLINK("https://klasma.github.io/Logging_2305/artfynd/A 47073-2025 artfynd.xlsx", "A 47073-2025")</f>
        <v/>
      </c>
      <c r="T159">
        <f>HYPERLINK("https://klasma.github.io/Logging_2305/kartor/A 47073-2025 karta.png", "A 47073-2025")</f>
        <v/>
      </c>
      <c r="V159">
        <f>HYPERLINK("https://klasma.github.io/Logging_2305/klagomål/A 47073-2025 FSC-klagomål.docx", "A 47073-2025")</f>
        <v/>
      </c>
      <c r="W159">
        <f>HYPERLINK("https://klasma.github.io/Logging_2305/klagomålsmail/A 47073-2025 FSC-klagomål mail.docx", "A 47073-2025")</f>
        <v/>
      </c>
      <c r="X159">
        <f>HYPERLINK("https://klasma.github.io/Logging_2305/tillsyn/A 47073-2025 tillsynsbegäran.docx", "A 47073-2025")</f>
        <v/>
      </c>
      <c r="Y159">
        <f>HYPERLINK("https://klasma.github.io/Logging_2305/tillsynsmail/A 47073-2025 tillsynsbegäran mail.docx", "A 47073-2025")</f>
        <v/>
      </c>
    </row>
    <row r="160" ht="15" customHeight="1">
      <c r="A160" t="inlineStr">
        <is>
          <t>A 47038-2025</t>
        </is>
      </c>
      <c r="B160" s="1" t="n">
        <v>45929.59473379629</v>
      </c>
      <c r="C160" s="1" t="n">
        <v>45997</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23592-2025</t>
        </is>
      </c>
      <c r="B161" s="1" t="n">
        <v>45792.63644675926</v>
      </c>
      <c r="C161" s="1" t="n">
        <v>45997</v>
      </c>
      <c r="D161" t="inlineStr">
        <is>
          <t>JÄMTLANDS LÄN</t>
        </is>
      </c>
      <c r="E161" t="inlineStr">
        <is>
          <t>BRÄCKE</t>
        </is>
      </c>
      <c r="F161" t="inlineStr">
        <is>
          <t>SCA</t>
        </is>
      </c>
      <c r="G161" t="n">
        <v>3.6</v>
      </c>
      <c r="H161" t="n">
        <v>1</v>
      </c>
      <c r="I161" t="n">
        <v>0</v>
      </c>
      <c r="J161" t="n">
        <v>2</v>
      </c>
      <c r="K161" t="n">
        <v>1</v>
      </c>
      <c r="L161" t="n">
        <v>0</v>
      </c>
      <c r="M161" t="n">
        <v>0</v>
      </c>
      <c r="N161" t="n">
        <v>0</v>
      </c>
      <c r="O161" t="n">
        <v>3</v>
      </c>
      <c r="P161" t="n">
        <v>1</v>
      </c>
      <c r="Q161" t="n">
        <v>3</v>
      </c>
      <c r="R161" s="2" t="inlineStr">
        <is>
          <t>Knärot
Lunglav
Rosenticka</t>
        </is>
      </c>
      <c r="S161">
        <f>HYPERLINK("https://klasma.github.io/Logging_2305/artfynd/A 23592-2025 artfynd.xlsx", "A 23592-2025")</f>
        <v/>
      </c>
      <c r="T161">
        <f>HYPERLINK("https://klasma.github.io/Logging_2305/kartor/A 23592-2025 karta.png", "A 23592-2025")</f>
        <v/>
      </c>
      <c r="U161">
        <f>HYPERLINK("https://klasma.github.io/Logging_2305/knärot/A 23592-2025 karta knärot.png", "A 23592-2025")</f>
        <v/>
      </c>
      <c r="V161">
        <f>HYPERLINK("https://klasma.github.io/Logging_2305/klagomål/A 23592-2025 FSC-klagomål.docx", "A 23592-2025")</f>
        <v/>
      </c>
      <c r="W161">
        <f>HYPERLINK("https://klasma.github.io/Logging_2305/klagomålsmail/A 23592-2025 FSC-klagomål mail.docx", "A 23592-2025")</f>
        <v/>
      </c>
      <c r="X161">
        <f>HYPERLINK("https://klasma.github.io/Logging_2305/tillsyn/A 23592-2025 tillsynsbegäran.docx", "A 23592-2025")</f>
        <v/>
      </c>
      <c r="Y161">
        <f>HYPERLINK("https://klasma.github.io/Logging_2305/tillsynsmail/A 23592-2025 tillsynsbegäran mail.docx", "A 23592-2025")</f>
        <v/>
      </c>
    </row>
    <row r="162" ht="15" customHeight="1">
      <c r="A162" t="inlineStr">
        <is>
          <t>A 23300-2025</t>
        </is>
      </c>
      <c r="B162" s="1" t="n">
        <v>45791.5946875</v>
      </c>
      <c r="C162" s="1" t="n">
        <v>45997</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23687-2025</t>
        </is>
      </c>
      <c r="B163" s="1" t="n">
        <v>45793.34428240741</v>
      </c>
      <c r="C163" s="1" t="n">
        <v>45997</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23854-2025</t>
        </is>
      </c>
      <c r="B164" s="1" t="n">
        <v>45793.65658564815</v>
      </c>
      <c r="C164" s="1" t="n">
        <v>45997</v>
      </c>
      <c r="D164" t="inlineStr">
        <is>
          <t>JÄMTLANDS LÄN</t>
        </is>
      </c>
      <c r="E164" t="inlineStr">
        <is>
          <t>BRÄCKE</t>
        </is>
      </c>
      <c r="F164" t="inlineStr">
        <is>
          <t>SCA</t>
        </is>
      </c>
      <c r="G164" t="n">
        <v>4.5</v>
      </c>
      <c r="H164" t="n">
        <v>1</v>
      </c>
      <c r="I164" t="n">
        <v>1</v>
      </c>
      <c r="J164" t="n">
        <v>1</v>
      </c>
      <c r="K164" t="n">
        <v>0</v>
      </c>
      <c r="L164" t="n">
        <v>0</v>
      </c>
      <c r="M164" t="n">
        <v>0</v>
      </c>
      <c r="N164" t="n">
        <v>0</v>
      </c>
      <c r="O164" t="n">
        <v>1</v>
      </c>
      <c r="P164" t="n">
        <v>0</v>
      </c>
      <c r="Q164" t="n">
        <v>3</v>
      </c>
      <c r="R164" s="2" t="inlineStr">
        <is>
          <t>Garnlav
Skuggblåslav
Tjäder</t>
        </is>
      </c>
      <c r="S164">
        <f>HYPERLINK("https://klasma.github.io/Logging_2305/artfynd/A 23854-2025 artfynd.xlsx", "A 23854-2025")</f>
        <v/>
      </c>
      <c r="T164">
        <f>HYPERLINK("https://klasma.github.io/Logging_2305/kartor/A 23854-2025 karta.png", "A 23854-2025")</f>
        <v/>
      </c>
      <c r="V164">
        <f>HYPERLINK("https://klasma.github.io/Logging_2305/klagomål/A 23854-2025 FSC-klagomål.docx", "A 23854-2025")</f>
        <v/>
      </c>
      <c r="W164">
        <f>HYPERLINK("https://klasma.github.io/Logging_2305/klagomålsmail/A 23854-2025 FSC-klagomål mail.docx", "A 23854-2025")</f>
        <v/>
      </c>
      <c r="X164">
        <f>HYPERLINK("https://klasma.github.io/Logging_2305/tillsyn/A 23854-2025 tillsynsbegäran.docx", "A 23854-2025")</f>
        <v/>
      </c>
      <c r="Y164">
        <f>HYPERLINK("https://klasma.github.io/Logging_2305/tillsynsmail/A 23854-2025 tillsynsbegäran mail.docx", "A 23854-2025")</f>
        <v/>
      </c>
      <c r="Z164">
        <f>HYPERLINK("https://klasma.github.io/Logging_2305/fåglar/A 23854-2025 prioriterade fågelarter.docx", "A 23854-2025")</f>
        <v/>
      </c>
    </row>
    <row r="165" ht="15" customHeight="1">
      <c r="A165" t="inlineStr">
        <is>
          <t>A 24635-2025</t>
        </is>
      </c>
      <c r="B165" s="1" t="n">
        <v>45798.61513888889</v>
      </c>
      <c r="C165" s="1" t="n">
        <v>45997</v>
      </c>
      <c r="D165" t="inlineStr">
        <is>
          <t>JÄMTLANDS LÄN</t>
        </is>
      </c>
      <c r="E165" t="inlineStr">
        <is>
          <t>BRÄCKE</t>
        </is>
      </c>
      <c r="G165" t="n">
        <v>3.2</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HYPERLINK("https://klasma.github.io/Logging_2305/artfynd/A 24635-2025 artfynd.xlsx", "A 24635-2025")</f>
        <v/>
      </c>
      <c r="T165">
        <f>HYPERLINK("https://klasma.github.io/Logging_2305/kartor/A 24635-2025 karta.png", "A 24635-2025")</f>
        <v/>
      </c>
      <c r="V165">
        <f>HYPERLINK("https://klasma.github.io/Logging_2305/klagomål/A 24635-2025 FSC-klagomål.docx", "A 24635-2025")</f>
        <v/>
      </c>
      <c r="W165">
        <f>HYPERLINK("https://klasma.github.io/Logging_2305/klagomålsmail/A 24635-2025 FSC-klagomål mail.docx", "A 24635-2025")</f>
        <v/>
      </c>
      <c r="X165">
        <f>HYPERLINK("https://klasma.github.io/Logging_2305/tillsyn/A 24635-2025 tillsynsbegäran.docx", "A 24635-2025")</f>
        <v/>
      </c>
      <c r="Y165">
        <f>HYPERLINK("https://klasma.github.io/Logging_2305/tillsynsmail/A 24635-2025 tillsynsbegäran mail.docx", "A 24635-2025")</f>
        <v/>
      </c>
      <c r="Z165">
        <f>HYPERLINK("https://klasma.github.io/Logging_2305/fåglar/A 24635-2025 prioriterade fågelarter.docx", "A 24635-2025")</f>
        <v/>
      </c>
    </row>
    <row r="166" ht="15" customHeight="1">
      <c r="A166" t="inlineStr">
        <is>
          <t>A 53261-2025</t>
        </is>
      </c>
      <c r="B166" s="1" t="n">
        <v>45958.67787037037</v>
      </c>
      <c r="C166" s="1" t="n">
        <v>45997</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49293-2025</t>
        </is>
      </c>
      <c r="B167" s="1" t="n">
        <v>45938.53223379629</v>
      </c>
      <c r="C167" s="1" t="n">
        <v>45997</v>
      </c>
      <c r="D167" t="inlineStr">
        <is>
          <t>JÄMTLANDS LÄN</t>
        </is>
      </c>
      <c r="E167" t="inlineStr">
        <is>
          <t>BRÄCKE</t>
        </is>
      </c>
      <c r="F167" t="inlineStr">
        <is>
          <t>SCA</t>
        </is>
      </c>
      <c r="G167" t="n">
        <v>2</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HYPERLINK("https://klasma.github.io/Logging_2305/artfynd/A 49293-2025 artfynd.xlsx", "A 49293-2025")</f>
        <v/>
      </c>
      <c r="T167">
        <f>HYPERLINK("https://klasma.github.io/Logging_2305/kartor/A 49293-2025 karta.png", "A 49293-2025")</f>
        <v/>
      </c>
      <c r="V167">
        <f>HYPERLINK("https://klasma.github.io/Logging_2305/klagomål/A 49293-2025 FSC-klagomål.docx", "A 49293-2025")</f>
        <v/>
      </c>
      <c r="W167">
        <f>HYPERLINK("https://klasma.github.io/Logging_2305/klagomålsmail/A 49293-2025 FSC-klagomål mail.docx", "A 49293-2025")</f>
        <v/>
      </c>
      <c r="X167">
        <f>HYPERLINK("https://klasma.github.io/Logging_2305/tillsyn/A 49293-2025 tillsynsbegäran.docx", "A 49293-2025")</f>
        <v/>
      </c>
      <c r="Y167">
        <f>HYPERLINK("https://klasma.github.io/Logging_2305/tillsynsmail/A 49293-2025 tillsynsbegäran mail.docx", "A 49293-2025")</f>
        <v/>
      </c>
    </row>
    <row r="168" ht="15" customHeight="1">
      <c r="A168" t="inlineStr">
        <is>
          <t>A 49624-2025</t>
        </is>
      </c>
      <c r="B168" s="1" t="n">
        <v>45939.59447916667</v>
      </c>
      <c r="C168" s="1" t="n">
        <v>45997</v>
      </c>
      <c r="D168" t="inlineStr">
        <is>
          <t>JÄMTLANDS LÄN</t>
        </is>
      </c>
      <c r="E168" t="inlineStr">
        <is>
          <t>BRÄCKE</t>
        </is>
      </c>
      <c r="F168" t="inlineStr">
        <is>
          <t>SCA</t>
        </is>
      </c>
      <c r="G168" t="n">
        <v>5.1</v>
      </c>
      <c r="H168" t="n">
        <v>0</v>
      </c>
      <c r="I168" t="n">
        <v>2</v>
      </c>
      <c r="J168" t="n">
        <v>0</v>
      </c>
      <c r="K168" t="n">
        <v>1</v>
      </c>
      <c r="L168" t="n">
        <v>0</v>
      </c>
      <c r="M168" t="n">
        <v>0</v>
      </c>
      <c r="N168" t="n">
        <v>0</v>
      </c>
      <c r="O168" t="n">
        <v>1</v>
      </c>
      <c r="P168" t="n">
        <v>1</v>
      </c>
      <c r="Q168" t="n">
        <v>3</v>
      </c>
      <c r="R168" s="2" t="inlineStr">
        <is>
          <t>Gräddporing
Skarp dropptaggsvamp
Skinnlav</t>
        </is>
      </c>
      <c r="S168">
        <f>HYPERLINK("https://klasma.github.io/Logging_2305/artfynd/A 49624-2025 artfynd.xlsx", "A 49624-2025")</f>
        <v/>
      </c>
      <c r="T168">
        <f>HYPERLINK("https://klasma.github.io/Logging_2305/kartor/A 49624-2025 karta.png", "A 49624-2025")</f>
        <v/>
      </c>
      <c r="V168">
        <f>HYPERLINK("https://klasma.github.io/Logging_2305/klagomål/A 49624-2025 FSC-klagomål.docx", "A 49624-2025")</f>
        <v/>
      </c>
      <c r="W168">
        <f>HYPERLINK("https://klasma.github.io/Logging_2305/klagomålsmail/A 49624-2025 FSC-klagomål mail.docx", "A 49624-2025")</f>
        <v/>
      </c>
      <c r="X168">
        <f>HYPERLINK("https://klasma.github.io/Logging_2305/tillsyn/A 49624-2025 tillsynsbegäran.docx", "A 49624-2025")</f>
        <v/>
      </c>
      <c r="Y168">
        <f>HYPERLINK("https://klasma.github.io/Logging_2305/tillsynsmail/A 49624-2025 tillsynsbegäran mail.docx", "A 49624-2025")</f>
        <v/>
      </c>
    </row>
    <row r="169" ht="15" customHeight="1">
      <c r="A169" t="inlineStr">
        <is>
          <t>A 57617-2025</t>
        </is>
      </c>
      <c r="B169" s="1" t="n">
        <v>45981.34484953704</v>
      </c>
      <c r="C169" s="1" t="n">
        <v>45997</v>
      </c>
      <c r="D169" t="inlineStr">
        <is>
          <t>JÄMTLANDS LÄN</t>
        </is>
      </c>
      <c r="E169" t="inlineStr">
        <is>
          <t>BRÄCKE</t>
        </is>
      </c>
      <c r="F169" t="inlineStr">
        <is>
          <t>SCA</t>
        </is>
      </c>
      <c r="G169" t="n">
        <v>7.9</v>
      </c>
      <c r="H169" t="n">
        <v>1</v>
      </c>
      <c r="I169" t="n">
        <v>2</v>
      </c>
      <c r="J169" t="n">
        <v>0</v>
      </c>
      <c r="K169" t="n">
        <v>1</v>
      </c>
      <c r="L169" t="n">
        <v>0</v>
      </c>
      <c r="M169" t="n">
        <v>0</v>
      </c>
      <c r="N169" t="n">
        <v>0</v>
      </c>
      <c r="O169" t="n">
        <v>1</v>
      </c>
      <c r="P169" t="n">
        <v>1</v>
      </c>
      <c r="Q169" t="n">
        <v>3</v>
      </c>
      <c r="R169" s="2" t="inlineStr">
        <is>
          <t>Knärot
Svavelriska
Trådticka</t>
        </is>
      </c>
      <c r="S169">
        <f>HYPERLINK("https://klasma.github.io/Logging_2305/artfynd/A 57617-2025 artfynd.xlsx", "A 57617-2025")</f>
        <v/>
      </c>
      <c r="T169">
        <f>HYPERLINK("https://klasma.github.io/Logging_2305/kartor/A 57617-2025 karta.png", "A 57617-2025")</f>
        <v/>
      </c>
      <c r="U169">
        <f>HYPERLINK("https://klasma.github.io/Logging_2305/knärot/A 57617-2025 karta knärot.png", "A 57617-2025")</f>
        <v/>
      </c>
      <c r="V169">
        <f>HYPERLINK("https://klasma.github.io/Logging_2305/klagomål/A 57617-2025 FSC-klagomål.docx", "A 57617-2025")</f>
        <v/>
      </c>
      <c r="W169">
        <f>HYPERLINK("https://klasma.github.io/Logging_2305/klagomålsmail/A 57617-2025 FSC-klagomål mail.docx", "A 57617-2025")</f>
        <v/>
      </c>
      <c r="X169">
        <f>HYPERLINK("https://klasma.github.io/Logging_2305/tillsyn/A 57617-2025 tillsynsbegäran.docx", "A 57617-2025")</f>
        <v/>
      </c>
      <c r="Y169">
        <f>HYPERLINK("https://klasma.github.io/Logging_2305/tillsynsmail/A 57617-2025 tillsynsbegäran mail.docx", "A 57617-2025")</f>
        <v/>
      </c>
    </row>
    <row r="170" ht="15" customHeight="1">
      <c r="A170" t="inlineStr">
        <is>
          <t>A 58422-2025</t>
        </is>
      </c>
      <c r="B170" s="1" t="n">
        <v>45985.59431712963</v>
      </c>
      <c r="C170" s="1" t="n">
        <v>45997</v>
      </c>
      <c r="D170" t="inlineStr">
        <is>
          <t>JÄMTLANDS LÄN</t>
        </is>
      </c>
      <c r="E170" t="inlineStr">
        <is>
          <t>BRÄCKE</t>
        </is>
      </c>
      <c r="F170" t="inlineStr">
        <is>
          <t>SCA</t>
        </is>
      </c>
      <c r="G170" t="n">
        <v>11</v>
      </c>
      <c r="H170" t="n">
        <v>1</v>
      </c>
      <c r="I170" t="n">
        <v>1</v>
      </c>
      <c r="J170" t="n">
        <v>1</v>
      </c>
      <c r="K170" t="n">
        <v>1</v>
      </c>
      <c r="L170" t="n">
        <v>0</v>
      </c>
      <c r="M170" t="n">
        <v>0</v>
      </c>
      <c r="N170" t="n">
        <v>0</v>
      </c>
      <c r="O170" t="n">
        <v>2</v>
      </c>
      <c r="P170" t="n">
        <v>1</v>
      </c>
      <c r="Q170" t="n">
        <v>3</v>
      </c>
      <c r="R170" s="2" t="inlineStr">
        <is>
          <t>Doftticka
Lunglav
Dropptaggsvamp</t>
        </is>
      </c>
      <c r="S170">
        <f>HYPERLINK("https://klasma.github.io/Logging_2305/artfynd/A 58422-2025 artfynd.xlsx", "A 58422-2025")</f>
        <v/>
      </c>
      <c r="T170">
        <f>HYPERLINK("https://klasma.github.io/Logging_2305/kartor/A 58422-2025 karta.png", "A 58422-2025")</f>
        <v/>
      </c>
      <c r="V170">
        <f>HYPERLINK("https://klasma.github.io/Logging_2305/klagomål/A 58422-2025 FSC-klagomål.docx", "A 58422-2025")</f>
        <v/>
      </c>
      <c r="W170">
        <f>HYPERLINK("https://klasma.github.io/Logging_2305/klagomålsmail/A 58422-2025 FSC-klagomål mail.docx", "A 58422-2025")</f>
        <v/>
      </c>
      <c r="X170">
        <f>HYPERLINK("https://klasma.github.io/Logging_2305/tillsyn/A 58422-2025 tillsynsbegäran.docx", "A 58422-2025")</f>
        <v/>
      </c>
      <c r="Y170">
        <f>HYPERLINK("https://klasma.github.io/Logging_2305/tillsynsmail/A 58422-2025 tillsynsbegäran mail.docx", "A 58422-2025")</f>
        <v/>
      </c>
    </row>
    <row r="171" ht="15" customHeight="1">
      <c r="A171" t="inlineStr">
        <is>
          <t>A 41648-2023</t>
        </is>
      </c>
      <c r="B171" s="1" t="n">
        <v>45175</v>
      </c>
      <c r="C171" s="1" t="n">
        <v>45997</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59052-2025</t>
        </is>
      </c>
      <c r="B172" s="1" t="n">
        <v>45988.38635416667</v>
      </c>
      <c r="C172" s="1" t="n">
        <v>45997</v>
      </c>
      <c r="D172" t="inlineStr">
        <is>
          <t>JÄMTLANDS LÄN</t>
        </is>
      </c>
      <c r="E172" t="inlineStr">
        <is>
          <t>BRÄCKE</t>
        </is>
      </c>
      <c r="F172" t="inlineStr">
        <is>
          <t>SCA</t>
        </is>
      </c>
      <c r="G172" t="n">
        <v>5.4</v>
      </c>
      <c r="H172" t="n">
        <v>0</v>
      </c>
      <c r="I172" t="n">
        <v>1</v>
      </c>
      <c r="J172" t="n">
        <v>1</v>
      </c>
      <c r="K172" t="n">
        <v>1</v>
      </c>
      <c r="L172" t="n">
        <v>0</v>
      </c>
      <c r="M172" t="n">
        <v>0</v>
      </c>
      <c r="N172" t="n">
        <v>0</v>
      </c>
      <c r="O172" t="n">
        <v>2</v>
      </c>
      <c r="P172" t="n">
        <v>1</v>
      </c>
      <c r="Q172" t="n">
        <v>3</v>
      </c>
      <c r="R172" s="2" t="inlineStr">
        <is>
          <t>Aspgelélav
Nordtagging
Stor aspticka</t>
        </is>
      </c>
      <c r="S172">
        <f>HYPERLINK("https://klasma.github.io/Logging_2305/artfynd/A 59052-2025 artfynd.xlsx", "A 59052-2025")</f>
        <v/>
      </c>
      <c r="T172">
        <f>HYPERLINK("https://klasma.github.io/Logging_2305/kartor/A 59052-2025 karta.png", "A 59052-2025")</f>
        <v/>
      </c>
      <c r="V172">
        <f>HYPERLINK("https://klasma.github.io/Logging_2305/klagomål/A 59052-2025 FSC-klagomål.docx", "A 59052-2025")</f>
        <v/>
      </c>
      <c r="W172">
        <f>HYPERLINK("https://klasma.github.io/Logging_2305/klagomålsmail/A 59052-2025 FSC-klagomål mail.docx", "A 59052-2025")</f>
        <v/>
      </c>
      <c r="X172">
        <f>HYPERLINK("https://klasma.github.io/Logging_2305/tillsyn/A 59052-2025 tillsynsbegäran.docx", "A 59052-2025")</f>
        <v/>
      </c>
      <c r="Y172">
        <f>HYPERLINK("https://klasma.github.io/Logging_2305/tillsynsmail/A 59052-2025 tillsynsbegäran mail.docx", "A 59052-2025")</f>
        <v/>
      </c>
    </row>
    <row r="173" ht="15" customHeight="1">
      <c r="A173" t="inlineStr">
        <is>
          <t>A 30112-2025</t>
        </is>
      </c>
      <c r="B173" s="1" t="n">
        <v>45826.71938657408</v>
      </c>
      <c r="C173" s="1" t="n">
        <v>45997</v>
      </c>
      <c r="D173" t="inlineStr">
        <is>
          <t>JÄMTLANDS LÄN</t>
        </is>
      </c>
      <c r="E173" t="inlineStr">
        <is>
          <t>BRÄCKE</t>
        </is>
      </c>
      <c r="F173" t="inlineStr">
        <is>
          <t>SCA</t>
        </is>
      </c>
      <c r="G173" t="n">
        <v>8.9</v>
      </c>
      <c r="H173" t="n">
        <v>1</v>
      </c>
      <c r="I173" t="n">
        <v>1</v>
      </c>
      <c r="J173" t="n">
        <v>1</v>
      </c>
      <c r="K173" t="n">
        <v>1</v>
      </c>
      <c r="L173" t="n">
        <v>0</v>
      </c>
      <c r="M173" t="n">
        <v>0</v>
      </c>
      <c r="N173" t="n">
        <v>0</v>
      </c>
      <c r="O173" t="n">
        <v>2</v>
      </c>
      <c r="P173" t="n">
        <v>1</v>
      </c>
      <c r="Q173" t="n">
        <v>3</v>
      </c>
      <c r="R173" s="2" t="inlineStr">
        <is>
          <t>Knärot
Rosenticka
Kransrams</t>
        </is>
      </c>
      <c r="S173">
        <f>HYPERLINK("https://klasma.github.io/Logging_2305/artfynd/A 30112-2025 artfynd.xlsx", "A 30112-2025")</f>
        <v/>
      </c>
      <c r="T173">
        <f>HYPERLINK("https://klasma.github.io/Logging_2305/kartor/A 30112-2025 karta.png", "A 30112-2025")</f>
        <v/>
      </c>
      <c r="U173">
        <f>HYPERLINK("https://klasma.github.io/Logging_2305/knärot/A 30112-2025 karta knärot.png", "A 30112-2025")</f>
        <v/>
      </c>
      <c r="V173">
        <f>HYPERLINK("https://klasma.github.io/Logging_2305/klagomål/A 30112-2025 FSC-klagomål.docx", "A 30112-2025")</f>
        <v/>
      </c>
      <c r="W173">
        <f>HYPERLINK("https://klasma.github.io/Logging_2305/klagomålsmail/A 30112-2025 FSC-klagomål mail.docx", "A 30112-2025")</f>
        <v/>
      </c>
      <c r="X173">
        <f>HYPERLINK("https://klasma.github.io/Logging_2305/tillsyn/A 30112-2025 tillsynsbegäran.docx", "A 30112-2025")</f>
        <v/>
      </c>
      <c r="Y173">
        <f>HYPERLINK("https://klasma.github.io/Logging_2305/tillsynsmail/A 30112-2025 tillsynsbegäran mail.docx", "A 30112-2025")</f>
        <v/>
      </c>
    </row>
    <row r="174" ht="15" customHeight="1">
      <c r="A174" t="inlineStr">
        <is>
          <t>A 50516-2023</t>
        </is>
      </c>
      <c r="B174" s="1" t="n">
        <v>45216</v>
      </c>
      <c r="C174" s="1" t="n">
        <v>45997</v>
      </c>
      <c r="D174" t="inlineStr">
        <is>
          <t>JÄMTLANDS LÄN</t>
        </is>
      </c>
      <c r="E174" t="inlineStr">
        <is>
          <t>BRÄCKE</t>
        </is>
      </c>
      <c r="F174" t="inlineStr">
        <is>
          <t>SCA</t>
        </is>
      </c>
      <c r="G174" t="n">
        <v>3.1</v>
      </c>
      <c r="H174" t="n">
        <v>3</v>
      </c>
      <c r="I174" t="n">
        <v>0</v>
      </c>
      <c r="J174" t="n">
        <v>2</v>
      </c>
      <c r="K174" t="n">
        <v>0</v>
      </c>
      <c r="L174" t="n">
        <v>0</v>
      </c>
      <c r="M174" t="n">
        <v>0</v>
      </c>
      <c r="N174" t="n">
        <v>0</v>
      </c>
      <c r="O174" t="n">
        <v>2</v>
      </c>
      <c r="P174" t="n">
        <v>0</v>
      </c>
      <c r="Q174" t="n">
        <v>3</v>
      </c>
      <c r="R174" s="2" t="inlineStr">
        <is>
          <t>Spillkråka
Talltita
Grönsiska</t>
        </is>
      </c>
      <c r="S174">
        <f>HYPERLINK("https://klasma.github.io/Logging_2305/artfynd/A 50516-2023 artfynd.xlsx", "A 50516-2023")</f>
        <v/>
      </c>
      <c r="T174">
        <f>HYPERLINK("https://klasma.github.io/Logging_2305/kartor/A 50516-2023 karta.png", "A 50516-2023")</f>
        <v/>
      </c>
      <c r="V174">
        <f>HYPERLINK("https://klasma.github.io/Logging_2305/klagomål/A 50516-2023 FSC-klagomål.docx", "A 50516-2023")</f>
        <v/>
      </c>
      <c r="W174">
        <f>HYPERLINK("https://klasma.github.io/Logging_2305/klagomålsmail/A 50516-2023 FSC-klagomål mail.docx", "A 50516-2023")</f>
        <v/>
      </c>
      <c r="X174">
        <f>HYPERLINK("https://klasma.github.io/Logging_2305/tillsyn/A 50516-2023 tillsynsbegäran.docx", "A 50516-2023")</f>
        <v/>
      </c>
      <c r="Y174">
        <f>HYPERLINK("https://klasma.github.io/Logging_2305/tillsynsmail/A 50516-2023 tillsynsbegäran mail.docx", "A 50516-2023")</f>
        <v/>
      </c>
      <c r="Z174">
        <f>HYPERLINK("https://klasma.github.io/Logging_2305/fåglar/A 50516-2023 prioriterade fågelarter.docx", "A 50516-2023")</f>
        <v/>
      </c>
    </row>
    <row r="175" ht="15" customHeight="1">
      <c r="A175" t="inlineStr">
        <is>
          <t>A 33678-2025</t>
        </is>
      </c>
      <c r="B175" s="1" t="n">
        <v>45841.67853009259</v>
      </c>
      <c r="C175" s="1" t="n">
        <v>45997</v>
      </c>
      <c r="D175" t="inlineStr">
        <is>
          <t>JÄMTLANDS LÄN</t>
        </is>
      </c>
      <c r="E175" t="inlineStr">
        <is>
          <t>BRÄCKE</t>
        </is>
      </c>
      <c r="F175" t="inlineStr">
        <is>
          <t>SCA</t>
        </is>
      </c>
      <c r="G175" t="n">
        <v>6.1</v>
      </c>
      <c r="H175" t="n">
        <v>0</v>
      </c>
      <c r="I175" t="n">
        <v>2</v>
      </c>
      <c r="J175" t="n">
        <v>1</v>
      </c>
      <c r="K175" t="n">
        <v>0</v>
      </c>
      <c r="L175" t="n">
        <v>0</v>
      </c>
      <c r="M175" t="n">
        <v>0</v>
      </c>
      <c r="N175" t="n">
        <v>0</v>
      </c>
      <c r="O175" t="n">
        <v>1</v>
      </c>
      <c r="P175" t="n">
        <v>0</v>
      </c>
      <c r="Q175" t="n">
        <v>3</v>
      </c>
      <c r="R175" s="2" t="inlineStr">
        <is>
          <t>Kolflarnlav
Dropptaggsvamp
Skarp dropptaggsvamp</t>
        </is>
      </c>
      <c r="S175">
        <f>HYPERLINK("https://klasma.github.io/Logging_2305/artfynd/A 33678-2025 artfynd.xlsx", "A 33678-2025")</f>
        <v/>
      </c>
      <c r="T175">
        <f>HYPERLINK("https://klasma.github.io/Logging_2305/kartor/A 33678-2025 karta.png", "A 33678-2025")</f>
        <v/>
      </c>
      <c r="V175">
        <f>HYPERLINK("https://klasma.github.io/Logging_2305/klagomål/A 33678-2025 FSC-klagomål.docx", "A 33678-2025")</f>
        <v/>
      </c>
      <c r="W175">
        <f>HYPERLINK("https://klasma.github.io/Logging_2305/klagomålsmail/A 33678-2025 FSC-klagomål mail.docx", "A 33678-2025")</f>
        <v/>
      </c>
      <c r="X175">
        <f>HYPERLINK("https://klasma.github.io/Logging_2305/tillsyn/A 33678-2025 tillsynsbegäran.docx", "A 33678-2025")</f>
        <v/>
      </c>
      <c r="Y175">
        <f>HYPERLINK("https://klasma.github.io/Logging_2305/tillsynsmail/A 33678-2025 tillsynsbegäran mail.docx", "A 33678-2025")</f>
        <v/>
      </c>
    </row>
    <row r="176" ht="15" customHeight="1">
      <c r="A176" t="inlineStr">
        <is>
          <t>A 26009-2024</t>
        </is>
      </c>
      <c r="B176" s="1" t="n">
        <v>45467</v>
      </c>
      <c r="C176" s="1" t="n">
        <v>45997</v>
      </c>
      <c r="D176" t="inlineStr">
        <is>
          <t>JÄMTLANDS LÄN</t>
        </is>
      </c>
      <c r="E176" t="inlineStr">
        <is>
          <t>BRÄCKE</t>
        </is>
      </c>
      <c r="F176" t="inlineStr">
        <is>
          <t>SCA</t>
        </is>
      </c>
      <c r="G176" t="n">
        <v>8.5</v>
      </c>
      <c r="H176" t="n">
        <v>2</v>
      </c>
      <c r="I176" t="n">
        <v>2</v>
      </c>
      <c r="J176" t="n">
        <v>1</v>
      </c>
      <c r="K176" t="n">
        <v>0</v>
      </c>
      <c r="L176" t="n">
        <v>0</v>
      </c>
      <c r="M176" t="n">
        <v>0</v>
      </c>
      <c r="N176" t="n">
        <v>0</v>
      </c>
      <c r="O176" t="n">
        <v>1</v>
      </c>
      <c r="P176" t="n">
        <v>0</v>
      </c>
      <c r="Q176" t="n">
        <v>3</v>
      </c>
      <c r="R176" s="2" t="inlineStr">
        <is>
          <t>Fjällvråk
Rödgul trumpetsvamp
Tvåblad</t>
        </is>
      </c>
      <c r="S176">
        <f>HYPERLINK("https://klasma.github.io/Logging_2305/artfynd/A 26009-2024 artfynd.xlsx", "A 26009-2024")</f>
        <v/>
      </c>
      <c r="T176">
        <f>HYPERLINK("https://klasma.github.io/Logging_2305/kartor/A 26009-2024 karta.png", "A 26009-2024")</f>
        <v/>
      </c>
      <c r="V176">
        <f>HYPERLINK("https://klasma.github.io/Logging_2305/klagomål/A 26009-2024 FSC-klagomål.docx", "A 26009-2024")</f>
        <v/>
      </c>
      <c r="W176">
        <f>HYPERLINK("https://klasma.github.io/Logging_2305/klagomålsmail/A 26009-2024 FSC-klagomål mail.docx", "A 26009-2024")</f>
        <v/>
      </c>
      <c r="X176">
        <f>HYPERLINK("https://klasma.github.io/Logging_2305/tillsyn/A 26009-2024 tillsynsbegäran.docx", "A 26009-2024")</f>
        <v/>
      </c>
      <c r="Y176">
        <f>HYPERLINK("https://klasma.github.io/Logging_2305/tillsynsmail/A 26009-2024 tillsynsbegäran mail.docx", "A 26009-2024")</f>
        <v/>
      </c>
      <c r="Z176">
        <f>HYPERLINK("https://klasma.github.io/Logging_2305/fåglar/A 26009-2024 prioriterade fågelarter.docx", "A 26009-2024")</f>
        <v/>
      </c>
    </row>
    <row r="177" ht="15" customHeight="1">
      <c r="A177" t="inlineStr">
        <is>
          <t>A 60610-2024</t>
        </is>
      </c>
      <c r="B177" s="1" t="n">
        <v>45644.38570601852</v>
      </c>
      <c r="C177" s="1" t="n">
        <v>45997</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30607-2022</t>
        </is>
      </c>
      <c r="B178" s="1" t="n">
        <v>44762</v>
      </c>
      <c r="C178" s="1" t="n">
        <v>45997</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45997</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45997</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45997</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42291-2022</t>
        </is>
      </c>
      <c r="B182" s="1" t="n">
        <v>44830</v>
      </c>
      <c r="C182" s="1" t="n">
        <v>45997</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25696-2021</t>
        </is>
      </c>
      <c r="B183" s="1" t="n">
        <v>44343</v>
      </c>
      <c r="C183" s="1" t="n">
        <v>45997</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19916-2025</t>
        </is>
      </c>
      <c r="B184" s="1" t="n">
        <v>45771.61515046296</v>
      </c>
      <c r="C184" s="1" t="n">
        <v>45997</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45997</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45997</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45997</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45997</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45997</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45997</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45997</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17992-2025</t>
        </is>
      </c>
      <c r="B192" s="1" t="n">
        <v>45761.40657407408</v>
      </c>
      <c r="C192" s="1" t="n">
        <v>45997</v>
      </c>
      <c r="D192" t="inlineStr">
        <is>
          <t>JÄMTLANDS LÄN</t>
        </is>
      </c>
      <c r="E192" t="inlineStr">
        <is>
          <t>BRÄCKE</t>
        </is>
      </c>
      <c r="F192" t="inlineStr">
        <is>
          <t>SCA</t>
        </is>
      </c>
      <c r="G192" t="n">
        <v>1.4</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17992-2025 artfynd.xlsx", "A 17992-2025")</f>
        <v/>
      </c>
      <c r="T192">
        <f>HYPERLINK("https://klasma.github.io/Logging_2305/kartor/A 17992-2025 karta.png", "A 17992-2025")</f>
        <v/>
      </c>
      <c r="V192">
        <f>HYPERLINK("https://klasma.github.io/Logging_2305/klagomål/A 17992-2025 FSC-klagomål.docx", "A 17992-2025")</f>
        <v/>
      </c>
      <c r="W192">
        <f>HYPERLINK("https://klasma.github.io/Logging_2305/klagomålsmail/A 17992-2025 FSC-klagomål mail.docx", "A 17992-2025")</f>
        <v/>
      </c>
      <c r="X192">
        <f>HYPERLINK("https://klasma.github.io/Logging_2305/tillsyn/A 17992-2025 tillsynsbegäran.docx", "A 17992-2025")</f>
        <v/>
      </c>
      <c r="Y192">
        <f>HYPERLINK("https://klasma.github.io/Logging_2305/tillsynsmail/A 17992-2025 tillsynsbegäran mail.docx", "A 17992-2025")</f>
        <v/>
      </c>
    </row>
    <row r="193" ht="15" customHeight="1">
      <c r="A193" t="inlineStr">
        <is>
          <t>A 59324-2021</t>
        </is>
      </c>
      <c r="B193" s="1" t="n">
        <v>44490</v>
      </c>
      <c r="C193" s="1" t="n">
        <v>45997</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17489-2025</t>
        </is>
      </c>
      <c r="B194" s="1" t="n">
        <v>45757.51074074074</v>
      </c>
      <c r="C194" s="1" t="n">
        <v>45997</v>
      </c>
      <c r="D194" t="inlineStr">
        <is>
          <t>JÄMTLANDS LÄN</t>
        </is>
      </c>
      <c r="E194" t="inlineStr">
        <is>
          <t>BRÄCKE</t>
        </is>
      </c>
      <c r="F194" t="inlineStr">
        <is>
          <t>SCA</t>
        </is>
      </c>
      <c r="G194" t="n">
        <v>4.6</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17489-2025 artfynd.xlsx", "A 17489-2025")</f>
        <v/>
      </c>
      <c r="T194">
        <f>HYPERLINK("https://klasma.github.io/Logging_2305/kartor/A 17489-2025 karta.png", "A 17489-2025")</f>
        <v/>
      </c>
      <c r="V194">
        <f>HYPERLINK("https://klasma.github.io/Logging_2305/klagomål/A 17489-2025 FSC-klagomål.docx", "A 17489-2025")</f>
        <v/>
      </c>
      <c r="W194">
        <f>HYPERLINK("https://klasma.github.io/Logging_2305/klagomålsmail/A 17489-2025 FSC-klagomål mail.docx", "A 17489-2025")</f>
        <v/>
      </c>
      <c r="X194">
        <f>HYPERLINK("https://klasma.github.io/Logging_2305/tillsyn/A 17489-2025 tillsynsbegäran.docx", "A 17489-2025")</f>
        <v/>
      </c>
      <c r="Y194">
        <f>HYPERLINK("https://klasma.github.io/Logging_2305/tillsynsmail/A 17489-2025 tillsynsbegäran mail.docx", "A 17489-2025")</f>
        <v/>
      </c>
    </row>
    <row r="195" ht="15" customHeight="1">
      <c r="A195" t="inlineStr">
        <is>
          <t>A 22382-2024</t>
        </is>
      </c>
      <c r="B195" s="1" t="n">
        <v>45446</v>
      </c>
      <c r="C195" s="1" t="n">
        <v>45997</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30988-2024</t>
        </is>
      </c>
      <c r="B196" s="1" t="n">
        <v>45499.54738425926</v>
      </c>
      <c r="C196" s="1" t="n">
        <v>45997</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45997</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3913-2022</t>
        </is>
      </c>
      <c r="B198" s="1" t="n">
        <v>44587</v>
      </c>
      <c r="C198" s="1" t="n">
        <v>45997</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50328-2022</t>
        </is>
      </c>
      <c r="B199" s="1" t="n">
        <v>44865</v>
      </c>
      <c r="C199" s="1" t="n">
        <v>45997</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48772-2024</t>
        </is>
      </c>
      <c r="B200" s="1" t="n">
        <v>45593.61495370371</v>
      </c>
      <c r="C200" s="1" t="n">
        <v>45997</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48772-2024 artfynd.xlsx", "A 48772-2024")</f>
        <v/>
      </c>
      <c r="T200">
        <f>HYPERLINK("https://klasma.github.io/Logging_2305/kartor/A 48772-2024 karta.png", "A 48772-2024")</f>
        <v/>
      </c>
      <c r="V200">
        <f>HYPERLINK("https://klasma.github.io/Logging_2305/klagomål/A 48772-2024 FSC-klagomål.docx", "A 48772-2024")</f>
        <v/>
      </c>
      <c r="W200">
        <f>HYPERLINK("https://klasma.github.io/Logging_2305/klagomålsmail/A 48772-2024 FSC-klagomål mail.docx", "A 48772-2024")</f>
        <v/>
      </c>
      <c r="X200">
        <f>HYPERLINK("https://klasma.github.io/Logging_2305/tillsyn/A 48772-2024 tillsynsbegäran.docx", "A 48772-2024")</f>
        <v/>
      </c>
      <c r="Y200">
        <f>HYPERLINK("https://klasma.github.io/Logging_2305/tillsynsmail/A 48772-2024 tillsynsbegäran mail.docx", "A 48772-2024")</f>
        <v/>
      </c>
    </row>
    <row r="201" ht="15" customHeight="1">
      <c r="A201" t="inlineStr">
        <is>
          <t>A 3029-2023</t>
        </is>
      </c>
      <c r="B201" s="1" t="n">
        <v>44945</v>
      </c>
      <c r="C201" s="1" t="n">
        <v>45997</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2464-2025</t>
        </is>
      </c>
      <c r="B202" s="1" t="n">
        <v>45674.4693287037</v>
      </c>
      <c r="C202" s="1" t="n">
        <v>45997</v>
      </c>
      <c r="D202" t="inlineStr">
        <is>
          <t>JÄMTLANDS LÄN</t>
        </is>
      </c>
      <c r="E202" t="inlineStr">
        <is>
          <t>BRÄCKE</t>
        </is>
      </c>
      <c r="F202" t="inlineStr">
        <is>
          <t>SCA</t>
        </is>
      </c>
      <c r="G202" t="n">
        <v>4.4</v>
      </c>
      <c r="H202" t="n">
        <v>1</v>
      </c>
      <c r="I202" t="n">
        <v>0</v>
      </c>
      <c r="J202" t="n">
        <v>2</v>
      </c>
      <c r="K202" t="n">
        <v>0</v>
      </c>
      <c r="L202" t="n">
        <v>0</v>
      </c>
      <c r="M202" t="n">
        <v>0</v>
      </c>
      <c r="N202" t="n">
        <v>0</v>
      </c>
      <c r="O202" t="n">
        <v>2</v>
      </c>
      <c r="P202" t="n">
        <v>0</v>
      </c>
      <c r="Q202" t="n">
        <v>2</v>
      </c>
      <c r="R202" s="2" t="inlineStr">
        <is>
          <t>Lunglav
Tretåig hackspett</t>
        </is>
      </c>
      <c r="S202">
        <f>HYPERLINK("https://klasma.github.io/Logging_2305/artfynd/A 2464-2025 artfynd.xlsx", "A 2464-2025")</f>
        <v/>
      </c>
      <c r="T202">
        <f>HYPERLINK("https://klasma.github.io/Logging_2305/kartor/A 2464-2025 karta.png", "A 2464-2025")</f>
        <v/>
      </c>
      <c r="V202">
        <f>HYPERLINK("https://klasma.github.io/Logging_2305/klagomål/A 2464-2025 FSC-klagomål.docx", "A 2464-2025")</f>
        <v/>
      </c>
      <c r="W202">
        <f>HYPERLINK("https://klasma.github.io/Logging_2305/klagomålsmail/A 2464-2025 FSC-klagomål mail.docx", "A 2464-2025")</f>
        <v/>
      </c>
      <c r="X202">
        <f>HYPERLINK("https://klasma.github.io/Logging_2305/tillsyn/A 2464-2025 tillsynsbegäran.docx", "A 2464-2025")</f>
        <v/>
      </c>
      <c r="Y202">
        <f>HYPERLINK("https://klasma.github.io/Logging_2305/tillsynsmail/A 2464-2025 tillsynsbegäran mail.docx", "A 2464-2025")</f>
        <v/>
      </c>
      <c r="Z202">
        <f>HYPERLINK("https://klasma.github.io/Logging_2305/fåglar/A 2464-2025 prioriterade fågelarter.docx", "A 2464-2025")</f>
        <v/>
      </c>
    </row>
    <row r="203" ht="15" customHeight="1">
      <c r="A203" t="inlineStr">
        <is>
          <t>A 40818-2024</t>
        </is>
      </c>
      <c r="B203" s="1" t="n">
        <v>45558.55251157407</v>
      </c>
      <c r="C203" s="1" t="n">
        <v>45997</v>
      </c>
      <c r="D203" t="inlineStr">
        <is>
          <t>JÄMTLANDS LÄN</t>
        </is>
      </c>
      <c r="E203" t="inlineStr">
        <is>
          <t>BRÄCKE</t>
        </is>
      </c>
      <c r="G203" t="n">
        <v>2.7</v>
      </c>
      <c r="H203" t="n">
        <v>0</v>
      </c>
      <c r="I203" t="n">
        <v>0</v>
      </c>
      <c r="J203" t="n">
        <v>2</v>
      </c>
      <c r="K203" t="n">
        <v>0</v>
      </c>
      <c r="L203" t="n">
        <v>0</v>
      </c>
      <c r="M203" t="n">
        <v>0</v>
      </c>
      <c r="N203" t="n">
        <v>0</v>
      </c>
      <c r="O203" t="n">
        <v>2</v>
      </c>
      <c r="P203" t="n">
        <v>0</v>
      </c>
      <c r="Q203" t="n">
        <v>2</v>
      </c>
      <c r="R203" s="2" t="inlineStr">
        <is>
          <t>Skrovlig taggsvamp
Svart taggsvamp</t>
        </is>
      </c>
      <c r="S203">
        <f>HYPERLINK("https://klasma.github.io/Logging_2305/artfynd/A 40818-2024 artfynd.xlsx", "A 40818-2024")</f>
        <v/>
      </c>
      <c r="T203">
        <f>HYPERLINK("https://klasma.github.io/Logging_2305/kartor/A 40818-2024 karta.png", "A 40818-2024")</f>
        <v/>
      </c>
      <c r="V203">
        <f>HYPERLINK("https://klasma.github.io/Logging_2305/klagomål/A 40818-2024 FSC-klagomål.docx", "A 40818-2024")</f>
        <v/>
      </c>
      <c r="W203">
        <f>HYPERLINK("https://klasma.github.io/Logging_2305/klagomålsmail/A 40818-2024 FSC-klagomål mail.docx", "A 40818-2024")</f>
        <v/>
      </c>
      <c r="X203">
        <f>HYPERLINK("https://klasma.github.io/Logging_2305/tillsyn/A 40818-2024 tillsynsbegäran.docx", "A 40818-2024")</f>
        <v/>
      </c>
      <c r="Y203">
        <f>HYPERLINK("https://klasma.github.io/Logging_2305/tillsynsmail/A 40818-2024 tillsynsbegäran mail.docx", "A 40818-2024")</f>
        <v/>
      </c>
    </row>
    <row r="204" ht="15" customHeight="1">
      <c r="A204" t="inlineStr">
        <is>
          <t>A 2467-2025</t>
        </is>
      </c>
      <c r="B204" s="1" t="n">
        <v>45674.46979166667</v>
      </c>
      <c r="C204" s="1" t="n">
        <v>45997</v>
      </c>
      <c r="D204" t="inlineStr">
        <is>
          <t>JÄMTLANDS LÄN</t>
        </is>
      </c>
      <c r="E204" t="inlineStr">
        <is>
          <t>BRÄCKE</t>
        </is>
      </c>
      <c r="F204" t="inlineStr">
        <is>
          <t>SCA</t>
        </is>
      </c>
      <c r="G204" t="n">
        <v>5.6</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2467-2025 artfynd.xlsx", "A 2467-2025")</f>
        <v/>
      </c>
      <c r="T204">
        <f>HYPERLINK("https://klasma.github.io/Logging_2305/kartor/A 2467-2025 karta.png", "A 2467-2025")</f>
        <v/>
      </c>
      <c r="V204">
        <f>HYPERLINK("https://klasma.github.io/Logging_2305/klagomål/A 2467-2025 FSC-klagomål.docx", "A 2467-2025")</f>
        <v/>
      </c>
      <c r="W204">
        <f>HYPERLINK("https://klasma.github.io/Logging_2305/klagomålsmail/A 2467-2025 FSC-klagomål mail.docx", "A 2467-2025")</f>
        <v/>
      </c>
      <c r="X204">
        <f>HYPERLINK("https://klasma.github.io/Logging_2305/tillsyn/A 2467-2025 tillsynsbegäran.docx", "A 2467-2025")</f>
        <v/>
      </c>
      <c r="Y204">
        <f>HYPERLINK("https://klasma.github.io/Logging_2305/tillsynsmail/A 2467-2025 tillsynsbegäran mail.docx", "A 2467-2025")</f>
        <v/>
      </c>
      <c r="Z204">
        <f>HYPERLINK("https://klasma.github.io/Logging_2305/fåglar/A 2467-2025 prioriterade fågelarter.docx", "A 2467-2025")</f>
        <v/>
      </c>
    </row>
    <row r="205" ht="15" customHeight="1">
      <c r="A205" t="inlineStr">
        <is>
          <t>A 40401-2023</t>
        </is>
      </c>
      <c r="B205" s="1" t="n">
        <v>45169</v>
      </c>
      <c r="C205" s="1" t="n">
        <v>45997</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21408-2025</t>
        </is>
      </c>
      <c r="B206" s="1" t="n">
        <v>45782.4906712963</v>
      </c>
      <c r="C206" s="1" t="n">
        <v>45997</v>
      </c>
      <c r="D206" t="inlineStr">
        <is>
          <t>JÄMTLANDS LÄN</t>
        </is>
      </c>
      <c r="E206" t="inlineStr">
        <is>
          <t>BRÄCKE</t>
        </is>
      </c>
      <c r="F206" t="inlineStr">
        <is>
          <t>SCA</t>
        </is>
      </c>
      <c r="G206" t="n">
        <v>1.2</v>
      </c>
      <c r="H206" t="n">
        <v>1</v>
      </c>
      <c r="I206" t="n">
        <v>1</v>
      </c>
      <c r="J206" t="n">
        <v>0</v>
      </c>
      <c r="K206" t="n">
        <v>0</v>
      </c>
      <c r="L206" t="n">
        <v>0</v>
      </c>
      <c r="M206" t="n">
        <v>0</v>
      </c>
      <c r="N206" t="n">
        <v>0</v>
      </c>
      <c r="O206" t="n">
        <v>0</v>
      </c>
      <c r="P206" t="n">
        <v>0</v>
      </c>
      <c r="Q206" t="n">
        <v>2</v>
      </c>
      <c r="R206" s="2" t="inlineStr">
        <is>
          <t>Underviol
Blåsippa</t>
        </is>
      </c>
      <c r="S206">
        <f>HYPERLINK("https://klasma.github.io/Logging_2305/artfynd/A 21408-2025 artfynd.xlsx", "A 21408-2025")</f>
        <v/>
      </c>
      <c r="T206">
        <f>HYPERLINK("https://klasma.github.io/Logging_2305/kartor/A 21408-2025 karta.png", "A 21408-2025")</f>
        <v/>
      </c>
      <c r="V206">
        <f>HYPERLINK("https://klasma.github.io/Logging_2305/klagomål/A 21408-2025 FSC-klagomål.docx", "A 21408-2025")</f>
        <v/>
      </c>
      <c r="W206">
        <f>HYPERLINK("https://klasma.github.io/Logging_2305/klagomålsmail/A 21408-2025 FSC-klagomål mail.docx", "A 21408-2025")</f>
        <v/>
      </c>
      <c r="X206">
        <f>HYPERLINK("https://klasma.github.io/Logging_2305/tillsyn/A 21408-2025 tillsynsbegäran.docx", "A 21408-2025")</f>
        <v/>
      </c>
      <c r="Y206">
        <f>HYPERLINK("https://klasma.github.io/Logging_2305/tillsynsmail/A 21408-2025 tillsynsbegäran mail.docx", "A 21408-2025")</f>
        <v/>
      </c>
    </row>
    <row r="207" ht="15" customHeight="1">
      <c r="A207" t="inlineStr">
        <is>
          <t>A 8248-2024</t>
        </is>
      </c>
      <c r="B207" s="1" t="n">
        <v>45351</v>
      </c>
      <c r="C207" s="1" t="n">
        <v>45997</v>
      </c>
      <c r="D207" t="inlineStr">
        <is>
          <t>JÄMTLANDS LÄN</t>
        </is>
      </c>
      <c r="E207" t="inlineStr">
        <is>
          <t>BRÄCKE</t>
        </is>
      </c>
      <c r="F207" t="inlineStr">
        <is>
          <t>SCA</t>
        </is>
      </c>
      <c r="G207" t="n">
        <v>1.8</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8248-2024 artfynd.xlsx", "A 8248-2024")</f>
        <v/>
      </c>
      <c r="T207">
        <f>HYPERLINK("https://klasma.github.io/Logging_2305/kartor/A 8248-2024 karta.png", "A 8248-2024")</f>
        <v/>
      </c>
      <c r="V207">
        <f>HYPERLINK("https://klasma.github.io/Logging_2305/klagomål/A 8248-2024 FSC-klagomål.docx", "A 8248-2024")</f>
        <v/>
      </c>
      <c r="W207">
        <f>HYPERLINK("https://klasma.github.io/Logging_2305/klagomålsmail/A 8248-2024 FSC-klagomål mail.docx", "A 8248-2024")</f>
        <v/>
      </c>
      <c r="X207">
        <f>HYPERLINK("https://klasma.github.io/Logging_2305/tillsyn/A 8248-2024 tillsynsbegäran.docx", "A 8248-2024")</f>
        <v/>
      </c>
      <c r="Y207">
        <f>HYPERLINK("https://klasma.github.io/Logging_2305/tillsynsmail/A 8248-2024 tillsynsbegäran mail.docx", "A 8248-2024")</f>
        <v/>
      </c>
    </row>
    <row r="208" ht="15" customHeight="1">
      <c r="A208" t="inlineStr">
        <is>
          <t>A 50497-2023</t>
        </is>
      </c>
      <c r="B208" s="1" t="n">
        <v>45216</v>
      </c>
      <c r="C208" s="1" t="n">
        <v>45997</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45997</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45231</v>
      </c>
      <c r="C210" s="1" t="n">
        <v>45997</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10105-2025</t>
        </is>
      </c>
      <c r="B211" s="1" t="n">
        <v>45719.58310185185</v>
      </c>
      <c r="C211" s="1" t="n">
        <v>45997</v>
      </c>
      <c r="D211" t="inlineStr">
        <is>
          <t>JÄMTLANDS LÄN</t>
        </is>
      </c>
      <c r="E211" t="inlineStr">
        <is>
          <t>BRÄCKE</t>
        </is>
      </c>
      <c r="G211" t="n">
        <v>0.6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10105-2025 artfynd.xlsx", "A 10105-2025")</f>
        <v/>
      </c>
      <c r="T211">
        <f>HYPERLINK("https://klasma.github.io/Logging_2305/kartor/A 10105-2025 karta.png", "A 10105-2025")</f>
        <v/>
      </c>
      <c r="V211">
        <f>HYPERLINK("https://klasma.github.io/Logging_2305/klagomål/A 10105-2025 FSC-klagomål.docx", "A 10105-2025")</f>
        <v/>
      </c>
      <c r="W211">
        <f>HYPERLINK("https://klasma.github.io/Logging_2305/klagomålsmail/A 10105-2025 FSC-klagomål mail.docx", "A 10105-2025")</f>
        <v/>
      </c>
      <c r="X211">
        <f>HYPERLINK("https://klasma.github.io/Logging_2305/tillsyn/A 10105-2025 tillsynsbegäran.docx", "A 10105-2025")</f>
        <v/>
      </c>
      <c r="Y211">
        <f>HYPERLINK("https://klasma.github.io/Logging_2305/tillsynsmail/A 10105-2025 tillsynsbegäran mail.docx", "A 10105-2025")</f>
        <v/>
      </c>
    </row>
    <row r="212" ht="15" customHeight="1">
      <c r="A212" t="inlineStr">
        <is>
          <t>A 47498-2023</t>
        </is>
      </c>
      <c r="B212" s="1" t="n">
        <v>45202</v>
      </c>
      <c r="C212" s="1" t="n">
        <v>45997</v>
      </c>
      <c r="D212" t="inlineStr">
        <is>
          <t>JÄMTLANDS LÄN</t>
        </is>
      </c>
      <c r="E212" t="inlineStr">
        <is>
          <t>BRÄCKE</t>
        </is>
      </c>
      <c r="F212" t="inlineStr">
        <is>
          <t>SCA</t>
        </is>
      </c>
      <c r="G212" t="n">
        <v>6.1</v>
      </c>
      <c r="H212" t="n">
        <v>1</v>
      </c>
      <c r="I212" t="n">
        <v>1</v>
      </c>
      <c r="J212" t="n">
        <v>0</v>
      </c>
      <c r="K212" t="n">
        <v>1</v>
      </c>
      <c r="L212" t="n">
        <v>0</v>
      </c>
      <c r="M212" t="n">
        <v>0</v>
      </c>
      <c r="N212" t="n">
        <v>0</v>
      </c>
      <c r="O212" t="n">
        <v>1</v>
      </c>
      <c r="P212" t="n">
        <v>1</v>
      </c>
      <c r="Q212" t="n">
        <v>2</v>
      </c>
      <c r="R212" s="2" t="inlineStr">
        <is>
          <t>Bandnate
Guckusko</t>
        </is>
      </c>
      <c r="S212">
        <f>HYPERLINK("https://klasma.github.io/Logging_2305/artfynd/A 47498-2023 artfynd.xlsx", "A 47498-2023")</f>
        <v/>
      </c>
      <c r="T212">
        <f>HYPERLINK("https://klasma.github.io/Logging_2305/kartor/A 47498-2023 karta.png", "A 47498-2023")</f>
        <v/>
      </c>
      <c r="V212">
        <f>HYPERLINK("https://klasma.github.io/Logging_2305/klagomål/A 47498-2023 FSC-klagomål.docx", "A 47498-2023")</f>
        <v/>
      </c>
      <c r="W212">
        <f>HYPERLINK("https://klasma.github.io/Logging_2305/klagomålsmail/A 47498-2023 FSC-klagomål mail.docx", "A 47498-2023")</f>
        <v/>
      </c>
      <c r="X212">
        <f>HYPERLINK("https://klasma.github.io/Logging_2305/tillsyn/A 47498-2023 tillsynsbegäran.docx", "A 47498-2023")</f>
        <v/>
      </c>
      <c r="Y212">
        <f>HYPERLINK("https://klasma.github.io/Logging_2305/tillsynsmail/A 47498-2023 tillsynsbegäran mail.docx", "A 47498-2023")</f>
        <v/>
      </c>
    </row>
    <row r="213" ht="15" customHeight="1">
      <c r="A213" t="inlineStr">
        <is>
          <t>A 5858-2025</t>
        </is>
      </c>
      <c r="B213" s="1" t="n">
        <v>45695.34447916667</v>
      </c>
      <c r="C213" s="1" t="n">
        <v>45997</v>
      </c>
      <c r="D213" t="inlineStr">
        <is>
          <t>JÄMTLANDS LÄN</t>
        </is>
      </c>
      <c r="E213" t="inlineStr">
        <is>
          <t>BRÄCKE</t>
        </is>
      </c>
      <c r="G213" t="n">
        <v>2.7</v>
      </c>
      <c r="H213" t="n">
        <v>1</v>
      </c>
      <c r="I213" t="n">
        <v>0</v>
      </c>
      <c r="J213" t="n">
        <v>0</v>
      </c>
      <c r="K213" t="n">
        <v>0</v>
      </c>
      <c r="L213" t="n">
        <v>2</v>
      </c>
      <c r="M213" t="n">
        <v>0</v>
      </c>
      <c r="N213" t="n">
        <v>0</v>
      </c>
      <c r="O213" t="n">
        <v>2</v>
      </c>
      <c r="P213" t="n">
        <v>2</v>
      </c>
      <c r="Q213" t="n">
        <v>2</v>
      </c>
      <c r="R213" s="2" t="inlineStr">
        <is>
          <t>Bredgentiana
Fältgentiana</t>
        </is>
      </c>
      <c r="S213">
        <f>HYPERLINK("https://klasma.github.io/Logging_2305/artfynd/A 5858-2025 artfynd.xlsx", "A 5858-2025")</f>
        <v/>
      </c>
      <c r="T213">
        <f>HYPERLINK("https://klasma.github.io/Logging_2305/kartor/A 5858-2025 karta.png", "A 5858-2025")</f>
        <v/>
      </c>
      <c r="V213">
        <f>HYPERLINK("https://klasma.github.io/Logging_2305/klagomål/A 5858-2025 FSC-klagomål.docx", "A 5858-2025")</f>
        <v/>
      </c>
      <c r="W213">
        <f>HYPERLINK("https://klasma.github.io/Logging_2305/klagomålsmail/A 5858-2025 FSC-klagomål mail.docx", "A 5858-2025")</f>
        <v/>
      </c>
      <c r="X213">
        <f>HYPERLINK("https://klasma.github.io/Logging_2305/tillsyn/A 5858-2025 tillsynsbegäran.docx", "A 5858-2025")</f>
        <v/>
      </c>
      <c r="Y213">
        <f>HYPERLINK("https://klasma.github.io/Logging_2305/tillsynsmail/A 5858-2025 tillsynsbegäran mail.docx", "A 5858-2025")</f>
        <v/>
      </c>
    </row>
    <row r="214" ht="15" customHeight="1">
      <c r="A214" t="inlineStr">
        <is>
          <t>A 6903-2024</t>
        </is>
      </c>
      <c r="B214" s="1" t="n">
        <v>45342</v>
      </c>
      <c r="C214" s="1" t="n">
        <v>45997</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45997</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41178-2025</t>
        </is>
      </c>
      <c r="B216" s="1" t="n">
        <v>45898.55261574074</v>
      </c>
      <c r="C216" s="1" t="n">
        <v>45997</v>
      </c>
      <c r="D216" t="inlineStr">
        <is>
          <t>JÄMTLANDS LÄN</t>
        </is>
      </c>
      <c r="E216" t="inlineStr">
        <is>
          <t>BRÄCKE</t>
        </is>
      </c>
      <c r="F216" t="inlineStr">
        <is>
          <t>SCA</t>
        </is>
      </c>
      <c r="G216" t="n">
        <v>3.3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41178-2025 artfynd.xlsx", "A 41178-2025")</f>
        <v/>
      </c>
      <c r="T216">
        <f>HYPERLINK("https://klasma.github.io/Logging_2305/kartor/A 41178-2025 karta.png", "A 41178-2025")</f>
        <v/>
      </c>
      <c r="V216">
        <f>HYPERLINK("https://klasma.github.io/Logging_2305/klagomål/A 41178-2025 FSC-klagomål.docx", "A 41178-2025")</f>
        <v/>
      </c>
      <c r="W216">
        <f>HYPERLINK("https://klasma.github.io/Logging_2305/klagomålsmail/A 41178-2025 FSC-klagomål mail.docx", "A 41178-2025")</f>
        <v/>
      </c>
      <c r="X216">
        <f>HYPERLINK("https://klasma.github.io/Logging_2305/tillsyn/A 41178-2025 tillsynsbegäran.docx", "A 41178-2025")</f>
        <v/>
      </c>
      <c r="Y216">
        <f>HYPERLINK("https://klasma.github.io/Logging_2305/tillsynsmail/A 41178-2025 tillsynsbegäran mail.docx", "A 41178-2025")</f>
        <v/>
      </c>
    </row>
    <row r="217" ht="15" customHeight="1">
      <c r="A217" t="inlineStr">
        <is>
          <t>A 22706-2025</t>
        </is>
      </c>
      <c r="B217" s="1" t="n">
        <v>45789.55290509259</v>
      </c>
      <c r="C217" s="1" t="n">
        <v>45997</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Kolflarnlav
Stiftgelélav</t>
        </is>
      </c>
      <c r="S217">
        <f>HYPERLINK("https://klasma.github.io/Logging_2305/artfynd/A 22706-2025 artfynd.xlsx", "A 22706-2025")</f>
        <v/>
      </c>
      <c r="T217">
        <f>HYPERLINK("https://klasma.github.io/Logging_2305/kartor/A 22706-2025 karta.png", "A 22706-2025")</f>
        <v/>
      </c>
      <c r="V217">
        <f>HYPERLINK("https://klasma.github.io/Logging_2305/klagomål/A 22706-2025 FSC-klagomål.docx", "A 22706-2025")</f>
        <v/>
      </c>
      <c r="W217">
        <f>HYPERLINK("https://klasma.github.io/Logging_2305/klagomålsmail/A 22706-2025 FSC-klagomål mail.docx", "A 22706-2025")</f>
        <v/>
      </c>
      <c r="X217">
        <f>HYPERLINK("https://klasma.github.io/Logging_2305/tillsyn/A 22706-2025 tillsynsbegäran.docx", "A 22706-2025")</f>
        <v/>
      </c>
      <c r="Y217">
        <f>HYPERLINK("https://klasma.github.io/Logging_2305/tillsynsmail/A 22706-2025 tillsynsbegäran mail.docx", "A 22706-2025")</f>
        <v/>
      </c>
    </row>
    <row r="218" ht="15" customHeight="1">
      <c r="A218" t="inlineStr">
        <is>
          <t>A 42807-2025</t>
        </is>
      </c>
      <c r="B218" s="1" t="n">
        <v>45908.55247685185</v>
      </c>
      <c r="C218" s="1" t="n">
        <v>45997</v>
      </c>
      <c r="D218" t="inlineStr">
        <is>
          <t>JÄMTLANDS LÄN</t>
        </is>
      </c>
      <c r="E218" t="inlineStr">
        <is>
          <t>BRÄCKE</t>
        </is>
      </c>
      <c r="F218" t="inlineStr">
        <is>
          <t>SCA</t>
        </is>
      </c>
      <c r="G218" t="n">
        <v>2.5</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42807-2025 artfynd.xlsx", "A 42807-2025")</f>
        <v/>
      </c>
      <c r="T218">
        <f>HYPERLINK("https://klasma.github.io/Logging_2305/kartor/A 42807-2025 karta.png", "A 42807-2025")</f>
        <v/>
      </c>
      <c r="V218">
        <f>HYPERLINK("https://klasma.github.io/Logging_2305/klagomål/A 42807-2025 FSC-klagomål.docx", "A 42807-2025")</f>
        <v/>
      </c>
      <c r="W218">
        <f>HYPERLINK("https://klasma.github.io/Logging_2305/klagomålsmail/A 42807-2025 FSC-klagomål mail.docx", "A 42807-2025")</f>
        <v/>
      </c>
      <c r="X218">
        <f>HYPERLINK("https://klasma.github.io/Logging_2305/tillsyn/A 42807-2025 tillsynsbegäran.docx", "A 42807-2025")</f>
        <v/>
      </c>
      <c r="Y218">
        <f>HYPERLINK("https://klasma.github.io/Logging_2305/tillsynsmail/A 42807-2025 tillsynsbegäran mail.docx", "A 42807-2025")</f>
        <v/>
      </c>
    </row>
    <row r="219" ht="15" customHeight="1">
      <c r="A219" t="inlineStr">
        <is>
          <t>A 43178-2025</t>
        </is>
      </c>
      <c r="B219" s="1" t="n">
        <v>45910.40681712963</v>
      </c>
      <c r="C219" s="1" t="n">
        <v>45997</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24747-2025</t>
        </is>
      </c>
      <c r="B220" s="1" t="n">
        <v>45799.34675925926</v>
      </c>
      <c r="C220" s="1" t="n">
        <v>45997</v>
      </c>
      <c r="D220" t="inlineStr">
        <is>
          <t>JÄMTLANDS LÄN</t>
        </is>
      </c>
      <c r="E220" t="inlineStr">
        <is>
          <t>BRÄCKE</t>
        </is>
      </c>
      <c r="F220" t="inlineStr">
        <is>
          <t>SCA</t>
        </is>
      </c>
      <c r="G220" t="n">
        <v>6.9</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24747-2025 artfynd.xlsx", "A 24747-2025")</f>
        <v/>
      </c>
      <c r="T220">
        <f>HYPERLINK("https://klasma.github.io/Logging_2305/kartor/A 24747-2025 karta.png", "A 24747-2025")</f>
        <v/>
      </c>
      <c r="V220">
        <f>HYPERLINK("https://klasma.github.io/Logging_2305/klagomål/A 24747-2025 FSC-klagomål.docx", "A 24747-2025")</f>
        <v/>
      </c>
      <c r="W220">
        <f>HYPERLINK("https://klasma.github.io/Logging_2305/klagomålsmail/A 24747-2025 FSC-klagomål mail.docx", "A 24747-2025")</f>
        <v/>
      </c>
      <c r="X220">
        <f>HYPERLINK("https://klasma.github.io/Logging_2305/tillsyn/A 24747-2025 tillsynsbegäran.docx", "A 24747-2025")</f>
        <v/>
      </c>
      <c r="Y220">
        <f>HYPERLINK("https://klasma.github.io/Logging_2305/tillsynsmail/A 24747-2025 tillsynsbegäran mail.docx", "A 24747-2025")</f>
        <v/>
      </c>
    </row>
    <row r="221" ht="15" customHeight="1">
      <c r="A221" t="inlineStr">
        <is>
          <t>A 26178-2025</t>
        </is>
      </c>
      <c r="B221" s="1" t="n">
        <v>45805.46917824074</v>
      </c>
      <c r="C221" s="1" t="n">
        <v>45997</v>
      </c>
      <c r="D221" t="inlineStr">
        <is>
          <t>JÄMTLANDS LÄN</t>
        </is>
      </c>
      <c r="E221" t="inlineStr">
        <is>
          <t>BRÄCKE</t>
        </is>
      </c>
      <c r="G221" t="n">
        <v>6.9</v>
      </c>
      <c r="H221" t="n">
        <v>1</v>
      </c>
      <c r="I221" t="n">
        <v>1</v>
      </c>
      <c r="J221" t="n">
        <v>0</v>
      </c>
      <c r="K221" t="n">
        <v>0</v>
      </c>
      <c r="L221" t="n">
        <v>0</v>
      </c>
      <c r="M221" t="n">
        <v>0</v>
      </c>
      <c r="N221" t="n">
        <v>0</v>
      </c>
      <c r="O221" t="n">
        <v>0</v>
      </c>
      <c r="P221" t="n">
        <v>0</v>
      </c>
      <c r="Q221" t="n">
        <v>2</v>
      </c>
      <c r="R221" s="2" t="inlineStr">
        <is>
          <t>Vårärt
Blåsippa</t>
        </is>
      </c>
      <c r="S221">
        <f>HYPERLINK("https://klasma.github.io/Logging_2305/artfynd/A 26178-2025 artfynd.xlsx", "A 26178-2025")</f>
        <v/>
      </c>
      <c r="T221">
        <f>HYPERLINK("https://klasma.github.io/Logging_2305/kartor/A 26178-2025 karta.png", "A 26178-2025")</f>
        <v/>
      </c>
      <c r="V221">
        <f>HYPERLINK("https://klasma.github.io/Logging_2305/klagomål/A 26178-2025 FSC-klagomål.docx", "A 26178-2025")</f>
        <v/>
      </c>
      <c r="W221">
        <f>HYPERLINK("https://klasma.github.io/Logging_2305/klagomålsmail/A 26178-2025 FSC-klagomål mail.docx", "A 26178-2025")</f>
        <v/>
      </c>
      <c r="X221">
        <f>HYPERLINK("https://klasma.github.io/Logging_2305/tillsyn/A 26178-2025 tillsynsbegäran.docx", "A 26178-2025")</f>
        <v/>
      </c>
      <c r="Y221">
        <f>HYPERLINK("https://klasma.github.io/Logging_2305/tillsynsmail/A 26178-2025 tillsynsbegäran mail.docx", "A 26178-2025")</f>
        <v/>
      </c>
    </row>
    <row r="222" ht="15" customHeight="1">
      <c r="A222" t="inlineStr">
        <is>
          <t>A 27062-2025</t>
        </is>
      </c>
      <c r="B222" s="1" t="n">
        <v>45811.63614583333</v>
      </c>
      <c r="C222" s="1" t="n">
        <v>45997</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35216-2025</t>
        </is>
      </c>
      <c r="B223" s="1" t="n">
        <v>45853.49005787037</v>
      </c>
      <c r="C223" s="1" t="n">
        <v>45997</v>
      </c>
      <c r="D223" t="inlineStr">
        <is>
          <t>JÄMTLANDS LÄN</t>
        </is>
      </c>
      <c r="E223" t="inlineStr">
        <is>
          <t>BRÄCKE</t>
        </is>
      </c>
      <c r="F223" t="inlineStr">
        <is>
          <t>SCA</t>
        </is>
      </c>
      <c r="G223" t="n">
        <v>1.5</v>
      </c>
      <c r="H223" t="n">
        <v>2</v>
      </c>
      <c r="I223" t="n">
        <v>0</v>
      </c>
      <c r="J223" t="n">
        <v>1</v>
      </c>
      <c r="K223" t="n">
        <v>1</v>
      </c>
      <c r="L223" t="n">
        <v>0</v>
      </c>
      <c r="M223" t="n">
        <v>0</v>
      </c>
      <c r="N223" t="n">
        <v>0</v>
      </c>
      <c r="O223" t="n">
        <v>2</v>
      </c>
      <c r="P223" t="n">
        <v>1</v>
      </c>
      <c r="Q223" t="n">
        <v>2</v>
      </c>
      <c r="R223" s="2" t="inlineStr">
        <is>
          <t>Knärot
Talltita</t>
        </is>
      </c>
      <c r="S223">
        <f>HYPERLINK("https://klasma.github.io/Logging_2305/artfynd/A 35216-2025 artfynd.xlsx", "A 35216-2025")</f>
        <v/>
      </c>
      <c r="T223">
        <f>HYPERLINK("https://klasma.github.io/Logging_2305/kartor/A 35216-2025 karta.png", "A 35216-2025")</f>
        <v/>
      </c>
      <c r="U223">
        <f>HYPERLINK("https://klasma.github.io/Logging_2305/knärot/A 35216-2025 karta knärot.png", "A 35216-2025")</f>
        <v/>
      </c>
      <c r="V223">
        <f>HYPERLINK("https://klasma.github.io/Logging_2305/klagomål/A 35216-2025 FSC-klagomål.docx", "A 35216-2025")</f>
        <v/>
      </c>
      <c r="W223">
        <f>HYPERLINK("https://klasma.github.io/Logging_2305/klagomålsmail/A 35216-2025 FSC-klagomål mail.docx", "A 35216-2025")</f>
        <v/>
      </c>
      <c r="X223">
        <f>HYPERLINK("https://klasma.github.io/Logging_2305/tillsyn/A 35216-2025 tillsynsbegäran.docx", "A 35216-2025")</f>
        <v/>
      </c>
      <c r="Y223">
        <f>HYPERLINK("https://klasma.github.io/Logging_2305/tillsynsmail/A 35216-2025 tillsynsbegäran mail.docx", "A 35216-2025")</f>
        <v/>
      </c>
      <c r="Z223">
        <f>HYPERLINK("https://klasma.github.io/Logging_2305/fåglar/A 35216-2025 prioriterade fågelarter.docx", "A 35216-2025")</f>
        <v/>
      </c>
    </row>
    <row r="224" ht="15" customHeight="1">
      <c r="A224" t="inlineStr">
        <is>
          <t>A 27279-2025</t>
        </is>
      </c>
      <c r="B224" s="1" t="n">
        <v>45812.53172453704</v>
      </c>
      <c r="C224" s="1" t="n">
        <v>45997</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45795-2025</t>
        </is>
      </c>
      <c r="B225" s="1" t="n">
        <v>45923.57403935185</v>
      </c>
      <c r="C225" s="1" t="n">
        <v>45997</v>
      </c>
      <c r="D225" t="inlineStr">
        <is>
          <t>JÄMTLANDS LÄN</t>
        </is>
      </c>
      <c r="E225" t="inlineStr">
        <is>
          <t>BRÄCKE</t>
        </is>
      </c>
      <c r="F225" t="inlineStr">
        <is>
          <t>SCA</t>
        </is>
      </c>
      <c r="G225" t="n">
        <v>10.9</v>
      </c>
      <c r="H225" t="n">
        <v>0</v>
      </c>
      <c r="I225" t="n">
        <v>1</v>
      </c>
      <c r="J225" t="n">
        <v>1</v>
      </c>
      <c r="K225" t="n">
        <v>0</v>
      </c>
      <c r="L225" t="n">
        <v>0</v>
      </c>
      <c r="M225" t="n">
        <v>0</v>
      </c>
      <c r="N225" t="n">
        <v>0</v>
      </c>
      <c r="O225" t="n">
        <v>1</v>
      </c>
      <c r="P225" t="n">
        <v>0</v>
      </c>
      <c r="Q225" t="n">
        <v>2</v>
      </c>
      <c r="R225" s="2" t="inlineStr">
        <is>
          <t>Lunglav
Skinnlav</t>
        </is>
      </c>
      <c r="S225">
        <f>HYPERLINK("https://klasma.github.io/Logging_2305/artfynd/A 45795-2025 artfynd.xlsx", "A 45795-2025")</f>
        <v/>
      </c>
      <c r="T225">
        <f>HYPERLINK("https://klasma.github.io/Logging_2305/kartor/A 45795-2025 karta.png", "A 45795-2025")</f>
        <v/>
      </c>
      <c r="V225">
        <f>HYPERLINK("https://klasma.github.io/Logging_2305/klagomål/A 45795-2025 FSC-klagomål.docx", "A 45795-2025")</f>
        <v/>
      </c>
      <c r="W225">
        <f>HYPERLINK("https://klasma.github.io/Logging_2305/klagomålsmail/A 45795-2025 FSC-klagomål mail.docx", "A 45795-2025")</f>
        <v/>
      </c>
      <c r="X225">
        <f>HYPERLINK("https://klasma.github.io/Logging_2305/tillsyn/A 45795-2025 tillsynsbegäran.docx", "A 45795-2025")</f>
        <v/>
      </c>
      <c r="Y225">
        <f>HYPERLINK("https://klasma.github.io/Logging_2305/tillsynsmail/A 45795-2025 tillsynsbegäran mail.docx", "A 45795-2025")</f>
        <v/>
      </c>
    </row>
    <row r="226" ht="15" customHeight="1">
      <c r="A226" t="inlineStr">
        <is>
          <t>A 50485-2025</t>
        </is>
      </c>
      <c r="B226" s="1" t="n">
        <v>45945.38582175926</v>
      </c>
      <c r="C226" s="1" t="n">
        <v>45997</v>
      </c>
      <c r="D226" t="inlineStr">
        <is>
          <t>JÄMTLANDS LÄN</t>
        </is>
      </c>
      <c r="E226" t="inlineStr">
        <is>
          <t>BRÄCKE</t>
        </is>
      </c>
      <c r="F226" t="inlineStr">
        <is>
          <t>SCA</t>
        </is>
      </c>
      <c r="G226" t="n">
        <v>2.1</v>
      </c>
      <c r="H226" t="n">
        <v>0</v>
      </c>
      <c r="I226" t="n">
        <v>0</v>
      </c>
      <c r="J226" t="n">
        <v>2</v>
      </c>
      <c r="K226" t="n">
        <v>0</v>
      </c>
      <c r="L226" t="n">
        <v>0</v>
      </c>
      <c r="M226" t="n">
        <v>0</v>
      </c>
      <c r="N226" t="n">
        <v>0</v>
      </c>
      <c r="O226" t="n">
        <v>2</v>
      </c>
      <c r="P226" t="n">
        <v>0</v>
      </c>
      <c r="Q226" t="n">
        <v>2</v>
      </c>
      <c r="R226" s="2" t="inlineStr">
        <is>
          <t>Granticka
Gränsticka</t>
        </is>
      </c>
      <c r="S226">
        <f>HYPERLINK("https://klasma.github.io/Logging_2305/artfynd/A 50485-2025 artfynd.xlsx", "A 50485-2025")</f>
        <v/>
      </c>
      <c r="T226">
        <f>HYPERLINK("https://klasma.github.io/Logging_2305/kartor/A 50485-2025 karta.png", "A 50485-2025")</f>
        <v/>
      </c>
      <c r="V226">
        <f>HYPERLINK("https://klasma.github.io/Logging_2305/klagomål/A 50485-2025 FSC-klagomål.docx", "A 50485-2025")</f>
        <v/>
      </c>
      <c r="W226">
        <f>HYPERLINK("https://klasma.github.io/Logging_2305/klagomålsmail/A 50485-2025 FSC-klagomål mail.docx", "A 50485-2025")</f>
        <v/>
      </c>
      <c r="X226">
        <f>HYPERLINK("https://klasma.github.io/Logging_2305/tillsyn/A 50485-2025 tillsynsbegäran.docx", "A 50485-2025")</f>
        <v/>
      </c>
      <c r="Y226">
        <f>HYPERLINK("https://klasma.github.io/Logging_2305/tillsynsmail/A 50485-2025 tillsynsbegäran mail.docx", "A 50485-2025")</f>
        <v/>
      </c>
    </row>
    <row r="227" ht="15" customHeight="1">
      <c r="A227" t="inlineStr">
        <is>
          <t>A 29119-2025</t>
        </is>
      </c>
      <c r="B227" s="1" t="n">
        <v>45821.59407407408</v>
      </c>
      <c r="C227" s="1" t="n">
        <v>45997</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60320-2025</t>
        </is>
      </c>
      <c r="B228" s="1" t="n">
        <v>45994.71947916667</v>
      </c>
      <c r="C228" s="1" t="n">
        <v>45997</v>
      </c>
      <c r="D228" t="inlineStr">
        <is>
          <t>JÄMTLANDS LÄN</t>
        </is>
      </c>
      <c r="E228" t="inlineStr">
        <is>
          <t>BRÄCKE</t>
        </is>
      </c>
      <c r="F228" t="inlineStr">
        <is>
          <t>SCA</t>
        </is>
      </c>
      <c r="G228" t="n">
        <v>3.2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60320-2025 artfynd.xlsx", "A 60320-2025")</f>
        <v/>
      </c>
      <c r="T228">
        <f>HYPERLINK("https://klasma.github.io/Logging_2305/kartor/A 60320-2025 karta.png", "A 60320-2025")</f>
        <v/>
      </c>
      <c r="V228">
        <f>HYPERLINK("https://klasma.github.io/Logging_2305/klagomål/A 60320-2025 FSC-klagomål.docx", "A 60320-2025")</f>
        <v/>
      </c>
      <c r="W228">
        <f>HYPERLINK("https://klasma.github.io/Logging_2305/klagomålsmail/A 60320-2025 FSC-klagomål mail.docx", "A 60320-2025")</f>
        <v/>
      </c>
      <c r="X228">
        <f>HYPERLINK("https://klasma.github.io/Logging_2305/tillsyn/A 60320-2025 tillsynsbegäran.docx", "A 60320-2025")</f>
        <v/>
      </c>
      <c r="Y228">
        <f>HYPERLINK("https://klasma.github.io/Logging_2305/tillsynsmail/A 60320-2025 tillsynsbegäran mail.docx", "A 60320-2025")</f>
        <v/>
      </c>
    </row>
    <row r="229" ht="15" customHeight="1">
      <c r="A229" t="inlineStr">
        <is>
          <t>A 32566-2025</t>
        </is>
      </c>
      <c r="B229" s="1" t="n">
        <v>45838.57354166666</v>
      </c>
      <c r="C229" s="1" t="n">
        <v>45997</v>
      </c>
      <c r="D229" t="inlineStr">
        <is>
          <t>JÄMTLANDS LÄN</t>
        </is>
      </c>
      <c r="E229" t="inlineStr">
        <is>
          <t>BRÄCKE</t>
        </is>
      </c>
      <c r="F229" t="inlineStr">
        <is>
          <t>SCA</t>
        </is>
      </c>
      <c r="G229" t="n">
        <v>1.6</v>
      </c>
      <c r="H229" t="n">
        <v>0</v>
      </c>
      <c r="I229" t="n">
        <v>2</v>
      </c>
      <c r="J229" t="n">
        <v>0</v>
      </c>
      <c r="K229" t="n">
        <v>0</v>
      </c>
      <c r="L229" t="n">
        <v>0</v>
      </c>
      <c r="M229" t="n">
        <v>0</v>
      </c>
      <c r="N229" t="n">
        <v>0</v>
      </c>
      <c r="O229" t="n">
        <v>0</v>
      </c>
      <c r="P229" t="n">
        <v>0</v>
      </c>
      <c r="Q229" t="n">
        <v>2</v>
      </c>
      <c r="R229" s="2" t="inlineStr">
        <is>
          <t>Skinnlav
Vedticka</t>
        </is>
      </c>
      <c r="S229">
        <f>HYPERLINK("https://klasma.github.io/Logging_2305/artfynd/A 32566-2025 artfynd.xlsx", "A 32566-2025")</f>
        <v/>
      </c>
      <c r="T229">
        <f>HYPERLINK("https://klasma.github.io/Logging_2305/kartor/A 32566-2025 karta.png", "A 32566-2025")</f>
        <v/>
      </c>
      <c r="V229">
        <f>HYPERLINK("https://klasma.github.io/Logging_2305/klagomål/A 32566-2025 FSC-klagomål.docx", "A 32566-2025")</f>
        <v/>
      </c>
      <c r="W229">
        <f>HYPERLINK("https://klasma.github.io/Logging_2305/klagomålsmail/A 32566-2025 FSC-klagomål mail.docx", "A 32566-2025")</f>
        <v/>
      </c>
      <c r="X229">
        <f>HYPERLINK("https://klasma.github.io/Logging_2305/tillsyn/A 32566-2025 tillsynsbegäran.docx", "A 32566-2025")</f>
        <v/>
      </c>
      <c r="Y229">
        <f>HYPERLINK("https://klasma.github.io/Logging_2305/tillsynsmail/A 32566-2025 tillsynsbegäran mail.docx", "A 32566-2025")</f>
        <v/>
      </c>
    </row>
    <row r="230" ht="15" customHeight="1">
      <c r="A230" t="inlineStr">
        <is>
          <t>A 34541-2025</t>
        </is>
      </c>
      <c r="B230" s="1" t="n">
        <v>45847.53196759259</v>
      </c>
      <c r="C230" s="1" t="n">
        <v>45997</v>
      </c>
      <c r="D230" t="inlineStr">
        <is>
          <t>JÄMTLANDS LÄN</t>
        </is>
      </c>
      <c r="E230" t="inlineStr">
        <is>
          <t>BRÄCKE</t>
        </is>
      </c>
      <c r="G230" t="n">
        <v>3.8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34541-2025 artfynd.xlsx", "A 34541-2025")</f>
        <v/>
      </c>
      <c r="T230">
        <f>HYPERLINK("https://klasma.github.io/Logging_2305/kartor/A 34541-2025 karta.png", "A 34541-2025")</f>
        <v/>
      </c>
      <c r="V230">
        <f>HYPERLINK("https://klasma.github.io/Logging_2305/klagomål/A 34541-2025 FSC-klagomål.docx", "A 34541-2025")</f>
        <v/>
      </c>
      <c r="W230">
        <f>HYPERLINK("https://klasma.github.io/Logging_2305/klagomålsmail/A 34541-2025 FSC-klagomål mail.docx", "A 34541-2025")</f>
        <v/>
      </c>
      <c r="X230">
        <f>HYPERLINK("https://klasma.github.io/Logging_2305/tillsyn/A 34541-2025 tillsynsbegäran.docx", "A 34541-2025")</f>
        <v/>
      </c>
      <c r="Y230">
        <f>HYPERLINK("https://klasma.github.io/Logging_2305/tillsynsmail/A 34541-2025 tillsynsbegäran mail.docx", "A 34541-2025")</f>
        <v/>
      </c>
    </row>
    <row r="231" ht="15" customHeight="1">
      <c r="A231" t="inlineStr">
        <is>
          <t>A 34615-2025</t>
        </is>
      </c>
      <c r="B231" s="1" t="n">
        <v>45847.6778125</v>
      </c>
      <c r="C231" s="1" t="n">
        <v>45997</v>
      </c>
      <c r="D231" t="inlineStr">
        <is>
          <t>JÄMTLANDS LÄN</t>
        </is>
      </c>
      <c r="E231" t="inlineStr">
        <is>
          <t>BRÄCKE</t>
        </is>
      </c>
      <c r="F231" t="inlineStr">
        <is>
          <t>SCA</t>
        </is>
      </c>
      <c r="G231" t="n">
        <v>2.7</v>
      </c>
      <c r="H231" t="n">
        <v>0</v>
      </c>
      <c r="I231" t="n">
        <v>1</v>
      </c>
      <c r="J231" t="n">
        <v>0</v>
      </c>
      <c r="K231" t="n">
        <v>1</v>
      </c>
      <c r="L231" t="n">
        <v>0</v>
      </c>
      <c r="M231" t="n">
        <v>0</v>
      </c>
      <c r="N231" t="n">
        <v>0</v>
      </c>
      <c r="O231" t="n">
        <v>1</v>
      </c>
      <c r="P231" t="n">
        <v>1</v>
      </c>
      <c r="Q231" t="n">
        <v>2</v>
      </c>
      <c r="R231" s="2" t="inlineStr">
        <is>
          <t>Jättemusseron
Tallfingersvamp</t>
        </is>
      </c>
      <c r="S231">
        <f>HYPERLINK("https://klasma.github.io/Logging_2305/artfynd/A 34615-2025 artfynd.xlsx", "A 34615-2025")</f>
        <v/>
      </c>
      <c r="T231">
        <f>HYPERLINK("https://klasma.github.io/Logging_2305/kartor/A 34615-2025 karta.png", "A 34615-2025")</f>
        <v/>
      </c>
      <c r="U231">
        <f>HYPERLINK("https://klasma.github.io/Logging_2305/knärot/A 34615-2025 karta knärot.png", "A 34615-2025")</f>
        <v/>
      </c>
      <c r="V231">
        <f>HYPERLINK("https://klasma.github.io/Logging_2305/klagomål/A 34615-2025 FSC-klagomål.docx", "A 34615-2025")</f>
        <v/>
      </c>
      <c r="W231">
        <f>HYPERLINK("https://klasma.github.io/Logging_2305/klagomålsmail/A 34615-2025 FSC-klagomål mail.docx", "A 34615-2025")</f>
        <v/>
      </c>
      <c r="X231">
        <f>HYPERLINK("https://klasma.github.io/Logging_2305/tillsyn/A 34615-2025 tillsynsbegäran.docx", "A 34615-2025")</f>
        <v/>
      </c>
      <c r="Y231">
        <f>HYPERLINK("https://klasma.github.io/Logging_2305/tillsynsmail/A 34615-2025 tillsynsbegäran mail.docx", "A 34615-2025")</f>
        <v/>
      </c>
    </row>
    <row r="232" ht="15" customHeight="1">
      <c r="A232" t="inlineStr">
        <is>
          <t>A 35117-2025</t>
        </is>
      </c>
      <c r="B232" s="1" t="n">
        <v>45852.59416666667</v>
      </c>
      <c r="C232" s="1" t="n">
        <v>45997</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35209-2025</t>
        </is>
      </c>
      <c r="B233" s="1" t="n">
        <v>45853.44827546296</v>
      </c>
      <c r="C233" s="1" t="n">
        <v>45997</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35209-2025 artfynd.xlsx", "A 35209-2025")</f>
        <v/>
      </c>
      <c r="T233">
        <f>HYPERLINK("https://klasma.github.io/Logging_2305/kartor/A 35209-2025 karta.png", "A 35209-2025")</f>
        <v/>
      </c>
      <c r="V233">
        <f>HYPERLINK("https://klasma.github.io/Logging_2305/klagomål/A 35209-2025 FSC-klagomål.docx", "A 35209-2025")</f>
        <v/>
      </c>
      <c r="W233">
        <f>HYPERLINK("https://klasma.github.io/Logging_2305/klagomålsmail/A 35209-2025 FSC-klagomål mail.docx", "A 35209-2025")</f>
        <v/>
      </c>
      <c r="X233">
        <f>HYPERLINK("https://klasma.github.io/Logging_2305/tillsyn/A 35209-2025 tillsynsbegäran.docx", "A 35209-2025")</f>
        <v/>
      </c>
      <c r="Y233">
        <f>HYPERLINK("https://klasma.github.io/Logging_2305/tillsynsmail/A 35209-2025 tillsynsbegäran mail.docx", "A 35209-2025")</f>
        <v/>
      </c>
    </row>
    <row r="234" ht="15" customHeight="1">
      <c r="A234" t="inlineStr">
        <is>
          <t>A 4134-2025</t>
        </is>
      </c>
      <c r="B234" s="1" t="n">
        <v>45685.34582175926</v>
      </c>
      <c r="C234" s="1" t="n">
        <v>45997</v>
      </c>
      <c r="D234" t="inlineStr">
        <is>
          <t>JÄMTLANDS LÄN</t>
        </is>
      </c>
      <c r="E234" t="inlineStr">
        <is>
          <t>BRÄCKE</t>
        </is>
      </c>
      <c r="F234" t="inlineStr">
        <is>
          <t>SCA</t>
        </is>
      </c>
      <c r="G234" t="n">
        <v>5.6</v>
      </c>
      <c r="H234" t="n">
        <v>0</v>
      </c>
      <c r="I234" t="n">
        <v>1</v>
      </c>
      <c r="J234" t="n">
        <v>1</v>
      </c>
      <c r="K234" t="n">
        <v>0</v>
      </c>
      <c r="L234" t="n">
        <v>0</v>
      </c>
      <c r="M234" t="n">
        <v>0</v>
      </c>
      <c r="N234" t="n">
        <v>0</v>
      </c>
      <c r="O234" t="n">
        <v>1</v>
      </c>
      <c r="P234" t="n">
        <v>0</v>
      </c>
      <c r="Q234" t="n">
        <v>2</v>
      </c>
      <c r="R234" s="2" t="inlineStr">
        <is>
          <t>Vedflamlav
Stor aspticka</t>
        </is>
      </c>
      <c r="S234">
        <f>HYPERLINK("https://klasma.github.io/Logging_2305/artfynd/A 4134-2025 artfynd.xlsx", "A 4134-2025")</f>
        <v/>
      </c>
      <c r="T234">
        <f>HYPERLINK("https://klasma.github.io/Logging_2305/kartor/A 4134-2025 karta.png", "A 4134-2025")</f>
        <v/>
      </c>
      <c r="V234">
        <f>HYPERLINK("https://klasma.github.io/Logging_2305/klagomål/A 4134-2025 FSC-klagomål.docx", "A 4134-2025")</f>
        <v/>
      </c>
      <c r="W234">
        <f>HYPERLINK("https://klasma.github.io/Logging_2305/klagomålsmail/A 4134-2025 FSC-klagomål mail.docx", "A 4134-2025")</f>
        <v/>
      </c>
      <c r="X234">
        <f>HYPERLINK("https://klasma.github.io/Logging_2305/tillsyn/A 4134-2025 tillsynsbegäran.docx", "A 4134-2025")</f>
        <v/>
      </c>
      <c r="Y234">
        <f>HYPERLINK("https://klasma.github.io/Logging_2305/tillsynsmail/A 4134-2025 tillsynsbegäran mail.docx", "A 4134-2025")</f>
        <v/>
      </c>
    </row>
    <row r="235" ht="15" customHeight="1">
      <c r="A235" t="inlineStr">
        <is>
          <t>A 11787-2025</t>
        </is>
      </c>
      <c r="B235" s="1" t="n">
        <v>45727.72017361111</v>
      </c>
      <c r="C235" s="1" t="n">
        <v>45997</v>
      </c>
      <c r="D235" t="inlineStr">
        <is>
          <t>JÄMTLANDS LÄN</t>
        </is>
      </c>
      <c r="E235" t="inlineStr">
        <is>
          <t>BRÄCKE</t>
        </is>
      </c>
      <c r="F235" t="inlineStr">
        <is>
          <t>SCA</t>
        </is>
      </c>
      <c r="G235" t="n">
        <v>1.9</v>
      </c>
      <c r="H235" t="n">
        <v>0</v>
      </c>
      <c r="I235" t="n">
        <v>0</v>
      </c>
      <c r="J235" t="n">
        <v>2</v>
      </c>
      <c r="K235" t="n">
        <v>0</v>
      </c>
      <c r="L235" t="n">
        <v>0</v>
      </c>
      <c r="M235" t="n">
        <v>0</v>
      </c>
      <c r="N235" t="n">
        <v>0</v>
      </c>
      <c r="O235" t="n">
        <v>2</v>
      </c>
      <c r="P235" t="n">
        <v>0</v>
      </c>
      <c r="Q235" t="n">
        <v>2</v>
      </c>
      <c r="R235" s="2" t="inlineStr">
        <is>
          <t>Stiftgelélav
Ullticka</t>
        </is>
      </c>
      <c r="S235">
        <f>HYPERLINK("https://klasma.github.io/Logging_2305/artfynd/A 11787-2025 artfynd.xlsx", "A 11787-2025")</f>
        <v/>
      </c>
      <c r="T235">
        <f>HYPERLINK("https://klasma.github.io/Logging_2305/kartor/A 11787-2025 karta.png", "A 11787-2025")</f>
        <v/>
      </c>
      <c r="V235">
        <f>HYPERLINK("https://klasma.github.io/Logging_2305/klagomål/A 11787-2025 FSC-klagomål.docx", "A 11787-2025")</f>
        <v/>
      </c>
      <c r="W235">
        <f>HYPERLINK("https://klasma.github.io/Logging_2305/klagomålsmail/A 11787-2025 FSC-klagomål mail.docx", "A 11787-2025")</f>
        <v/>
      </c>
      <c r="X235">
        <f>HYPERLINK("https://klasma.github.io/Logging_2305/tillsyn/A 11787-2025 tillsynsbegäran.docx", "A 11787-2025")</f>
        <v/>
      </c>
      <c r="Y235">
        <f>HYPERLINK("https://klasma.github.io/Logging_2305/tillsynsmail/A 11787-2025 tillsynsbegäran mail.docx", "A 11787-2025")</f>
        <v/>
      </c>
    </row>
    <row r="236" ht="15" customHeight="1">
      <c r="A236" t="inlineStr">
        <is>
          <t>A 29672-2024</t>
        </is>
      </c>
      <c r="B236" s="1" t="n">
        <v>45484.94189814815</v>
      </c>
      <c r="C236" s="1" t="n">
        <v>45997</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45012-2023</t>
        </is>
      </c>
      <c r="B237" s="1" t="n">
        <v>45190</v>
      </c>
      <c r="C237" s="1" t="n">
        <v>45997</v>
      </c>
      <c r="D237" t="inlineStr">
        <is>
          <t>JÄMTLANDS LÄN</t>
        </is>
      </c>
      <c r="E237" t="inlineStr">
        <is>
          <t>BRÄCKE</t>
        </is>
      </c>
      <c r="G237" t="n">
        <v>2.6</v>
      </c>
      <c r="H237" t="n">
        <v>0</v>
      </c>
      <c r="I237" t="n">
        <v>1</v>
      </c>
      <c r="J237" t="n">
        <v>1</v>
      </c>
      <c r="K237" t="n">
        <v>0</v>
      </c>
      <c r="L237" t="n">
        <v>0</v>
      </c>
      <c r="M237" t="n">
        <v>0</v>
      </c>
      <c r="N237" t="n">
        <v>0</v>
      </c>
      <c r="O237" t="n">
        <v>1</v>
      </c>
      <c r="P237" t="n">
        <v>0</v>
      </c>
      <c r="Q237" t="n">
        <v>2</v>
      </c>
      <c r="R237" s="2" t="inlineStr">
        <is>
          <t>Dvärgbägarlav
Skinnlav</t>
        </is>
      </c>
      <c r="S237">
        <f>HYPERLINK("https://klasma.github.io/Logging_2305/artfynd/A 45012-2023 artfynd.xlsx", "A 45012-2023")</f>
        <v/>
      </c>
      <c r="T237">
        <f>HYPERLINK("https://klasma.github.io/Logging_2305/kartor/A 45012-2023 karta.png", "A 45012-2023")</f>
        <v/>
      </c>
      <c r="V237">
        <f>HYPERLINK("https://klasma.github.io/Logging_2305/klagomål/A 45012-2023 FSC-klagomål.docx", "A 45012-2023")</f>
        <v/>
      </c>
      <c r="W237">
        <f>HYPERLINK("https://klasma.github.io/Logging_2305/klagomålsmail/A 45012-2023 FSC-klagomål mail.docx", "A 45012-2023")</f>
        <v/>
      </c>
      <c r="X237">
        <f>HYPERLINK("https://klasma.github.io/Logging_2305/tillsyn/A 45012-2023 tillsynsbegäran.docx", "A 45012-2023")</f>
        <v/>
      </c>
      <c r="Y237">
        <f>HYPERLINK("https://klasma.github.io/Logging_2305/tillsynsmail/A 45012-2023 tillsynsbegäran mail.docx", "A 45012-2023")</f>
        <v/>
      </c>
    </row>
    <row r="238" ht="15" customHeight="1">
      <c r="A238" t="inlineStr">
        <is>
          <t>A 39172-2021</t>
        </is>
      </c>
      <c r="B238" s="1" t="n">
        <v>44412</v>
      </c>
      <c r="C238" s="1" t="n">
        <v>45997</v>
      </c>
      <c r="D238" t="inlineStr">
        <is>
          <t>JÄMTLANDS LÄN</t>
        </is>
      </c>
      <c r="E238" t="inlineStr">
        <is>
          <t>BRÄCKE</t>
        </is>
      </c>
      <c r="F238" t="inlineStr">
        <is>
          <t>SCA</t>
        </is>
      </c>
      <c r="G238" t="n">
        <v>9</v>
      </c>
      <c r="H238" t="n">
        <v>0</v>
      </c>
      <c r="I238" t="n">
        <v>1</v>
      </c>
      <c r="J238" t="n">
        <v>1</v>
      </c>
      <c r="K238" t="n">
        <v>0</v>
      </c>
      <c r="L238" t="n">
        <v>0</v>
      </c>
      <c r="M238" t="n">
        <v>0</v>
      </c>
      <c r="N238" t="n">
        <v>0</v>
      </c>
      <c r="O238" t="n">
        <v>1</v>
      </c>
      <c r="P238" t="n">
        <v>0</v>
      </c>
      <c r="Q238" t="n">
        <v>2</v>
      </c>
      <c r="R238" s="2" t="inlineStr">
        <is>
          <t>Lunglav
Bårdlav</t>
        </is>
      </c>
      <c r="S238">
        <f>HYPERLINK("https://klasma.github.io/Logging_2305/artfynd/A 39172-2021 artfynd.xlsx", "A 39172-2021")</f>
        <v/>
      </c>
      <c r="T238">
        <f>HYPERLINK("https://klasma.github.io/Logging_2305/kartor/A 39172-2021 karta.png", "A 39172-2021")</f>
        <v/>
      </c>
      <c r="V238">
        <f>HYPERLINK("https://klasma.github.io/Logging_2305/klagomål/A 39172-2021 FSC-klagomål.docx", "A 39172-2021")</f>
        <v/>
      </c>
      <c r="W238">
        <f>HYPERLINK("https://klasma.github.io/Logging_2305/klagomålsmail/A 39172-2021 FSC-klagomål mail.docx", "A 39172-2021")</f>
        <v/>
      </c>
      <c r="X238">
        <f>HYPERLINK("https://klasma.github.io/Logging_2305/tillsyn/A 39172-2021 tillsynsbegäran.docx", "A 39172-2021")</f>
        <v/>
      </c>
      <c r="Y238">
        <f>HYPERLINK("https://klasma.github.io/Logging_2305/tillsynsmail/A 39172-2021 tillsynsbegäran mail.docx", "A 39172-2021")</f>
        <v/>
      </c>
    </row>
    <row r="239" ht="15" customHeight="1">
      <c r="A239" t="inlineStr">
        <is>
          <t>A 69154-2021</t>
        </is>
      </c>
      <c r="B239" s="1" t="n">
        <v>44530</v>
      </c>
      <c r="C239" s="1" t="n">
        <v>45997</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45997</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45997</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45997</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31479-2024</t>
        </is>
      </c>
      <c r="B243" s="1" t="n">
        <v>45505.95263888889</v>
      </c>
      <c r="C243" s="1" t="n">
        <v>45997</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48064-2023</t>
        </is>
      </c>
      <c r="B244" s="1" t="n">
        <v>45204</v>
      </c>
      <c r="C244" s="1" t="n">
        <v>45997</v>
      </c>
      <c r="D244" t="inlineStr">
        <is>
          <t>JÄMTLANDS LÄN</t>
        </is>
      </c>
      <c r="E244" t="inlineStr">
        <is>
          <t>BRÄCKE</t>
        </is>
      </c>
      <c r="G244" t="n">
        <v>2.3</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48064-2023 artfynd.xlsx", "A 48064-2023")</f>
        <v/>
      </c>
      <c r="T244">
        <f>HYPERLINK("https://klasma.github.io/Logging_2305/kartor/A 48064-2023 karta.png", "A 48064-2023")</f>
        <v/>
      </c>
      <c r="V244">
        <f>HYPERLINK("https://klasma.github.io/Logging_2305/klagomål/A 48064-2023 FSC-klagomål.docx", "A 48064-2023")</f>
        <v/>
      </c>
      <c r="W244">
        <f>HYPERLINK("https://klasma.github.io/Logging_2305/klagomålsmail/A 48064-2023 FSC-klagomål mail.docx", "A 48064-2023")</f>
        <v/>
      </c>
      <c r="X244">
        <f>HYPERLINK("https://klasma.github.io/Logging_2305/tillsyn/A 48064-2023 tillsynsbegäran.docx", "A 48064-2023")</f>
        <v/>
      </c>
      <c r="Y244">
        <f>HYPERLINK("https://klasma.github.io/Logging_2305/tillsynsmail/A 48064-2023 tillsynsbegäran mail.docx", "A 48064-2023")</f>
        <v/>
      </c>
      <c r="Z244">
        <f>HYPERLINK("https://klasma.github.io/Logging_2305/fåglar/A 48064-2023 prioriterade fågelarter.docx", "A 48064-2023")</f>
        <v/>
      </c>
    </row>
    <row r="245" ht="15" customHeight="1">
      <c r="A245" t="inlineStr">
        <is>
          <t>A 49863-2022</t>
        </is>
      </c>
      <c r="B245" s="1" t="n">
        <v>44862</v>
      </c>
      <c r="C245" s="1" t="n">
        <v>45997</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50837-2023</t>
        </is>
      </c>
      <c r="B246" s="1" t="n">
        <v>45217</v>
      </c>
      <c r="C246" s="1" t="n">
        <v>45997</v>
      </c>
      <c r="D246" t="inlineStr">
        <is>
          <t>JÄMTLANDS LÄN</t>
        </is>
      </c>
      <c r="E246" t="inlineStr">
        <is>
          <t>BRÄCKE</t>
        </is>
      </c>
      <c r="F246" t="inlineStr">
        <is>
          <t>SCA</t>
        </is>
      </c>
      <c r="G246" t="n">
        <v>1.4</v>
      </c>
      <c r="H246" t="n">
        <v>1</v>
      </c>
      <c r="I246" t="n">
        <v>0</v>
      </c>
      <c r="J246" t="n">
        <v>1</v>
      </c>
      <c r="K246" t="n">
        <v>0</v>
      </c>
      <c r="L246" t="n">
        <v>0</v>
      </c>
      <c r="M246" t="n">
        <v>0</v>
      </c>
      <c r="N246" t="n">
        <v>0</v>
      </c>
      <c r="O246" t="n">
        <v>1</v>
      </c>
      <c r="P246" t="n">
        <v>0</v>
      </c>
      <c r="Q246" t="n">
        <v>1</v>
      </c>
      <c r="R246" s="2" t="inlineStr">
        <is>
          <t>Talltita</t>
        </is>
      </c>
      <c r="S246">
        <f>HYPERLINK("https://klasma.github.io/Logging_2305/artfynd/A 50837-2023 artfynd.xlsx", "A 50837-2023")</f>
        <v/>
      </c>
      <c r="T246">
        <f>HYPERLINK("https://klasma.github.io/Logging_2305/kartor/A 50837-2023 karta.png", "A 50837-2023")</f>
        <v/>
      </c>
      <c r="V246">
        <f>HYPERLINK("https://klasma.github.io/Logging_2305/klagomål/A 50837-2023 FSC-klagomål.docx", "A 50837-2023")</f>
        <v/>
      </c>
      <c r="W246">
        <f>HYPERLINK("https://klasma.github.io/Logging_2305/klagomålsmail/A 50837-2023 FSC-klagomål mail.docx", "A 50837-2023")</f>
        <v/>
      </c>
      <c r="X246">
        <f>HYPERLINK("https://klasma.github.io/Logging_2305/tillsyn/A 50837-2023 tillsynsbegäran.docx", "A 50837-2023")</f>
        <v/>
      </c>
      <c r="Y246">
        <f>HYPERLINK("https://klasma.github.io/Logging_2305/tillsynsmail/A 50837-2023 tillsynsbegäran mail.docx", "A 50837-2023")</f>
        <v/>
      </c>
      <c r="Z246">
        <f>HYPERLINK("https://klasma.github.io/Logging_2305/fåglar/A 50837-2023 prioriterade fågelarter.docx", "A 50837-2023")</f>
        <v/>
      </c>
    </row>
    <row r="247" ht="15" customHeight="1">
      <c r="A247" t="inlineStr">
        <is>
          <t>A 49040-2023</t>
        </is>
      </c>
      <c r="B247" s="1" t="n">
        <v>45209</v>
      </c>
      <c r="C247" s="1" t="n">
        <v>45997</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17588-2024</t>
        </is>
      </c>
      <c r="B248" s="1" t="n">
        <v>45415.94054398148</v>
      </c>
      <c r="C248" s="1" t="n">
        <v>45997</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55931-2023</t>
        </is>
      </c>
      <c r="B249" s="1" t="n">
        <v>45239</v>
      </c>
      <c r="C249" s="1" t="n">
        <v>45997</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29215-2024</t>
        </is>
      </c>
      <c r="B250" s="1" t="n">
        <v>45482.67827546296</v>
      </c>
      <c r="C250" s="1" t="n">
        <v>45997</v>
      </c>
      <c r="D250" t="inlineStr">
        <is>
          <t>JÄMTLANDS LÄN</t>
        </is>
      </c>
      <c r="E250" t="inlineStr">
        <is>
          <t>BRÄCKE</t>
        </is>
      </c>
      <c r="F250" t="inlineStr">
        <is>
          <t>Övriga Aktiebolag</t>
        </is>
      </c>
      <c r="G250" t="n">
        <v>7.3</v>
      </c>
      <c r="H250" t="n">
        <v>1</v>
      </c>
      <c r="I250" t="n">
        <v>0</v>
      </c>
      <c r="J250" t="n">
        <v>0</v>
      </c>
      <c r="K250" t="n">
        <v>0</v>
      </c>
      <c r="L250" t="n">
        <v>0</v>
      </c>
      <c r="M250" t="n">
        <v>0</v>
      </c>
      <c r="N250" t="n">
        <v>0</v>
      </c>
      <c r="O250" t="n">
        <v>0</v>
      </c>
      <c r="P250" t="n">
        <v>0</v>
      </c>
      <c r="Q250" t="n">
        <v>1</v>
      </c>
      <c r="R250" s="2" t="inlineStr">
        <is>
          <t>Sparvuggla</t>
        </is>
      </c>
      <c r="S250">
        <f>HYPERLINK("https://klasma.github.io/Logging_2305/artfynd/A 29215-2024 artfynd.xlsx", "A 29215-2024")</f>
        <v/>
      </c>
      <c r="T250">
        <f>HYPERLINK("https://klasma.github.io/Logging_2305/kartor/A 29215-2024 karta.png", "A 29215-2024")</f>
        <v/>
      </c>
      <c r="V250">
        <f>HYPERLINK("https://klasma.github.io/Logging_2305/klagomål/A 29215-2024 FSC-klagomål.docx", "A 29215-2024")</f>
        <v/>
      </c>
      <c r="W250">
        <f>HYPERLINK("https://klasma.github.io/Logging_2305/klagomålsmail/A 29215-2024 FSC-klagomål mail.docx", "A 29215-2024")</f>
        <v/>
      </c>
      <c r="X250">
        <f>HYPERLINK("https://klasma.github.io/Logging_2305/tillsyn/A 29215-2024 tillsynsbegäran.docx", "A 29215-2024")</f>
        <v/>
      </c>
      <c r="Y250">
        <f>HYPERLINK("https://klasma.github.io/Logging_2305/tillsynsmail/A 29215-2024 tillsynsbegäran mail.docx", "A 29215-2024")</f>
        <v/>
      </c>
      <c r="Z250">
        <f>HYPERLINK("https://klasma.github.io/Logging_2305/fåglar/A 29215-2024 prioriterade fågelarter.docx", "A 29215-2024")</f>
        <v/>
      </c>
    </row>
    <row r="251" ht="15" customHeight="1">
      <c r="A251" t="inlineStr">
        <is>
          <t>A 22101-2024</t>
        </is>
      </c>
      <c r="B251" s="1" t="n">
        <v>45443.95077546296</v>
      </c>
      <c r="C251" s="1" t="n">
        <v>45997</v>
      </c>
      <c r="D251" t="inlineStr">
        <is>
          <t>JÄMTLANDS LÄN</t>
        </is>
      </c>
      <c r="E251" t="inlineStr">
        <is>
          <t>BRÄCKE</t>
        </is>
      </c>
      <c r="F251" t="inlineStr">
        <is>
          <t>SCA</t>
        </is>
      </c>
      <c r="G251" t="n">
        <v>3.5</v>
      </c>
      <c r="H251" t="n">
        <v>0</v>
      </c>
      <c r="I251" t="n">
        <v>0</v>
      </c>
      <c r="J251" t="n">
        <v>1</v>
      </c>
      <c r="K251" t="n">
        <v>0</v>
      </c>
      <c r="L251" t="n">
        <v>0</v>
      </c>
      <c r="M251" t="n">
        <v>0</v>
      </c>
      <c r="N251" t="n">
        <v>0</v>
      </c>
      <c r="O251" t="n">
        <v>1</v>
      </c>
      <c r="P251" t="n">
        <v>0</v>
      </c>
      <c r="Q251" t="n">
        <v>1</v>
      </c>
      <c r="R251" s="2" t="inlineStr">
        <is>
          <t>Garnlav</t>
        </is>
      </c>
      <c r="S251">
        <f>HYPERLINK("https://klasma.github.io/Logging_2305/artfynd/A 22101-2024 artfynd.xlsx", "A 22101-2024")</f>
        <v/>
      </c>
      <c r="T251">
        <f>HYPERLINK("https://klasma.github.io/Logging_2305/kartor/A 22101-2024 karta.png", "A 22101-2024")</f>
        <v/>
      </c>
      <c r="V251">
        <f>HYPERLINK("https://klasma.github.io/Logging_2305/klagomål/A 22101-2024 FSC-klagomål.docx", "A 22101-2024")</f>
        <v/>
      </c>
      <c r="W251">
        <f>HYPERLINK("https://klasma.github.io/Logging_2305/klagomålsmail/A 22101-2024 FSC-klagomål mail.docx", "A 22101-2024")</f>
        <v/>
      </c>
      <c r="X251">
        <f>HYPERLINK("https://klasma.github.io/Logging_2305/tillsyn/A 22101-2024 tillsynsbegäran.docx", "A 22101-2024")</f>
        <v/>
      </c>
      <c r="Y251">
        <f>HYPERLINK("https://klasma.github.io/Logging_2305/tillsynsmail/A 22101-2024 tillsynsbegäran mail.docx", "A 22101-2024")</f>
        <v/>
      </c>
    </row>
    <row r="252" ht="15" customHeight="1">
      <c r="A252" t="inlineStr">
        <is>
          <t>A 20768-2024</t>
        </is>
      </c>
      <c r="B252" s="1" t="n">
        <v>45436.94594907408</v>
      </c>
      <c r="C252" s="1" t="n">
        <v>45997</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45997</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2063-2024</t>
        </is>
      </c>
      <c r="B254" s="1" t="n">
        <v>45308</v>
      </c>
      <c r="C254" s="1" t="n">
        <v>45997</v>
      </c>
      <c r="D254" t="inlineStr">
        <is>
          <t>JÄMTLANDS LÄN</t>
        </is>
      </c>
      <c r="E254" t="inlineStr">
        <is>
          <t>BRÄCKE</t>
        </is>
      </c>
      <c r="F254" t="inlineStr">
        <is>
          <t>SCA</t>
        </is>
      </c>
      <c r="G254" t="n">
        <v>5.7</v>
      </c>
      <c r="H254" t="n">
        <v>0</v>
      </c>
      <c r="I254" t="n">
        <v>0</v>
      </c>
      <c r="J254" t="n">
        <v>0</v>
      </c>
      <c r="K254" t="n">
        <v>1</v>
      </c>
      <c r="L254" t="n">
        <v>0</v>
      </c>
      <c r="M254" t="n">
        <v>0</v>
      </c>
      <c r="N254" t="n">
        <v>0</v>
      </c>
      <c r="O254" t="n">
        <v>1</v>
      </c>
      <c r="P254" t="n">
        <v>1</v>
      </c>
      <c r="Q254" t="n">
        <v>1</v>
      </c>
      <c r="R254" s="2" t="inlineStr">
        <is>
          <t>Gräddporing</t>
        </is>
      </c>
      <c r="S254">
        <f>HYPERLINK("https://klasma.github.io/Logging_2305/artfynd/A 2063-2024 artfynd.xlsx", "A 2063-2024")</f>
        <v/>
      </c>
      <c r="T254">
        <f>HYPERLINK("https://klasma.github.io/Logging_2305/kartor/A 2063-2024 karta.png", "A 2063-2024")</f>
        <v/>
      </c>
      <c r="V254">
        <f>HYPERLINK("https://klasma.github.io/Logging_2305/klagomål/A 2063-2024 FSC-klagomål.docx", "A 2063-2024")</f>
        <v/>
      </c>
      <c r="W254">
        <f>HYPERLINK("https://klasma.github.io/Logging_2305/klagomålsmail/A 2063-2024 FSC-klagomål mail.docx", "A 2063-2024")</f>
        <v/>
      </c>
      <c r="X254">
        <f>HYPERLINK("https://klasma.github.io/Logging_2305/tillsyn/A 2063-2024 tillsynsbegäran.docx", "A 2063-2024")</f>
        <v/>
      </c>
      <c r="Y254">
        <f>HYPERLINK("https://klasma.github.io/Logging_2305/tillsynsmail/A 2063-2024 tillsynsbegäran mail.docx", "A 2063-2024")</f>
        <v/>
      </c>
    </row>
    <row r="255" ht="15" customHeight="1">
      <c r="A255" t="inlineStr">
        <is>
          <t>A 29546-2024</t>
        </is>
      </c>
      <c r="B255" s="1" t="n">
        <v>45484.50435185185</v>
      </c>
      <c r="C255" s="1" t="n">
        <v>45997</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7686-2025</t>
        </is>
      </c>
      <c r="B256" s="1" t="n">
        <v>45706.38579861111</v>
      </c>
      <c r="C256" s="1" t="n">
        <v>45997</v>
      </c>
      <c r="D256" t="inlineStr">
        <is>
          <t>JÄMTLANDS LÄN</t>
        </is>
      </c>
      <c r="E256" t="inlineStr">
        <is>
          <t>BRÄCKE</t>
        </is>
      </c>
      <c r="F256" t="inlineStr">
        <is>
          <t>SCA</t>
        </is>
      </c>
      <c r="G256" t="n">
        <v>1</v>
      </c>
      <c r="H256" t="n">
        <v>1</v>
      </c>
      <c r="I256" t="n">
        <v>0</v>
      </c>
      <c r="J256" t="n">
        <v>0</v>
      </c>
      <c r="K256" t="n">
        <v>1</v>
      </c>
      <c r="L256" t="n">
        <v>0</v>
      </c>
      <c r="M256" t="n">
        <v>0</v>
      </c>
      <c r="N256" t="n">
        <v>0</v>
      </c>
      <c r="O256" t="n">
        <v>1</v>
      </c>
      <c r="P256" t="n">
        <v>1</v>
      </c>
      <c r="Q256" t="n">
        <v>1</v>
      </c>
      <c r="R256" s="2" t="inlineStr">
        <is>
          <t>Knärot</t>
        </is>
      </c>
      <c r="S256">
        <f>HYPERLINK("https://klasma.github.io/Logging_2305/artfynd/A 7686-2025 artfynd.xlsx", "A 7686-2025")</f>
        <v/>
      </c>
      <c r="T256">
        <f>HYPERLINK("https://klasma.github.io/Logging_2305/kartor/A 7686-2025 karta.png", "A 7686-2025")</f>
        <v/>
      </c>
      <c r="U256">
        <f>HYPERLINK("https://klasma.github.io/Logging_2305/knärot/A 7686-2025 karta knärot.png", "A 7686-2025")</f>
        <v/>
      </c>
      <c r="V256">
        <f>HYPERLINK("https://klasma.github.io/Logging_2305/klagomål/A 7686-2025 FSC-klagomål.docx", "A 7686-2025")</f>
        <v/>
      </c>
      <c r="W256">
        <f>HYPERLINK("https://klasma.github.io/Logging_2305/klagomålsmail/A 7686-2025 FSC-klagomål mail.docx", "A 7686-2025")</f>
        <v/>
      </c>
      <c r="X256">
        <f>HYPERLINK("https://klasma.github.io/Logging_2305/tillsyn/A 7686-2025 tillsynsbegäran.docx", "A 7686-2025")</f>
        <v/>
      </c>
      <c r="Y256">
        <f>HYPERLINK("https://klasma.github.io/Logging_2305/tillsynsmail/A 7686-2025 tillsynsbegäran mail.docx", "A 7686-2025")</f>
        <v/>
      </c>
    </row>
    <row r="257" ht="15" customHeight="1">
      <c r="A257" t="inlineStr">
        <is>
          <t>A 4851-2025</t>
        </is>
      </c>
      <c r="B257" s="1" t="n">
        <v>45688.67340277778</v>
      </c>
      <c r="C257" s="1" t="n">
        <v>45997</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4851-2025 artfynd.xlsx", "A 4851-2025")</f>
        <v/>
      </c>
      <c r="T257">
        <f>HYPERLINK("https://klasma.github.io/Logging_2305/kartor/A 4851-2025 karta.png", "A 4851-2025")</f>
        <v/>
      </c>
      <c r="V257">
        <f>HYPERLINK("https://klasma.github.io/Logging_2305/klagomål/A 4851-2025 FSC-klagomål.docx", "A 4851-2025")</f>
        <v/>
      </c>
      <c r="W257">
        <f>HYPERLINK("https://klasma.github.io/Logging_2305/klagomålsmail/A 4851-2025 FSC-klagomål mail.docx", "A 4851-2025")</f>
        <v/>
      </c>
      <c r="X257">
        <f>HYPERLINK("https://klasma.github.io/Logging_2305/tillsyn/A 4851-2025 tillsynsbegäran.docx", "A 4851-2025")</f>
        <v/>
      </c>
      <c r="Y257">
        <f>HYPERLINK("https://klasma.github.io/Logging_2305/tillsynsmail/A 4851-2025 tillsynsbegäran mail.docx", "A 4851-2025")</f>
        <v/>
      </c>
    </row>
    <row r="258" ht="15" customHeight="1">
      <c r="A258" t="inlineStr">
        <is>
          <t>A 12525-2025</t>
        </is>
      </c>
      <c r="B258" s="1" t="n">
        <v>45730.67770833334</v>
      </c>
      <c r="C258" s="1" t="n">
        <v>45997</v>
      </c>
      <c r="D258" t="inlineStr">
        <is>
          <t>JÄMTLANDS LÄN</t>
        </is>
      </c>
      <c r="E258" t="inlineStr">
        <is>
          <t>BRÄCKE</t>
        </is>
      </c>
      <c r="F258" t="inlineStr">
        <is>
          <t>SCA</t>
        </is>
      </c>
      <c r="G258" t="n">
        <v>3.5</v>
      </c>
      <c r="H258" t="n">
        <v>1</v>
      </c>
      <c r="I258" t="n">
        <v>0</v>
      </c>
      <c r="J258" t="n">
        <v>0</v>
      </c>
      <c r="K258" t="n">
        <v>0</v>
      </c>
      <c r="L258" t="n">
        <v>0</v>
      </c>
      <c r="M258" t="n">
        <v>0</v>
      </c>
      <c r="N258" t="n">
        <v>0</v>
      </c>
      <c r="O258" t="n">
        <v>0</v>
      </c>
      <c r="P258" t="n">
        <v>0</v>
      </c>
      <c r="Q258" t="n">
        <v>1</v>
      </c>
      <c r="R258" s="2" t="inlineStr">
        <is>
          <t>Fläcknycklar</t>
        </is>
      </c>
      <c r="S258">
        <f>HYPERLINK("https://klasma.github.io/Logging_2305/artfynd/A 12525-2025 artfynd.xlsx", "A 12525-2025")</f>
        <v/>
      </c>
      <c r="T258">
        <f>HYPERLINK("https://klasma.github.io/Logging_2305/kartor/A 12525-2025 karta.png", "A 12525-2025")</f>
        <v/>
      </c>
      <c r="V258">
        <f>HYPERLINK("https://klasma.github.io/Logging_2305/klagomål/A 12525-2025 FSC-klagomål.docx", "A 12525-2025")</f>
        <v/>
      </c>
      <c r="W258">
        <f>HYPERLINK("https://klasma.github.io/Logging_2305/klagomålsmail/A 12525-2025 FSC-klagomål mail.docx", "A 12525-2025")</f>
        <v/>
      </c>
      <c r="X258">
        <f>HYPERLINK("https://klasma.github.io/Logging_2305/tillsyn/A 12525-2025 tillsynsbegäran.docx", "A 12525-2025")</f>
        <v/>
      </c>
      <c r="Y258">
        <f>HYPERLINK("https://klasma.github.io/Logging_2305/tillsynsmail/A 12525-2025 tillsynsbegäran mail.docx", "A 12525-2025")</f>
        <v/>
      </c>
    </row>
    <row r="259" ht="15" customHeight="1">
      <c r="A259" t="inlineStr">
        <is>
          <t>A 15076-2022</t>
        </is>
      </c>
      <c r="B259" s="1" t="n">
        <v>44657</v>
      </c>
      <c r="C259" s="1" t="n">
        <v>45997</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57797-2023</t>
        </is>
      </c>
      <c r="B260" s="1" t="n">
        <v>45246</v>
      </c>
      <c r="C260" s="1" t="n">
        <v>45997</v>
      </c>
      <c r="D260" t="inlineStr">
        <is>
          <t>JÄMTLANDS LÄN</t>
        </is>
      </c>
      <c r="E260" t="inlineStr">
        <is>
          <t>BRÄCKE</t>
        </is>
      </c>
      <c r="F260" t="inlineStr">
        <is>
          <t>SCA</t>
        </is>
      </c>
      <c r="G260" t="n">
        <v>2.7</v>
      </c>
      <c r="H260" t="n">
        <v>0</v>
      </c>
      <c r="I260" t="n">
        <v>1</v>
      </c>
      <c r="J260" t="n">
        <v>0</v>
      </c>
      <c r="K260" t="n">
        <v>0</v>
      </c>
      <c r="L260" t="n">
        <v>0</v>
      </c>
      <c r="M260" t="n">
        <v>0</v>
      </c>
      <c r="N260" t="n">
        <v>0</v>
      </c>
      <c r="O260" t="n">
        <v>0</v>
      </c>
      <c r="P260" t="n">
        <v>0</v>
      </c>
      <c r="Q260" t="n">
        <v>1</v>
      </c>
      <c r="R260" s="2" t="inlineStr">
        <is>
          <t>Korallblylav</t>
        </is>
      </c>
      <c r="S260">
        <f>HYPERLINK("https://klasma.github.io/Logging_2305/artfynd/A 57797-2023 artfynd.xlsx", "A 57797-2023")</f>
        <v/>
      </c>
      <c r="T260">
        <f>HYPERLINK("https://klasma.github.io/Logging_2305/kartor/A 57797-2023 karta.png", "A 57797-2023")</f>
        <v/>
      </c>
      <c r="V260">
        <f>HYPERLINK("https://klasma.github.io/Logging_2305/klagomål/A 57797-2023 FSC-klagomål.docx", "A 57797-2023")</f>
        <v/>
      </c>
      <c r="W260">
        <f>HYPERLINK("https://klasma.github.io/Logging_2305/klagomålsmail/A 57797-2023 FSC-klagomål mail.docx", "A 57797-2023")</f>
        <v/>
      </c>
      <c r="X260">
        <f>HYPERLINK("https://klasma.github.io/Logging_2305/tillsyn/A 57797-2023 tillsynsbegäran.docx", "A 57797-2023")</f>
        <v/>
      </c>
      <c r="Y260">
        <f>HYPERLINK("https://klasma.github.io/Logging_2305/tillsynsmail/A 57797-2023 tillsynsbegäran mail.docx", "A 57797-2023")</f>
        <v/>
      </c>
    </row>
    <row r="261" ht="15" customHeight="1">
      <c r="A261" t="inlineStr">
        <is>
          <t>A 12062-2023</t>
        </is>
      </c>
      <c r="B261" s="1" t="n">
        <v>44996</v>
      </c>
      <c r="C261" s="1" t="n">
        <v>45997</v>
      </c>
      <c r="D261" t="inlineStr">
        <is>
          <t>JÄMTLANDS LÄN</t>
        </is>
      </c>
      <c r="E261" t="inlineStr">
        <is>
          <t>BRÄCKE</t>
        </is>
      </c>
      <c r="G261" t="n">
        <v>5.4</v>
      </c>
      <c r="H261" t="n">
        <v>0</v>
      </c>
      <c r="I261" t="n">
        <v>0</v>
      </c>
      <c r="J261" t="n">
        <v>1</v>
      </c>
      <c r="K261" t="n">
        <v>0</v>
      </c>
      <c r="L261" t="n">
        <v>0</v>
      </c>
      <c r="M261" t="n">
        <v>0</v>
      </c>
      <c r="N261" t="n">
        <v>0</v>
      </c>
      <c r="O261" t="n">
        <v>1</v>
      </c>
      <c r="P261" t="n">
        <v>0</v>
      </c>
      <c r="Q261" t="n">
        <v>1</v>
      </c>
      <c r="R261" s="2" t="inlineStr">
        <is>
          <t>Lunglav</t>
        </is>
      </c>
      <c r="S261">
        <f>HYPERLINK("https://klasma.github.io/Logging_2305/artfynd/A 12062-2023 artfynd.xlsx", "A 12062-2023")</f>
        <v/>
      </c>
      <c r="T261">
        <f>HYPERLINK("https://klasma.github.io/Logging_2305/kartor/A 12062-2023 karta.png", "A 12062-2023")</f>
        <v/>
      </c>
      <c r="V261">
        <f>HYPERLINK("https://klasma.github.io/Logging_2305/klagomål/A 12062-2023 FSC-klagomål.docx", "A 12062-2023")</f>
        <v/>
      </c>
      <c r="W261">
        <f>HYPERLINK("https://klasma.github.io/Logging_2305/klagomålsmail/A 12062-2023 FSC-klagomål mail.docx", "A 12062-2023")</f>
        <v/>
      </c>
      <c r="X261">
        <f>HYPERLINK("https://klasma.github.io/Logging_2305/tillsyn/A 12062-2023 tillsynsbegäran.docx", "A 12062-2023")</f>
        <v/>
      </c>
      <c r="Y261">
        <f>HYPERLINK("https://klasma.github.io/Logging_2305/tillsynsmail/A 12062-2023 tillsynsbegäran mail.docx", "A 12062-2023")</f>
        <v/>
      </c>
    </row>
    <row r="262" ht="15" customHeight="1">
      <c r="A262" t="inlineStr">
        <is>
          <t>A 2882-2025</t>
        </is>
      </c>
      <c r="B262" s="1" t="n">
        <v>45677.69878472222</v>
      </c>
      <c r="C262" s="1" t="n">
        <v>45997</v>
      </c>
      <c r="D262" t="inlineStr">
        <is>
          <t>JÄMTLANDS LÄN</t>
        </is>
      </c>
      <c r="E262" t="inlineStr">
        <is>
          <t>BRÄCKE</t>
        </is>
      </c>
      <c r="F262" t="inlineStr">
        <is>
          <t>SCA</t>
        </is>
      </c>
      <c r="G262" t="n">
        <v>2.7</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2882-2025 artfynd.xlsx", "A 2882-2025")</f>
        <v/>
      </c>
      <c r="T262">
        <f>HYPERLINK("https://klasma.github.io/Logging_2305/kartor/A 2882-2025 karta.png", "A 2882-2025")</f>
        <v/>
      </c>
      <c r="V262">
        <f>HYPERLINK("https://klasma.github.io/Logging_2305/klagomål/A 2882-2025 FSC-klagomål.docx", "A 2882-2025")</f>
        <v/>
      </c>
      <c r="W262">
        <f>HYPERLINK("https://klasma.github.io/Logging_2305/klagomålsmail/A 2882-2025 FSC-klagomål mail.docx", "A 2882-2025")</f>
        <v/>
      </c>
      <c r="X262">
        <f>HYPERLINK("https://klasma.github.io/Logging_2305/tillsyn/A 2882-2025 tillsynsbegäran.docx", "A 2882-2025")</f>
        <v/>
      </c>
      <c r="Y262">
        <f>HYPERLINK("https://klasma.github.io/Logging_2305/tillsynsmail/A 2882-2025 tillsynsbegäran mail.docx", "A 2882-2025")</f>
        <v/>
      </c>
    </row>
    <row r="263" ht="15" customHeight="1">
      <c r="A263" t="inlineStr">
        <is>
          <t>A 17996-2025</t>
        </is>
      </c>
      <c r="B263" s="1" t="n">
        <v>45761.40716435185</v>
      </c>
      <c r="C263" s="1" t="n">
        <v>45997</v>
      </c>
      <c r="D263" t="inlineStr">
        <is>
          <t>JÄMTLANDS LÄN</t>
        </is>
      </c>
      <c r="E263" t="inlineStr">
        <is>
          <t>BRÄCKE</t>
        </is>
      </c>
      <c r="F263" t="inlineStr">
        <is>
          <t>SCA</t>
        </is>
      </c>
      <c r="G263" t="n">
        <v>1.3</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17996-2025 artfynd.xlsx", "A 17996-2025")</f>
        <v/>
      </c>
      <c r="T263">
        <f>HYPERLINK("https://klasma.github.io/Logging_2305/kartor/A 17996-2025 karta.png", "A 17996-2025")</f>
        <v/>
      </c>
      <c r="V263">
        <f>HYPERLINK("https://klasma.github.io/Logging_2305/klagomål/A 17996-2025 FSC-klagomål.docx", "A 17996-2025")</f>
        <v/>
      </c>
      <c r="W263">
        <f>HYPERLINK("https://klasma.github.io/Logging_2305/klagomålsmail/A 17996-2025 FSC-klagomål mail.docx", "A 17996-2025")</f>
        <v/>
      </c>
      <c r="X263">
        <f>HYPERLINK("https://klasma.github.io/Logging_2305/tillsyn/A 17996-2025 tillsynsbegäran.docx", "A 17996-2025")</f>
        <v/>
      </c>
      <c r="Y263">
        <f>HYPERLINK("https://klasma.github.io/Logging_2305/tillsynsmail/A 17996-2025 tillsynsbegäran mail.docx", "A 17996-2025")</f>
        <v/>
      </c>
    </row>
    <row r="264" ht="15" customHeight="1">
      <c r="A264" t="inlineStr">
        <is>
          <t>A 235-2022</t>
        </is>
      </c>
      <c r="B264" s="1" t="n">
        <v>44564</v>
      </c>
      <c r="C264" s="1" t="n">
        <v>45997</v>
      </c>
      <c r="D264" t="inlineStr">
        <is>
          <t>JÄMTLANDS LÄN</t>
        </is>
      </c>
      <c r="E264" t="inlineStr">
        <is>
          <t>BRÄCKE</t>
        </is>
      </c>
      <c r="F264" t="inlineStr">
        <is>
          <t>SCA</t>
        </is>
      </c>
      <c r="G264" t="n">
        <v>5.8</v>
      </c>
      <c r="H264" t="n">
        <v>0</v>
      </c>
      <c r="I264" t="n">
        <v>0</v>
      </c>
      <c r="J264" t="n">
        <v>1</v>
      </c>
      <c r="K264" t="n">
        <v>0</v>
      </c>
      <c r="L264" t="n">
        <v>0</v>
      </c>
      <c r="M264" t="n">
        <v>0</v>
      </c>
      <c r="N264" t="n">
        <v>0</v>
      </c>
      <c r="O264" t="n">
        <v>1</v>
      </c>
      <c r="P264" t="n">
        <v>0</v>
      </c>
      <c r="Q264" t="n">
        <v>1</v>
      </c>
      <c r="R264" s="2" t="inlineStr">
        <is>
          <t>Harticka</t>
        </is>
      </c>
      <c r="S264">
        <f>HYPERLINK("https://klasma.github.io/Logging_2305/artfynd/A 235-2022 artfynd.xlsx", "A 235-2022")</f>
        <v/>
      </c>
      <c r="T264">
        <f>HYPERLINK("https://klasma.github.io/Logging_2305/kartor/A 235-2022 karta.png", "A 235-2022")</f>
        <v/>
      </c>
      <c r="V264">
        <f>HYPERLINK("https://klasma.github.io/Logging_2305/klagomål/A 235-2022 FSC-klagomål.docx", "A 235-2022")</f>
        <v/>
      </c>
      <c r="W264">
        <f>HYPERLINK("https://klasma.github.io/Logging_2305/klagomålsmail/A 235-2022 FSC-klagomål mail.docx", "A 235-2022")</f>
        <v/>
      </c>
      <c r="X264">
        <f>HYPERLINK("https://klasma.github.io/Logging_2305/tillsyn/A 235-2022 tillsynsbegäran.docx", "A 235-2022")</f>
        <v/>
      </c>
      <c r="Y264">
        <f>HYPERLINK("https://klasma.github.io/Logging_2305/tillsynsmail/A 235-2022 tillsynsbegäran mail.docx", "A 235-2022")</f>
        <v/>
      </c>
    </row>
    <row r="265" ht="15" customHeight="1">
      <c r="A265" t="inlineStr">
        <is>
          <t>A 40097-2023</t>
        </is>
      </c>
      <c r="B265" s="1" t="n">
        <v>45168</v>
      </c>
      <c r="C265" s="1" t="n">
        <v>45997</v>
      </c>
      <c r="D265" t="inlineStr">
        <is>
          <t>JÄMTLANDS LÄN</t>
        </is>
      </c>
      <c r="E265" t="inlineStr">
        <is>
          <t>BRÄCKE</t>
        </is>
      </c>
      <c r="F265" t="inlineStr">
        <is>
          <t>SCA</t>
        </is>
      </c>
      <c r="G265" t="n">
        <v>3.8</v>
      </c>
      <c r="H265" t="n">
        <v>1</v>
      </c>
      <c r="I265" t="n">
        <v>0</v>
      </c>
      <c r="J265" t="n">
        <v>0</v>
      </c>
      <c r="K265" t="n">
        <v>1</v>
      </c>
      <c r="L265" t="n">
        <v>0</v>
      </c>
      <c r="M265" t="n">
        <v>0</v>
      </c>
      <c r="N265" t="n">
        <v>0</v>
      </c>
      <c r="O265" t="n">
        <v>1</v>
      </c>
      <c r="P265" t="n">
        <v>1</v>
      </c>
      <c r="Q265" t="n">
        <v>1</v>
      </c>
      <c r="R265" s="2" t="inlineStr">
        <is>
          <t>Knärot</t>
        </is>
      </c>
      <c r="S265">
        <f>HYPERLINK("https://klasma.github.io/Logging_2305/artfynd/A 40097-2023 artfynd.xlsx", "A 40097-2023")</f>
        <v/>
      </c>
      <c r="T265">
        <f>HYPERLINK("https://klasma.github.io/Logging_2305/kartor/A 40097-2023 karta.png", "A 40097-2023")</f>
        <v/>
      </c>
      <c r="U265">
        <f>HYPERLINK("https://klasma.github.io/Logging_2305/knärot/A 40097-2023 karta knärot.png", "A 40097-2023")</f>
        <v/>
      </c>
      <c r="V265">
        <f>HYPERLINK("https://klasma.github.io/Logging_2305/klagomål/A 40097-2023 FSC-klagomål.docx", "A 40097-2023")</f>
        <v/>
      </c>
      <c r="W265">
        <f>HYPERLINK("https://klasma.github.io/Logging_2305/klagomålsmail/A 40097-2023 FSC-klagomål mail.docx", "A 40097-2023")</f>
        <v/>
      </c>
      <c r="X265">
        <f>HYPERLINK("https://klasma.github.io/Logging_2305/tillsyn/A 40097-2023 tillsynsbegäran.docx", "A 40097-2023")</f>
        <v/>
      </c>
      <c r="Y265">
        <f>HYPERLINK("https://klasma.github.io/Logging_2305/tillsynsmail/A 40097-2023 tillsynsbegäran mail.docx", "A 40097-2023")</f>
        <v/>
      </c>
    </row>
    <row r="266" ht="15" customHeight="1">
      <c r="A266" t="inlineStr">
        <is>
          <t>A 789-2025</t>
        </is>
      </c>
      <c r="B266" s="1" t="n">
        <v>45665.51072916666</v>
      </c>
      <c r="C266" s="1" t="n">
        <v>45997</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789-2025 artfynd.xlsx", "A 789-2025")</f>
        <v/>
      </c>
      <c r="T266">
        <f>HYPERLINK("https://klasma.github.io/Logging_2305/kartor/A 789-2025 karta.png", "A 789-2025")</f>
        <v/>
      </c>
      <c r="V266">
        <f>HYPERLINK("https://klasma.github.io/Logging_2305/klagomål/A 789-2025 FSC-klagomål.docx", "A 789-2025")</f>
        <v/>
      </c>
      <c r="W266">
        <f>HYPERLINK("https://klasma.github.io/Logging_2305/klagomålsmail/A 789-2025 FSC-klagomål mail.docx", "A 789-2025")</f>
        <v/>
      </c>
      <c r="X266">
        <f>HYPERLINK("https://klasma.github.io/Logging_2305/tillsyn/A 789-2025 tillsynsbegäran.docx", "A 789-2025")</f>
        <v/>
      </c>
      <c r="Y266">
        <f>HYPERLINK("https://klasma.github.io/Logging_2305/tillsynsmail/A 789-2025 tillsynsbegäran mail.docx", "A 789-2025")</f>
        <v/>
      </c>
    </row>
    <row r="267" ht="15" customHeight="1">
      <c r="A267" t="inlineStr">
        <is>
          <t>A 40869-2024</t>
        </is>
      </c>
      <c r="B267" s="1" t="n">
        <v>45558.59409722222</v>
      </c>
      <c r="C267" s="1" t="n">
        <v>45997</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724-2023</t>
        </is>
      </c>
      <c r="B268" s="1" t="n">
        <v>44930.94215277778</v>
      </c>
      <c r="C268" s="1" t="n">
        <v>45997</v>
      </c>
      <c r="D268" t="inlineStr">
        <is>
          <t>JÄMTLANDS LÄN</t>
        </is>
      </c>
      <c r="E268" t="inlineStr">
        <is>
          <t>BRÄCKE</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724-2023 artfynd.xlsx", "A 724-2023")</f>
        <v/>
      </c>
      <c r="T268">
        <f>HYPERLINK("https://klasma.github.io/Logging_2305/kartor/A 724-2023 karta.png", "A 724-2023")</f>
        <v/>
      </c>
      <c r="V268">
        <f>HYPERLINK("https://klasma.github.io/Logging_2305/klagomål/A 724-2023 FSC-klagomål.docx", "A 724-2023")</f>
        <v/>
      </c>
      <c r="W268">
        <f>HYPERLINK("https://klasma.github.io/Logging_2305/klagomålsmail/A 724-2023 FSC-klagomål mail.docx", "A 724-2023")</f>
        <v/>
      </c>
      <c r="X268">
        <f>HYPERLINK("https://klasma.github.io/Logging_2305/tillsyn/A 724-2023 tillsynsbegäran.docx", "A 724-2023")</f>
        <v/>
      </c>
      <c r="Y268">
        <f>HYPERLINK("https://klasma.github.io/Logging_2305/tillsynsmail/A 724-2023 tillsynsbegäran mail.docx", "A 724-2023")</f>
        <v/>
      </c>
      <c r="Z268">
        <f>HYPERLINK("https://klasma.github.io/Logging_2305/fåglar/A 724-2023 prioriterade fågelarter.docx", "A 724-2023")</f>
        <v/>
      </c>
    </row>
    <row r="269" ht="15" customHeight="1">
      <c r="A269" t="inlineStr">
        <is>
          <t>A 51910-2024</t>
        </is>
      </c>
      <c r="B269" s="1" t="n">
        <v>45607.59954861111</v>
      </c>
      <c r="C269" s="1" t="n">
        <v>45997</v>
      </c>
      <c r="D269" t="inlineStr">
        <is>
          <t>JÄMTLANDS LÄN</t>
        </is>
      </c>
      <c r="E269" t="inlineStr">
        <is>
          <t>BRÄCKE</t>
        </is>
      </c>
      <c r="G269" t="n">
        <v>2.7</v>
      </c>
      <c r="H269" t="n">
        <v>0</v>
      </c>
      <c r="I269" t="n">
        <v>0</v>
      </c>
      <c r="J269" t="n">
        <v>1</v>
      </c>
      <c r="K269" t="n">
        <v>0</v>
      </c>
      <c r="L269" t="n">
        <v>0</v>
      </c>
      <c r="M269" t="n">
        <v>0</v>
      </c>
      <c r="N269" t="n">
        <v>0</v>
      </c>
      <c r="O269" t="n">
        <v>1</v>
      </c>
      <c r="P269" t="n">
        <v>0</v>
      </c>
      <c r="Q269" t="n">
        <v>1</v>
      </c>
      <c r="R269" s="2" t="inlineStr">
        <is>
          <t>Slåtterfibbla</t>
        </is>
      </c>
      <c r="S269">
        <f>HYPERLINK("https://klasma.github.io/Logging_2305/artfynd/A 51910-2024 artfynd.xlsx", "A 51910-2024")</f>
        <v/>
      </c>
      <c r="T269">
        <f>HYPERLINK("https://klasma.github.io/Logging_2305/kartor/A 51910-2024 karta.png", "A 51910-2024")</f>
        <v/>
      </c>
      <c r="V269">
        <f>HYPERLINK("https://klasma.github.io/Logging_2305/klagomål/A 51910-2024 FSC-klagomål.docx", "A 51910-2024")</f>
        <v/>
      </c>
      <c r="W269">
        <f>HYPERLINK("https://klasma.github.io/Logging_2305/klagomålsmail/A 51910-2024 FSC-klagomål mail.docx", "A 51910-2024")</f>
        <v/>
      </c>
      <c r="X269">
        <f>HYPERLINK("https://klasma.github.io/Logging_2305/tillsyn/A 51910-2024 tillsynsbegäran.docx", "A 51910-2024")</f>
        <v/>
      </c>
      <c r="Y269">
        <f>HYPERLINK("https://klasma.github.io/Logging_2305/tillsynsmail/A 51910-2024 tillsynsbegäran mail.docx", "A 51910-2024")</f>
        <v/>
      </c>
    </row>
    <row r="270" ht="15" customHeight="1">
      <c r="A270" t="inlineStr">
        <is>
          <t>A 11553-2024</t>
        </is>
      </c>
      <c r="B270" s="1" t="n">
        <v>45372.95811342593</v>
      </c>
      <c r="C270" s="1" t="n">
        <v>45997</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20866-2025</t>
        </is>
      </c>
      <c r="B271" s="1" t="n">
        <v>45777.34456018519</v>
      </c>
      <c r="C271" s="1" t="n">
        <v>45997</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Violettgrå tagellav</t>
        </is>
      </c>
      <c r="S271">
        <f>HYPERLINK("https://klasma.github.io/Logging_2305/artfynd/A 20866-2025 artfynd.xlsx", "A 20866-2025")</f>
        <v/>
      </c>
      <c r="T271">
        <f>HYPERLINK("https://klasma.github.io/Logging_2305/kartor/A 20866-2025 karta.png", "A 20866-2025")</f>
        <v/>
      </c>
      <c r="V271">
        <f>HYPERLINK("https://klasma.github.io/Logging_2305/klagomål/A 20866-2025 FSC-klagomål.docx", "A 20866-2025")</f>
        <v/>
      </c>
      <c r="W271">
        <f>HYPERLINK("https://klasma.github.io/Logging_2305/klagomålsmail/A 20866-2025 FSC-klagomål mail.docx", "A 20866-2025")</f>
        <v/>
      </c>
      <c r="X271">
        <f>HYPERLINK("https://klasma.github.io/Logging_2305/tillsyn/A 20866-2025 tillsynsbegäran.docx", "A 20866-2025")</f>
        <v/>
      </c>
      <c r="Y271">
        <f>HYPERLINK("https://klasma.github.io/Logging_2305/tillsynsmail/A 20866-2025 tillsynsbegäran mail.docx", "A 20866-2025")</f>
        <v/>
      </c>
    </row>
    <row r="272" ht="15" customHeight="1">
      <c r="A272" t="inlineStr">
        <is>
          <t>A 36312-2024</t>
        </is>
      </c>
      <c r="B272" s="1" t="n">
        <v>45534.63096064814</v>
      </c>
      <c r="C272" s="1" t="n">
        <v>45997</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24552-2022</t>
        </is>
      </c>
      <c r="B273" s="1" t="n">
        <v>44726</v>
      </c>
      <c r="C273" s="1" t="n">
        <v>45997</v>
      </c>
      <c r="D273" t="inlineStr">
        <is>
          <t>JÄMTLANDS LÄN</t>
        </is>
      </c>
      <c r="E273" t="inlineStr">
        <is>
          <t>BRÄCKE</t>
        </is>
      </c>
      <c r="G273" t="n">
        <v>2.6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HYPERLINK("https://klasma.github.io/Logging_2305/artfynd/A 24552-2022 artfynd.xlsx", "A 24552-2022")</f>
        <v/>
      </c>
      <c r="T273">
        <f>HYPERLINK("https://klasma.github.io/Logging_2305/kartor/A 24552-2022 karta.png", "A 24552-2022")</f>
        <v/>
      </c>
      <c r="V273">
        <f>HYPERLINK("https://klasma.github.io/Logging_2305/klagomål/A 24552-2022 FSC-klagomål.docx", "A 24552-2022")</f>
        <v/>
      </c>
      <c r="W273">
        <f>HYPERLINK("https://klasma.github.io/Logging_2305/klagomålsmail/A 24552-2022 FSC-klagomål mail.docx", "A 24552-2022")</f>
        <v/>
      </c>
      <c r="X273">
        <f>HYPERLINK("https://klasma.github.io/Logging_2305/tillsyn/A 24552-2022 tillsynsbegäran.docx", "A 24552-2022")</f>
        <v/>
      </c>
      <c r="Y273">
        <f>HYPERLINK("https://klasma.github.io/Logging_2305/tillsynsmail/A 24552-2022 tillsynsbegäran mail.docx", "A 24552-2022")</f>
        <v/>
      </c>
    </row>
    <row r="274" ht="15" customHeight="1">
      <c r="A274" t="inlineStr">
        <is>
          <t>A 21428-2025</t>
        </is>
      </c>
      <c r="B274" s="1" t="n">
        <v>45782.51072916666</v>
      </c>
      <c r="C274" s="1" t="n">
        <v>45997</v>
      </c>
      <c r="D274" t="inlineStr">
        <is>
          <t>JÄMTLANDS LÄN</t>
        </is>
      </c>
      <c r="E274" t="inlineStr">
        <is>
          <t>BRÄCKE</t>
        </is>
      </c>
      <c r="F274" t="inlineStr">
        <is>
          <t>SCA</t>
        </is>
      </c>
      <c r="G274" t="n">
        <v>3</v>
      </c>
      <c r="H274" t="n">
        <v>0</v>
      </c>
      <c r="I274" t="n">
        <v>0</v>
      </c>
      <c r="J274" t="n">
        <v>1</v>
      </c>
      <c r="K274" t="n">
        <v>0</v>
      </c>
      <c r="L274" t="n">
        <v>0</v>
      </c>
      <c r="M274" t="n">
        <v>0</v>
      </c>
      <c r="N274" t="n">
        <v>0</v>
      </c>
      <c r="O274" t="n">
        <v>1</v>
      </c>
      <c r="P274" t="n">
        <v>0</v>
      </c>
      <c r="Q274" t="n">
        <v>1</v>
      </c>
      <c r="R274" s="2" t="inlineStr">
        <is>
          <t>Lunglav</t>
        </is>
      </c>
      <c r="S274">
        <f>HYPERLINK("https://klasma.github.io/Logging_2305/artfynd/A 21428-2025 artfynd.xlsx", "A 21428-2025")</f>
        <v/>
      </c>
      <c r="T274">
        <f>HYPERLINK("https://klasma.github.io/Logging_2305/kartor/A 21428-2025 karta.png", "A 21428-2025")</f>
        <v/>
      </c>
      <c r="V274">
        <f>HYPERLINK("https://klasma.github.io/Logging_2305/klagomål/A 21428-2025 FSC-klagomål.docx", "A 21428-2025")</f>
        <v/>
      </c>
      <c r="W274">
        <f>HYPERLINK("https://klasma.github.io/Logging_2305/klagomålsmail/A 21428-2025 FSC-klagomål mail.docx", "A 21428-2025")</f>
        <v/>
      </c>
      <c r="X274">
        <f>HYPERLINK("https://klasma.github.io/Logging_2305/tillsyn/A 21428-2025 tillsynsbegäran.docx", "A 21428-2025")</f>
        <v/>
      </c>
      <c r="Y274">
        <f>HYPERLINK("https://klasma.github.io/Logging_2305/tillsynsmail/A 21428-2025 tillsynsbegäran mail.docx", "A 21428-2025")</f>
        <v/>
      </c>
    </row>
    <row r="275" ht="15" customHeight="1">
      <c r="A275" t="inlineStr">
        <is>
          <t>A 15462-2025</t>
        </is>
      </c>
      <c r="B275" s="1" t="n">
        <v>45747.51086805556</v>
      </c>
      <c r="C275" s="1" t="n">
        <v>45997</v>
      </c>
      <c r="D275" t="inlineStr">
        <is>
          <t>JÄMTLANDS LÄN</t>
        </is>
      </c>
      <c r="E275" t="inlineStr">
        <is>
          <t>BRÄCKE</t>
        </is>
      </c>
      <c r="F275" t="inlineStr">
        <is>
          <t>SCA</t>
        </is>
      </c>
      <c r="G275" t="n">
        <v>1.6</v>
      </c>
      <c r="H275" t="n">
        <v>0</v>
      </c>
      <c r="I275" t="n">
        <v>0</v>
      </c>
      <c r="J275" t="n">
        <v>0</v>
      </c>
      <c r="K275" t="n">
        <v>1</v>
      </c>
      <c r="L275" t="n">
        <v>0</v>
      </c>
      <c r="M275" t="n">
        <v>0</v>
      </c>
      <c r="N275" t="n">
        <v>0</v>
      </c>
      <c r="O275" t="n">
        <v>1</v>
      </c>
      <c r="P275" t="n">
        <v>1</v>
      </c>
      <c r="Q275" t="n">
        <v>1</v>
      </c>
      <c r="R275" s="2" t="inlineStr">
        <is>
          <t>Smalskaftslav</t>
        </is>
      </c>
      <c r="S275">
        <f>HYPERLINK("https://klasma.github.io/Logging_2305/artfynd/A 15462-2025 artfynd.xlsx", "A 15462-2025")</f>
        <v/>
      </c>
      <c r="T275">
        <f>HYPERLINK("https://klasma.github.io/Logging_2305/kartor/A 15462-2025 karta.png", "A 15462-2025")</f>
        <v/>
      </c>
      <c r="V275">
        <f>HYPERLINK("https://klasma.github.io/Logging_2305/klagomål/A 15462-2025 FSC-klagomål.docx", "A 15462-2025")</f>
        <v/>
      </c>
      <c r="W275">
        <f>HYPERLINK("https://klasma.github.io/Logging_2305/klagomålsmail/A 15462-2025 FSC-klagomål mail.docx", "A 15462-2025")</f>
        <v/>
      </c>
      <c r="X275">
        <f>HYPERLINK("https://klasma.github.io/Logging_2305/tillsyn/A 15462-2025 tillsynsbegäran.docx", "A 15462-2025")</f>
        <v/>
      </c>
      <c r="Y275">
        <f>HYPERLINK("https://klasma.github.io/Logging_2305/tillsynsmail/A 15462-2025 tillsynsbegäran mail.docx", "A 15462-2025")</f>
        <v/>
      </c>
    </row>
    <row r="276" ht="15" customHeight="1">
      <c r="A276" t="inlineStr">
        <is>
          <t>A 2463-2025</t>
        </is>
      </c>
      <c r="B276" s="1" t="n">
        <v>45674.46915509259</v>
      </c>
      <c r="C276" s="1" t="n">
        <v>45997</v>
      </c>
      <c r="D276" t="inlineStr">
        <is>
          <t>JÄMTLANDS LÄN</t>
        </is>
      </c>
      <c r="E276" t="inlineStr">
        <is>
          <t>BRÄCKE</t>
        </is>
      </c>
      <c r="F276" t="inlineStr">
        <is>
          <t>SCA</t>
        </is>
      </c>
      <c r="G276" t="n">
        <v>3.9</v>
      </c>
      <c r="H276" t="n">
        <v>0</v>
      </c>
      <c r="I276" t="n">
        <v>1</v>
      </c>
      <c r="J276" t="n">
        <v>0</v>
      </c>
      <c r="K276" t="n">
        <v>0</v>
      </c>
      <c r="L276" t="n">
        <v>0</v>
      </c>
      <c r="M276" t="n">
        <v>0</v>
      </c>
      <c r="N276" t="n">
        <v>0</v>
      </c>
      <c r="O276" t="n">
        <v>0</v>
      </c>
      <c r="P276" t="n">
        <v>0</v>
      </c>
      <c r="Q276" t="n">
        <v>1</v>
      </c>
      <c r="R276" s="2" t="inlineStr">
        <is>
          <t>Vedticka</t>
        </is>
      </c>
      <c r="S276">
        <f>HYPERLINK("https://klasma.github.io/Logging_2305/artfynd/A 2463-2025 artfynd.xlsx", "A 2463-2025")</f>
        <v/>
      </c>
      <c r="T276">
        <f>HYPERLINK("https://klasma.github.io/Logging_2305/kartor/A 2463-2025 karta.png", "A 2463-2025")</f>
        <v/>
      </c>
      <c r="V276">
        <f>HYPERLINK("https://klasma.github.io/Logging_2305/klagomål/A 2463-2025 FSC-klagomål.docx", "A 2463-2025")</f>
        <v/>
      </c>
      <c r="W276">
        <f>HYPERLINK("https://klasma.github.io/Logging_2305/klagomålsmail/A 2463-2025 FSC-klagomål mail.docx", "A 2463-2025")</f>
        <v/>
      </c>
      <c r="X276">
        <f>HYPERLINK("https://klasma.github.io/Logging_2305/tillsyn/A 2463-2025 tillsynsbegäran.docx", "A 2463-2025")</f>
        <v/>
      </c>
      <c r="Y276">
        <f>HYPERLINK("https://klasma.github.io/Logging_2305/tillsynsmail/A 2463-2025 tillsynsbegäran mail.docx", "A 2463-2025")</f>
        <v/>
      </c>
    </row>
    <row r="277" ht="15" customHeight="1">
      <c r="A277" t="inlineStr">
        <is>
          <t>A 11614-2024</t>
        </is>
      </c>
      <c r="B277" s="1" t="n">
        <v>45373.42134259259</v>
      </c>
      <c r="C277" s="1" t="n">
        <v>45997</v>
      </c>
      <c r="D277" t="inlineStr">
        <is>
          <t>JÄMTLANDS LÄN</t>
        </is>
      </c>
      <c r="E277" t="inlineStr">
        <is>
          <t>BRÄCKE</t>
        </is>
      </c>
      <c r="G277" t="n">
        <v>4.3</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11614-2024 artfynd.xlsx", "A 11614-2024")</f>
        <v/>
      </c>
      <c r="T277">
        <f>HYPERLINK("https://klasma.github.io/Logging_2305/kartor/A 11614-2024 karta.png", "A 11614-2024")</f>
        <v/>
      </c>
      <c r="V277">
        <f>HYPERLINK("https://klasma.github.io/Logging_2305/klagomål/A 11614-2024 FSC-klagomål.docx", "A 11614-2024")</f>
        <v/>
      </c>
      <c r="W277">
        <f>HYPERLINK("https://klasma.github.io/Logging_2305/klagomålsmail/A 11614-2024 FSC-klagomål mail.docx", "A 11614-2024")</f>
        <v/>
      </c>
      <c r="X277">
        <f>HYPERLINK("https://klasma.github.io/Logging_2305/tillsyn/A 11614-2024 tillsynsbegäran.docx", "A 11614-2024")</f>
        <v/>
      </c>
      <c r="Y277">
        <f>HYPERLINK("https://klasma.github.io/Logging_2305/tillsynsmail/A 11614-2024 tillsynsbegäran mail.docx", "A 11614-2024")</f>
        <v/>
      </c>
    </row>
    <row r="278" ht="15" customHeight="1">
      <c r="A278" t="inlineStr">
        <is>
          <t>A 14628-2022</t>
        </is>
      </c>
      <c r="B278" s="1" t="n">
        <v>44655</v>
      </c>
      <c r="C278" s="1" t="n">
        <v>45997</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30336-2024</t>
        </is>
      </c>
      <c r="B279" s="1" t="n">
        <v>45490.95415509259</v>
      </c>
      <c r="C279" s="1" t="n">
        <v>45997</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15366-2022</t>
        </is>
      </c>
      <c r="B280" s="1" t="n">
        <v>44659</v>
      </c>
      <c r="C280" s="1" t="n">
        <v>45997</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35023-2022</t>
        </is>
      </c>
      <c r="B281" s="1" t="n">
        <v>44796</v>
      </c>
      <c r="C281" s="1" t="n">
        <v>45997</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9816-2024</t>
        </is>
      </c>
      <c r="B282" s="1" t="n">
        <v>45363.04525462963</v>
      </c>
      <c r="C282" s="1" t="n">
        <v>45997</v>
      </c>
      <c r="D282" t="inlineStr">
        <is>
          <t>JÄMTLANDS LÄN</t>
        </is>
      </c>
      <c r="E282" t="inlineStr">
        <is>
          <t>BRÄCKE</t>
        </is>
      </c>
      <c r="F282" t="inlineStr">
        <is>
          <t>SCA</t>
        </is>
      </c>
      <c r="G282" t="n">
        <v>2.1</v>
      </c>
      <c r="H282" t="n">
        <v>1</v>
      </c>
      <c r="I282" t="n">
        <v>0</v>
      </c>
      <c r="J282" t="n">
        <v>0</v>
      </c>
      <c r="K282" t="n">
        <v>1</v>
      </c>
      <c r="L282" t="n">
        <v>0</v>
      </c>
      <c r="M282" t="n">
        <v>0</v>
      </c>
      <c r="N282" t="n">
        <v>0</v>
      </c>
      <c r="O282" t="n">
        <v>1</v>
      </c>
      <c r="P282" t="n">
        <v>1</v>
      </c>
      <c r="Q282" t="n">
        <v>1</v>
      </c>
      <c r="R282" s="2" t="inlineStr">
        <is>
          <t>Knärot</t>
        </is>
      </c>
      <c r="S282">
        <f>HYPERLINK("https://klasma.github.io/Logging_2305/artfynd/A 9816-2024 artfynd.xlsx", "A 9816-2024")</f>
        <v/>
      </c>
      <c r="T282">
        <f>HYPERLINK("https://klasma.github.io/Logging_2305/kartor/A 9816-2024 karta.png", "A 9816-2024")</f>
        <v/>
      </c>
      <c r="U282">
        <f>HYPERLINK("https://klasma.github.io/Logging_2305/knärot/A 9816-2024 karta knärot.png", "A 9816-2024")</f>
        <v/>
      </c>
      <c r="V282">
        <f>HYPERLINK("https://klasma.github.io/Logging_2305/klagomål/A 9816-2024 FSC-klagomål.docx", "A 9816-2024")</f>
        <v/>
      </c>
      <c r="W282">
        <f>HYPERLINK("https://klasma.github.io/Logging_2305/klagomålsmail/A 9816-2024 FSC-klagomål mail.docx", "A 9816-2024")</f>
        <v/>
      </c>
      <c r="X282">
        <f>HYPERLINK("https://klasma.github.io/Logging_2305/tillsyn/A 9816-2024 tillsynsbegäran.docx", "A 9816-2024")</f>
        <v/>
      </c>
      <c r="Y282">
        <f>HYPERLINK("https://klasma.github.io/Logging_2305/tillsynsmail/A 9816-2024 tillsynsbegäran mail.docx", "A 9816-2024")</f>
        <v/>
      </c>
    </row>
    <row r="283" ht="15" customHeight="1">
      <c r="A283" t="inlineStr">
        <is>
          <t>A 49325-2023</t>
        </is>
      </c>
      <c r="B283" s="1" t="n">
        <v>45210</v>
      </c>
      <c r="C283" s="1" t="n">
        <v>45997</v>
      </c>
      <c r="D283" t="inlineStr">
        <is>
          <t>JÄMTLANDS LÄN</t>
        </is>
      </c>
      <c r="E283" t="inlineStr">
        <is>
          <t>BRÄCKE</t>
        </is>
      </c>
      <c r="F283" t="inlineStr">
        <is>
          <t>SCA</t>
        </is>
      </c>
      <c r="G283" t="n">
        <v>7</v>
      </c>
      <c r="H283" t="n">
        <v>1</v>
      </c>
      <c r="I283" t="n">
        <v>0</v>
      </c>
      <c r="J283" t="n">
        <v>0</v>
      </c>
      <c r="K283" t="n">
        <v>1</v>
      </c>
      <c r="L283" t="n">
        <v>0</v>
      </c>
      <c r="M283" t="n">
        <v>0</v>
      </c>
      <c r="N283" t="n">
        <v>0</v>
      </c>
      <c r="O283" t="n">
        <v>1</v>
      </c>
      <c r="P283" t="n">
        <v>1</v>
      </c>
      <c r="Q283" t="n">
        <v>1</v>
      </c>
      <c r="R283" s="2" t="inlineStr">
        <is>
          <t>Doftticka</t>
        </is>
      </c>
      <c r="S283">
        <f>HYPERLINK("https://klasma.github.io/Logging_2305/artfynd/A 49325-2023 artfynd.xlsx", "A 49325-2023")</f>
        <v/>
      </c>
      <c r="T283">
        <f>HYPERLINK("https://klasma.github.io/Logging_2305/kartor/A 49325-2023 karta.png", "A 49325-2023")</f>
        <v/>
      </c>
      <c r="V283">
        <f>HYPERLINK("https://klasma.github.io/Logging_2305/klagomål/A 49325-2023 FSC-klagomål.docx", "A 49325-2023")</f>
        <v/>
      </c>
      <c r="W283">
        <f>HYPERLINK("https://klasma.github.io/Logging_2305/klagomålsmail/A 49325-2023 FSC-klagomål mail.docx", "A 49325-2023")</f>
        <v/>
      </c>
      <c r="X283">
        <f>HYPERLINK("https://klasma.github.io/Logging_2305/tillsyn/A 49325-2023 tillsynsbegäran.docx", "A 49325-2023")</f>
        <v/>
      </c>
      <c r="Y283">
        <f>HYPERLINK("https://klasma.github.io/Logging_2305/tillsynsmail/A 49325-2023 tillsynsbegäran mail.docx", "A 49325-2023")</f>
        <v/>
      </c>
    </row>
    <row r="284" ht="15" customHeight="1">
      <c r="A284" t="inlineStr">
        <is>
          <t>A 58777-2023</t>
        </is>
      </c>
      <c r="B284" s="1" t="n">
        <v>45251.96747685185</v>
      </c>
      <c r="C284" s="1" t="n">
        <v>45997</v>
      </c>
      <c r="D284" t="inlineStr">
        <is>
          <t>JÄMTLANDS LÄN</t>
        </is>
      </c>
      <c r="E284" t="inlineStr">
        <is>
          <t>BRÄCKE</t>
        </is>
      </c>
      <c r="F284" t="inlineStr">
        <is>
          <t>SCA</t>
        </is>
      </c>
      <c r="G284" t="n">
        <v>1.1</v>
      </c>
      <c r="H284" t="n">
        <v>0</v>
      </c>
      <c r="I284" t="n">
        <v>0</v>
      </c>
      <c r="J284" t="n">
        <v>1</v>
      </c>
      <c r="K284" t="n">
        <v>0</v>
      </c>
      <c r="L284" t="n">
        <v>0</v>
      </c>
      <c r="M284" t="n">
        <v>0</v>
      </c>
      <c r="N284" t="n">
        <v>0</v>
      </c>
      <c r="O284" t="n">
        <v>1</v>
      </c>
      <c r="P284" t="n">
        <v>0</v>
      </c>
      <c r="Q284" t="n">
        <v>1</v>
      </c>
      <c r="R284" s="2" t="inlineStr">
        <is>
          <t>Igelkott</t>
        </is>
      </c>
      <c r="S284">
        <f>HYPERLINK("https://klasma.github.io/Logging_2305/artfynd/A 58777-2023 artfynd.xlsx", "A 58777-2023")</f>
        <v/>
      </c>
      <c r="T284">
        <f>HYPERLINK("https://klasma.github.io/Logging_2305/kartor/A 58777-2023 karta.png", "A 58777-2023")</f>
        <v/>
      </c>
      <c r="V284">
        <f>HYPERLINK("https://klasma.github.io/Logging_2305/klagomål/A 58777-2023 FSC-klagomål.docx", "A 58777-2023")</f>
        <v/>
      </c>
      <c r="W284">
        <f>HYPERLINK("https://klasma.github.io/Logging_2305/klagomålsmail/A 58777-2023 FSC-klagomål mail.docx", "A 58777-2023")</f>
        <v/>
      </c>
      <c r="X284">
        <f>HYPERLINK("https://klasma.github.io/Logging_2305/tillsyn/A 58777-2023 tillsynsbegäran.docx", "A 58777-2023")</f>
        <v/>
      </c>
      <c r="Y284">
        <f>HYPERLINK("https://klasma.github.io/Logging_2305/tillsynsmail/A 58777-2023 tillsynsbegäran mail.docx", "A 58777-2023")</f>
        <v/>
      </c>
    </row>
    <row r="285" ht="15" customHeight="1">
      <c r="A285" t="inlineStr">
        <is>
          <t>A 698-2025</t>
        </is>
      </c>
      <c r="B285" s="1" t="n">
        <v>45665.34416666667</v>
      </c>
      <c r="C285" s="1" t="n">
        <v>45997</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11549-2025</t>
        </is>
      </c>
      <c r="B286" s="1" t="n">
        <v>45727.34460648148</v>
      </c>
      <c r="C286" s="1" t="n">
        <v>45997</v>
      </c>
      <c r="D286" t="inlineStr">
        <is>
          <t>JÄMTLANDS LÄN</t>
        </is>
      </c>
      <c r="E286" t="inlineStr">
        <is>
          <t>BRÄCKE</t>
        </is>
      </c>
      <c r="F286" t="inlineStr">
        <is>
          <t>SCA</t>
        </is>
      </c>
      <c r="G286" t="n">
        <v>6.4</v>
      </c>
      <c r="H286" t="n">
        <v>0</v>
      </c>
      <c r="I286" t="n">
        <v>0</v>
      </c>
      <c r="J286" t="n">
        <v>1</v>
      </c>
      <c r="K286" t="n">
        <v>0</v>
      </c>
      <c r="L286" t="n">
        <v>0</v>
      </c>
      <c r="M286" t="n">
        <v>0</v>
      </c>
      <c r="N286" t="n">
        <v>0</v>
      </c>
      <c r="O286" t="n">
        <v>1</v>
      </c>
      <c r="P286" t="n">
        <v>0</v>
      </c>
      <c r="Q286" t="n">
        <v>1</v>
      </c>
      <c r="R286" s="2" t="inlineStr">
        <is>
          <t>Vedtrappmossa</t>
        </is>
      </c>
      <c r="S286">
        <f>HYPERLINK("https://klasma.github.io/Logging_2305/artfynd/A 11549-2025 artfynd.xlsx", "A 11549-2025")</f>
        <v/>
      </c>
      <c r="T286">
        <f>HYPERLINK("https://klasma.github.io/Logging_2305/kartor/A 11549-2025 karta.png", "A 11549-2025")</f>
        <v/>
      </c>
      <c r="V286">
        <f>HYPERLINK("https://klasma.github.io/Logging_2305/klagomål/A 11549-2025 FSC-klagomål.docx", "A 11549-2025")</f>
        <v/>
      </c>
      <c r="W286">
        <f>HYPERLINK("https://klasma.github.io/Logging_2305/klagomålsmail/A 11549-2025 FSC-klagomål mail.docx", "A 11549-2025")</f>
        <v/>
      </c>
      <c r="X286">
        <f>HYPERLINK("https://klasma.github.io/Logging_2305/tillsyn/A 11549-2025 tillsynsbegäran.docx", "A 11549-2025")</f>
        <v/>
      </c>
      <c r="Y286">
        <f>HYPERLINK("https://klasma.github.io/Logging_2305/tillsynsmail/A 11549-2025 tillsynsbegäran mail.docx", "A 11549-2025")</f>
        <v/>
      </c>
    </row>
    <row r="287" ht="15" customHeight="1">
      <c r="A287" t="inlineStr">
        <is>
          <t>A 33479-2024</t>
        </is>
      </c>
      <c r="B287" s="1" t="n">
        <v>45519.60824074074</v>
      </c>
      <c r="C287" s="1" t="n">
        <v>45997</v>
      </c>
      <c r="D287" t="inlineStr">
        <is>
          <t>JÄMTLANDS LÄN</t>
        </is>
      </c>
      <c r="E287" t="inlineStr">
        <is>
          <t>BRÄCKE</t>
        </is>
      </c>
      <c r="F287" t="inlineStr">
        <is>
          <t>SCA</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HYPERLINK("https://klasma.github.io/Logging_2305/artfynd/A 33479-2024 artfynd.xlsx", "A 33479-2024")</f>
        <v/>
      </c>
      <c r="T287">
        <f>HYPERLINK("https://klasma.github.io/Logging_2305/kartor/A 33479-2024 karta.png", "A 33479-2024")</f>
        <v/>
      </c>
      <c r="V287">
        <f>HYPERLINK("https://klasma.github.io/Logging_2305/klagomål/A 33479-2024 FSC-klagomål.docx", "A 33479-2024")</f>
        <v/>
      </c>
      <c r="W287">
        <f>HYPERLINK("https://klasma.github.io/Logging_2305/klagomålsmail/A 33479-2024 FSC-klagomål mail.docx", "A 33479-2024")</f>
        <v/>
      </c>
      <c r="X287">
        <f>HYPERLINK("https://klasma.github.io/Logging_2305/tillsyn/A 33479-2024 tillsynsbegäran.docx", "A 33479-2024")</f>
        <v/>
      </c>
      <c r="Y287">
        <f>HYPERLINK("https://klasma.github.io/Logging_2305/tillsynsmail/A 33479-2024 tillsynsbegäran mail.docx", "A 33479-2024")</f>
        <v/>
      </c>
    </row>
    <row r="288" ht="15" customHeight="1">
      <c r="A288" t="inlineStr">
        <is>
          <t>A 50513-2023</t>
        </is>
      </c>
      <c r="B288" s="1" t="n">
        <v>45216</v>
      </c>
      <c r="C288" s="1" t="n">
        <v>45997</v>
      </c>
      <c r="D288" t="inlineStr">
        <is>
          <t>JÄMTLANDS LÄN</t>
        </is>
      </c>
      <c r="E288" t="inlineStr">
        <is>
          <t>BRÄCKE</t>
        </is>
      </c>
      <c r="F288" t="inlineStr">
        <is>
          <t>SCA</t>
        </is>
      </c>
      <c r="G288" t="n">
        <v>1.7</v>
      </c>
      <c r="H288" t="n">
        <v>1</v>
      </c>
      <c r="I288" t="n">
        <v>0</v>
      </c>
      <c r="J288" t="n">
        <v>0</v>
      </c>
      <c r="K288" t="n">
        <v>0</v>
      </c>
      <c r="L288" t="n">
        <v>0</v>
      </c>
      <c r="M288" t="n">
        <v>0</v>
      </c>
      <c r="N288" t="n">
        <v>0</v>
      </c>
      <c r="O288" t="n">
        <v>0</v>
      </c>
      <c r="P288" t="n">
        <v>0</v>
      </c>
      <c r="Q288" t="n">
        <v>1</v>
      </c>
      <c r="R288" s="2" t="inlineStr">
        <is>
          <t>Grönsiska</t>
        </is>
      </c>
      <c r="S288">
        <f>HYPERLINK("https://klasma.github.io/Logging_2305/artfynd/A 50513-2023 artfynd.xlsx", "A 50513-2023")</f>
        <v/>
      </c>
      <c r="T288">
        <f>HYPERLINK("https://klasma.github.io/Logging_2305/kartor/A 50513-2023 karta.png", "A 50513-2023")</f>
        <v/>
      </c>
      <c r="V288">
        <f>HYPERLINK("https://klasma.github.io/Logging_2305/klagomål/A 50513-2023 FSC-klagomål.docx", "A 50513-2023")</f>
        <v/>
      </c>
      <c r="W288">
        <f>HYPERLINK("https://klasma.github.io/Logging_2305/klagomålsmail/A 50513-2023 FSC-klagomål mail.docx", "A 50513-2023")</f>
        <v/>
      </c>
      <c r="X288">
        <f>HYPERLINK("https://klasma.github.io/Logging_2305/tillsyn/A 50513-2023 tillsynsbegäran.docx", "A 50513-2023")</f>
        <v/>
      </c>
      <c r="Y288">
        <f>HYPERLINK("https://klasma.github.io/Logging_2305/tillsynsmail/A 50513-2023 tillsynsbegäran mail.docx", "A 50513-2023")</f>
        <v/>
      </c>
      <c r="Z288">
        <f>HYPERLINK("https://klasma.github.io/Logging_2305/fåglar/A 50513-2023 prioriterade fågelarter.docx", "A 50513-2023")</f>
        <v/>
      </c>
    </row>
    <row r="289" ht="15" customHeight="1">
      <c r="A289" t="inlineStr">
        <is>
          <t>A 57553-2024</t>
        </is>
      </c>
      <c r="B289" s="1" t="n">
        <v>45630.44898148148</v>
      </c>
      <c r="C289" s="1" t="n">
        <v>45997</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14374-2024</t>
        </is>
      </c>
      <c r="B290" s="1" t="n">
        <v>45393</v>
      </c>
      <c r="C290" s="1" t="n">
        <v>45997</v>
      </c>
      <c r="D290" t="inlineStr">
        <is>
          <t>JÄMTLANDS LÄN</t>
        </is>
      </c>
      <c r="E290" t="inlineStr">
        <is>
          <t>BRÄCKE</t>
        </is>
      </c>
      <c r="F290" t="inlineStr">
        <is>
          <t>SCA</t>
        </is>
      </c>
      <c r="G290" t="n">
        <v>0.8</v>
      </c>
      <c r="H290" t="n">
        <v>1</v>
      </c>
      <c r="I290" t="n">
        <v>0</v>
      </c>
      <c r="J290" t="n">
        <v>1</v>
      </c>
      <c r="K290" t="n">
        <v>0</v>
      </c>
      <c r="L290" t="n">
        <v>0</v>
      </c>
      <c r="M290" t="n">
        <v>0</v>
      </c>
      <c r="N290" t="n">
        <v>0</v>
      </c>
      <c r="O290" t="n">
        <v>1</v>
      </c>
      <c r="P290" t="n">
        <v>0</v>
      </c>
      <c r="Q290" t="n">
        <v>1</v>
      </c>
      <c r="R290" s="2" t="inlineStr">
        <is>
          <t>Kungsörn</t>
        </is>
      </c>
      <c r="S290">
        <f>HYPERLINK("https://klasma.github.io/Logging_2305/artfynd/A 14374-2024 artfynd.xlsx", "A 14374-2024")</f>
        <v/>
      </c>
      <c r="T290">
        <f>HYPERLINK("https://klasma.github.io/Logging_2305/kartor/A 14374-2024 karta.png", "A 14374-2024")</f>
        <v/>
      </c>
      <c r="V290">
        <f>HYPERLINK("https://klasma.github.io/Logging_2305/klagomål/A 14374-2024 FSC-klagomål.docx", "A 14374-2024")</f>
        <v/>
      </c>
      <c r="W290">
        <f>HYPERLINK("https://klasma.github.io/Logging_2305/klagomålsmail/A 14374-2024 FSC-klagomål mail.docx", "A 14374-2024")</f>
        <v/>
      </c>
      <c r="X290">
        <f>HYPERLINK("https://klasma.github.io/Logging_2305/tillsyn/A 14374-2024 tillsynsbegäran.docx", "A 14374-2024")</f>
        <v/>
      </c>
      <c r="Y290">
        <f>HYPERLINK("https://klasma.github.io/Logging_2305/tillsynsmail/A 14374-2024 tillsynsbegäran mail.docx", "A 14374-2024")</f>
        <v/>
      </c>
      <c r="Z290">
        <f>HYPERLINK("https://klasma.github.io/Logging_2305/fåglar/A 14374-2024 prioriterade fågelarter.docx", "A 14374-2024")</f>
        <v/>
      </c>
    </row>
    <row r="291" ht="15" customHeight="1">
      <c r="A291" t="inlineStr">
        <is>
          <t>A 12296-2025</t>
        </is>
      </c>
      <c r="B291" s="1" t="n">
        <v>45729.69829861111</v>
      </c>
      <c r="C291" s="1" t="n">
        <v>45997</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18983-2025</t>
        </is>
      </c>
      <c r="B292" s="1" t="n">
        <v>45764.55618055556</v>
      </c>
      <c r="C292" s="1" t="n">
        <v>45997</v>
      </c>
      <c r="D292" t="inlineStr">
        <is>
          <t>JÄMTLANDS LÄN</t>
        </is>
      </c>
      <c r="E292" t="inlineStr">
        <is>
          <t>BRÄCKE</t>
        </is>
      </c>
      <c r="G292" t="n">
        <v>23.8</v>
      </c>
      <c r="H292" t="n">
        <v>1</v>
      </c>
      <c r="I292" t="n">
        <v>0</v>
      </c>
      <c r="J292" t="n">
        <v>0</v>
      </c>
      <c r="K292" t="n">
        <v>0</v>
      </c>
      <c r="L292" t="n">
        <v>0</v>
      </c>
      <c r="M292" t="n">
        <v>0</v>
      </c>
      <c r="N292" t="n">
        <v>0</v>
      </c>
      <c r="O292" t="n">
        <v>0</v>
      </c>
      <c r="P292" t="n">
        <v>0</v>
      </c>
      <c r="Q292" t="n">
        <v>1</v>
      </c>
      <c r="R292" s="2" t="inlineStr">
        <is>
          <t>Kungsfågel</t>
        </is>
      </c>
      <c r="S292">
        <f>HYPERLINK("https://klasma.github.io/Logging_2305/artfynd/A 18983-2025 artfynd.xlsx", "A 18983-2025")</f>
        <v/>
      </c>
      <c r="T292">
        <f>HYPERLINK("https://klasma.github.io/Logging_2305/kartor/A 18983-2025 karta.png", "A 18983-2025")</f>
        <v/>
      </c>
      <c r="V292">
        <f>HYPERLINK("https://klasma.github.io/Logging_2305/klagomål/A 18983-2025 FSC-klagomål.docx", "A 18983-2025")</f>
        <v/>
      </c>
      <c r="W292">
        <f>HYPERLINK("https://klasma.github.io/Logging_2305/klagomålsmail/A 18983-2025 FSC-klagomål mail.docx", "A 18983-2025")</f>
        <v/>
      </c>
      <c r="X292">
        <f>HYPERLINK("https://klasma.github.io/Logging_2305/tillsyn/A 18983-2025 tillsynsbegäran.docx", "A 18983-2025")</f>
        <v/>
      </c>
      <c r="Y292">
        <f>HYPERLINK("https://klasma.github.io/Logging_2305/tillsynsmail/A 18983-2025 tillsynsbegäran mail.docx", "A 18983-2025")</f>
        <v/>
      </c>
      <c r="Z292">
        <f>HYPERLINK("https://klasma.github.io/Logging_2305/fåglar/A 18983-2025 prioriterade fågelarter.docx", "A 18983-2025")</f>
        <v/>
      </c>
    </row>
    <row r="293" ht="15" customHeight="1">
      <c r="A293" t="inlineStr">
        <is>
          <t>A 56156-2024</t>
        </is>
      </c>
      <c r="B293" s="1" t="n">
        <v>45624.53180555555</v>
      </c>
      <c r="C293" s="1" t="n">
        <v>45997</v>
      </c>
      <c r="D293" t="inlineStr">
        <is>
          <t>JÄMTLANDS LÄN</t>
        </is>
      </c>
      <c r="E293" t="inlineStr">
        <is>
          <t>BRÄCKE</t>
        </is>
      </c>
      <c r="F293" t="inlineStr">
        <is>
          <t>SCA</t>
        </is>
      </c>
      <c r="G293" t="n">
        <v>4.4</v>
      </c>
      <c r="H293" t="n">
        <v>0</v>
      </c>
      <c r="I293" t="n">
        <v>0</v>
      </c>
      <c r="J293" t="n">
        <v>1</v>
      </c>
      <c r="K293" t="n">
        <v>0</v>
      </c>
      <c r="L293" t="n">
        <v>0</v>
      </c>
      <c r="M293" t="n">
        <v>0</v>
      </c>
      <c r="N293" t="n">
        <v>0</v>
      </c>
      <c r="O293" t="n">
        <v>1</v>
      </c>
      <c r="P293" t="n">
        <v>0</v>
      </c>
      <c r="Q293" t="n">
        <v>1</v>
      </c>
      <c r="R293" s="2" t="inlineStr">
        <is>
          <t>Flattoppad klubbsvamp</t>
        </is>
      </c>
      <c r="S293">
        <f>HYPERLINK("https://klasma.github.io/Logging_2305/artfynd/A 56156-2024 artfynd.xlsx", "A 56156-2024")</f>
        <v/>
      </c>
      <c r="T293">
        <f>HYPERLINK("https://klasma.github.io/Logging_2305/kartor/A 56156-2024 karta.png", "A 56156-2024")</f>
        <v/>
      </c>
      <c r="V293">
        <f>HYPERLINK("https://klasma.github.io/Logging_2305/klagomål/A 56156-2024 FSC-klagomål.docx", "A 56156-2024")</f>
        <v/>
      </c>
      <c r="W293">
        <f>HYPERLINK("https://klasma.github.io/Logging_2305/klagomålsmail/A 56156-2024 FSC-klagomål mail.docx", "A 56156-2024")</f>
        <v/>
      </c>
      <c r="X293">
        <f>HYPERLINK("https://klasma.github.io/Logging_2305/tillsyn/A 56156-2024 tillsynsbegäran.docx", "A 56156-2024")</f>
        <v/>
      </c>
      <c r="Y293">
        <f>HYPERLINK("https://klasma.github.io/Logging_2305/tillsynsmail/A 56156-2024 tillsynsbegäran mail.docx", "A 56156-2024")</f>
        <v/>
      </c>
    </row>
    <row r="294" ht="15" customHeight="1">
      <c r="A294" t="inlineStr">
        <is>
          <t>A 22651-2025</t>
        </is>
      </c>
      <c r="B294" s="1" t="n">
        <v>45789.46907407408</v>
      </c>
      <c r="C294" s="1" t="n">
        <v>45997</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37248-2025</t>
        </is>
      </c>
      <c r="B295" s="1" t="n">
        <v>45876.40665509259</v>
      </c>
      <c r="C295" s="1" t="n">
        <v>45997</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45997</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38158-2025</t>
        </is>
      </c>
      <c r="B297" s="1" t="n">
        <v>45882.61518518518</v>
      </c>
      <c r="C297" s="1" t="n">
        <v>45997</v>
      </c>
      <c r="D297" t="inlineStr">
        <is>
          <t>JÄMTLANDS LÄN</t>
        </is>
      </c>
      <c r="E297" t="inlineStr">
        <is>
          <t>BRÄCKE</t>
        </is>
      </c>
      <c r="F297" t="inlineStr">
        <is>
          <t>SCA</t>
        </is>
      </c>
      <c r="G297" t="n">
        <v>19.9</v>
      </c>
      <c r="H297" t="n">
        <v>0</v>
      </c>
      <c r="I297" t="n">
        <v>0</v>
      </c>
      <c r="J297" t="n">
        <v>1</v>
      </c>
      <c r="K297" t="n">
        <v>0</v>
      </c>
      <c r="L297" t="n">
        <v>0</v>
      </c>
      <c r="M297" t="n">
        <v>0</v>
      </c>
      <c r="N297" t="n">
        <v>0</v>
      </c>
      <c r="O297" t="n">
        <v>1</v>
      </c>
      <c r="P297" t="n">
        <v>0</v>
      </c>
      <c r="Q297" t="n">
        <v>1</v>
      </c>
      <c r="R297" s="2" t="inlineStr">
        <is>
          <t>Rödbrun klubbdyna</t>
        </is>
      </c>
      <c r="S297">
        <f>HYPERLINK("https://klasma.github.io/Logging_2305/artfynd/A 38158-2025 artfynd.xlsx", "A 38158-2025")</f>
        <v/>
      </c>
      <c r="T297">
        <f>HYPERLINK("https://klasma.github.io/Logging_2305/kartor/A 38158-2025 karta.png", "A 38158-2025")</f>
        <v/>
      </c>
      <c r="V297">
        <f>HYPERLINK("https://klasma.github.io/Logging_2305/klagomål/A 38158-2025 FSC-klagomål.docx", "A 38158-2025")</f>
        <v/>
      </c>
      <c r="W297">
        <f>HYPERLINK("https://klasma.github.io/Logging_2305/klagomålsmail/A 38158-2025 FSC-klagomål mail.docx", "A 38158-2025")</f>
        <v/>
      </c>
      <c r="X297">
        <f>HYPERLINK("https://klasma.github.io/Logging_2305/tillsyn/A 38158-2025 tillsynsbegäran.docx", "A 38158-2025")</f>
        <v/>
      </c>
      <c r="Y297">
        <f>HYPERLINK("https://klasma.github.io/Logging_2305/tillsynsmail/A 38158-2025 tillsynsbegäran mail.docx", "A 38158-2025")</f>
        <v/>
      </c>
    </row>
    <row r="298" ht="15" customHeight="1">
      <c r="A298" t="inlineStr">
        <is>
          <t>A 37976-2025</t>
        </is>
      </c>
      <c r="B298" s="1" t="n">
        <v>45881.67775462963</v>
      </c>
      <c r="C298" s="1" t="n">
        <v>45997</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39085-2025</t>
        </is>
      </c>
      <c r="B299" s="1" t="n">
        <v>45888</v>
      </c>
      <c r="C299" s="1" t="n">
        <v>45997</v>
      </c>
      <c r="D299" t="inlineStr">
        <is>
          <t>JÄMTLANDS LÄN</t>
        </is>
      </c>
      <c r="E299" t="inlineStr">
        <is>
          <t>BRÄCKE</t>
        </is>
      </c>
      <c r="F299" t="inlineStr">
        <is>
          <t>SCA</t>
        </is>
      </c>
      <c r="G299" t="n">
        <v>3.3</v>
      </c>
      <c r="H299" t="n">
        <v>0</v>
      </c>
      <c r="I299" t="n">
        <v>0</v>
      </c>
      <c r="J299" t="n">
        <v>1</v>
      </c>
      <c r="K299" t="n">
        <v>0</v>
      </c>
      <c r="L299" t="n">
        <v>0</v>
      </c>
      <c r="M299" t="n">
        <v>0</v>
      </c>
      <c r="N299" t="n">
        <v>0</v>
      </c>
      <c r="O299" t="n">
        <v>1</v>
      </c>
      <c r="P299" t="n">
        <v>0</v>
      </c>
      <c r="Q299" t="n">
        <v>1</v>
      </c>
      <c r="R299" s="2" t="inlineStr">
        <is>
          <t>Lunglav</t>
        </is>
      </c>
      <c r="S299">
        <f>HYPERLINK("https://klasma.github.io/Logging_2305/artfynd/A 39085-2025 artfynd.xlsx", "A 39085-2025")</f>
        <v/>
      </c>
      <c r="T299">
        <f>HYPERLINK("https://klasma.github.io/Logging_2305/kartor/A 39085-2025 karta.png", "A 39085-2025")</f>
        <v/>
      </c>
      <c r="V299">
        <f>HYPERLINK("https://klasma.github.io/Logging_2305/klagomål/A 39085-2025 FSC-klagomål.docx", "A 39085-2025")</f>
        <v/>
      </c>
      <c r="W299">
        <f>HYPERLINK("https://klasma.github.io/Logging_2305/klagomålsmail/A 39085-2025 FSC-klagomål mail.docx", "A 39085-2025")</f>
        <v/>
      </c>
      <c r="X299">
        <f>HYPERLINK("https://klasma.github.io/Logging_2305/tillsyn/A 39085-2025 tillsynsbegäran.docx", "A 39085-2025")</f>
        <v/>
      </c>
      <c r="Y299">
        <f>HYPERLINK("https://klasma.github.io/Logging_2305/tillsynsmail/A 39085-2025 tillsynsbegäran mail.docx", "A 39085-2025")</f>
        <v/>
      </c>
    </row>
    <row r="300" ht="15" customHeight="1">
      <c r="A300" t="inlineStr">
        <is>
          <t>A 10736-2025</t>
        </is>
      </c>
      <c r="B300" s="1" t="n">
        <v>45722.40664351852</v>
      </c>
      <c r="C300" s="1" t="n">
        <v>45997</v>
      </c>
      <c r="D300" t="inlineStr">
        <is>
          <t>JÄMTLANDS LÄN</t>
        </is>
      </c>
      <c r="E300" t="inlineStr">
        <is>
          <t>BRÄCKE</t>
        </is>
      </c>
      <c r="F300" t="inlineStr">
        <is>
          <t>SCA</t>
        </is>
      </c>
      <c r="G300" t="n">
        <v>5</v>
      </c>
      <c r="H300" t="n">
        <v>1</v>
      </c>
      <c r="I300" t="n">
        <v>0</v>
      </c>
      <c r="J300" t="n">
        <v>0</v>
      </c>
      <c r="K300" t="n">
        <v>0</v>
      </c>
      <c r="L300" t="n">
        <v>0</v>
      </c>
      <c r="M300" t="n">
        <v>0</v>
      </c>
      <c r="N300" t="n">
        <v>0</v>
      </c>
      <c r="O300" t="n">
        <v>0</v>
      </c>
      <c r="P300" t="n">
        <v>0</v>
      </c>
      <c r="Q300" t="n">
        <v>1</v>
      </c>
      <c r="R300" s="2" t="inlineStr">
        <is>
          <t>Järnsparv</t>
        </is>
      </c>
      <c r="S300">
        <f>HYPERLINK("https://klasma.github.io/Logging_2305/artfynd/A 10736-2025 artfynd.xlsx", "A 10736-2025")</f>
        <v/>
      </c>
      <c r="T300">
        <f>HYPERLINK("https://klasma.github.io/Logging_2305/kartor/A 10736-2025 karta.png", "A 10736-2025")</f>
        <v/>
      </c>
      <c r="V300">
        <f>HYPERLINK("https://klasma.github.io/Logging_2305/klagomål/A 10736-2025 FSC-klagomål.docx", "A 10736-2025")</f>
        <v/>
      </c>
      <c r="W300">
        <f>HYPERLINK("https://klasma.github.io/Logging_2305/klagomålsmail/A 10736-2025 FSC-klagomål mail.docx", "A 10736-2025")</f>
        <v/>
      </c>
      <c r="X300">
        <f>HYPERLINK("https://klasma.github.io/Logging_2305/tillsyn/A 10736-2025 tillsynsbegäran.docx", "A 10736-2025")</f>
        <v/>
      </c>
      <c r="Y300">
        <f>HYPERLINK("https://klasma.github.io/Logging_2305/tillsynsmail/A 10736-2025 tillsynsbegäran mail.docx", "A 10736-2025")</f>
        <v/>
      </c>
      <c r="Z300">
        <f>HYPERLINK("https://klasma.github.io/Logging_2305/fåglar/A 10736-2025 prioriterade fågelarter.docx", "A 10736-2025")</f>
        <v/>
      </c>
    </row>
    <row r="301" ht="15" customHeight="1">
      <c r="A301" t="inlineStr">
        <is>
          <t>A 40835-2025</t>
        </is>
      </c>
      <c r="B301" s="1" t="n">
        <v>45897.5114699074</v>
      </c>
      <c r="C301" s="1" t="n">
        <v>45997</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Kolflarnlav</t>
        </is>
      </c>
      <c r="S301">
        <f>HYPERLINK("https://klasma.github.io/Logging_2305/artfynd/A 40835-2025 artfynd.xlsx", "A 40835-2025")</f>
        <v/>
      </c>
      <c r="T301">
        <f>HYPERLINK("https://klasma.github.io/Logging_2305/kartor/A 40835-2025 karta.png", "A 40835-2025")</f>
        <v/>
      </c>
      <c r="V301">
        <f>HYPERLINK("https://klasma.github.io/Logging_2305/klagomål/A 40835-2025 FSC-klagomål.docx", "A 40835-2025")</f>
        <v/>
      </c>
      <c r="W301">
        <f>HYPERLINK("https://klasma.github.io/Logging_2305/klagomålsmail/A 40835-2025 FSC-klagomål mail.docx", "A 40835-2025")</f>
        <v/>
      </c>
      <c r="X301">
        <f>HYPERLINK("https://klasma.github.io/Logging_2305/tillsyn/A 40835-2025 tillsynsbegäran.docx", "A 40835-2025")</f>
        <v/>
      </c>
      <c r="Y301">
        <f>HYPERLINK("https://klasma.github.io/Logging_2305/tillsynsmail/A 40835-2025 tillsynsbegäran mail.docx", "A 40835-2025")</f>
        <v/>
      </c>
    </row>
    <row r="302" ht="15" customHeight="1">
      <c r="A302" t="inlineStr">
        <is>
          <t>A 40914-2025</t>
        </is>
      </c>
      <c r="B302" s="1" t="n">
        <v>45897.61741898148</v>
      </c>
      <c r="C302" s="1" t="n">
        <v>45997</v>
      </c>
      <c r="D302" t="inlineStr">
        <is>
          <t>JÄMTLANDS LÄN</t>
        </is>
      </c>
      <c r="E302" t="inlineStr">
        <is>
          <t>BRÄCKE</t>
        </is>
      </c>
      <c r="F302" t="inlineStr">
        <is>
          <t>SCA</t>
        </is>
      </c>
      <c r="G302" t="n">
        <v>2.1</v>
      </c>
      <c r="H302" t="n">
        <v>0</v>
      </c>
      <c r="I302" t="n">
        <v>0</v>
      </c>
      <c r="J302" t="n">
        <v>1</v>
      </c>
      <c r="K302" t="n">
        <v>0</v>
      </c>
      <c r="L302" t="n">
        <v>0</v>
      </c>
      <c r="M302" t="n">
        <v>0</v>
      </c>
      <c r="N302" t="n">
        <v>0</v>
      </c>
      <c r="O302" t="n">
        <v>1</v>
      </c>
      <c r="P302" t="n">
        <v>0</v>
      </c>
      <c r="Q302" t="n">
        <v>1</v>
      </c>
      <c r="R302" s="2" t="inlineStr">
        <is>
          <t>Lunglav</t>
        </is>
      </c>
      <c r="S302">
        <f>HYPERLINK("https://klasma.github.io/Logging_2305/artfynd/A 40914-2025 artfynd.xlsx", "A 40914-2025")</f>
        <v/>
      </c>
      <c r="T302">
        <f>HYPERLINK("https://klasma.github.io/Logging_2305/kartor/A 40914-2025 karta.png", "A 40914-2025")</f>
        <v/>
      </c>
      <c r="V302">
        <f>HYPERLINK("https://klasma.github.io/Logging_2305/klagomål/A 40914-2025 FSC-klagomål.docx", "A 40914-2025")</f>
        <v/>
      </c>
      <c r="W302">
        <f>HYPERLINK("https://klasma.github.io/Logging_2305/klagomålsmail/A 40914-2025 FSC-klagomål mail.docx", "A 40914-2025")</f>
        <v/>
      </c>
      <c r="X302">
        <f>HYPERLINK("https://klasma.github.io/Logging_2305/tillsyn/A 40914-2025 tillsynsbegäran.docx", "A 40914-2025")</f>
        <v/>
      </c>
      <c r="Y302">
        <f>HYPERLINK("https://klasma.github.io/Logging_2305/tillsynsmail/A 40914-2025 tillsynsbegäran mail.docx", "A 40914-2025")</f>
        <v/>
      </c>
    </row>
    <row r="303" ht="15" customHeight="1">
      <c r="A303" t="inlineStr">
        <is>
          <t>A 41059-2025</t>
        </is>
      </c>
      <c r="B303" s="1" t="n">
        <v>45898.40703703704</v>
      </c>
      <c r="C303" s="1" t="n">
        <v>45997</v>
      </c>
      <c r="D303" t="inlineStr">
        <is>
          <t>JÄMTLANDS LÄN</t>
        </is>
      </c>
      <c r="E303" t="inlineStr">
        <is>
          <t>BRÄCKE</t>
        </is>
      </c>
      <c r="F303" t="inlineStr">
        <is>
          <t>SCA</t>
        </is>
      </c>
      <c r="G303" t="n">
        <v>8.9</v>
      </c>
      <c r="H303" t="n">
        <v>0</v>
      </c>
      <c r="I303" t="n">
        <v>0</v>
      </c>
      <c r="J303" t="n">
        <v>1</v>
      </c>
      <c r="K303" t="n">
        <v>0</v>
      </c>
      <c r="L303" t="n">
        <v>0</v>
      </c>
      <c r="M303" t="n">
        <v>0</v>
      </c>
      <c r="N303" t="n">
        <v>0</v>
      </c>
      <c r="O303" t="n">
        <v>1</v>
      </c>
      <c r="P303" t="n">
        <v>0</v>
      </c>
      <c r="Q303" t="n">
        <v>1</v>
      </c>
      <c r="R303" s="2" t="inlineStr">
        <is>
          <t>Lunglav</t>
        </is>
      </c>
      <c r="S303">
        <f>HYPERLINK("https://klasma.github.io/Logging_2305/artfynd/A 41059-2025 artfynd.xlsx", "A 41059-2025")</f>
        <v/>
      </c>
      <c r="T303">
        <f>HYPERLINK("https://klasma.github.io/Logging_2305/kartor/A 41059-2025 karta.png", "A 41059-2025")</f>
        <v/>
      </c>
      <c r="V303">
        <f>HYPERLINK("https://klasma.github.io/Logging_2305/klagomål/A 41059-2025 FSC-klagomål.docx", "A 41059-2025")</f>
        <v/>
      </c>
      <c r="W303">
        <f>HYPERLINK("https://klasma.github.io/Logging_2305/klagomålsmail/A 41059-2025 FSC-klagomål mail.docx", "A 41059-2025")</f>
        <v/>
      </c>
      <c r="X303">
        <f>HYPERLINK("https://klasma.github.io/Logging_2305/tillsyn/A 41059-2025 tillsynsbegäran.docx", "A 41059-2025")</f>
        <v/>
      </c>
      <c r="Y303">
        <f>HYPERLINK("https://klasma.github.io/Logging_2305/tillsynsmail/A 41059-2025 tillsynsbegäran mail.docx", "A 41059-2025")</f>
        <v/>
      </c>
    </row>
    <row r="304" ht="15" customHeight="1">
      <c r="A304" t="inlineStr">
        <is>
          <t>A 40842-2025</t>
        </is>
      </c>
      <c r="B304" s="1" t="n">
        <v>45897.53200231482</v>
      </c>
      <c r="C304" s="1" t="n">
        <v>45997</v>
      </c>
      <c r="D304" t="inlineStr">
        <is>
          <t>JÄMTLANDS LÄN</t>
        </is>
      </c>
      <c r="E304" t="inlineStr">
        <is>
          <t>BRÄCKE</t>
        </is>
      </c>
      <c r="F304" t="inlineStr">
        <is>
          <t>SCA</t>
        </is>
      </c>
      <c r="G304" t="n">
        <v>0.5</v>
      </c>
      <c r="H304" t="n">
        <v>0</v>
      </c>
      <c r="I304" t="n">
        <v>0</v>
      </c>
      <c r="J304" t="n">
        <v>1</v>
      </c>
      <c r="K304" t="n">
        <v>0</v>
      </c>
      <c r="L304" t="n">
        <v>0</v>
      </c>
      <c r="M304" t="n">
        <v>0</v>
      </c>
      <c r="N304" t="n">
        <v>0</v>
      </c>
      <c r="O304" t="n">
        <v>1</v>
      </c>
      <c r="P304" t="n">
        <v>0</v>
      </c>
      <c r="Q304" t="n">
        <v>1</v>
      </c>
      <c r="R304" s="2" t="inlineStr">
        <is>
          <t>Lunglav</t>
        </is>
      </c>
      <c r="S304">
        <f>HYPERLINK("https://klasma.github.io/Logging_2305/artfynd/A 40842-2025 artfynd.xlsx", "A 40842-2025")</f>
        <v/>
      </c>
      <c r="T304">
        <f>HYPERLINK("https://klasma.github.io/Logging_2305/kartor/A 40842-2025 karta.png", "A 40842-2025")</f>
        <v/>
      </c>
      <c r="V304">
        <f>HYPERLINK("https://klasma.github.io/Logging_2305/klagomål/A 40842-2025 FSC-klagomål.docx", "A 40842-2025")</f>
        <v/>
      </c>
      <c r="W304">
        <f>HYPERLINK("https://klasma.github.io/Logging_2305/klagomålsmail/A 40842-2025 FSC-klagomål mail.docx", "A 40842-2025")</f>
        <v/>
      </c>
      <c r="X304">
        <f>HYPERLINK("https://klasma.github.io/Logging_2305/tillsyn/A 40842-2025 tillsynsbegäran.docx", "A 40842-2025")</f>
        <v/>
      </c>
      <c r="Y304">
        <f>HYPERLINK("https://klasma.github.io/Logging_2305/tillsynsmail/A 40842-2025 tillsynsbegäran mail.docx", "A 40842-2025")</f>
        <v/>
      </c>
    </row>
    <row r="305" ht="15" customHeight="1">
      <c r="A305" t="inlineStr">
        <is>
          <t>A 40792-2025</t>
        </is>
      </c>
      <c r="B305" s="1" t="n">
        <v>45897.44855324074</v>
      </c>
      <c r="C305" s="1" t="n">
        <v>45997</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48289-2025</t>
        </is>
      </c>
      <c r="B306" s="1" t="n">
        <v>45933.59482638889</v>
      </c>
      <c r="C306" s="1" t="n">
        <v>45997</v>
      </c>
      <c r="D306" t="inlineStr">
        <is>
          <t>JÄMTLANDS LÄN</t>
        </is>
      </c>
      <c r="E306" t="inlineStr">
        <is>
          <t>BRÄCKE</t>
        </is>
      </c>
      <c r="F306" t="inlineStr">
        <is>
          <t>SCA</t>
        </is>
      </c>
      <c r="G306" t="n">
        <v>10.9</v>
      </c>
      <c r="H306" t="n">
        <v>0</v>
      </c>
      <c r="I306" t="n">
        <v>0</v>
      </c>
      <c r="J306" t="n">
        <v>0</v>
      </c>
      <c r="K306" t="n">
        <v>0</v>
      </c>
      <c r="L306" t="n">
        <v>0</v>
      </c>
      <c r="M306" t="n">
        <v>0</v>
      </c>
      <c r="N306" t="n">
        <v>0</v>
      </c>
      <c r="O306" t="n">
        <v>1</v>
      </c>
      <c r="P306" t="n">
        <v>0</v>
      </c>
      <c r="Q306" t="n">
        <v>1</v>
      </c>
      <c r="R306" s="2" t="inlineStr">
        <is>
          <t>Gelatinfingersvamp</t>
        </is>
      </c>
      <c r="S306">
        <f>HYPERLINK("https://klasma.github.io/Logging_2305/artfynd/A 48289-2025 artfynd.xlsx", "A 48289-2025")</f>
        <v/>
      </c>
      <c r="T306">
        <f>HYPERLINK("https://klasma.github.io/Logging_2305/kartor/A 48289-2025 karta.png", "A 48289-2025")</f>
        <v/>
      </c>
      <c r="V306">
        <f>HYPERLINK("https://klasma.github.io/Logging_2305/klagomål/A 48289-2025 FSC-klagomål.docx", "A 48289-2025")</f>
        <v/>
      </c>
      <c r="W306">
        <f>HYPERLINK("https://klasma.github.io/Logging_2305/klagomålsmail/A 48289-2025 FSC-klagomål mail.docx", "A 48289-2025")</f>
        <v/>
      </c>
      <c r="X306">
        <f>HYPERLINK("https://klasma.github.io/Logging_2305/tillsyn/A 48289-2025 tillsynsbegäran.docx", "A 48289-2025")</f>
        <v/>
      </c>
      <c r="Y306">
        <f>HYPERLINK("https://klasma.github.io/Logging_2305/tillsynsmail/A 48289-2025 tillsynsbegäran mail.docx", "A 48289-2025")</f>
        <v/>
      </c>
    </row>
    <row r="307" ht="15" customHeight="1">
      <c r="A307" t="inlineStr">
        <is>
          <t>A 23460-2025</t>
        </is>
      </c>
      <c r="B307" s="1" t="n">
        <v>45792.42776620371</v>
      </c>
      <c r="C307" s="1" t="n">
        <v>45997</v>
      </c>
      <c r="D307" t="inlineStr">
        <is>
          <t>JÄMTLANDS LÄN</t>
        </is>
      </c>
      <c r="E307" t="inlineStr">
        <is>
          <t>BRÄCKE</t>
        </is>
      </c>
      <c r="F307" t="inlineStr">
        <is>
          <t>SCA</t>
        </is>
      </c>
      <c r="G307" t="n">
        <v>2.3</v>
      </c>
      <c r="H307" t="n">
        <v>0</v>
      </c>
      <c r="I307" t="n">
        <v>1</v>
      </c>
      <c r="J307" t="n">
        <v>0</v>
      </c>
      <c r="K307" t="n">
        <v>0</v>
      </c>
      <c r="L307" t="n">
        <v>0</v>
      </c>
      <c r="M307" t="n">
        <v>0</v>
      </c>
      <c r="N307" t="n">
        <v>0</v>
      </c>
      <c r="O307" t="n">
        <v>0</v>
      </c>
      <c r="P307" t="n">
        <v>0</v>
      </c>
      <c r="Q307" t="n">
        <v>1</v>
      </c>
      <c r="R307" s="2" t="inlineStr">
        <is>
          <t>Underviol</t>
        </is>
      </c>
      <c r="S307">
        <f>HYPERLINK("https://klasma.github.io/Logging_2305/artfynd/A 23460-2025 artfynd.xlsx", "A 23460-2025")</f>
        <v/>
      </c>
      <c r="T307">
        <f>HYPERLINK("https://klasma.github.io/Logging_2305/kartor/A 23460-2025 karta.png", "A 23460-2025")</f>
        <v/>
      </c>
      <c r="V307">
        <f>HYPERLINK("https://klasma.github.io/Logging_2305/klagomål/A 23460-2025 FSC-klagomål.docx", "A 23460-2025")</f>
        <v/>
      </c>
      <c r="W307">
        <f>HYPERLINK("https://klasma.github.io/Logging_2305/klagomålsmail/A 23460-2025 FSC-klagomål mail.docx", "A 23460-2025")</f>
        <v/>
      </c>
      <c r="X307">
        <f>HYPERLINK("https://klasma.github.io/Logging_2305/tillsyn/A 23460-2025 tillsynsbegäran.docx", "A 23460-2025")</f>
        <v/>
      </c>
      <c r="Y307">
        <f>HYPERLINK("https://klasma.github.io/Logging_2305/tillsynsmail/A 23460-2025 tillsynsbegäran mail.docx", "A 23460-2025")</f>
        <v/>
      </c>
    </row>
    <row r="308" ht="15" customHeight="1">
      <c r="A308" t="inlineStr">
        <is>
          <t>A 16366-2023</t>
        </is>
      </c>
      <c r="B308" s="1" t="n">
        <v>45028</v>
      </c>
      <c r="C308" s="1" t="n">
        <v>45997</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24094-2025</t>
        </is>
      </c>
      <c r="B309" s="1" t="n">
        <v>45796.57335648148</v>
      </c>
      <c r="C309" s="1" t="n">
        <v>45997</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Vedskivlav</t>
        </is>
      </c>
      <c r="S309">
        <f>HYPERLINK("https://klasma.github.io/Logging_2305/artfynd/A 24094-2025 artfynd.xlsx", "A 24094-2025")</f>
        <v/>
      </c>
      <c r="T309">
        <f>HYPERLINK("https://klasma.github.io/Logging_2305/kartor/A 24094-2025 karta.png", "A 24094-2025")</f>
        <v/>
      </c>
      <c r="V309">
        <f>HYPERLINK("https://klasma.github.io/Logging_2305/klagomål/A 24094-2025 FSC-klagomål.docx", "A 24094-2025")</f>
        <v/>
      </c>
      <c r="W309">
        <f>HYPERLINK("https://klasma.github.io/Logging_2305/klagomålsmail/A 24094-2025 FSC-klagomål mail.docx", "A 24094-2025")</f>
        <v/>
      </c>
      <c r="X309">
        <f>HYPERLINK("https://klasma.github.io/Logging_2305/tillsyn/A 24094-2025 tillsynsbegäran.docx", "A 24094-2025")</f>
        <v/>
      </c>
      <c r="Y309">
        <f>HYPERLINK("https://klasma.github.io/Logging_2305/tillsynsmail/A 24094-2025 tillsynsbegäran mail.docx", "A 24094-2025")</f>
        <v/>
      </c>
    </row>
    <row r="310" ht="15" customHeight="1">
      <c r="A310" t="inlineStr">
        <is>
          <t>A 15189-2025</t>
        </is>
      </c>
      <c r="B310" s="1" t="n">
        <v>45744.55259259259</v>
      </c>
      <c r="C310" s="1" t="n">
        <v>45997</v>
      </c>
      <c r="D310" t="inlineStr">
        <is>
          <t>JÄMTLANDS LÄN</t>
        </is>
      </c>
      <c r="E310" t="inlineStr">
        <is>
          <t>BRÄCKE</t>
        </is>
      </c>
      <c r="F310" t="inlineStr">
        <is>
          <t>SCA</t>
        </is>
      </c>
      <c r="G310" t="n">
        <v>4.6</v>
      </c>
      <c r="H310" t="n">
        <v>1</v>
      </c>
      <c r="I310" t="n">
        <v>0</v>
      </c>
      <c r="J310" t="n">
        <v>1</v>
      </c>
      <c r="K310" t="n">
        <v>0</v>
      </c>
      <c r="L310" t="n">
        <v>0</v>
      </c>
      <c r="M310" t="n">
        <v>0</v>
      </c>
      <c r="N310" t="n">
        <v>0</v>
      </c>
      <c r="O310" t="n">
        <v>1</v>
      </c>
      <c r="P310" t="n">
        <v>0</v>
      </c>
      <c r="Q310" t="n">
        <v>1</v>
      </c>
      <c r="R310" s="2" t="inlineStr">
        <is>
          <t>Tretåig hackspett</t>
        </is>
      </c>
      <c r="S310">
        <f>HYPERLINK("https://klasma.github.io/Logging_2305/artfynd/A 15189-2025 artfynd.xlsx", "A 15189-2025")</f>
        <v/>
      </c>
      <c r="T310">
        <f>HYPERLINK("https://klasma.github.io/Logging_2305/kartor/A 15189-2025 karta.png", "A 15189-2025")</f>
        <v/>
      </c>
      <c r="V310">
        <f>HYPERLINK("https://klasma.github.io/Logging_2305/klagomål/A 15189-2025 FSC-klagomål.docx", "A 15189-2025")</f>
        <v/>
      </c>
      <c r="W310">
        <f>HYPERLINK("https://klasma.github.io/Logging_2305/klagomålsmail/A 15189-2025 FSC-klagomål mail.docx", "A 15189-2025")</f>
        <v/>
      </c>
      <c r="X310">
        <f>HYPERLINK("https://klasma.github.io/Logging_2305/tillsyn/A 15189-2025 tillsynsbegäran.docx", "A 15189-2025")</f>
        <v/>
      </c>
      <c r="Y310">
        <f>HYPERLINK("https://klasma.github.io/Logging_2305/tillsynsmail/A 15189-2025 tillsynsbegäran mail.docx", "A 15189-2025")</f>
        <v/>
      </c>
      <c r="Z310">
        <f>HYPERLINK("https://klasma.github.io/Logging_2305/fåglar/A 15189-2025 prioriterade fågelarter.docx", "A 15189-2025")</f>
        <v/>
      </c>
    </row>
    <row r="311" ht="15" customHeight="1">
      <c r="A311" t="inlineStr">
        <is>
          <t>A 41486-2024</t>
        </is>
      </c>
      <c r="B311" s="1" t="n">
        <v>45560.44907407407</v>
      </c>
      <c r="C311" s="1" t="n">
        <v>45997</v>
      </c>
      <c r="D311" t="inlineStr">
        <is>
          <t>JÄMTLANDS LÄN</t>
        </is>
      </c>
      <c r="E311" t="inlineStr">
        <is>
          <t>BRÄCKE</t>
        </is>
      </c>
      <c r="F311" t="inlineStr">
        <is>
          <t>SCA</t>
        </is>
      </c>
      <c r="G311" t="n">
        <v>5.3</v>
      </c>
      <c r="H311" t="n">
        <v>0</v>
      </c>
      <c r="I311" t="n">
        <v>0</v>
      </c>
      <c r="J311" t="n">
        <v>1</v>
      </c>
      <c r="K311" t="n">
        <v>0</v>
      </c>
      <c r="L311" t="n">
        <v>0</v>
      </c>
      <c r="M311" t="n">
        <v>0</v>
      </c>
      <c r="N311" t="n">
        <v>0</v>
      </c>
      <c r="O311" t="n">
        <v>1</v>
      </c>
      <c r="P311" t="n">
        <v>0</v>
      </c>
      <c r="Q311" t="n">
        <v>1</v>
      </c>
      <c r="R311" s="2" t="inlineStr">
        <is>
          <t>Lunglav</t>
        </is>
      </c>
      <c r="S311">
        <f>HYPERLINK("https://klasma.github.io/Logging_2305/artfynd/A 41486-2024 artfynd.xlsx", "A 41486-2024")</f>
        <v/>
      </c>
      <c r="T311">
        <f>HYPERLINK("https://klasma.github.io/Logging_2305/kartor/A 41486-2024 karta.png", "A 41486-2024")</f>
        <v/>
      </c>
      <c r="V311">
        <f>HYPERLINK("https://klasma.github.io/Logging_2305/klagomål/A 41486-2024 FSC-klagomål.docx", "A 41486-2024")</f>
        <v/>
      </c>
      <c r="W311">
        <f>HYPERLINK("https://klasma.github.io/Logging_2305/klagomålsmail/A 41486-2024 FSC-klagomål mail.docx", "A 41486-2024")</f>
        <v/>
      </c>
      <c r="X311">
        <f>HYPERLINK("https://klasma.github.io/Logging_2305/tillsyn/A 41486-2024 tillsynsbegäran.docx", "A 41486-2024")</f>
        <v/>
      </c>
      <c r="Y311">
        <f>HYPERLINK("https://klasma.github.io/Logging_2305/tillsynsmail/A 41486-2024 tillsynsbegäran mail.docx", "A 41486-2024")</f>
        <v/>
      </c>
    </row>
    <row r="312" ht="15" customHeight="1">
      <c r="A312" t="inlineStr">
        <is>
          <t>A 24851-2025</t>
        </is>
      </c>
      <c r="B312" s="1" t="n">
        <v>45799.46967592592</v>
      </c>
      <c r="C312" s="1" t="n">
        <v>45997</v>
      </c>
      <c r="D312" t="inlineStr">
        <is>
          <t>JÄMTLANDS LÄN</t>
        </is>
      </c>
      <c r="E312" t="inlineStr">
        <is>
          <t>BRÄCKE</t>
        </is>
      </c>
      <c r="F312" t="inlineStr">
        <is>
          <t>SCA</t>
        </is>
      </c>
      <c r="G312" t="n">
        <v>4.1</v>
      </c>
      <c r="H312" t="n">
        <v>1</v>
      </c>
      <c r="I312" t="n">
        <v>0</v>
      </c>
      <c r="J312" t="n">
        <v>0</v>
      </c>
      <c r="K312" t="n">
        <v>0</v>
      </c>
      <c r="L312" t="n">
        <v>1</v>
      </c>
      <c r="M312" t="n">
        <v>0</v>
      </c>
      <c r="N312" t="n">
        <v>0</v>
      </c>
      <c r="O312" t="n">
        <v>1</v>
      </c>
      <c r="P312" t="n">
        <v>1</v>
      </c>
      <c r="Q312" t="n">
        <v>1</v>
      </c>
      <c r="R312" s="2" t="inlineStr">
        <is>
          <t>Violett guldvinge</t>
        </is>
      </c>
      <c r="S312">
        <f>HYPERLINK("https://klasma.github.io/Logging_2305/artfynd/A 24851-2025 artfynd.xlsx", "A 24851-2025")</f>
        <v/>
      </c>
      <c r="T312">
        <f>HYPERLINK("https://klasma.github.io/Logging_2305/kartor/A 24851-2025 karta.png", "A 24851-2025")</f>
        <v/>
      </c>
      <c r="V312">
        <f>HYPERLINK("https://klasma.github.io/Logging_2305/klagomål/A 24851-2025 FSC-klagomål.docx", "A 24851-2025")</f>
        <v/>
      </c>
      <c r="W312">
        <f>HYPERLINK("https://klasma.github.io/Logging_2305/klagomålsmail/A 24851-2025 FSC-klagomål mail.docx", "A 24851-2025")</f>
        <v/>
      </c>
      <c r="X312">
        <f>HYPERLINK("https://klasma.github.io/Logging_2305/tillsyn/A 24851-2025 tillsynsbegäran.docx", "A 24851-2025")</f>
        <v/>
      </c>
      <c r="Y312">
        <f>HYPERLINK("https://klasma.github.io/Logging_2305/tillsynsmail/A 24851-2025 tillsynsbegäran mail.docx", "A 24851-2025")</f>
        <v/>
      </c>
    </row>
    <row r="313" ht="15" customHeight="1">
      <c r="A313" t="inlineStr">
        <is>
          <t>A 44214-2025</t>
        </is>
      </c>
      <c r="B313" s="1" t="n">
        <v>45915.63579861111</v>
      </c>
      <c r="C313" s="1" t="n">
        <v>45997</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25718-2025</t>
        </is>
      </c>
      <c r="B314" s="1" t="n">
        <v>45803.69876157407</v>
      </c>
      <c r="C314" s="1" t="n">
        <v>45997</v>
      </c>
      <c r="D314" t="inlineStr">
        <is>
          <t>JÄMTLANDS LÄN</t>
        </is>
      </c>
      <c r="E314" t="inlineStr">
        <is>
          <t>BRÄCKE</t>
        </is>
      </c>
      <c r="F314" t="inlineStr">
        <is>
          <t>SCA</t>
        </is>
      </c>
      <c r="G314" t="n">
        <v>4.4</v>
      </c>
      <c r="H314" t="n">
        <v>1</v>
      </c>
      <c r="I314" t="n">
        <v>0</v>
      </c>
      <c r="J314" t="n">
        <v>0</v>
      </c>
      <c r="K314" t="n">
        <v>1</v>
      </c>
      <c r="L314" t="n">
        <v>0</v>
      </c>
      <c r="M314" t="n">
        <v>0</v>
      </c>
      <c r="N314" t="n">
        <v>0</v>
      </c>
      <c r="O314" t="n">
        <v>1</v>
      </c>
      <c r="P314" t="n">
        <v>1</v>
      </c>
      <c r="Q314" t="n">
        <v>1</v>
      </c>
      <c r="R314" s="2" t="inlineStr">
        <is>
          <t>Knärot</t>
        </is>
      </c>
      <c r="S314">
        <f>HYPERLINK("https://klasma.github.io/Logging_2305/artfynd/A 25718-2025 artfynd.xlsx", "A 25718-2025")</f>
        <v/>
      </c>
      <c r="T314">
        <f>HYPERLINK("https://klasma.github.io/Logging_2305/kartor/A 25718-2025 karta.png", "A 25718-2025")</f>
        <v/>
      </c>
      <c r="U314">
        <f>HYPERLINK("https://klasma.github.io/Logging_2305/knärot/A 25718-2025 karta knärot.png", "A 25718-2025")</f>
        <v/>
      </c>
      <c r="V314">
        <f>HYPERLINK("https://klasma.github.io/Logging_2305/klagomål/A 25718-2025 FSC-klagomål.docx", "A 25718-2025")</f>
        <v/>
      </c>
      <c r="W314">
        <f>HYPERLINK("https://klasma.github.io/Logging_2305/klagomålsmail/A 25718-2025 FSC-klagomål mail.docx", "A 25718-2025")</f>
        <v/>
      </c>
      <c r="X314">
        <f>HYPERLINK("https://klasma.github.io/Logging_2305/tillsyn/A 25718-2025 tillsynsbegäran.docx", "A 25718-2025")</f>
        <v/>
      </c>
      <c r="Y314">
        <f>HYPERLINK("https://klasma.github.io/Logging_2305/tillsynsmail/A 25718-2025 tillsynsbegäran mail.docx", "A 25718-2025")</f>
        <v/>
      </c>
    </row>
    <row r="315" ht="15" customHeight="1">
      <c r="A315" t="inlineStr">
        <is>
          <t>A 44934-2025</t>
        </is>
      </c>
      <c r="B315" s="1" t="n">
        <v>45918.5737962963</v>
      </c>
      <c r="C315" s="1" t="n">
        <v>45997</v>
      </c>
      <c r="D315" t="inlineStr">
        <is>
          <t>JÄMTLANDS LÄN</t>
        </is>
      </c>
      <c r="E315" t="inlineStr">
        <is>
          <t>BRÄCKE</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44934-2025 artfynd.xlsx", "A 44934-2025")</f>
        <v/>
      </c>
      <c r="T315">
        <f>HYPERLINK("https://klasma.github.io/Logging_2305/kartor/A 44934-2025 karta.png", "A 44934-2025")</f>
        <v/>
      </c>
      <c r="V315">
        <f>HYPERLINK("https://klasma.github.io/Logging_2305/klagomål/A 44934-2025 FSC-klagomål.docx", "A 44934-2025")</f>
        <v/>
      </c>
      <c r="W315">
        <f>HYPERLINK("https://klasma.github.io/Logging_2305/klagomålsmail/A 44934-2025 FSC-klagomål mail.docx", "A 44934-2025")</f>
        <v/>
      </c>
      <c r="X315">
        <f>HYPERLINK("https://klasma.github.io/Logging_2305/tillsyn/A 44934-2025 tillsynsbegäran.docx", "A 44934-2025")</f>
        <v/>
      </c>
      <c r="Y315">
        <f>HYPERLINK("https://klasma.github.io/Logging_2305/tillsynsmail/A 44934-2025 tillsynsbegäran mail.docx", "A 44934-2025")</f>
        <v/>
      </c>
    </row>
    <row r="316" ht="15" customHeight="1">
      <c r="A316" t="inlineStr">
        <is>
          <t>A 44872-2025</t>
        </is>
      </c>
      <c r="B316" s="1" t="n">
        <v>45918.46957175926</v>
      </c>
      <c r="C316" s="1" t="n">
        <v>45997</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27061-2025</t>
        </is>
      </c>
      <c r="B317" s="1" t="n">
        <v>45811.6360300926</v>
      </c>
      <c r="C317" s="1" t="n">
        <v>45997</v>
      </c>
      <c r="D317" t="inlineStr">
        <is>
          <t>JÄMTLANDS LÄN</t>
        </is>
      </c>
      <c r="E317" t="inlineStr">
        <is>
          <t>BRÄCKE</t>
        </is>
      </c>
      <c r="F317" t="inlineStr">
        <is>
          <t>SCA</t>
        </is>
      </c>
      <c r="G317" t="n">
        <v>18.9</v>
      </c>
      <c r="H317" t="n">
        <v>0</v>
      </c>
      <c r="I317" t="n">
        <v>0</v>
      </c>
      <c r="J317" t="n">
        <v>1</v>
      </c>
      <c r="K317" t="n">
        <v>0</v>
      </c>
      <c r="L317" t="n">
        <v>0</v>
      </c>
      <c r="M317" t="n">
        <v>0</v>
      </c>
      <c r="N317" t="n">
        <v>0</v>
      </c>
      <c r="O317" t="n">
        <v>1</v>
      </c>
      <c r="P317" t="n">
        <v>0</v>
      </c>
      <c r="Q317" t="n">
        <v>1</v>
      </c>
      <c r="R317" s="2" t="inlineStr">
        <is>
          <t>Lunglav</t>
        </is>
      </c>
      <c r="S317">
        <f>HYPERLINK("https://klasma.github.io/Logging_2305/artfynd/A 27061-2025 artfynd.xlsx", "A 27061-2025")</f>
        <v/>
      </c>
      <c r="T317">
        <f>HYPERLINK("https://klasma.github.io/Logging_2305/kartor/A 27061-2025 karta.png", "A 27061-2025")</f>
        <v/>
      </c>
      <c r="V317">
        <f>HYPERLINK("https://klasma.github.io/Logging_2305/klagomål/A 27061-2025 FSC-klagomål.docx", "A 27061-2025")</f>
        <v/>
      </c>
      <c r="W317">
        <f>HYPERLINK("https://klasma.github.io/Logging_2305/klagomålsmail/A 27061-2025 FSC-klagomål mail.docx", "A 27061-2025")</f>
        <v/>
      </c>
      <c r="X317">
        <f>HYPERLINK("https://klasma.github.io/Logging_2305/tillsyn/A 27061-2025 tillsynsbegäran.docx", "A 27061-2025")</f>
        <v/>
      </c>
      <c r="Y317">
        <f>HYPERLINK("https://klasma.github.io/Logging_2305/tillsynsmail/A 27061-2025 tillsynsbegäran mail.docx", "A 27061-2025")</f>
        <v/>
      </c>
    </row>
    <row r="318" ht="15" customHeight="1">
      <c r="A318" t="inlineStr">
        <is>
          <t>A 53832-2024</t>
        </is>
      </c>
      <c r="B318" s="1" t="n">
        <v>45615</v>
      </c>
      <c r="C318" s="1" t="n">
        <v>45997</v>
      </c>
      <c r="D318" t="inlineStr">
        <is>
          <t>JÄMTLANDS LÄN</t>
        </is>
      </c>
      <c r="E318" t="inlineStr">
        <is>
          <t>BRÄCKE</t>
        </is>
      </c>
      <c r="F318" t="inlineStr">
        <is>
          <t>SCA</t>
        </is>
      </c>
      <c r="G318" t="n">
        <v>4</v>
      </c>
      <c r="H318" t="n">
        <v>0</v>
      </c>
      <c r="I318" t="n">
        <v>1</v>
      </c>
      <c r="J318" t="n">
        <v>0</v>
      </c>
      <c r="K318" t="n">
        <v>0</v>
      </c>
      <c r="L318" t="n">
        <v>0</v>
      </c>
      <c r="M318" t="n">
        <v>0</v>
      </c>
      <c r="N318" t="n">
        <v>0</v>
      </c>
      <c r="O318" t="n">
        <v>0</v>
      </c>
      <c r="P318" t="n">
        <v>0</v>
      </c>
      <c r="Q318" t="n">
        <v>1</v>
      </c>
      <c r="R318" s="2" t="inlineStr">
        <is>
          <t>Dropptaggsvamp</t>
        </is>
      </c>
      <c r="S318">
        <f>HYPERLINK("https://klasma.github.io/Logging_2305/artfynd/A 53832-2024 artfynd.xlsx", "A 53832-2024")</f>
        <v/>
      </c>
      <c r="T318">
        <f>HYPERLINK("https://klasma.github.io/Logging_2305/kartor/A 53832-2024 karta.png", "A 53832-2024")</f>
        <v/>
      </c>
      <c r="V318">
        <f>HYPERLINK("https://klasma.github.io/Logging_2305/klagomål/A 53832-2024 FSC-klagomål.docx", "A 53832-2024")</f>
        <v/>
      </c>
      <c r="W318">
        <f>HYPERLINK("https://klasma.github.io/Logging_2305/klagomålsmail/A 53832-2024 FSC-klagomål mail.docx", "A 53832-2024")</f>
        <v/>
      </c>
      <c r="X318">
        <f>HYPERLINK("https://klasma.github.io/Logging_2305/tillsyn/A 53832-2024 tillsynsbegäran.docx", "A 53832-2024")</f>
        <v/>
      </c>
      <c r="Y318">
        <f>HYPERLINK("https://klasma.github.io/Logging_2305/tillsynsmail/A 53832-2024 tillsynsbegäran mail.docx", "A 53832-2024")</f>
        <v/>
      </c>
    </row>
    <row r="319" ht="15" customHeight="1">
      <c r="A319" t="inlineStr">
        <is>
          <t>A 27860-2025</t>
        </is>
      </c>
      <c r="B319" s="1" t="n">
        <v>45817.41630787037</v>
      </c>
      <c r="C319" s="1" t="n">
        <v>45997</v>
      </c>
      <c r="D319" t="inlineStr">
        <is>
          <t>JÄMTLANDS LÄN</t>
        </is>
      </c>
      <c r="E319" t="inlineStr">
        <is>
          <t>BRÄCKE</t>
        </is>
      </c>
      <c r="G319" t="n">
        <v>7.9</v>
      </c>
      <c r="H319" t="n">
        <v>0</v>
      </c>
      <c r="I319" t="n">
        <v>0</v>
      </c>
      <c r="J319" t="n">
        <v>1</v>
      </c>
      <c r="K319" t="n">
        <v>0</v>
      </c>
      <c r="L319" t="n">
        <v>0</v>
      </c>
      <c r="M319" t="n">
        <v>0</v>
      </c>
      <c r="N319" t="n">
        <v>0</v>
      </c>
      <c r="O319" t="n">
        <v>1</v>
      </c>
      <c r="P319" t="n">
        <v>0</v>
      </c>
      <c r="Q319" t="n">
        <v>1</v>
      </c>
      <c r="R319" s="2" t="inlineStr">
        <is>
          <t>Blanksvart spiklav</t>
        </is>
      </c>
      <c r="S319">
        <f>HYPERLINK("https://klasma.github.io/Logging_2305/artfynd/A 27860-2025 artfynd.xlsx", "A 27860-2025")</f>
        <v/>
      </c>
      <c r="T319">
        <f>HYPERLINK("https://klasma.github.io/Logging_2305/kartor/A 27860-2025 karta.png", "A 27860-2025")</f>
        <v/>
      </c>
      <c r="V319">
        <f>HYPERLINK("https://klasma.github.io/Logging_2305/klagomål/A 27860-2025 FSC-klagomål.docx", "A 27860-2025")</f>
        <v/>
      </c>
      <c r="W319">
        <f>HYPERLINK("https://klasma.github.io/Logging_2305/klagomålsmail/A 27860-2025 FSC-klagomål mail.docx", "A 27860-2025")</f>
        <v/>
      </c>
      <c r="X319">
        <f>HYPERLINK("https://klasma.github.io/Logging_2305/tillsyn/A 27860-2025 tillsynsbegäran.docx", "A 27860-2025")</f>
        <v/>
      </c>
      <c r="Y319">
        <f>HYPERLINK("https://klasma.github.io/Logging_2305/tillsynsmail/A 27860-2025 tillsynsbegäran mail.docx", "A 27860-2025")</f>
        <v/>
      </c>
    </row>
    <row r="320" ht="15" customHeight="1">
      <c r="A320" t="inlineStr">
        <is>
          <t>A 59000-2025</t>
        </is>
      </c>
      <c r="B320" s="1" t="n">
        <v>45987.67792824074</v>
      </c>
      <c r="C320" s="1" t="n">
        <v>45997</v>
      </c>
      <c r="D320" t="inlineStr">
        <is>
          <t>JÄMTLANDS LÄN</t>
        </is>
      </c>
      <c r="E320" t="inlineStr">
        <is>
          <t>BRÄCKE</t>
        </is>
      </c>
      <c r="F320" t="inlineStr">
        <is>
          <t>SCA</t>
        </is>
      </c>
      <c r="G320" t="n">
        <v>11.4</v>
      </c>
      <c r="H320" t="n">
        <v>0</v>
      </c>
      <c r="I320" t="n">
        <v>0</v>
      </c>
      <c r="J320" t="n">
        <v>1</v>
      </c>
      <c r="K320" t="n">
        <v>0</v>
      </c>
      <c r="L320" t="n">
        <v>0</v>
      </c>
      <c r="M320" t="n">
        <v>0</v>
      </c>
      <c r="N320" t="n">
        <v>0</v>
      </c>
      <c r="O320" t="n">
        <v>1</v>
      </c>
      <c r="P320" t="n">
        <v>0</v>
      </c>
      <c r="Q320" t="n">
        <v>1</v>
      </c>
      <c r="R320" s="2" t="inlineStr">
        <is>
          <t>Kolflarnlav</t>
        </is>
      </c>
      <c r="S320">
        <f>HYPERLINK("https://klasma.github.io/Logging_2305/artfynd/A 59000-2025 artfynd.xlsx", "A 59000-2025")</f>
        <v/>
      </c>
      <c r="T320">
        <f>HYPERLINK("https://klasma.github.io/Logging_2305/kartor/A 59000-2025 karta.png", "A 59000-2025")</f>
        <v/>
      </c>
      <c r="V320">
        <f>HYPERLINK("https://klasma.github.io/Logging_2305/klagomål/A 59000-2025 FSC-klagomål.docx", "A 59000-2025")</f>
        <v/>
      </c>
      <c r="W320">
        <f>HYPERLINK("https://klasma.github.io/Logging_2305/klagomålsmail/A 59000-2025 FSC-klagomål mail.docx", "A 59000-2025")</f>
        <v/>
      </c>
      <c r="X320">
        <f>HYPERLINK("https://klasma.github.io/Logging_2305/tillsyn/A 59000-2025 tillsynsbegäran.docx", "A 59000-2025")</f>
        <v/>
      </c>
      <c r="Y320">
        <f>HYPERLINK("https://klasma.github.io/Logging_2305/tillsynsmail/A 59000-2025 tillsynsbegäran mail.docx", "A 59000-2025")</f>
        <v/>
      </c>
    </row>
    <row r="321" ht="15" customHeight="1">
      <c r="A321" t="inlineStr">
        <is>
          <t>A 28676-2025</t>
        </is>
      </c>
      <c r="B321" s="1" t="n">
        <v>45819.67771990741</v>
      </c>
      <c r="C321" s="1" t="n">
        <v>45997</v>
      </c>
      <c r="D321" t="inlineStr">
        <is>
          <t>JÄMTLANDS LÄN</t>
        </is>
      </c>
      <c r="E321" t="inlineStr">
        <is>
          <t>BRÄCKE</t>
        </is>
      </c>
      <c r="G321" t="n">
        <v>1.2</v>
      </c>
      <c r="H321" t="n">
        <v>0</v>
      </c>
      <c r="I321" t="n">
        <v>1</v>
      </c>
      <c r="J321" t="n">
        <v>0</v>
      </c>
      <c r="K321" t="n">
        <v>0</v>
      </c>
      <c r="L321" t="n">
        <v>0</v>
      </c>
      <c r="M321" t="n">
        <v>0</v>
      </c>
      <c r="N321" t="n">
        <v>0</v>
      </c>
      <c r="O321" t="n">
        <v>0</v>
      </c>
      <c r="P321" t="n">
        <v>0</v>
      </c>
      <c r="Q321" t="n">
        <v>1</v>
      </c>
      <c r="R321" s="2" t="inlineStr">
        <is>
          <t>Rödgul trumpetsvamp</t>
        </is>
      </c>
      <c r="S321">
        <f>HYPERLINK("https://klasma.github.io/Logging_2305/artfynd/A 28676-2025 artfynd.xlsx", "A 28676-2025")</f>
        <v/>
      </c>
      <c r="T321">
        <f>HYPERLINK("https://klasma.github.io/Logging_2305/kartor/A 28676-2025 karta.png", "A 28676-2025")</f>
        <v/>
      </c>
      <c r="V321">
        <f>HYPERLINK("https://klasma.github.io/Logging_2305/klagomål/A 28676-2025 FSC-klagomål.docx", "A 28676-2025")</f>
        <v/>
      </c>
      <c r="W321">
        <f>HYPERLINK("https://klasma.github.io/Logging_2305/klagomålsmail/A 28676-2025 FSC-klagomål mail.docx", "A 28676-2025")</f>
        <v/>
      </c>
      <c r="X321">
        <f>HYPERLINK("https://klasma.github.io/Logging_2305/tillsyn/A 28676-2025 tillsynsbegäran.docx", "A 28676-2025")</f>
        <v/>
      </c>
      <c r="Y321">
        <f>HYPERLINK("https://klasma.github.io/Logging_2305/tillsynsmail/A 28676-2025 tillsynsbegäran mail.docx", "A 28676-2025")</f>
        <v/>
      </c>
    </row>
    <row r="322" ht="15" customHeight="1">
      <c r="A322" t="inlineStr">
        <is>
          <t>A 46626-2025</t>
        </is>
      </c>
      <c r="B322" s="1" t="n">
        <v>45926.4487037037</v>
      </c>
      <c r="C322" s="1" t="n">
        <v>45997</v>
      </c>
      <c r="D322" t="inlineStr">
        <is>
          <t>JÄMTLANDS LÄN</t>
        </is>
      </c>
      <c r="E322" t="inlineStr">
        <is>
          <t>BRÄCKE</t>
        </is>
      </c>
      <c r="F322" t="inlineStr">
        <is>
          <t>SCA</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HYPERLINK("https://klasma.github.io/Logging_2305/artfynd/A 46626-2025 artfynd.xlsx", "A 46626-2025")</f>
        <v/>
      </c>
      <c r="T322">
        <f>HYPERLINK("https://klasma.github.io/Logging_2305/kartor/A 46626-2025 karta.png", "A 46626-2025")</f>
        <v/>
      </c>
      <c r="V322">
        <f>HYPERLINK("https://klasma.github.io/Logging_2305/klagomål/A 46626-2025 FSC-klagomål.docx", "A 46626-2025")</f>
        <v/>
      </c>
      <c r="W322">
        <f>HYPERLINK("https://klasma.github.io/Logging_2305/klagomålsmail/A 46626-2025 FSC-klagomål mail.docx", "A 46626-2025")</f>
        <v/>
      </c>
      <c r="X322">
        <f>HYPERLINK("https://klasma.github.io/Logging_2305/tillsyn/A 46626-2025 tillsynsbegäran.docx", "A 46626-2025")</f>
        <v/>
      </c>
      <c r="Y322">
        <f>HYPERLINK("https://klasma.github.io/Logging_2305/tillsynsmail/A 46626-2025 tillsynsbegäran mail.docx", "A 46626-2025")</f>
        <v/>
      </c>
    </row>
    <row r="323" ht="15" customHeight="1">
      <c r="A323" t="inlineStr">
        <is>
          <t>A 46435-2025</t>
        </is>
      </c>
      <c r="B323" s="1" t="n">
        <v>45925.63583333333</v>
      </c>
      <c r="C323" s="1" t="n">
        <v>45997</v>
      </c>
      <c r="D323" t="inlineStr">
        <is>
          <t>JÄMTLANDS LÄN</t>
        </is>
      </c>
      <c r="E323" t="inlineStr">
        <is>
          <t>BRÄCKE</t>
        </is>
      </c>
      <c r="F323" t="inlineStr">
        <is>
          <t>SCA</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HYPERLINK("https://klasma.github.io/Logging_2305/artfynd/A 46435-2025 artfynd.xlsx", "A 46435-2025")</f>
        <v/>
      </c>
      <c r="T323">
        <f>HYPERLINK("https://klasma.github.io/Logging_2305/kartor/A 46435-2025 karta.png", "A 46435-2025")</f>
        <v/>
      </c>
      <c r="V323">
        <f>HYPERLINK("https://klasma.github.io/Logging_2305/klagomål/A 46435-2025 FSC-klagomål.docx", "A 46435-2025")</f>
        <v/>
      </c>
      <c r="W323">
        <f>HYPERLINK("https://klasma.github.io/Logging_2305/klagomålsmail/A 46435-2025 FSC-klagomål mail.docx", "A 46435-2025")</f>
        <v/>
      </c>
      <c r="X323">
        <f>HYPERLINK("https://klasma.github.io/Logging_2305/tillsyn/A 46435-2025 tillsynsbegäran.docx", "A 46435-2025")</f>
        <v/>
      </c>
      <c r="Y323">
        <f>HYPERLINK("https://klasma.github.io/Logging_2305/tillsynsmail/A 46435-2025 tillsynsbegäran mail.docx", "A 46435-2025")</f>
        <v/>
      </c>
    </row>
    <row r="324" ht="15" customHeight="1">
      <c r="A324" t="inlineStr">
        <is>
          <t>A 59546-2025</t>
        </is>
      </c>
      <c r="B324" s="1" t="n">
        <v>45990.34497685185</v>
      </c>
      <c r="C324" s="1" t="n">
        <v>45997</v>
      </c>
      <c r="D324" t="inlineStr">
        <is>
          <t>JÄMTLANDS LÄN</t>
        </is>
      </c>
      <c r="E324" t="inlineStr">
        <is>
          <t>BRÄCKE</t>
        </is>
      </c>
      <c r="F324" t="inlineStr">
        <is>
          <t>SCA</t>
        </is>
      </c>
      <c r="G324" t="n">
        <v>1</v>
      </c>
      <c r="H324" t="n">
        <v>0</v>
      </c>
      <c r="I324" t="n">
        <v>0</v>
      </c>
      <c r="J324" t="n">
        <v>1</v>
      </c>
      <c r="K324" t="n">
        <v>0</v>
      </c>
      <c r="L324" t="n">
        <v>0</v>
      </c>
      <c r="M324" t="n">
        <v>0</v>
      </c>
      <c r="N324" t="n">
        <v>0</v>
      </c>
      <c r="O324" t="n">
        <v>1</v>
      </c>
      <c r="P324" t="n">
        <v>0</v>
      </c>
      <c r="Q324" t="n">
        <v>1</v>
      </c>
      <c r="R324" s="2" t="inlineStr">
        <is>
          <t>Vedskivlav</t>
        </is>
      </c>
      <c r="S324">
        <f>HYPERLINK("https://klasma.github.io/Logging_2305/artfynd/A 59546-2025 artfynd.xlsx", "A 59546-2025")</f>
        <v/>
      </c>
      <c r="T324">
        <f>HYPERLINK("https://klasma.github.io/Logging_2305/kartor/A 59546-2025 karta.png", "A 59546-2025")</f>
        <v/>
      </c>
      <c r="V324">
        <f>HYPERLINK("https://klasma.github.io/Logging_2305/klagomål/A 59546-2025 FSC-klagomål.docx", "A 59546-2025")</f>
        <v/>
      </c>
      <c r="W324">
        <f>HYPERLINK("https://klasma.github.io/Logging_2305/klagomålsmail/A 59546-2025 FSC-klagomål mail.docx", "A 59546-2025")</f>
        <v/>
      </c>
      <c r="X324">
        <f>HYPERLINK("https://klasma.github.io/Logging_2305/tillsyn/A 59546-2025 tillsynsbegäran.docx", "A 59546-2025")</f>
        <v/>
      </c>
      <c r="Y324">
        <f>HYPERLINK("https://klasma.github.io/Logging_2305/tillsynsmail/A 59546-2025 tillsynsbegäran mail.docx", "A 59546-2025")</f>
        <v/>
      </c>
    </row>
    <row r="325" ht="15" customHeight="1">
      <c r="A325" t="inlineStr">
        <is>
          <t>A 51177-2025</t>
        </is>
      </c>
      <c r="B325" s="1" t="n">
        <v>45947.61255787037</v>
      </c>
      <c r="C325" s="1" t="n">
        <v>45997</v>
      </c>
      <c r="D325" t="inlineStr">
        <is>
          <t>JÄMTLANDS LÄN</t>
        </is>
      </c>
      <c r="E325" t="inlineStr">
        <is>
          <t>BRÄCKE</t>
        </is>
      </c>
      <c r="G325" t="n">
        <v>9.6</v>
      </c>
      <c r="H325" t="n">
        <v>0</v>
      </c>
      <c r="I325" t="n">
        <v>0</v>
      </c>
      <c r="J325" t="n">
        <v>1</v>
      </c>
      <c r="K325" t="n">
        <v>0</v>
      </c>
      <c r="L325" t="n">
        <v>0</v>
      </c>
      <c r="M325" t="n">
        <v>0</v>
      </c>
      <c r="N325" t="n">
        <v>0</v>
      </c>
      <c r="O325" t="n">
        <v>1</v>
      </c>
      <c r="P325" t="n">
        <v>0</v>
      </c>
      <c r="Q325" t="n">
        <v>1</v>
      </c>
      <c r="R325" s="2" t="inlineStr">
        <is>
          <t>Granticka</t>
        </is>
      </c>
      <c r="S325">
        <f>HYPERLINK("https://klasma.github.io/Logging_2305/artfynd/A 51177-2025 artfynd.xlsx", "A 51177-2025")</f>
        <v/>
      </c>
      <c r="T325">
        <f>HYPERLINK("https://klasma.github.io/Logging_2305/kartor/A 51177-2025 karta.png", "A 51177-2025")</f>
        <v/>
      </c>
      <c r="V325">
        <f>HYPERLINK("https://klasma.github.io/Logging_2305/klagomål/A 51177-2025 FSC-klagomål.docx", "A 51177-2025")</f>
        <v/>
      </c>
      <c r="W325">
        <f>HYPERLINK("https://klasma.github.io/Logging_2305/klagomålsmail/A 51177-2025 FSC-klagomål mail.docx", "A 51177-2025")</f>
        <v/>
      </c>
      <c r="X325">
        <f>HYPERLINK("https://klasma.github.io/Logging_2305/tillsyn/A 51177-2025 tillsynsbegäran.docx", "A 51177-2025")</f>
        <v/>
      </c>
      <c r="Y325">
        <f>HYPERLINK("https://klasma.github.io/Logging_2305/tillsynsmail/A 51177-2025 tillsynsbegäran mail.docx", "A 51177-2025")</f>
        <v/>
      </c>
    </row>
    <row r="326" ht="15" customHeight="1">
      <c r="A326" t="inlineStr">
        <is>
          <t>A 31450-2025</t>
        </is>
      </c>
      <c r="B326" s="1" t="n">
        <v>45833.53162037037</v>
      </c>
      <c r="C326" s="1" t="n">
        <v>45997</v>
      </c>
      <c r="D326" t="inlineStr">
        <is>
          <t>JÄMTLANDS LÄN</t>
        </is>
      </c>
      <c r="E326" t="inlineStr">
        <is>
          <t>BRÄCKE</t>
        </is>
      </c>
      <c r="F326" t="inlineStr">
        <is>
          <t>SCA</t>
        </is>
      </c>
      <c r="G326" t="n">
        <v>1.6</v>
      </c>
      <c r="H326" t="n">
        <v>1</v>
      </c>
      <c r="I326" t="n">
        <v>1</v>
      </c>
      <c r="J326" t="n">
        <v>0</v>
      </c>
      <c r="K326" t="n">
        <v>0</v>
      </c>
      <c r="L326" t="n">
        <v>0</v>
      </c>
      <c r="M326" t="n">
        <v>0</v>
      </c>
      <c r="N326" t="n">
        <v>0</v>
      </c>
      <c r="O326" t="n">
        <v>0</v>
      </c>
      <c r="P326" t="n">
        <v>0</v>
      </c>
      <c r="Q326" t="n">
        <v>1</v>
      </c>
      <c r="R326" s="2" t="inlineStr">
        <is>
          <t>Plattlummer</t>
        </is>
      </c>
      <c r="S326">
        <f>HYPERLINK("https://klasma.github.io/Logging_2305/artfynd/A 31450-2025 artfynd.xlsx", "A 31450-2025")</f>
        <v/>
      </c>
      <c r="T326">
        <f>HYPERLINK("https://klasma.github.io/Logging_2305/kartor/A 31450-2025 karta.png", "A 31450-2025")</f>
        <v/>
      </c>
      <c r="V326">
        <f>HYPERLINK("https://klasma.github.io/Logging_2305/klagomål/A 31450-2025 FSC-klagomål.docx", "A 31450-2025")</f>
        <v/>
      </c>
      <c r="W326">
        <f>HYPERLINK("https://klasma.github.io/Logging_2305/klagomålsmail/A 31450-2025 FSC-klagomål mail.docx", "A 31450-2025")</f>
        <v/>
      </c>
      <c r="X326">
        <f>HYPERLINK("https://klasma.github.io/Logging_2305/tillsyn/A 31450-2025 tillsynsbegäran.docx", "A 31450-2025")</f>
        <v/>
      </c>
      <c r="Y326">
        <f>HYPERLINK("https://klasma.github.io/Logging_2305/tillsynsmail/A 31450-2025 tillsynsbegäran mail.docx", "A 31450-2025")</f>
        <v/>
      </c>
    </row>
    <row r="327" ht="15" customHeight="1">
      <c r="A327" t="inlineStr">
        <is>
          <t>A 52226-2025</t>
        </is>
      </c>
      <c r="B327" s="1" t="n">
        <v>45953.44850694444</v>
      </c>
      <c r="C327" s="1" t="n">
        <v>45997</v>
      </c>
      <c r="D327" t="inlineStr">
        <is>
          <t>JÄMTLANDS LÄN</t>
        </is>
      </c>
      <c r="E327" t="inlineStr">
        <is>
          <t>BRÄCKE</t>
        </is>
      </c>
      <c r="F327" t="inlineStr">
        <is>
          <t>SCA</t>
        </is>
      </c>
      <c r="G327" t="n">
        <v>15.7</v>
      </c>
      <c r="H327" t="n">
        <v>0</v>
      </c>
      <c r="I327" t="n">
        <v>0</v>
      </c>
      <c r="J327" t="n">
        <v>1</v>
      </c>
      <c r="K327" t="n">
        <v>0</v>
      </c>
      <c r="L327" t="n">
        <v>0</v>
      </c>
      <c r="M327" t="n">
        <v>0</v>
      </c>
      <c r="N327" t="n">
        <v>0</v>
      </c>
      <c r="O327" t="n">
        <v>1</v>
      </c>
      <c r="P327" t="n">
        <v>0</v>
      </c>
      <c r="Q327" t="n">
        <v>1</v>
      </c>
      <c r="R327" s="2" t="inlineStr">
        <is>
          <t>Brunpudrad nållav</t>
        </is>
      </c>
      <c r="S327">
        <f>HYPERLINK("https://klasma.github.io/Logging_2305/artfynd/A 52226-2025 artfynd.xlsx", "A 52226-2025")</f>
        <v/>
      </c>
      <c r="T327">
        <f>HYPERLINK("https://klasma.github.io/Logging_2305/kartor/A 52226-2025 karta.png", "A 52226-2025")</f>
        <v/>
      </c>
      <c r="V327">
        <f>HYPERLINK("https://klasma.github.io/Logging_2305/klagomål/A 52226-2025 FSC-klagomål.docx", "A 52226-2025")</f>
        <v/>
      </c>
      <c r="W327">
        <f>HYPERLINK("https://klasma.github.io/Logging_2305/klagomålsmail/A 52226-2025 FSC-klagomål mail.docx", "A 52226-2025")</f>
        <v/>
      </c>
      <c r="X327">
        <f>HYPERLINK("https://klasma.github.io/Logging_2305/tillsyn/A 52226-2025 tillsynsbegäran.docx", "A 52226-2025")</f>
        <v/>
      </c>
      <c r="Y327">
        <f>HYPERLINK("https://klasma.github.io/Logging_2305/tillsynsmail/A 52226-2025 tillsynsbegäran mail.docx", "A 52226-2025")</f>
        <v/>
      </c>
    </row>
    <row r="328" ht="15" customHeight="1">
      <c r="A328" t="inlineStr">
        <is>
          <t>A 62079-2022</t>
        </is>
      </c>
      <c r="B328" s="1" t="n">
        <v>44918</v>
      </c>
      <c r="C328" s="1" t="n">
        <v>45997</v>
      </c>
      <c r="D328" t="inlineStr">
        <is>
          <t>JÄMTLANDS LÄN</t>
        </is>
      </c>
      <c r="E328" t="inlineStr">
        <is>
          <t>BRÄCKE</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HYPERLINK("https://klasma.github.io/Logging_2305/artfynd/A 62079-2022 artfynd.xlsx", "A 62079-2022")</f>
        <v/>
      </c>
      <c r="T328">
        <f>HYPERLINK("https://klasma.github.io/Logging_2305/kartor/A 62079-2022 karta.png", "A 62079-2022")</f>
        <v/>
      </c>
      <c r="V328">
        <f>HYPERLINK("https://klasma.github.io/Logging_2305/klagomål/A 62079-2022 FSC-klagomål.docx", "A 62079-2022")</f>
        <v/>
      </c>
      <c r="W328">
        <f>HYPERLINK("https://klasma.github.io/Logging_2305/klagomålsmail/A 62079-2022 FSC-klagomål mail.docx", "A 62079-2022")</f>
        <v/>
      </c>
      <c r="X328">
        <f>HYPERLINK("https://klasma.github.io/Logging_2305/tillsyn/A 62079-2022 tillsynsbegäran.docx", "A 62079-2022")</f>
        <v/>
      </c>
      <c r="Y328">
        <f>HYPERLINK("https://klasma.github.io/Logging_2305/tillsynsmail/A 62079-2022 tillsynsbegäran mail.docx", "A 62079-2022")</f>
        <v/>
      </c>
    </row>
    <row r="329" ht="15" customHeight="1">
      <c r="A329" t="inlineStr">
        <is>
          <t>A 34226-2025</t>
        </is>
      </c>
      <c r="B329" s="1" t="n">
        <v>45845.656875</v>
      </c>
      <c r="C329" s="1" t="n">
        <v>45997</v>
      </c>
      <c r="D329" t="inlineStr">
        <is>
          <t>JÄMTLANDS LÄN</t>
        </is>
      </c>
      <c r="E329" t="inlineStr">
        <is>
          <t>BRÄCKE</t>
        </is>
      </c>
      <c r="F329" t="inlineStr">
        <is>
          <t>SCA</t>
        </is>
      </c>
      <c r="G329" t="n">
        <v>9</v>
      </c>
      <c r="H329" t="n">
        <v>1</v>
      </c>
      <c r="I329" t="n">
        <v>0</v>
      </c>
      <c r="J329" t="n">
        <v>1</v>
      </c>
      <c r="K329" t="n">
        <v>0</v>
      </c>
      <c r="L329" t="n">
        <v>0</v>
      </c>
      <c r="M329" t="n">
        <v>0</v>
      </c>
      <c r="N329" t="n">
        <v>0</v>
      </c>
      <c r="O329" t="n">
        <v>1</v>
      </c>
      <c r="P329" t="n">
        <v>0</v>
      </c>
      <c r="Q329" t="n">
        <v>1</v>
      </c>
      <c r="R329" s="2" t="inlineStr">
        <is>
          <t>Talltita</t>
        </is>
      </c>
      <c r="S329">
        <f>HYPERLINK("https://klasma.github.io/Logging_2305/artfynd/A 34226-2025 artfynd.xlsx", "A 34226-2025")</f>
        <v/>
      </c>
      <c r="T329">
        <f>HYPERLINK("https://klasma.github.io/Logging_2305/kartor/A 34226-2025 karta.png", "A 34226-2025")</f>
        <v/>
      </c>
      <c r="V329">
        <f>HYPERLINK("https://klasma.github.io/Logging_2305/klagomål/A 34226-2025 FSC-klagomål.docx", "A 34226-2025")</f>
        <v/>
      </c>
      <c r="W329">
        <f>HYPERLINK("https://klasma.github.io/Logging_2305/klagomålsmail/A 34226-2025 FSC-klagomål mail.docx", "A 34226-2025")</f>
        <v/>
      </c>
      <c r="X329">
        <f>HYPERLINK("https://klasma.github.io/Logging_2305/tillsyn/A 34226-2025 tillsynsbegäran.docx", "A 34226-2025")</f>
        <v/>
      </c>
      <c r="Y329">
        <f>HYPERLINK("https://klasma.github.io/Logging_2305/tillsynsmail/A 34226-2025 tillsynsbegäran mail.docx", "A 34226-2025")</f>
        <v/>
      </c>
      <c r="Z329">
        <f>HYPERLINK("https://klasma.github.io/Logging_2305/fåglar/A 34226-2025 prioriterade fågelarter.docx", "A 34226-2025")</f>
        <v/>
      </c>
    </row>
    <row r="330" ht="15" customHeight="1">
      <c r="A330" t="inlineStr">
        <is>
          <t>A 34911-2025</t>
        </is>
      </c>
      <c r="B330" s="1" t="n">
        <v>45849.53545138889</v>
      </c>
      <c r="C330" s="1" t="n">
        <v>45997</v>
      </c>
      <c r="D330" t="inlineStr">
        <is>
          <t>JÄMTLANDS LÄN</t>
        </is>
      </c>
      <c r="E330" t="inlineStr">
        <is>
          <t>BRÄCKE</t>
        </is>
      </c>
      <c r="F330" t="inlineStr">
        <is>
          <t>Sveaskog</t>
        </is>
      </c>
      <c r="G330" t="n">
        <v>7.2</v>
      </c>
      <c r="H330" t="n">
        <v>1</v>
      </c>
      <c r="I330" t="n">
        <v>1</v>
      </c>
      <c r="J330" t="n">
        <v>0</v>
      </c>
      <c r="K330" t="n">
        <v>0</v>
      </c>
      <c r="L330" t="n">
        <v>0</v>
      </c>
      <c r="M330" t="n">
        <v>0</v>
      </c>
      <c r="N330" t="n">
        <v>0</v>
      </c>
      <c r="O330" t="n">
        <v>0</v>
      </c>
      <c r="P330" t="n">
        <v>0</v>
      </c>
      <c r="Q330" t="n">
        <v>1</v>
      </c>
      <c r="R330" s="2" t="inlineStr">
        <is>
          <t>Guckusko</t>
        </is>
      </c>
      <c r="S330">
        <f>HYPERLINK("https://klasma.github.io/Logging_2305/artfynd/A 34911-2025 artfynd.xlsx", "A 34911-2025")</f>
        <v/>
      </c>
      <c r="T330">
        <f>HYPERLINK("https://klasma.github.io/Logging_2305/kartor/A 34911-2025 karta.png", "A 34911-2025")</f>
        <v/>
      </c>
      <c r="V330">
        <f>HYPERLINK("https://klasma.github.io/Logging_2305/klagomål/A 34911-2025 FSC-klagomål.docx", "A 34911-2025")</f>
        <v/>
      </c>
      <c r="W330">
        <f>HYPERLINK("https://klasma.github.io/Logging_2305/klagomålsmail/A 34911-2025 FSC-klagomål mail.docx", "A 34911-2025")</f>
        <v/>
      </c>
      <c r="X330">
        <f>HYPERLINK("https://klasma.github.io/Logging_2305/tillsyn/A 34911-2025 tillsynsbegäran.docx", "A 34911-2025")</f>
        <v/>
      </c>
      <c r="Y330">
        <f>HYPERLINK("https://klasma.github.io/Logging_2305/tillsynsmail/A 34911-2025 tillsynsbegäran mail.docx", "A 34911-2025")</f>
        <v/>
      </c>
    </row>
    <row r="331" ht="15" customHeight="1">
      <c r="A331" t="inlineStr">
        <is>
          <t>A 35210-2025</t>
        </is>
      </c>
      <c r="B331" s="1" t="n">
        <v>45853.44842592593</v>
      </c>
      <c r="C331" s="1" t="n">
        <v>45997</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35210-2025 artfynd.xlsx", "A 35210-2025")</f>
        <v/>
      </c>
      <c r="T331">
        <f>HYPERLINK("https://klasma.github.io/Logging_2305/kartor/A 35210-2025 karta.png", "A 35210-2025")</f>
        <v/>
      </c>
      <c r="V331">
        <f>HYPERLINK("https://klasma.github.io/Logging_2305/klagomål/A 35210-2025 FSC-klagomål.docx", "A 35210-2025")</f>
        <v/>
      </c>
      <c r="W331">
        <f>HYPERLINK("https://klasma.github.io/Logging_2305/klagomålsmail/A 35210-2025 FSC-klagomål mail.docx", "A 35210-2025")</f>
        <v/>
      </c>
      <c r="X331">
        <f>HYPERLINK("https://klasma.github.io/Logging_2305/tillsyn/A 35210-2025 tillsynsbegäran.docx", "A 35210-2025")</f>
        <v/>
      </c>
      <c r="Y331">
        <f>HYPERLINK("https://klasma.github.io/Logging_2305/tillsynsmail/A 35210-2025 tillsynsbegäran mail.docx", "A 35210-2025")</f>
        <v/>
      </c>
    </row>
    <row r="332" ht="15" customHeight="1">
      <c r="A332" t="inlineStr">
        <is>
          <t>A 35328-2025</t>
        </is>
      </c>
      <c r="B332" s="1" t="n">
        <v>45854.53034722222</v>
      </c>
      <c r="C332" s="1" t="n">
        <v>45997</v>
      </c>
      <c r="D332" t="inlineStr">
        <is>
          <t>JÄMTLANDS LÄN</t>
        </is>
      </c>
      <c r="E332" t="inlineStr">
        <is>
          <t>BRÄCKE</t>
        </is>
      </c>
      <c r="F332" t="inlineStr">
        <is>
          <t>Sveaskog</t>
        </is>
      </c>
      <c r="G332" t="n">
        <v>4.8</v>
      </c>
      <c r="H332" t="n">
        <v>0</v>
      </c>
      <c r="I332" t="n">
        <v>0</v>
      </c>
      <c r="J332" t="n">
        <v>1</v>
      </c>
      <c r="K332" t="n">
        <v>0</v>
      </c>
      <c r="L332" t="n">
        <v>0</v>
      </c>
      <c r="M332" t="n">
        <v>0</v>
      </c>
      <c r="N332" t="n">
        <v>0</v>
      </c>
      <c r="O332" t="n">
        <v>1</v>
      </c>
      <c r="P332" t="n">
        <v>0</v>
      </c>
      <c r="Q332" t="n">
        <v>1</v>
      </c>
      <c r="R332" s="2" t="inlineStr">
        <is>
          <t>Lunglav</t>
        </is>
      </c>
      <c r="S332">
        <f>HYPERLINK("https://klasma.github.io/Logging_2305/artfynd/A 35328-2025 artfynd.xlsx", "A 35328-2025")</f>
        <v/>
      </c>
      <c r="T332">
        <f>HYPERLINK("https://klasma.github.io/Logging_2305/kartor/A 35328-2025 karta.png", "A 35328-2025")</f>
        <v/>
      </c>
      <c r="V332">
        <f>HYPERLINK("https://klasma.github.io/Logging_2305/klagomål/A 35328-2025 FSC-klagomål.docx", "A 35328-2025")</f>
        <v/>
      </c>
      <c r="W332">
        <f>HYPERLINK("https://klasma.github.io/Logging_2305/klagomålsmail/A 35328-2025 FSC-klagomål mail.docx", "A 35328-2025")</f>
        <v/>
      </c>
      <c r="X332">
        <f>HYPERLINK("https://klasma.github.io/Logging_2305/tillsyn/A 35328-2025 tillsynsbegäran.docx", "A 35328-2025")</f>
        <v/>
      </c>
      <c r="Y332">
        <f>HYPERLINK("https://klasma.github.io/Logging_2305/tillsynsmail/A 35328-2025 tillsynsbegäran mail.docx", "A 35328-2025")</f>
        <v/>
      </c>
    </row>
    <row r="333" ht="15" customHeight="1">
      <c r="A333" t="inlineStr">
        <is>
          <t>A 35579-2025</t>
        </is>
      </c>
      <c r="B333" s="1" t="n">
        <v>45856.67818287037</v>
      </c>
      <c r="C333" s="1" t="n">
        <v>45997</v>
      </c>
      <c r="D333" t="inlineStr">
        <is>
          <t>JÄMTLANDS LÄN</t>
        </is>
      </c>
      <c r="E333" t="inlineStr">
        <is>
          <t>BRÄCKE</t>
        </is>
      </c>
      <c r="F333" t="inlineStr">
        <is>
          <t>SCA</t>
        </is>
      </c>
      <c r="G333" t="n">
        <v>5.2</v>
      </c>
      <c r="H333" t="n">
        <v>0</v>
      </c>
      <c r="I333" t="n">
        <v>0</v>
      </c>
      <c r="J333" t="n">
        <v>1</v>
      </c>
      <c r="K333" t="n">
        <v>0</v>
      </c>
      <c r="L333" t="n">
        <v>0</v>
      </c>
      <c r="M333" t="n">
        <v>0</v>
      </c>
      <c r="N333" t="n">
        <v>0</v>
      </c>
      <c r="O333" t="n">
        <v>1</v>
      </c>
      <c r="P333" t="n">
        <v>0</v>
      </c>
      <c r="Q333" t="n">
        <v>1</v>
      </c>
      <c r="R333" s="2" t="inlineStr">
        <is>
          <t>Tallticka</t>
        </is>
      </c>
      <c r="S333">
        <f>HYPERLINK("https://klasma.github.io/Logging_2305/artfynd/A 35579-2025 artfynd.xlsx", "A 35579-2025")</f>
        <v/>
      </c>
      <c r="T333">
        <f>HYPERLINK("https://klasma.github.io/Logging_2305/kartor/A 35579-2025 karta.png", "A 35579-2025")</f>
        <v/>
      </c>
      <c r="V333">
        <f>HYPERLINK("https://klasma.github.io/Logging_2305/klagomål/A 35579-2025 FSC-klagomål.docx", "A 35579-2025")</f>
        <v/>
      </c>
      <c r="W333">
        <f>HYPERLINK("https://klasma.github.io/Logging_2305/klagomålsmail/A 35579-2025 FSC-klagomål mail.docx", "A 35579-2025")</f>
        <v/>
      </c>
      <c r="X333">
        <f>HYPERLINK("https://klasma.github.io/Logging_2305/tillsyn/A 35579-2025 tillsynsbegäran.docx", "A 35579-2025")</f>
        <v/>
      </c>
      <c r="Y333">
        <f>HYPERLINK("https://klasma.github.io/Logging_2305/tillsynsmail/A 35579-2025 tillsynsbegäran mail.docx", "A 35579-2025")</f>
        <v/>
      </c>
    </row>
    <row r="334" ht="15" customHeight="1">
      <c r="A334" t="inlineStr">
        <is>
          <t>A 9994-2021</t>
        </is>
      </c>
      <c r="B334" s="1" t="n">
        <v>44254</v>
      </c>
      <c r="C334" s="1" t="n">
        <v>45997</v>
      </c>
      <c r="D334" t="inlineStr">
        <is>
          <t>JÄMTLANDS LÄN</t>
        </is>
      </c>
      <c r="E334" t="inlineStr">
        <is>
          <t>BRÄCKE</t>
        </is>
      </c>
      <c r="F334" t="inlineStr">
        <is>
          <t>SCA</t>
        </is>
      </c>
      <c r="G334" t="n">
        <v>2.3</v>
      </c>
      <c r="H334" t="n">
        <v>0</v>
      </c>
      <c r="I334" t="n">
        <v>0</v>
      </c>
      <c r="J334" t="n">
        <v>0</v>
      </c>
      <c r="K334" t="n">
        <v>1</v>
      </c>
      <c r="L334" t="n">
        <v>0</v>
      </c>
      <c r="M334" t="n">
        <v>0</v>
      </c>
      <c r="N334" t="n">
        <v>0</v>
      </c>
      <c r="O334" t="n">
        <v>1</v>
      </c>
      <c r="P334" t="n">
        <v>1</v>
      </c>
      <c r="Q334" t="n">
        <v>1</v>
      </c>
      <c r="R334" s="2" t="inlineStr">
        <is>
          <t>Rynkskinn</t>
        </is>
      </c>
      <c r="S334">
        <f>HYPERLINK("https://klasma.github.io/Logging_2305/artfynd/A 9994-2021 artfynd.xlsx", "A 9994-2021")</f>
        <v/>
      </c>
      <c r="T334">
        <f>HYPERLINK("https://klasma.github.io/Logging_2305/kartor/A 9994-2021 karta.png", "A 9994-2021")</f>
        <v/>
      </c>
      <c r="V334">
        <f>HYPERLINK("https://klasma.github.io/Logging_2305/klagomål/A 9994-2021 FSC-klagomål.docx", "A 9994-2021")</f>
        <v/>
      </c>
      <c r="W334">
        <f>HYPERLINK("https://klasma.github.io/Logging_2305/klagomålsmail/A 9994-2021 FSC-klagomål mail.docx", "A 9994-2021")</f>
        <v/>
      </c>
      <c r="X334">
        <f>HYPERLINK("https://klasma.github.io/Logging_2305/tillsyn/A 9994-2021 tillsynsbegäran.docx", "A 9994-2021")</f>
        <v/>
      </c>
      <c r="Y334">
        <f>HYPERLINK("https://klasma.github.io/Logging_2305/tillsynsmail/A 9994-2021 tillsynsbegäran mail.docx", "A 9994-2021")</f>
        <v/>
      </c>
    </row>
    <row r="335" ht="15" customHeight="1">
      <c r="A335" t="inlineStr">
        <is>
          <t>A 19431-2021</t>
        </is>
      </c>
      <c r="B335" s="1" t="n">
        <v>44309</v>
      </c>
      <c r="C335" s="1" t="n">
        <v>45997</v>
      </c>
      <c r="D335" t="inlineStr">
        <is>
          <t>JÄMTLANDS LÄN</t>
        </is>
      </c>
      <c r="E335" t="inlineStr">
        <is>
          <t>BRÄCKE</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HYPERLINK("https://klasma.github.io/Logging_2305/artfynd/A 19431-2021 artfynd.xlsx", "A 19431-2021")</f>
        <v/>
      </c>
      <c r="T335">
        <f>HYPERLINK("https://klasma.github.io/Logging_2305/kartor/A 19431-2021 karta.png", "A 19431-2021")</f>
        <v/>
      </c>
      <c r="V335">
        <f>HYPERLINK("https://klasma.github.io/Logging_2305/klagomål/A 19431-2021 FSC-klagomål.docx", "A 19431-2021")</f>
        <v/>
      </c>
      <c r="W335">
        <f>HYPERLINK("https://klasma.github.io/Logging_2305/klagomålsmail/A 19431-2021 FSC-klagomål mail.docx", "A 19431-2021")</f>
        <v/>
      </c>
      <c r="X335">
        <f>HYPERLINK("https://klasma.github.io/Logging_2305/tillsyn/A 19431-2021 tillsynsbegäran.docx", "A 19431-2021")</f>
        <v/>
      </c>
      <c r="Y335">
        <f>HYPERLINK("https://klasma.github.io/Logging_2305/tillsynsmail/A 19431-2021 tillsynsbegäran mail.docx", "A 19431-2021")</f>
        <v/>
      </c>
    </row>
    <row r="336" ht="15" customHeight="1">
      <c r="A336" t="inlineStr">
        <is>
          <t>A 2466-2025</t>
        </is>
      </c>
      <c r="B336" s="1" t="n">
        <v>45674.46958333333</v>
      </c>
      <c r="C336" s="1" t="n">
        <v>45997</v>
      </c>
      <c r="D336" t="inlineStr">
        <is>
          <t>JÄMTLANDS LÄN</t>
        </is>
      </c>
      <c r="E336" t="inlineStr">
        <is>
          <t>BRÄCKE</t>
        </is>
      </c>
      <c r="F336" t="inlineStr">
        <is>
          <t>SCA</t>
        </is>
      </c>
      <c r="G336" t="n">
        <v>2.4</v>
      </c>
      <c r="H336" t="n">
        <v>0</v>
      </c>
      <c r="I336" t="n">
        <v>0</v>
      </c>
      <c r="J336" t="n">
        <v>1</v>
      </c>
      <c r="K336" t="n">
        <v>0</v>
      </c>
      <c r="L336" t="n">
        <v>0</v>
      </c>
      <c r="M336" t="n">
        <v>0</v>
      </c>
      <c r="N336" t="n">
        <v>0</v>
      </c>
      <c r="O336" t="n">
        <v>1</v>
      </c>
      <c r="P336" t="n">
        <v>0</v>
      </c>
      <c r="Q336" t="n">
        <v>1</v>
      </c>
      <c r="R336" s="2" t="inlineStr">
        <is>
          <t>Lunglav</t>
        </is>
      </c>
      <c r="S336">
        <f>HYPERLINK("https://klasma.github.io/Logging_2305/artfynd/A 2466-2025 artfynd.xlsx", "A 2466-2025")</f>
        <v/>
      </c>
      <c r="T336">
        <f>HYPERLINK("https://klasma.github.io/Logging_2305/kartor/A 2466-2025 karta.png", "A 2466-2025")</f>
        <v/>
      </c>
      <c r="V336">
        <f>HYPERLINK("https://klasma.github.io/Logging_2305/klagomål/A 2466-2025 FSC-klagomål.docx", "A 2466-2025")</f>
        <v/>
      </c>
      <c r="W336">
        <f>HYPERLINK("https://klasma.github.io/Logging_2305/klagomålsmail/A 2466-2025 FSC-klagomål mail.docx", "A 2466-2025")</f>
        <v/>
      </c>
      <c r="X336">
        <f>HYPERLINK("https://klasma.github.io/Logging_2305/tillsyn/A 2466-2025 tillsynsbegäran.docx", "A 2466-2025")</f>
        <v/>
      </c>
      <c r="Y336">
        <f>HYPERLINK("https://klasma.github.io/Logging_2305/tillsynsmail/A 2466-2025 tillsynsbegäran mail.docx", "A 2466-2025")</f>
        <v/>
      </c>
    </row>
    <row r="337" ht="15" customHeight="1">
      <c r="A337" t="inlineStr">
        <is>
          <t>A 3234-2025</t>
        </is>
      </c>
      <c r="B337" s="1" t="n">
        <v>45679.49020833334</v>
      </c>
      <c r="C337" s="1" t="n">
        <v>45997</v>
      </c>
      <c r="D337" t="inlineStr">
        <is>
          <t>JÄMTLANDS LÄN</t>
        </is>
      </c>
      <c r="E337" t="inlineStr">
        <is>
          <t>BRÄCKE</t>
        </is>
      </c>
      <c r="F337" t="inlineStr">
        <is>
          <t>SCA</t>
        </is>
      </c>
      <c r="G337" t="n">
        <v>1.7</v>
      </c>
      <c r="H337" t="n">
        <v>1</v>
      </c>
      <c r="I337" t="n">
        <v>0</v>
      </c>
      <c r="J337" t="n">
        <v>1</v>
      </c>
      <c r="K337" t="n">
        <v>0</v>
      </c>
      <c r="L337" t="n">
        <v>0</v>
      </c>
      <c r="M337" t="n">
        <v>0</v>
      </c>
      <c r="N337" t="n">
        <v>0</v>
      </c>
      <c r="O337" t="n">
        <v>1</v>
      </c>
      <c r="P337" t="n">
        <v>0</v>
      </c>
      <c r="Q337" t="n">
        <v>1</v>
      </c>
      <c r="R337" s="2" t="inlineStr">
        <is>
          <t>Utter</t>
        </is>
      </c>
      <c r="S337">
        <f>HYPERLINK("https://klasma.github.io/Logging_2305/artfynd/A 3234-2025 artfynd.xlsx", "A 3234-2025")</f>
        <v/>
      </c>
      <c r="T337">
        <f>HYPERLINK("https://klasma.github.io/Logging_2305/kartor/A 3234-2025 karta.png", "A 3234-2025")</f>
        <v/>
      </c>
      <c r="V337">
        <f>HYPERLINK("https://klasma.github.io/Logging_2305/klagomål/A 3234-2025 FSC-klagomål.docx", "A 3234-2025")</f>
        <v/>
      </c>
      <c r="W337">
        <f>HYPERLINK("https://klasma.github.io/Logging_2305/klagomålsmail/A 3234-2025 FSC-klagomål mail.docx", "A 3234-2025")</f>
        <v/>
      </c>
      <c r="X337">
        <f>HYPERLINK("https://klasma.github.io/Logging_2305/tillsyn/A 3234-2025 tillsynsbegäran.docx", "A 3234-2025")</f>
        <v/>
      </c>
      <c r="Y337">
        <f>HYPERLINK("https://klasma.github.io/Logging_2305/tillsynsmail/A 3234-2025 tillsynsbegäran mail.docx", "A 3234-2025")</f>
        <v/>
      </c>
    </row>
    <row r="338" ht="15" customHeight="1">
      <c r="A338" t="inlineStr">
        <is>
          <t>A 427-2025</t>
        </is>
      </c>
      <c r="B338" s="1" t="n">
        <v>45664.35195601852</v>
      </c>
      <c r="C338" s="1" t="n">
        <v>45997</v>
      </c>
      <c r="D338" t="inlineStr">
        <is>
          <t>JÄMTLANDS LÄN</t>
        </is>
      </c>
      <c r="E338" t="inlineStr">
        <is>
          <t>BRÄCKE</t>
        </is>
      </c>
      <c r="G338" t="n">
        <v>1.2</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427-2025 artfynd.xlsx", "A 427-2025")</f>
        <v/>
      </c>
      <c r="T338">
        <f>HYPERLINK("https://klasma.github.io/Logging_2305/kartor/A 427-2025 karta.png", "A 427-2025")</f>
        <v/>
      </c>
      <c r="V338">
        <f>HYPERLINK("https://klasma.github.io/Logging_2305/klagomål/A 427-2025 FSC-klagomål.docx", "A 427-2025")</f>
        <v/>
      </c>
      <c r="W338">
        <f>HYPERLINK("https://klasma.github.io/Logging_2305/klagomålsmail/A 427-2025 FSC-klagomål mail.docx", "A 427-2025")</f>
        <v/>
      </c>
      <c r="X338">
        <f>HYPERLINK("https://klasma.github.io/Logging_2305/tillsyn/A 427-2025 tillsynsbegäran.docx", "A 427-2025")</f>
        <v/>
      </c>
      <c r="Y338">
        <f>HYPERLINK("https://klasma.github.io/Logging_2305/tillsynsmail/A 427-2025 tillsynsbegäran mail.docx", "A 427-2025")</f>
        <v/>
      </c>
    </row>
    <row r="339" ht="15" customHeight="1">
      <c r="A339" t="inlineStr">
        <is>
          <t>A 40100-2023</t>
        </is>
      </c>
      <c r="B339" s="1" t="n">
        <v>45168</v>
      </c>
      <c r="C339" s="1" t="n">
        <v>45997</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9204-2025</t>
        </is>
      </c>
      <c r="B340" s="1" t="n">
        <v>45714.48988425926</v>
      </c>
      <c r="C340" s="1" t="n">
        <v>45997</v>
      </c>
      <c r="D340" t="inlineStr">
        <is>
          <t>JÄMTLANDS LÄN</t>
        </is>
      </c>
      <c r="E340" t="inlineStr">
        <is>
          <t>BRÄCKE</t>
        </is>
      </c>
      <c r="F340" t="inlineStr">
        <is>
          <t>SCA</t>
        </is>
      </c>
      <c r="G340" t="n">
        <v>3.6</v>
      </c>
      <c r="H340" t="n">
        <v>1</v>
      </c>
      <c r="I340" t="n">
        <v>0</v>
      </c>
      <c r="J340" t="n">
        <v>1</v>
      </c>
      <c r="K340" t="n">
        <v>0</v>
      </c>
      <c r="L340" t="n">
        <v>0</v>
      </c>
      <c r="M340" t="n">
        <v>0</v>
      </c>
      <c r="N340" t="n">
        <v>0</v>
      </c>
      <c r="O340" t="n">
        <v>1</v>
      </c>
      <c r="P340" t="n">
        <v>0</v>
      </c>
      <c r="Q340" t="n">
        <v>1</v>
      </c>
      <c r="R340" s="2" t="inlineStr">
        <is>
          <t>Talltita</t>
        </is>
      </c>
      <c r="S340">
        <f>HYPERLINK("https://klasma.github.io/Logging_2305/artfynd/A 9204-2025 artfynd.xlsx", "A 9204-2025")</f>
        <v/>
      </c>
      <c r="T340">
        <f>HYPERLINK("https://klasma.github.io/Logging_2305/kartor/A 9204-2025 karta.png", "A 9204-2025")</f>
        <v/>
      </c>
      <c r="V340">
        <f>HYPERLINK("https://klasma.github.io/Logging_2305/klagomål/A 9204-2025 FSC-klagomål.docx", "A 9204-2025")</f>
        <v/>
      </c>
      <c r="W340">
        <f>HYPERLINK("https://klasma.github.io/Logging_2305/klagomålsmail/A 9204-2025 FSC-klagomål mail.docx", "A 9204-2025")</f>
        <v/>
      </c>
      <c r="X340">
        <f>HYPERLINK("https://klasma.github.io/Logging_2305/tillsyn/A 9204-2025 tillsynsbegäran.docx", "A 9204-2025")</f>
        <v/>
      </c>
      <c r="Y340">
        <f>HYPERLINK("https://klasma.github.io/Logging_2305/tillsynsmail/A 9204-2025 tillsynsbegäran mail.docx", "A 9204-2025")</f>
        <v/>
      </c>
      <c r="Z340">
        <f>HYPERLINK("https://klasma.github.io/Logging_2305/fåglar/A 9204-2025 prioriterade fågelarter.docx", "A 9204-2025")</f>
        <v/>
      </c>
    </row>
    <row r="341" ht="15" customHeight="1">
      <c r="A341" t="inlineStr">
        <is>
          <t>A 44323-2023</t>
        </is>
      </c>
      <c r="B341" s="1" t="n">
        <v>45188</v>
      </c>
      <c r="C341" s="1" t="n">
        <v>45997</v>
      </c>
      <c r="D341" t="inlineStr">
        <is>
          <t>JÄMTLANDS LÄN</t>
        </is>
      </c>
      <c r="E341" t="inlineStr">
        <is>
          <t>BRÄCKE</t>
        </is>
      </c>
      <c r="F341" t="inlineStr">
        <is>
          <t>Sveaskog</t>
        </is>
      </c>
      <c r="G341" t="n">
        <v>3.7</v>
      </c>
      <c r="H341" t="n">
        <v>0</v>
      </c>
      <c r="I341" t="n">
        <v>0</v>
      </c>
      <c r="J341" t="n">
        <v>1</v>
      </c>
      <c r="K341" t="n">
        <v>0</v>
      </c>
      <c r="L341" t="n">
        <v>0</v>
      </c>
      <c r="M341" t="n">
        <v>0</v>
      </c>
      <c r="N341" t="n">
        <v>0</v>
      </c>
      <c r="O341" t="n">
        <v>1</v>
      </c>
      <c r="P341" t="n">
        <v>0</v>
      </c>
      <c r="Q341" t="n">
        <v>1</v>
      </c>
      <c r="R341" s="2" t="inlineStr">
        <is>
          <t>Lunglav</t>
        </is>
      </c>
      <c r="S341">
        <f>HYPERLINK("https://klasma.github.io/Logging_2305/artfynd/A 44323-2023 artfynd.xlsx", "A 44323-2023")</f>
        <v/>
      </c>
      <c r="T341">
        <f>HYPERLINK("https://klasma.github.io/Logging_2305/kartor/A 44323-2023 karta.png", "A 44323-2023")</f>
        <v/>
      </c>
      <c r="V341">
        <f>HYPERLINK("https://klasma.github.io/Logging_2305/klagomål/A 44323-2023 FSC-klagomål.docx", "A 44323-2023")</f>
        <v/>
      </c>
      <c r="W341">
        <f>HYPERLINK("https://klasma.github.io/Logging_2305/klagomålsmail/A 44323-2023 FSC-klagomål mail.docx", "A 44323-2023")</f>
        <v/>
      </c>
      <c r="X341">
        <f>HYPERLINK("https://klasma.github.io/Logging_2305/tillsyn/A 44323-2023 tillsynsbegäran.docx", "A 44323-2023")</f>
        <v/>
      </c>
      <c r="Y341">
        <f>HYPERLINK("https://klasma.github.io/Logging_2305/tillsynsmail/A 44323-2023 tillsynsbegäran mail.docx", "A 44323-2023")</f>
        <v/>
      </c>
    </row>
    <row r="342" ht="15" customHeight="1">
      <c r="A342" t="inlineStr">
        <is>
          <t>A 39701-2022</t>
        </is>
      </c>
      <c r="B342" s="1" t="n">
        <v>44818</v>
      </c>
      <c r="C342" s="1" t="n">
        <v>45997</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45997</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45997</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45997</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45997</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45997</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45997</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45997</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45997</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45997</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45997</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45997</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45997</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45997</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45997</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45997</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45997</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45997</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45997</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45997</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45997</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45997</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45997</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45997</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45997</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45997</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45997</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45997</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45997</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45997</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45997</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45997</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45997</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37032-2022</t>
        </is>
      </c>
      <c r="B375" s="1" t="n">
        <v>44806</v>
      </c>
      <c r="C375" s="1" t="n">
        <v>45997</v>
      </c>
      <c r="D375" t="inlineStr">
        <is>
          <t>JÄMTLANDS LÄN</t>
        </is>
      </c>
      <c r="E375" t="inlineStr">
        <is>
          <t>BRÄCKE</t>
        </is>
      </c>
      <c r="G375" t="n">
        <v>0.7</v>
      </c>
      <c r="H375" t="n">
        <v>0</v>
      </c>
      <c r="I375" t="n">
        <v>0</v>
      </c>
      <c r="J375" t="n">
        <v>0</v>
      </c>
      <c r="K375" t="n">
        <v>0</v>
      </c>
      <c r="L375" t="n">
        <v>0</v>
      </c>
      <c r="M375" t="n">
        <v>0</v>
      </c>
      <c r="N375" t="n">
        <v>0</v>
      </c>
      <c r="O375" t="n">
        <v>0</v>
      </c>
      <c r="P375" t="n">
        <v>0</v>
      </c>
      <c r="Q375" t="n">
        <v>0</v>
      </c>
      <c r="R375" s="2" t="inlineStr"/>
    </row>
    <row r="376" ht="15" customHeight="1">
      <c r="A376" t="inlineStr">
        <is>
          <t>A 62954-2021</t>
        </is>
      </c>
      <c r="B376" s="1" t="n">
        <v>44504</v>
      </c>
      <c r="C376" s="1" t="n">
        <v>45997</v>
      </c>
      <c r="D376" t="inlineStr">
        <is>
          <t>JÄMTLANDS LÄN</t>
        </is>
      </c>
      <c r="E376" t="inlineStr">
        <is>
          <t>BRÄCKE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38956-2021</t>
        </is>
      </c>
      <c r="B377" s="1" t="n">
        <v>44411</v>
      </c>
      <c r="C377" s="1" t="n">
        <v>45997</v>
      </c>
      <c r="D377" t="inlineStr">
        <is>
          <t>JÄMTLANDS LÄN</t>
        </is>
      </c>
      <c r="E377" t="inlineStr">
        <is>
          <t>BRÄCKE</t>
        </is>
      </c>
      <c r="G377" t="n">
        <v>1.6</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45997</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45997</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45997</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45997</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45997</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45997</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45997</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22702-2022</t>
        </is>
      </c>
      <c r="B385" s="1" t="n">
        <v>44714.57748842592</v>
      </c>
      <c r="C385" s="1" t="n">
        <v>45997</v>
      </c>
      <c r="D385" t="inlineStr">
        <is>
          <t>JÄMTLANDS LÄN</t>
        </is>
      </c>
      <c r="E385" t="inlineStr">
        <is>
          <t>BRÄCKE</t>
        </is>
      </c>
      <c r="G385" t="n">
        <v>4.6</v>
      </c>
      <c r="H385" t="n">
        <v>0</v>
      </c>
      <c r="I385" t="n">
        <v>0</v>
      </c>
      <c r="J385" t="n">
        <v>0</v>
      </c>
      <c r="K385" t="n">
        <v>0</v>
      </c>
      <c r="L385" t="n">
        <v>0</v>
      </c>
      <c r="M385" t="n">
        <v>0</v>
      </c>
      <c r="N385" t="n">
        <v>0</v>
      </c>
      <c r="O385" t="n">
        <v>0</v>
      </c>
      <c r="P385" t="n">
        <v>0</v>
      </c>
      <c r="Q385" t="n">
        <v>0</v>
      </c>
      <c r="R385" s="2" t="inlineStr"/>
    </row>
    <row r="386" ht="15" customHeight="1">
      <c r="A386" t="inlineStr">
        <is>
          <t>A 31980-2022</t>
        </is>
      </c>
      <c r="B386" s="1" t="n">
        <v>44777</v>
      </c>
      <c r="C386" s="1" t="n">
        <v>45997</v>
      </c>
      <c r="D386" t="inlineStr">
        <is>
          <t>JÄMTLANDS LÄN</t>
        </is>
      </c>
      <c r="E386" t="inlineStr">
        <is>
          <t>BRÄCKE</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45426-2022</t>
        </is>
      </c>
      <c r="B387" s="1" t="n">
        <v>44844</v>
      </c>
      <c r="C387" s="1" t="n">
        <v>45997</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68901-2021</t>
        </is>
      </c>
      <c r="B388" s="1" t="n">
        <v>44526</v>
      </c>
      <c r="C388" s="1" t="n">
        <v>45997</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45997</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45997</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45997</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24950-2021</t>
        </is>
      </c>
      <c r="B392" s="1" t="n">
        <v>44341</v>
      </c>
      <c r="C392" s="1" t="n">
        <v>45997</v>
      </c>
      <c r="D392" t="inlineStr">
        <is>
          <t>JÄMTLANDS LÄN</t>
        </is>
      </c>
      <c r="E392" t="inlineStr">
        <is>
          <t>BRÄCKE</t>
        </is>
      </c>
      <c r="F392" t="inlineStr">
        <is>
          <t>Kyrkan</t>
        </is>
      </c>
      <c r="G392" t="n">
        <v>15.3</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45997</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47257-2022</t>
        </is>
      </c>
      <c r="B394" s="1" t="n">
        <v>44852</v>
      </c>
      <c r="C394" s="1" t="n">
        <v>45997</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45997</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38424-2021</t>
        </is>
      </c>
      <c r="B396" s="1" t="n">
        <v>44406.93799768519</v>
      </c>
      <c r="C396" s="1" t="n">
        <v>45997</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16117-2021</t>
        </is>
      </c>
      <c r="B397" s="1" t="n">
        <v>44291</v>
      </c>
      <c r="C397" s="1" t="n">
        <v>45997</v>
      </c>
      <c r="D397" t="inlineStr">
        <is>
          <t>JÄMTLANDS LÄN</t>
        </is>
      </c>
      <c r="E397" t="inlineStr">
        <is>
          <t>BRÄCKE</t>
        </is>
      </c>
      <c r="G397" t="n">
        <v>3.6</v>
      </c>
      <c r="H397" t="n">
        <v>0</v>
      </c>
      <c r="I397" t="n">
        <v>0</v>
      </c>
      <c r="J397" t="n">
        <v>0</v>
      </c>
      <c r="K397" t="n">
        <v>0</v>
      </c>
      <c r="L397" t="n">
        <v>0</v>
      </c>
      <c r="M397" t="n">
        <v>0</v>
      </c>
      <c r="N397" t="n">
        <v>0</v>
      </c>
      <c r="O397" t="n">
        <v>0</v>
      </c>
      <c r="P397" t="n">
        <v>0</v>
      </c>
      <c r="Q397" t="n">
        <v>0</v>
      </c>
      <c r="R397" s="2" t="inlineStr"/>
    </row>
    <row r="398" ht="15" customHeight="1">
      <c r="A398" t="inlineStr">
        <is>
          <t>A 16723-2021</t>
        </is>
      </c>
      <c r="B398" s="1" t="n">
        <v>44293</v>
      </c>
      <c r="C398" s="1" t="n">
        <v>45997</v>
      </c>
      <c r="D398" t="inlineStr">
        <is>
          <t>JÄMTLANDS LÄN</t>
        </is>
      </c>
      <c r="E398" t="inlineStr">
        <is>
          <t>BRÄCKE</t>
        </is>
      </c>
      <c r="G398" t="n">
        <v>1.7</v>
      </c>
      <c r="H398" t="n">
        <v>0</v>
      </c>
      <c r="I398" t="n">
        <v>0</v>
      </c>
      <c r="J398" t="n">
        <v>0</v>
      </c>
      <c r="K398" t="n">
        <v>0</v>
      </c>
      <c r="L398" t="n">
        <v>0</v>
      </c>
      <c r="M398" t="n">
        <v>0</v>
      </c>
      <c r="N398" t="n">
        <v>0</v>
      </c>
      <c r="O398" t="n">
        <v>0</v>
      </c>
      <c r="P398" t="n">
        <v>0</v>
      </c>
      <c r="Q398" t="n">
        <v>0</v>
      </c>
      <c r="R398" s="2" t="inlineStr"/>
    </row>
    <row r="399" ht="15" customHeight="1">
      <c r="A399" t="inlineStr">
        <is>
          <t>A 40278-2022</t>
        </is>
      </c>
      <c r="B399" s="1" t="n">
        <v>44820</v>
      </c>
      <c r="C399" s="1" t="n">
        <v>45997</v>
      </c>
      <c r="D399" t="inlineStr">
        <is>
          <t>JÄMTLANDS LÄN</t>
        </is>
      </c>
      <c r="E399" t="inlineStr">
        <is>
          <t>BRÄCKE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45997</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54809-2021</t>
        </is>
      </c>
      <c r="B401" s="1" t="n">
        <v>44473.94386574074</v>
      </c>
      <c r="C401" s="1" t="n">
        <v>45997</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47256-2022</t>
        </is>
      </c>
      <c r="B402" s="1" t="n">
        <v>44852.94697916666</v>
      </c>
      <c r="C402" s="1" t="n">
        <v>45997</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47264-2022</t>
        </is>
      </c>
      <c r="B403" s="1" t="n">
        <v>44852.94967592593</v>
      </c>
      <c r="C403" s="1" t="n">
        <v>45997</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26139-2022</t>
        </is>
      </c>
      <c r="B404" s="1" t="n">
        <v>44734</v>
      </c>
      <c r="C404" s="1" t="n">
        <v>45997</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45997</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55900-2022</t>
        </is>
      </c>
      <c r="B406" s="1" t="n">
        <v>44888.95368055555</v>
      </c>
      <c r="C406" s="1" t="n">
        <v>45997</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45997</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41182-2022</t>
        </is>
      </c>
      <c r="B408" s="1" t="n">
        <v>44825.94918981481</v>
      </c>
      <c r="C408" s="1" t="n">
        <v>45997</v>
      </c>
      <c r="D408" t="inlineStr">
        <is>
          <t>JÄMTLANDS LÄN</t>
        </is>
      </c>
      <c r="E408" t="inlineStr">
        <is>
          <t>BRÄCKE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30490-2022</t>
        </is>
      </c>
      <c r="B409" s="1" t="n">
        <v>44761</v>
      </c>
      <c r="C409" s="1" t="n">
        <v>45997</v>
      </c>
      <c r="D409" t="inlineStr">
        <is>
          <t>JÄMTLANDS LÄN</t>
        </is>
      </c>
      <c r="E409" t="inlineStr">
        <is>
          <t>BRÄCKE</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63534-2021</t>
        </is>
      </c>
      <c r="B410" s="1" t="n">
        <v>44508.6696875</v>
      </c>
      <c r="C410" s="1" t="n">
        <v>45997</v>
      </c>
      <c r="D410" t="inlineStr">
        <is>
          <t>JÄMTLANDS LÄN</t>
        </is>
      </c>
      <c r="E410" t="inlineStr">
        <is>
          <t>BRÄCKE</t>
        </is>
      </c>
      <c r="G410" t="n">
        <v>6.6</v>
      </c>
      <c r="H410" t="n">
        <v>0</v>
      </c>
      <c r="I410" t="n">
        <v>0</v>
      </c>
      <c r="J410" t="n">
        <v>0</v>
      </c>
      <c r="K410" t="n">
        <v>0</v>
      </c>
      <c r="L410" t="n">
        <v>0</v>
      </c>
      <c r="M410" t="n">
        <v>0</v>
      </c>
      <c r="N410" t="n">
        <v>0</v>
      </c>
      <c r="O410" t="n">
        <v>0</v>
      </c>
      <c r="P410" t="n">
        <v>0</v>
      </c>
      <c r="Q410" t="n">
        <v>0</v>
      </c>
      <c r="R410" s="2" t="inlineStr"/>
    </row>
    <row r="411" ht="15" customHeight="1">
      <c r="A411" t="inlineStr">
        <is>
          <t>A 28285-2022</t>
        </is>
      </c>
      <c r="B411" s="1" t="n">
        <v>44746</v>
      </c>
      <c r="C411" s="1" t="n">
        <v>45997</v>
      </c>
      <c r="D411" t="inlineStr">
        <is>
          <t>JÄMTLANDS LÄN</t>
        </is>
      </c>
      <c r="E411" t="inlineStr">
        <is>
          <t>BRÄCKE</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45997</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21654-2022</t>
        </is>
      </c>
      <c r="B413" s="1" t="n">
        <v>44706.94207175926</v>
      </c>
      <c r="C413" s="1" t="n">
        <v>45997</v>
      </c>
      <c r="D413" t="inlineStr">
        <is>
          <t>JÄMTLANDS LÄN</t>
        </is>
      </c>
      <c r="E413" t="inlineStr">
        <is>
          <t>BRÄCKE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21656-2022</t>
        </is>
      </c>
      <c r="B414" s="1" t="n">
        <v>44706.9421875</v>
      </c>
      <c r="C414" s="1" t="n">
        <v>45997</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43142-2022</t>
        </is>
      </c>
      <c r="B415" s="1" t="n">
        <v>44833.95155092593</v>
      </c>
      <c r="C415" s="1" t="n">
        <v>45997</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62953-2021</t>
        </is>
      </c>
      <c r="B416" s="1" t="n">
        <v>44504</v>
      </c>
      <c r="C416" s="1" t="n">
        <v>45997</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31978-2022</t>
        </is>
      </c>
      <c r="B417" s="1" t="n">
        <v>44777.95574074074</v>
      </c>
      <c r="C417" s="1" t="n">
        <v>45997</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45997</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68362-2020</t>
        </is>
      </c>
      <c r="B419" s="1" t="n">
        <v>44186</v>
      </c>
      <c r="C419" s="1" t="n">
        <v>45997</v>
      </c>
      <c r="D419" t="inlineStr">
        <is>
          <t>JÄMTLANDS LÄN</t>
        </is>
      </c>
      <c r="E419" t="inlineStr">
        <is>
          <t>BRÄCKE</t>
        </is>
      </c>
      <c r="G419" t="n">
        <v>4.5</v>
      </c>
      <c r="H419" t="n">
        <v>0</v>
      </c>
      <c r="I419" t="n">
        <v>0</v>
      </c>
      <c r="J419" t="n">
        <v>0</v>
      </c>
      <c r="K419" t="n">
        <v>0</v>
      </c>
      <c r="L419" t="n">
        <v>0</v>
      </c>
      <c r="M419" t="n">
        <v>0</v>
      </c>
      <c r="N419" t="n">
        <v>0</v>
      </c>
      <c r="O419" t="n">
        <v>0</v>
      </c>
      <c r="P419" t="n">
        <v>0</v>
      </c>
      <c r="Q419" t="n">
        <v>0</v>
      </c>
      <c r="R419" s="2" t="inlineStr"/>
    </row>
    <row r="420" ht="15" customHeight="1">
      <c r="A420" t="inlineStr">
        <is>
          <t>A 42656-2022</t>
        </is>
      </c>
      <c r="B420" s="1" t="n">
        <v>44831</v>
      </c>
      <c r="C420" s="1" t="n">
        <v>45997</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21034-2021</t>
        </is>
      </c>
      <c r="B421" s="1" t="n">
        <v>44319</v>
      </c>
      <c r="C421" s="1" t="n">
        <v>45997</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45701-2022</t>
        </is>
      </c>
      <c r="B422" s="1" t="n">
        <v>44845</v>
      </c>
      <c r="C422" s="1" t="n">
        <v>45997</v>
      </c>
      <c r="D422" t="inlineStr">
        <is>
          <t>JÄMTLANDS LÄN</t>
        </is>
      </c>
      <c r="E422" t="inlineStr">
        <is>
          <t>BRÄCKE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31093-2021</t>
        </is>
      </c>
      <c r="B423" s="1" t="n">
        <v>44368</v>
      </c>
      <c r="C423" s="1" t="n">
        <v>45997</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29930-2021</t>
        </is>
      </c>
      <c r="B424" s="1" t="n">
        <v>44362</v>
      </c>
      <c r="C424" s="1" t="n">
        <v>45997</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17173-2021</t>
        </is>
      </c>
      <c r="B425" s="1" t="n">
        <v>44295</v>
      </c>
      <c r="C425" s="1" t="n">
        <v>45997</v>
      </c>
      <c r="D425" t="inlineStr">
        <is>
          <t>JÄMTLANDS LÄN</t>
        </is>
      </c>
      <c r="E425" t="inlineStr">
        <is>
          <t>BRÄCKE</t>
        </is>
      </c>
      <c r="G425" t="n">
        <v>4.3</v>
      </c>
      <c r="H425" t="n">
        <v>0</v>
      </c>
      <c r="I425" t="n">
        <v>0</v>
      </c>
      <c r="J425" t="n">
        <v>0</v>
      </c>
      <c r="K425" t="n">
        <v>0</v>
      </c>
      <c r="L425" t="n">
        <v>0</v>
      </c>
      <c r="M425" t="n">
        <v>0</v>
      </c>
      <c r="N425" t="n">
        <v>0</v>
      </c>
      <c r="O425" t="n">
        <v>0</v>
      </c>
      <c r="P425" t="n">
        <v>0</v>
      </c>
      <c r="Q425" t="n">
        <v>0</v>
      </c>
      <c r="R425" s="2" t="inlineStr"/>
    </row>
    <row r="426" ht="15" customHeight="1">
      <c r="A426" t="inlineStr">
        <is>
          <t>A 42806-2021</t>
        </is>
      </c>
      <c r="B426" s="1" t="n">
        <v>44428.94063657407</v>
      </c>
      <c r="C426" s="1" t="n">
        <v>45997</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45997</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46602-2022</t>
        </is>
      </c>
      <c r="B428" s="1" t="n">
        <v>44848</v>
      </c>
      <c r="C428" s="1" t="n">
        <v>45997</v>
      </c>
      <c r="D428" t="inlineStr">
        <is>
          <t>JÄMTLANDS LÄN</t>
        </is>
      </c>
      <c r="E428" t="inlineStr">
        <is>
          <t>BRÄCKE</t>
        </is>
      </c>
      <c r="G428" t="n">
        <v>1.6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45997</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45997</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45997</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45997</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45997</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63346-2021</t>
        </is>
      </c>
      <c r="B434" s="1" t="n">
        <v>44508.47607638889</v>
      </c>
      <c r="C434" s="1" t="n">
        <v>45997</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2621-2024</t>
        </is>
      </c>
      <c r="B435" s="1" t="n">
        <v>45313.94908564815</v>
      </c>
      <c r="C435" s="1" t="n">
        <v>45997</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70807-2021</t>
        </is>
      </c>
      <c r="B436" s="1" t="n">
        <v>44537</v>
      </c>
      <c r="C436" s="1" t="n">
        <v>45997</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45997</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48555-2022</t>
        </is>
      </c>
      <c r="B438" s="1" t="n">
        <v>44859</v>
      </c>
      <c r="C438" s="1" t="n">
        <v>45997</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45997</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45997</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45997</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51020-2022</t>
        </is>
      </c>
      <c r="B442" s="1" t="n">
        <v>44867.95071759259</v>
      </c>
      <c r="C442" s="1" t="n">
        <v>45997</v>
      </c>
      <c r="D442" t="inlineStr">
        <is>
          <t>JÄMTLANDS LÄN</t>
        </is>
      </c>
      <c r="E442" t="inlineStr">
        <is>
          <t>BRÄCKE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45997</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16619-2021</t>
        </is>
      </c>
      <c r="B444" s="1" t="n">
        <v>44294</v>
      </c>
      <c r="C444" s="1" t="n">
        <v>45997</v>
      </c>
      <c r="D444" t="inlineStr">
        <is>
          <t>JÄMTLANDS LÄN</t>
        </is>
      </c>
      <c r="E444" t="inlineStr">
        <is>
          <t>BRÄCKE</t>
        </is>
      </c>
      <c r="G444" t="n">
        <v>10.3</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45997</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27258-2021</t>
        </is>
      </c>
      <c r="B446" s="1" t="n">
        <v>44350.93927083333</v>
      </c>
      <c r="C446" s="1" t="n">
        <v>45997</v>
      </c>
      <c r="D446" t="inlineStr">
        <is>
          <t>JÄMTLANDS LÄN</t>
        </is>
      </c>
      <c r="E446" t="inlineStr">
        <is>
          <t>BRÄCKE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45997</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56648-2021</t>
        </is>
      </c>
      <c r="B448" s="1" t="n">
        <v>44480.92122685185</v>
      </c>
      <c r="C448" s="1" t="n">
        <v>45997</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45997</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45997</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37828-2022</t>
        </is>
      </c>
      <c r="B451" s="1" t="n">
        <v>44810.9428587963</v>
      </c>
      <c r="C451" s="1" t="n">
        <v>45997</v>
      </c>
      <c r="D451" t="inlineStr">
        <is>
          <t>JÄMTLANDS LÄN</t>
        </is>
      </c>
      <c r="E451" t="inlineStr">
        <is>
          <t>BRÄCKE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37829-2022</t>
        </is>
      </c>
      <c r="B452" s="1" t="n">
        <v>44810.94292824074</v>
      </c>
      <c r="C452" s="1" t="n">
        <v>45997</v>
      </c>
      <c r="D452" t="inlineStr">
        <is>
          <t>JÄMTLANDS LÄN</t>
        </is>
      </c>
      <c r="E452" t="inlineStr">
        <is>
          <t>BRÄCKE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20532-2025</t>
        </is>
      </c>
      <c r="B453" s="1" t="n">
        <v>45775.61515046296</v>
      </c>
      <c r="C453" s="1" t="n">
        <v>45997</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63579-2021</t>
        </is>
      </c>
      <c r="B454" s="1" t="n">
        <v>44508</v>
      </c>
      <c r="C454" s="1" t="n">
        <v>45997</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45436-2022</t>
        </is>
      </c>
      <c r="B455" s="1" t="n">
        <v>44844.95355324074</v>
      </c>
      <c r="C455" s="1" t="n">
        <v>45997</v>
      </c>
      <c r="D455" t="inlineStr">
        <is>
          <t>JÄMTLANDS LÄN</t>
        </is>
      </c>
      <c r="E455" t="inlineStr">
        <is>
          <t>BRÄCKE</t>
        </is>
      </c>
      <c r="G455" t="n">
        <v>2.8</v>
      </c>
      <c r="H455" t="n">
        <v>0</v>
      </c>
      <c r="I455" t="n">
        <v>0</v>
      </c>
      <c r="J455" t="n">
        <v>0</v>
      </c>
      <c r="K455" t="n">
        <v>0</v>
      </c>
      <c r="L455" t="n">
        <v>0</v>
      </c>
      <c r="M455" t="n">
        <v>0</v>
      </c>
      <c r="N455" t="n">
        <v>0</v>
      </c>
      <c r="O455" t="n">
        <v>0</v>
      </c>
      <c r="P455" t="n">
        <v>0</v>
      </c>
      <c r="Q455" t="n">
        <v>0</v>
      </c>
      <c r="R455" s="2" t="inlineStr"/>
    </row>
    <row r="456" ht="15" customHeight="1">
      <c r="A456" t="inlineStr">
        <is>
          <t>A 53612-2021</t>
        </is>
      </c>
      <c r="B456" s="1" t="n">
        <v>44469</v>
      </c>
      <c r="C456" s="1" t="n">
        <v>45997</v>
      </c>
      <c r="D456" t="inlineStr">
        <is>
          <t>JÄMTLANDS LÄN</t>
        </is>
      </c>
      <c r="E456" t="inlineStr">
        <is>
          <t>BRÄCKE</t>
        </is>
      </c>
      <c r="G456" t="n">
        <v>1.7</v>
      </c>
      <c r="H456" t="n">
        <v>0</v>
      </c>
      <c r="I456" t="n">
        <v>0</v>
      </c>
      <c r="J456" t="n">
        <v>0</v>
      </c>
      <c r="K456" t="n">
        <v>0</v>
      </c>
      <c r="L456" t="n">
        <v>0</v>
      </c>
      <c r="M456" t="n">
        <v>0</v>
      </c>
      <c r="N456" t="n">
        <v>0</v>
      </c>
      <c r="O456" t="n">
        <v>0</v>
      </c>
      <c r="P456" t="n">
        <v>0</v>
      </c>
      <c r="Q456" t="n">
        <v>0</v>
      </c>
      <c r="R456" s="2" t="inlineStr"/>
    </row>
    <row r="457" ht="15" customHeight="1">
      <c r="A457" t="inlineStr">
        <is>
          <t>A 40775-2023</t>
        </is>
      </c>
      <c r="B457" s="1" t="n">
        <v>45170.95685185185</v>
      </c>
      <c r="C457" s="1" t="n">
        <v>45997</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45997</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6291-2025</t>
        </is>
      </c>
      <c r="B459" s="1" t="n">
        <v>45698.65653935185</v>
      </c>
      <c r="C459" s="1" t="n">
        <v>45997</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18057-2025</t>
        </is>
      </c>
      <c r="B460" s="1" t="n">
        <v>45761.47681712963</v>
      </c>
      <c r="C460" s="1" t="n">
        <v>45997</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18065-2025</t>
        </is>
      </c>
      <c r="B461" s="1" t="n">
        <v>45761.48989583334</v>
      </c>
      <c r="C461" s="1" t="n">
        <v>45997</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60870-2023</t>
        </is>
      </c>
      <c r="B462" s="1" t="n">
        <v>45260.96667824074</v>
      </c>
      <c r="C462" s="1" t="n">
        <v>45997</v>
      </c>
      <c r="D462" t="inlineStr">
        <is>
          <t>JÄMTLANDS LÄN</t>
        </is>
      </c>
      <c r="E462" t="inlineStr">
        <is>
          <t>BRÄCKE</t>
        </is>
      </c>
      <c r="G462" t="n">
        <v>6.1</v>
      </c>
      <c r="H462" t="n">
        <v>0</v>
      </c>
      <c r="I462" t="n">
        <v>0</v>
      </c>
      <c r="J462" t="n">
        <v>0</v>
      </c>
      <c r="K462" t="n">
        <v>0</v>
      </c>
      <c r="L462" t="n">
        <v>0</v>
      </c>
      <c r="M462" t="n">
        <v>0</v>
      </c>
      <c r="N462" t="n">
        <v>0</v>
      </c>
      <c r="O462" t="n">
        <v>0</v>
      </c>
      <c r="P462" t="n">
        <v>0</v>
      </c>
      <c r="Q462" t="n">
        <v>0</v>
      </c>
      <c r="R462" s="2" t="inlineStr"/>
    </row>
    <row r="463" ht="15" customHeight="1">
      <c r="A463" t="inlineStr">
        <is>
          <t>A 40769-2021</t>
        </is>
      </c>
      <c r="B463" s="1" t="n">
        <v>44420</v>
      </c>
      <c r="C463" s="1" t="n">
        <v>45997</v>
      </c>
      <c r="D463" t="inlineStr">
        <is>
          <t>JÄMTLANDS LÄN</t>
        </is>
      </c>
      <c r="E463" t="inlineStr">
        <is>
          <t>BRÄCKE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33773-2024</t>
        </is>
      </c>
      <c r="B464" s="1" t="n">
        <v>45520</v>
      </c>
      <c r="C464" s="1" t="n">
        <v>45997</v>
      </c>
      <c r="D464" t="inlineStr">
        <is>
          <t>JÄMTLANDS LÄN</t>
        </is>
      </c>
      <c r="E464" t="inlineStr">
        <is>
          <t>BRÄCKE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33774-2024</t>
        </is>
      </c>
      <c r="B465" s="1" t="n">
        <v>45520</v>
      </c>
      <c r="C465" s="1" t="n">
        <v>45997</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45997</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29323-2023</t>
        </is>
      </c>
      <c r="B467" s="1" t="n">
        <v>45105</v>
      </c>
      <c r="C467" s="1" t="n">
        <v>45997</v>
      </c>
      <c r="D467" t="inlineStr">
        <is>
          <t>JÄMTLANDS LÄN</t>
        </is>
      </c>
      <c r="E467" t="inlineStr">
        <is>
          <t>BRÄCKE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45997</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45997</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6516-2024</t>
        </is>
      </c>
      <c r="B470" s="1" t="n">
        <v>45341</v>
      </c>
      <c r="C470" s="1" t="n">
        <v>45997</v>
      </c>
      <c r="D470" t="inlineStr">
        <is>
          <t>JÄMTLANDS LÄN</t>
        </is>
      </c>
      <c r="E470" t="inlineStr">
        <is>
          <t>BRÄCKE</t>
        </is>
      </c>
      <c r="G470" t="n">
        <v>0.3</v>
      </c>
      <c r="H470" t="n">
        <v>0</v>
      </c>
      <c r="I470" t="n">
        <v>0</v>
      </c>
      <c r="J470" t="n">
        <v>0</v>
      </c>
      <c r="K470" t="n">
        <v>0</v>
      </c>
      <c r="L470" t="n">
        <v>0</v>
      </c>
      <c r="M470" t="n">
        <v>0</v>
      </c>
      <c r="N470" t="n">
        <v>0</v>
      </c>
      <c r="O470" t="n">
        <v>0</v>
      </c>
      <c r="P470" t="n">
        <v>0</v>
      </c>
      <c r="Q470" t="n">
        <v>0</v>
      </c>
      <c r="R470" s="2" t="inlineStr"/>
    </row>
    <row r="471" ht="15" customHeight="1">
      <c r="A471" t="inlineStr">
        <is>
          <t>A 23752-2023</t>
        </is>
      </c>
      <c r="B471" s="1" t="n">
        <v>45077.92935185185</v>
      </c>
      <c r="C471" s="1" t="n">
        <v>45997</v>
      </c>
      <c r="D471" t="inlineStr">
        <is>
          <t>JÄMTLANDS LÄN</t>
        </is>
      </c>
      <c r="E471" t="inlineStr">
        <is>
          <t>BRÄCKE</t>
        </is>
      </c>
      <c r="G471" t="n">
        <v>0.8</v>
      </c>
      <c r="H471" t="n">
        <v>0</v>
      </c>
      <c r="I471" t="n">
        <v>0</v>
      </c>
      <c r="J471" t="n">
        <v>0</v>
      </c>
      <c r="K471" t="n">
        <v>0</v>
      </c>
      <c r="L471" t="n">
        <v>0</v>
      </c>
      <c r="M471" t="n">
        <v>0</v>
      </c>
      <c r="N471" t="n">
        <v>0</v>
      </c>
      <c r="O471" t="n">
        <v>0</v>
      </c>
      <c r="P471" t="n">
        <v>0</v>
      </c>
      <c r="Q471" t="n">
        <v>0</v>
      </c>
      <c r="R471" s="2" t="inlineStr"/>
    </row>
    <row r="472" ht="15" customHeight="1">
      <c r="A472" t="inlineStr">
        <is>
          <t>A 13095-2025</t>
        </is>
      </c>
      <c r="B472" s="1" t="n">
        <v>45734.65609953704</v>
      </c>
      <c r="C472" s="1" t="n">
        <v>45997</v>
      </c>
      <c r="D472" t="inlineStr">
        <is>
          <t>JÄMTLANDS LÄN</t>
        </is>
      </c>
      <c r="E472" t="inlineStr">
        <is>
          <t>BRÄCKE</t>
        </is>
      </c>
      <c r="G472" t="n">
        <v>7.9</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45997</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44444-2022</t>
        </is>
      </c>
      <c r="B474" s="1" t="n">
        <v>44839.95474537037</v>
      </c>
      <c r="C474" s="1" t="n">
        <v>45997</v>
      </c>
      <c r="D474" t="inlineStr">
        <is>
          <t>JÄMTLANDS LÄN</t>
        </is>
      </c>
      <c r="E474" t="inlineStr">
        <is>
          <t>BRÄCKE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4170-2024</t>
        </is>
      </c>
      <c r="B475" s="1" t="n">
        <v>45323.94685185186</v>
      </c>
      <c r="C475" s="1" t="n">
        <v>45997</v>
      </c>
      <c r="D475" t="inlineStr">
        <is>
          <t>JÄMTLANDS LÄN</t>
        </is>
      </c>
      <c r="E475" t="inlineStr">
        <is>
          <t>BRÄCKE</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30487-2024</t>
        </is>
      </c>
      <c r="B476" s="1" t="n">
        <v>45491.95027777777</v>
      </c>
      <c r="C476" s="1" t="n">
        <v>45997</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32429-2024</t>
        </is>
      </c>
      <c r="B477" s="1" t="n">
        <v>45512.92820601852</v>
      </c>
      <c r="C477" s="1" t="n">
        <v>45997</v>
      </c>
      <c r="D477" t="inlineStr">
        <is>
          <t>JÄMTLANDS LÄN</t>
        </is>
      </c>
      <c r="E477" t="inlineStr">
        <is>
          <t>BRÄCKE</t>
        </is>
      </c>
      <c r="G477" t="n">
        <v>1.3</v>
      </c>
      <c r="H477" t="n">
        <v>0</v>
      </c>
      <c r="I477" t="n">
        <v>0</v>
      </c>
      <c r="J477" t="n">
        <v>0</v>
      </c>
      <c r="K477" t="n">
        <v>0</v>
      </c>
      <c r="L477" t="n">
        <v>0</v>
      </c>
      <c r="M477" t="n">
        <v>0</v>
      </c>
      <c r="N477" t="n">
        <v>0</v>
      </c>
      <c r="O477" t="n">
        <v>0</v>
      </c>
      <c r="P477" t="n">
        <v>0</v>
      </c>
      <c r="Q477" t="n">
        <v>0</v>
      </c>
      <c r="R477" s="2" t="inlineStr"/>
    </row>
    <row r="478" ht="15" customHeight="1">
      <c r="A478" t="inlineStr">
        <is>
          <t>A 5005-2025</t>
        </is>
      </c>
      <c r="B478" s="1" t="n">
        <v>45691.36862268519</v>
      </c>
      <c r="C478" s="1" t="n">
        <v>45997</v>
      </c>
      <c r="D478" t="inlineStr">
        <is>
          <t>JÄMTLANDS LÄN</t>
        </is>
      </c>
      <c r="E478" t="inlineStr">
        <is>
          <t>BRÄCKE</t>
        </is>
      </c>
      <c r="G478" t="n">
        <v>9.5</v>
      </c>
      <c r="H478" t="n">
        <v>0</v>
      </c>
      <c r="I478" t="n">
        <v>0</v>
      </c>
      <c r="J478" t="n">
        <v>0</v>
      </c>
      <c r="K478" t="n">
        <v>0</v>
      </c>
      <c r="L478" t="n">
        <v>0</v>
      </c>
      <c r="M478" t="n">
        <v>0</v>
      </c>
      <c r="N478" t="n">
        <v>0</v>
      </c>
      <c r="O478" t="n">
        <v>0</v>
      </c>
      <c r="P478" t="n">
        <v>0</v>
      </c>
      <c r="Q478" t="n">
        <v>0</v>
      </c>
      <c r="R478" s="2" t="inlineStr"/>
    </row>
    <row r="479" ht="15" customHeight="1">
      <c r="A479" t="inlineStr">
        <is>
          <t>A 24056-2022</t>
        </is>
      </c>
      <c r="B479" s="1" t="n">
        <v>44724.938125</v>
      </c>
      <c r="C479" s="1" t="n">
        <v>45997</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49861-2022</t>
        </is>
      </c>
      <c r="B480" s="1" t="n">
        <v>44862</v>
      </c>
      <c r="C480" s="1" t="n">
        <v>45997</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42290-2022</t>
        </is>
      </c>
      <c r="B481" s="1" t="n">
        <v>44830</v>
      </c>
      <c r="C481" s="1" t="n">
        <v>45997</v>
      </c>
      <c r="D481" t="inlineStr">
        <is>
          <t>JÄMTLANDS LÄN</t>
        </is>
      </c>
      <c r="E481" t="inlineStr">
        <is>
          <t>BRÄCKE</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42959-2024</t>
        </is>
      </c>
      <c r="B482" s="1" t="n">
        <v>45567.37144675926</v>
      </c>
      <c r="C482" s="1" t="n">
        <v>45997</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57420-2023</t>
        </is>
      </c>
      <c r="B483" s="1" t="n">
        <v>45245.96990740741</v>
      </c>
      <c r="C483" s="1" t="n">
        <v>45997</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63292-2023</t>
        </is>
      </c>
      <c r="B484" s="1" t="n">
        <v>45273.94680555556</v>
      </c>
      <c r="C484" s="1" t="n">
        <v>45997</v>
      </c>
      <c r="D484" t="inlineStr">
        <is>
          <t>JÄMTLANDS LÄN</t>
        </is>
      </c>
      <c r="E484" t="inlineStr">
        <is>
          <t>BRÄCKE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48425-2023</t>
        </is>
      </c>
      <c r="B485" s="1" t="n">
        <v>45205</v>
      </c>
      <c r="C485" s="1" t="n">
        <v>45997</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6362-2024</t>
        </is>
      </c>
      <c r="B486" s="1" t="n">
        <v>45338</v>
      </c>
      <c r="C486" s="1" t="n">
        <v>45997</v>
      </c>
      <c r="D486" t="inlineStr">
        <is>
          <t>JÄMTLANDS LÄN</t>
        </is>
      </c>
      <c r="E486" t="inlineStr">
        <is>
          <t>BRÄCKE</t>
        </is>
      </c>
      <c r="G486" t="n">
        <v>4</v>
      </c>
      <c r="H486" t="n">
        <v>0</v>
      </c>
      <c r="I486" t="n">
        <v>0</v>
      </c>
      <c r="J486" t="n">
        <v>0</v>
      </c>
      <c r="K486" t="n">
        <v>0</v>
      </c>
      <c r="L486" t="n">
        <v>0</v>
      </c>
      <c r="M486" t="n">
        <v>0</v>
      </c>
      <c r="N486" t="n">
        <v>0</v>
      </c>
      <c r="O486" t="n">
        <v>0</v>
      </c>
      <c r="P486" t="n">
        <v>0</v>
      </c>
      <c r="Q486" t="n">
        <v>0</v>
      </c>
      <c r="R486" s="2" t="inlineStr"/>
    </row>
    <row r="487" ht="15" customHeight="1">
      <c r="A487" t="inlineStr">
        <is>
          <t>A 47560-2021</t>
        </is>
      </c>
      <c r="B487" s="1" t="n">
        <v>44447.94313657407</v>
      </c>
      <c r="C487" s="1" t="n">
        <v>45997</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50840-2023</t>
        </is>
      </c>
      <c r="B488" s="1" t="n">
        <v>45217</v>
      </c>
      <c r="C488" s="1" t="n">
        <v>45997</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46793-2021</t>
        </is>
      </c>
      <c r="B489" s="1" t="n">
        <v>44445</v>
      </c>
      <c r="C489" s="1" t="n">
        <v>45997</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20276-2023</t>
        </is>
      </c>
      <c r="B490" s="1" t="n">
        <v>45055.94465277778</v>
      </c>
      <c r="C490" s="1" t="n">
        <v>45997</v>
      </c>
      <c r="D490" t="inlineStr">
        <is>
          <t>JÄMTLANDS LÄN</t>
        </is>
      </c>
      <c r="E490" t="inlineStr">
        <is>
          <t>BRÄCKE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45997</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45997</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45997</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54334-2023</t>
        </is>
      </c>
      <c r="B494" s="1" t="n">
        <v>45232.95790509259</v>
      </c>
      <c r="C494" s="1" t="n">
        <v>45997</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49085-2023</t>
        </is>
      </c>
      <c r="B495" s="1" t="n">
        <v>45204</v>
      </c>
      <c r="C495" s="1" t="n">
        <v>45997</v>
      </c>
      <c r="D495" t="inlineStr">
        <is>
          <t>JÄMTLANDS LÄN</t>
        </is>
      </c>
      <c r="E495" t="inlineStr">
        <is>
          <t>BRÄCKE</t>
        </is>
      </c>
      <c r="G495" t="n">
        <v>2.1</v>
      </c>
      <c r="H495" t="n">
        <v>0</v>
      </c>
      <c r="I495" t="n">
        <v>0</v>
      </c>
      <c r="J495" t="n">
        <v>0</v>
      </c>
      <c r="K495" t="n">
        <v>0</v>
      </c>
      <c r="L495" t="n">
        <v>0</v>
      </c>
      <c r="M495" t="n">
        <v>0</v>
      </c>
      <c r="N495" t="n">
        <v>0</v>
      </c>
      <c r="O495" t="n">
        <v>0</v>
      </c>
      <c r="P495" t="n">
        <v>0</v>
      </c>
      <c r="Q495" t="n">
        <v>0</v>
      </c>
      <c r="R495" s="2" t="inlineStr"/>
    </row>
    <row r="496" ht="15" customHeight="1">
      <c r="A496" t="inlineStr">
        <is>
          <t>A 4882-2025</t>
        </is>
      </c>
      <c r="B496" s="1" t="n">
        <v>45688.67729166667</v>
      </c>
      <c r="C496" s="1" t="n">
        <v>45997</v>
      </c>
      <c r="D496" t="inlineStr">
        <is>
          <t>JÄMTLANDS LÄN</t>
        </is>
      </c>
      <c r="E496" t="inlineStr">
        <is>
          <t>BRÄCKE</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52269-2023</t>
        </is>
      </c>
      <c r="B497" s="1" t="n">
        <v>45217</v>
      </c>
      <c r="C497" s="1" t="n">
        <v>45997</v>
      </c>
      <c r="D497" t="inlineStr">
        <is>
          <t>JÄMTLANDS LÄN</t>
        </is>
      </c>
      <c r="E497" t="inlineStr">
        <is>
          <t>BRÄCKE</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9707-2025</t>
        </is>
      </c>
      <c r="B498" s="1" t="n">
        <v>45716.38592592593</v>
      </c>
      <c r="C498" s="1" t="n">
        <v>45997</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48435-2023</t>
        </is>
      </c>
      <c r="B499" s="1" t="n">
        <v>45205</v>
      </c>
      <c r="C499" s="1" t="n">
        <v>45997</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14510-2025</t>
        </is>
      </c>
      <c r="B500" s="1" t="n">
        <v>45741.63628472222</v>
      </c>
      <c r="C500" s="1" t="n">
        <v>45997</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14511-2025</t>
        </is>
      </c>
      <c r="B501" s="1" t="n">
        <v>45741.63643518519</v>
      </c>
      <c r="C501" s="1" t="n">
        <v>45997</v>
      </c>
      <c r="D501" t="inlineStr">
        <is>
          <t>JÄMTLANDS LÄN</t>
        </is>
      </c>
      <c r="E501" t="inlineStr">
        <is>
          <t>BRÄCKE</t>
        </is>
      </c>
      <c r="F501" t="inlineStr">
        <is>
          <t>SCA</t>
        </is>
      </c>
      <c r="G501" t="n">
        <v>19.5</v>
      </c>
      <c r="H501" t="n">
        <v>0</v>
      </c>
      <c r="I501" t="n">
        <v>0</v>
      </c>
      <c r="J501" t="n">
        <v>0</v>
      </c>
      <c r="K501" t="n">
        <v>0</v>
      </c>
      <c r="L501" t="n">
        <v>0</v>
      </c>
      <c r="M501" t="n">
        <v>0</v>
      </c>
      <c r="N501" t="n">
        <v>0</v>
      </c>
      <c r="O501" t="n">
        <v>0</v>
      </c>
      <c r="P501" t="n">
        <v>0</v>
      </c>
      <c r="Q501" t="n">
        <v>0</v>
      </c>
      <c r="R501" s="2" t="inlineStr"/>
    </row>
    <row r="502" ht="15" customHeight="1">
      <c r="A502" t="inlineStr">
        <is>
          <t>A 23747-2021</t>
        </is>
      </c>
      <c r="B502" s="1" t="n">
        <v>44334</v>
      </c>
      <c r="C502" s="1" t="n">
        <v>45997</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59417-2023</t>
        </is>
      </c>
      <c r="B503" s="1" t="n">
        <v>45253</v>
      </c>
      <c r="C503" s="1" t="n">
        <v>45997</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46601-2022</t>
        </is>
      </c>
      <c r="B504" s="1" t="n">
        <v>44848</v>
      </c>
      <c r="C504" s="1" t="n">
        <v>45997</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32101-2021</t>
        </is>
      </c>
      <c r="B505" s="1" t="n">
        <v>44370.94097222222</v>
      </c>
      <c r="C505" s="1" t="n">
        <v>45997</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20267-2024</t>
        </is>
      </c>
      <c r="B506" s="1" t="n">
        <v>45434.9487962963</v>
      </c>
      <c r="C506" s="1" t="n">
        <v>45997</v>
      </c>
      <c r="D506" t="inlineStr">
        <is>
          <t>JÄMTLANDS LÄN</t>
        </is>
      </c>
      <c r="E506" t="inlineStr">
        <is>
          <t>BRÄCKE</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18267-2025</t>
        </is>
      </c>
      <c r="B507" s="1" t="n">
        <v>45762.36527777778</v>
      </c>
      <c r="C507" s="1" t="n">
        <v>45997</v>
      </c>
      <c r="D507" t="inlineStr">
        <is>
          <t>JÄMTLANDS LÄN</t>
        </is>
      </c>
      <c r="E507" t="inlineStr">
        <is>
          <t>BRÄCKE</t>
        </is>
      </c>
      <c r="G507" t="n">
        <v>0.6</v>
      </c>
      <c r="H507" t="n">
        <v>0</v>
      </c>
      <c r="I507" t="n">
        <v>0</v>
      </c>
      <c r="J507" t="n">
        <v>0</v>
      </c>
      <c r="K507" t="n">
        <v>0</v>
      </c>
      <c r="L507" t="n">
        <v>0</v>
      </c>
      <c r="M507" t="n">
        <v>0</v>
      </c>
      <c r="N507" t="n">
        <v>0</v>
      </c>
      <c r="O507" t="n">
        <v>0</v>
      </c>
      <c r="P507" t="n">
        <v>0</v>
      </c>
      <c r="Q507" t="n">
        <v>0</v>
      </c>
      <c r="R507" s="2" t="inlineStr"/>
    </row>
    <row r="508" ht="15" customHeight="1">
      <c r="A508" t="inlineStr">
        <is>
          <t>A 40711-2022</t>
        </is>
      </c>
      <c r="B508" s="1" t="n">
        <v>44820</v>
      </c>
      <c r="C508" s="1" t="n">
        <v>45997</v>
      </c>
      <c r="D508" t="inlineStr">
        <is>
          <t>JÄMTLANDS LÄN</t>
        </is>
      </c>
      <c r="E508" t="inlineStr">
        <is>
          <t>BRÄCKE</t>
        </is>
      </c>
      <c r="G508" t="n">
        <v>5.4</v>
      </c>
      <c r="H508" t="n">
        <v>0</v>
      </c>
      <c r="I508" t="n">
        <v>0</v>
      </c>
      <c r="J508" t="n">
        <v>0</v>
      </c>
      <c r="K508" t="n">
        <v>0</v>
      </c>
      <c r="L508" t="n">
        <v>0</v>
      </c>
      <c r="M508" t="n">
        <v>0</v>
      </c>
      <c r="N508" t="n">
        <v>0</v>
      </c>
      <c r="O508" t="n">
        <v>0</v>
      </c>
      <c r="P508" t="n">
        <v>0</v>
      </c>
      <c r="Q508" t="n">
        <v>0</v>
      </c>
      <c r="R508" s="2" t="inlineStr"/>
    </row>
    <row r="509" ht="15" customHeight="1">
      <c r="A509" t="inlineStr">
        <is>
          <t>A 30488-2024</t>
        </is>
      </c>
      <c r="B509" s="1" t="n">
        <v>45491.95037037037</v>
      </c>
      <c r="C509" s="1" t="n">
        <v>45997</v>
      </c>
      <c r="D509" t="inlineStr">
        <is>
          <t>JÄMTLANDS LÄN</t>
        </is>
      </c>
      <c r="E509" t="inlineStr">
        <is>
          <t>BRÄCKE</t>
        </is>
      </c>
      <c r="F509" t="inlineStr">
        <is>
          <t>Naturvårdsverket</t>
        </is>
      </c>
      <c r="G509" t="n">
        <v>3.7</v>
      </c>
      <c r="H509" t="n">
        <v>0</v>
      </c>
      <c r="I509" t="n">
        <v>0</v>
      </c>
      <c r="J509" t="n">
        <v>0</v>
      </c>
      <c r="K509" t="n">
        <v>0</v>
      </c>
      <c r="L509" t="n">
        <v>0</v>
      </c>
      <c r="M509" t="n">
        <v>0</v>
      </c>
      <c r="N509" t="n">
        <v>0</v>
      </c>
      <c r="O509" t="n">
        <v>0</v>
      </c>
      <c r="P509" t="n">
        <v>0</v>
      </c>
      <c r="Q509" t="n">
        <v>0</v>
      </c>
      <c r="R509" s="2" t="inlineStr"/>
    </row>
    <row r="510" ht="15" customHeight="1">
      <c r="A510" t="inlineStr">
        <is>
          <t>A 23746-2021</t>
        </is>
      </c>
      <c r="B510" s="1" t="n">
        <v>44334.93716435185</v>
      </c>
      <c r="C510" s="1" t="n">
        <v>45997</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11699-2025</t>
        </is>
      </c>
      <c r="B511" s="1" t="n">
        <v>45727.57402777778</v>
      </c>
      <c r="C511" s="1" t="n">
        <v>45997</v>
      </c>
      <c r="D511" t="inlineStr">
        <is>
          <t>JÄMTLANDS LÄN</t>
        </is>
      </c>
      <c r="E511" t="inlineStr">
        <is>
          <t>BRÄCKE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23767-2023</t>
        </is>
      </c>
      <c r="B512" s="1" t="n">
        <v>45077</v>
      </c>
      <c r="C512" s="1" t="n">
        <v>45997</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23773-2023</t>
        </is>
      </c>
      <c r="B513" s="1" t="n">
        <v>45077.94631944445</v>
      </c>
      <c r="C513" s="1" t="n">
        <v>45997</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56686-2023</t>
        </is>
      </c>
      <c r="B514" s="1" t="n">
        <v>45243.96622685185</v>
      </c>
      <c r="C514" s="1" t="n">
        <v>45997</v>
      </c>
      <c r="D514" t="inlineStr">
        <is>
          <t>JÄMTLANDS LÄN</t>
        </is>
      </c>
      <c r="E514" t="inlineStr">
        <is>
          <t>BRÄCKE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45997</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45997</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45997</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45997</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13180-2024</t>
        </is>
      </c>
      <c r="B519" s="1" t="n">
        <v>45386.43207175926</v>
      </c>
      <c r="C519" s="1" t="n">
        <v>45997</v>
      </c>
      <c r="D519" t="inlineStr">
        <is>
          <t>JÄMTLANDS LÄN</t>
        </is>
      </c>
      <c r="E519" t="inlineStr">
        <is>
          <t>BRÄCKE</t>
        </is>
      </c>
      <c r="G519" t="n">
        <v>1.8</v>
      </c>
      <c r="H519" t="n">
        <v>0</v>
      </c>
      <c r="I519" t="n">
        <v>0</v>
      </c>
      <c r="J519" t="n">
        <v>0</v>
      </c>
      <c r="K519" t="n">
        <v>0</v>
      </c>
      <c r="L519" t="n">
        <v>0</v>
      </c>
      <c r="M519" t="n">
        <v>0</v>
      </c>
      <c r="N519" t="n">
        <v>0</v>
      </c>
      <c r="O519" t="n">
        <v>0</v>
      </c>
      <c r="P519" t="n">
        <v>0</v>
      </c>
      <c r="Q519" t="n">
        <v>0</v>
      </c>
      <c r="R519" s="2" t="inlineStr"/>
    </row>
    <row r="520" ht="15" customHeight="1">
      <c r="A520" t="inlineStr">
        <is>
          <t>A 32961-2022</t>
        </is>
      </c>
      <c r="B520" s="1" t="n">
        <v>44784.92487268519</v>
      </c>
      <c r="C520" s="1" t="n">
        <v>45997</v>
      </c>
      <c r="D520" t="inlineStr">
        <is>
          <t>JÄMTLANDS LÄN</t>
        </is>
      </c>
      <c r="E520" t="inlineStr">
        <is>
          <t>BRÄCKE</t>
        </is>
      </c>
      <c r="G520" t="n">
        <v>2.6</v>
      </c>
      <c r="H520" t="n">
        <v>0</v>
      </c>
      <c r="I520" t="n">
        <v>0</v>
      </c>
      <c r="J520" t="n">
        <v>0</v>
      </c>
      <c r="K520" t="n">
        <v>0</v>
      </c>
      <c r="L520" t="n">
        <v>0</v>
      </c>
      <c r="M520" t="n">
        <v>0</v>
      </c>
      <c r="N520" t="n">
        <v>0</v>
      </c>
      <c r="O520" t="n">
        <v>0</v>
      </c>
      <c r="P520" t="n">
        <v>0</v>
      </c>
      <c r="Q520" t="n">
        <v>0</v>
      </c>
      <c r="R520" s="2" t="inlineStr"/>
    </row>
    <row r="521" ht="15" customHeight="1">
      <c r="A521" t="inlineStr">
        <is>
          <t>A 49707-2024</t>
        </is>
      </c>
      <c r="B521" s="1" t="n">
        <v>45596.69832175926</v>
      </c>
      <c r="C521" s="1" t="n">
        <v>45997</v>
      </c>
      <c r="D521" t="inlineStr">
        <is>
          <t>JÄMTLANDS LÄN</t>
        </is>
      </c>
      <c r="E521" t="inlineStr">
        <is>
          <t>BRÄCKE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22978-2024</t>
        </is>
      </c>
      <c r="B522" s="1" t="n">
        <v>45449</v>
      </c>
      <c r="C522" s="1" t="n">
        <v>45997</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16707-2024</t>
        </is>
      </c>
      <c r="B523" s="1" t="n">
        <v>45409.07706018518</v>
      </c>
      <c r="C523" s="1" t="n">
        <v>45997</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45997</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45997</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45997</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45997</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45997</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4861-2025</t>
        </is>
      </c>
      <c r="B529" s="1" t="n">
        <v>45688.67481481482</v>
      </c>
      <c r="C529" s="1" t="n">
        <v>45997</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33870-2023</t>
        </is>
      </c>
      <c r="B530" s="1" t="n">
        <v>45133.95326388889</v>
      </c>
      <c r="C530" s="1" t="n">
        <v>45997</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45381-2024</t>
        </is>
      </c>
      <c r="B531" s="1" t="n">
        <v>45576.53155092592</v>
      </c>
      <c r="C531" s="1" t="n">
        <v>45997</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8865-2023</t>
        </is>
      </c>
      <c r="B532" s="1" t="n">
        <v>44978</v>
      </c>
      <c r="C532" s="1" t="n">
        <v>45997</v>
      </c>
      <c r="D532" t="inlineStr">
        <is>
          <t>JÄMTLANDS LÄN</t>
        </is>
      </c>
      <c r="E532" t="inlineStr">
        <is>
          <t>BRÄCKE</t>
        </is>
      </c>
      <c r="G532" t="n">
        <v>2.9</v>
      </c>
      <c r="H532" t="n">
        <v>0</v>
      </c>
      <c r="I532" t="n">
        <v>0</v>
      </c>
      <c r="J532" t="n">
        <v>0</v>
      </c>
      <c r="K532" t="n">
        <v>0</v>
      </c>
      <c r="L532" t="n">
        <v>0</v>
      </c>
      <c r="M532" t="n">
        <v>0</v>
      </c>
      <c r="N532" t="n">
        <v>0</v>
      </c>
      <c r="O532" t="n">
        <v>0</v>
      </c>
      <c r="P532" t="n">
        <v>0</v>
      </c>
      <c r="Q532" t="n">
        <v>0</v>
      </c>
      <c r="R532" s="2" t="inlineStr"/>
    </row>
    <row r="533" ht="15" customHeight="1">
      <c r="A533" t="inlineStr">
        <is>
          <t>A 4381-2023</t>
        </is>
      </c>
      <c r="B533" s="1" t="n">
        <v>44955</v>
      </c>
      <c r="C533" s="1" t="n">
        <v>45997</v>
      </c>
      <c r="D533" t="inlineStr">
        <is>
          <t>JÄMTLANDS LÄN</t>
        </is>
      </c>
      <c r="E533" t="inlineStr">
        <is>
          <t>BRÄCKE</t>
        </is>
      </c>
      <c r="G533" t="n">
        <v>2.1</v>
      </c>
      <c r="H533" t="n">
        <v>0</v>
      </c>
      <c r="I533" t="n">
        <v>0</v>
      </c>
      <c r="J533" t="n">
        <v>0</v>
      </c>
      <c r="K533" t="n">
        <v>0</v>
      </c>
      <c r="L533" t="n">
        <v>0</v>
      </c>
      <c r="M533" t="n">
        <v>0</v>
      </c>
      <c r="N533" t="n">
        <v>0</v>
      </c>
      <c r="O533" t="n">
        <v>0</v>
      </c>
      <c r="P533" t="n">
        <v>0</v>
      </c>
      <c r="Q533" t="n">
        <v>0</v>
      </c>
      <c r="R533" s="2" t="inlineStr"/>
    </row>
    <row r="534" ht="15" customHeight="1">
      <c r="A534" t="inlineStr">
        <is>
          <t>A 35903-2024</t>
        </is>
      </c>
      <c r="B534" s="1" t="n">
        <v>45533.40648148148</v>
      </c>
      <c r="C534" s="1" t="n">
        <v>45997</v>
      </c>
      <c r="D534" t="inlineStr">
        <is>
          <t>JÄMTLANDS LÄN</t>
        </is>
      </c>
      <c r="E534" t="inlineStr">
        <is>
          <t>BRÄCKE</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20093-2023</t>
        </is>
      </c>
      <c r="B535" s="1" t="n">
        <v>45054.94181712963</v>
      </c>
      <c r="C535" s="1" t="n">
        <v>45997</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30102-2021</t>
        </is>
      </c>
      <c r="B536" s="1" t="n">
        <v>44363</v>
      </c>
      <c r="C536" s="1" t="n">
        <v>45997</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19342-2025</t>
        </is>
      </c>
      <c r="B537" s="1" t="n">
        <v>45769.59520833333</v>
      </c>
      <c r="C537" s="1" t="n">
        <v>45997</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29189-2024</t>
        </is>
      </c>
      <c r="B538" s="1" t="n">
        <v>45482.55164351852</v>
      </c>
      <c r="C538" s="1" t="n">
        <v>45997</v>
      </c>
      <c r="D538" t="inlineStr">
        <is>
          <t>JÄMTLANDS LÄN</t>
        </is>
      </c>
      <c r="E538" t="inlineStr">
        <is>
          <t>BRÄCKE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17907-2025</t>
        </is>
      </c>
      <c r="B539" s="1" t="n">
        <v>45758.73046296297</v>
      </c>
      <c r="C539" s="1" t="n">
        <v>45997</v>
      </c>
      <c r="D539" t="inlineStr">
        <is>
          <t>JÄMTLANDS LÄN</t>
        </is>
      </c>
      <c r="E539" t="inlineStr">
        <is>
          <t>BRÄCKE</t>
        </is>
      </c>
      <c r="G539" t="n">
        <v>3</v>
      </c>
      <c r="H539" t="n">
        <v>0</v>
      </c>
      <c r="I539" t="n">
        <v>0</v>
      </c>
      <c r="J539" t="n">
        <v>0</v>
      </c>
      <c r="K539" t="n">
        <v>0</v>
      </c>
      <c r="L539" t="n">
        <v>0</v>
      </c>
      <c r="M539" t="n">
        <v>0</v>
      </c>
      <c r="N539" t="n">
        <v>0</v>
      </c>
      <c r="O539" t="n">
        <v>0</v>
      </c>
      <c r="P539" t="n">
        <v>0</v>
      </c>
      <c r="Q539" t="n">
        <v>0</v>
      </c>
      <c r="R539" s="2" t="inlineStr"/>
    </row>
    <row r="540" ht="15" customHeight="1">
      <c r="A540" t="inlineStr">
        <is>
          <t>A 21086-2024</t>
        </is>
      </c>
      <c r="B540" s="1" t="n">
        <v>45439.92791666667</v>
      </c>
      <c r="C540" s="1" t="n">
        <v>45997</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35395-2024</t>
        </is>
      </c>
      <c r="B541" s="1" t="n">
        <v>45531.403125</v>
      </c>
      <c r="C541" s="1" t="n">
        <v>45997</v>
      </c>
      <c r="D541" t="inlineStr">
        <is>
          <t>JÄMTLANDS LÄN</t>
        </is>
      </c>
      <c r="E541" t="inlineStr">
        <is>
          <t>BRÄCKE</t>
        </is>
      </c>
      <c r="F541" t="inlineStr">
        <is>
          <t>SCA</t>
        </is>
      </c>
      <c r="G541" t="n">
        <v>23.2</v>
      </c>
      <c r="H541" t="n">
        <v>0</v>
      </c>
      <c r="I541" t="n">
        <v>0</v>
      </c>
      <c r="J541" t="n">
        <v>0</v>
      </c>
      <c r="K541" t="n">
        <v>0</v>
      </c>
      <c r="L541" t="n">
        <v>0</v>
      </c>
      <c r="M541" t="n">
        <v>0</v>
      </c>
      <c r="N541" t="n">
        <v>0</v>
      </c>
      <c r="O541" t="n">
        <v>0</v>
      </c>
      <c r="P541" t="n">
        <v>0</v>
      </c>
      <c r="Q541" t="n">
        <v>0</v>
      </c>
      <c r="R541" s="2" t="inlineStr"/>
    </row>
    <row r="542" ht="15" customHeight="1">
      <c r="A542" t="inlineStr">
        <is>
          <t>A 35400-2024</t>
        </is>
      </c>
      <c r="B542" s="1" t="n">
        <v>45531.40457175926</v>
      </c>
      <c r="C542" s="1" t="n">
        <v>45997</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22986-2023</t>
        </is>
      </c>
      <c r="B543" s="1" t="n">
        <v>45072.94140046297</v>
      </c>
      <c r="C543" s="1" t="n">
        <v>45997</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22116-2024</t>
        </is>
      </c>
      <c r="B544" s="1" t="n">
        <v>45443.95230324074</v>
      </c>
      <c r="C544" s="1" t="n">
        <v>45997</v>
      </c>
      <c r="D544" t="inlineStr">
        <is>
          <t>JÄMTLANDS LÄN</t>
        </is>
      </c>
      <c r="E544" t="inlineStr">
        <is>
          <t>BRÄCKE</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26351-2023</t>
        </is>
      </c>
      <c r="B545" s="1" t="n">
        <v>45091</v>
      </c>
      <c r="C545" s="1" t="n">
        <v>45997</v>
      </c>
      <c r="D545" t="inlineStr">
        <is>
          <t>JÄMTLANDS LÄN</t>
        </is>
      </c>
      <c r="E545" t="inlineStr">
        <is>
          <t>BRÄCKE</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61483-2024</t>
        </is>
      </c>
      <c r="B546" s="1" t="n">
        <v>45646.52915509259</v>
      </c>
      <c r="C546" s="1" t="n">
        <v>45997</v>
      </c>
      <c r="D546" t="inlineStr">
        <is>
          <t>JÄMTLANDS LÄN</t>
        </is>
      </c>
      <c r="E546" t="inlineStr">
        <is>
          <t>BRÄCKE</t>
        </is>
      </c>
      <c r="F546" t="inlineStr">
        <is>
          <t>Övriga Aktiebolag</t>
        </is>
      </c>
      <c r="G546" t="n">
        <v>13.8</v>
      </c>
      <c r="H546" t="n">
        <v>0</v>
      </c>
      <c r="I546" t="n">
        <v>0</v>
      </c>
      <c r="J546" t="n">
        <v>0</v>
      </c>
      <c r="K546" t="n">
        <v>0</v>
      </c>
      <c r="L546" t="n">
        <v>0</v>
      </c>
      <c r="M546" t="n">
        <v>0</v>
      </c>
      <c r="N546" t="n">
        <v>0</v>
      </c>
      <c r="O546" t="n">
        <v>0</v>
      </c>
      <c r="P546" t="n">
        <v>0</v>
      </c>
      <c r="Q546" t="n">
        <v>0</v>
      </c>
      <c r="R546" s="2" t="inlineStr"/>
    </row>
    <row r="547" ht="15" customHeight="1">
      <c r="A547" t="inlineStr">
        <is>
          <t>A 24195-2023</t>
        </is>
      </c>
      <c r="B547" s="1" t="n">
        <v>45079</v>
      </c>
      <c r="C547" s="1" t="n">
        <v>45997</v>
      </c>
      <c r="D547" t="inlineStr">
        <is>
          <t>JÄMTLANDS LÄN</t>
        </is>
      </c>
      <c r="E547" t="inlineStr">
        <is>
          <t>BRÄCKE</t>
        </is>
      </c>
      <c r="G547" t="n">
        <v>1.5</v>
      </c>
      <c r="H547" t="n">
        <v>0</v>
      </c>
      <c r="I547" t="n">
        <v>0</v>
      </c>
      <c r="J547" t="n">
        <v>0</v>
      </c>
      <c r="K547" t="n">
        <v>0</v>
      </c>
      <c r="L547" t="n">
        <v>0</v>
      </c>
      <c r="M547" t="n">
        <v>0</v>
      </c>
      <c r="N547" t="n">
        <v>0</v>
      </c>
      <c r="O547" t="n">
        <v>0</v>
      </c>
      <c r="P547" t="n">
        <v>0</v>
      </c>
      <c r="Q547" t="n">
        <v>0</v>
      </c>
      <c r="R547" s="2" t="inlineStr"/>
    </row>
    <row r="548" ht="15" customHeight="1">
      <c r="A548" t="inlineStr">
        <is>
          <t>A 25718-2024</t>
        </is>
      </c>
      <c r="B548" s="1" t="n">
        <v>45463.94467592592</v>
      </c>
      <c r="C548" s="1" t="n">
        <v>45997</v>
      </c>
      <c r="D548" t="inlineStr">
        <is>
          <t>JÄMTLANDS LÄN</t>
        </is>
      </c>
      <c r="E548" t="inlineStr">
        <is>
          <t>BRÄCKE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54274-2022</t>
        </is>
      </c>
      <c r="B549" s="1" t="n">
        <v>44879</v>
      </c>
      <c r="C549" s="1" t="n">
        <v>45997</v>
      </c>
      <c r="D549" t="inlineStr">
        <is>
          <t>JÄMTLANDS LÄN</t>
        </is>
      </c>
      <c r="E549" t="inlineStr">
        <is>
          <t>BRÄCKE</t>
        </is>
      </c>
      <c r="G549" t="n">
        <v>1.1</v>
      </c>
      <c r="H549" t="n">
        <v>0</v>
      </c>
      <c r="I549" t="n">
        <v>0</v>
      </c>
      <c r="J549" t="n">
        <v>0</v>
      </c>
      <c r="K549" t="n">
        <v>0</v>
      </c>
      <c r="L549" t="n">
        <v>0</v>
      </c>
      <c r="M549" t="n">
        <v>0</v>
      </c>
      <c r="N549" t="n">
        <v>0</v>
      </c>
      <c r="O549" t="n">
        <v>0</v>
      </c>
      <c r="P549" t="n">
        <v>0</v>
      </c>
      <c r="Q549" t="n">
        <v>0</v>
      </c>
      <c r="R549" s="2" t="inlineStr"/>
    </row>
    <row r="550" ht="15" customHeight="1">
      <c r="A550" t="inlineStr">
        <is>
          <t>A 12640-2025</t>
        </is>
      </c>
      <c r="B550" s="1" t="n">
        <v>45733.38606481482</v>
      </c>
      <c r="C550" s="1" t="n">
        <v>45997</v>
      </c>
      <c r="D550" t="inlineStr">
        <is>
          <t>JÄMTLANDS LÄN</t>
        </is>
      </c>
      <c r="E550" t="inlineStr">
        <is>
          <t>BRÄCKE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23534-2024</t>
        </is>
      </c>
      <c r="B551" s="1" t="n">
        <v>45453.95170138889</v>
      </c>
      <c r="C551" s="1" t="n">
        <v>45997</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26025-2024</t>
        </is>
      </c>
      <c r="B552" s="1" t="n">
        <v>45467.96188657408</v>
      </c>
      <c r="C552" s="1" t="n">
        <v>45997</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46952-2021</t>
        </is>
      </c>
      <c r="B553" s="1" t="n">
        <v>44446</v>
      </c>
      <c r="C553" s="1" t="n">
        <v>45997</v>
      </c>
      <c r="D553" t="inlineStr">
        <is>
          <t>JÄMTLANDS LÄN</t>
        </is>
      </c>
      <c r="E553" t="inlineStr">
        <is>
          <t>BRÄCKE</t>
        </is>
      </c>
      <c r="G553" t="n">
        <v>2.1</v>
      </c>
      <c r="H553" t="n">
        <v>0</v>
      </c>
      <c r="I553" t="n">
        <v>0</v>
      </c>
      <c r="J553" t="n">
        <v>0</v>
      </c>
      <c r="K553" t="n">
        <v>0</v>
      </c>
      <c r="L553" t="n">
        <v>0</v>
      </c>
      <c r="M553" t="n">
        <v>0</v>
      </c>
      <c r="N553" t="n">
        <v>0</v>
      </c>
      <c r="O553" t="n">
        <v>0</v>
      </c>
      <c r="P553" t="n">
        <v>0</v>
      </c>
      <c r="Q553" t="n">
        <v>0</v>
      </c>
      <c r="R553" s="2" t="inlineStr"/>
    </row>
    <row r="554" ht="15" customHeight="1">
      <c r="A554" t="inlineStr">
        <is>
          <t>A 1863-2022</t>
        </is>
      </c>
      <c r="B554" s="1" t="n">
        <v>44574</v>
      </c>
      <c r="C554" s="1" t="n">
        <v>45997</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1865-2022</t>
        </is>
      </c>
      <c r="B555" s="1" t="n">
        <v>44574</v>
      </c>
      <c r="C555" s="1" t="n">
        <v>45997</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60417-2022</t>
        </is>
      </c>
      <c r="B556" s="1" t="n">
        <v>44910.97158564815</v>
      </c>
      <c r="C556" s="1" t="n">
        <v>45997</v>
      </c>
      <c r="D556" t="inlineStr">
        <is>
          <t>JÄMTLANDS LÄN</t>
        </is>
      </c>
      <c r="E556" t="inlineStr">
        <is>
          <t>BRÄCKE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3528-2024</t>
        </is>
      </c>
      <c r="B557" s="1" t="n">
        <v>45320</v>
      </c>
      <c r="C557" s="1" t="n">
        <v>45997</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44445-2022</t>
        </is>
      </c>
      <c r="B558" s="1" t="n">
        <v>44839.95482638889</v>
      </c>
      <c r="C558" s="1" t="n">
        <v>45997</v>
      </c>
      <c r="D558" t="inlineStr">
        <is>
          <t>JÄMTLANDS LÄN</t>
        </is>
      </c>
      <c r="E558" t="inlineStr">
        <is>
          <t>BRÄCKE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16059-2024</t>
        </is>
      </c>
      <c r="B559" s="1" t="n">
        <v>45406.04950231482</v>
      </c>
      <c r="C559" s="1" t="n">
        <v>45997</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37238-2021</t>
        </is>
      </c>
      <c r="B560" s="1" t="n">
        <v>44396.93490740741</v>
      </c>
      <c r="C560" s="1" t="n">
        <v>45997</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37375-2021</t>
        </is>
      </c>
      <c r="B561" s="1" t="n">
        <v>44397</v>
      </c>
      <c r="C561" s="1" t="n">
        <v>45997</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37048-2021</t>
        </is>
      </c>
      <c r="B562" s="1" t="n">
        <v>44393.93534722222</v>
      </c>
      <c r="C562" s="1" t="n">
        <v>45997</v>
      </c>
      <c r="D562" t="inlineStr">
        <is>
          <t>JÄMTLANDS LÄN</t>
        </is>
      </c>
      <c r="E562" t="inlineStr">
        <is>
          <t>BRÄCKE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26029-2024</t>
        </is>
      </c>
      <c r="B563" s="1" t="n">
        <v>45467.96262731482</v>
      </c>
      <c r="C563" s="1" t="n">
        <v>45997</v>
      </c>
      <c r="D563" t="inlineStr">
        <is>
          <t>JÄMTLANDS LÄN</t>
        </is>
      </c>
      <c r="E563" t="inlineStr">
        <is>
          <t>BRÄCKE</t>
        </is>
      </c>
      <c r="F563" t="inlineStr">
        <is>
          <t>SCA</t>
        </is>
      </c>
      <c r="G563" t="n">
        <v>40.9</v>
      </c>
      <c r="H563" t="n">
        <v>0</v>
      </c>
      <c r="I563" t="n">
        <v>0</v>
      </c>
      <c r="J563" t="n">
        <v>0</v>
      </c>
      <c r="K563" t="n">
        <v>0</v>
      </c>
      <c r="L563" t="n">
        <v>0</v>
      </c>
      <c r="M563" t="n">
        <v>0</v>
      </c>
      <c r="N563" t="n">
        <v>0</v>
      </c>
      <c r="O563" t="n">
        <v>0</v>
      </c>
      <c r="P563" t="n">
        <v>0</v>
      </c>
      <c r="Q563" t="n">
        <v>0</v>
      </c>
      <c r="R563" s="2" t="inlineStr"/>
      <c r="U563">
        <f>HYPERLINK("https://klasma.github.io/Logging_2305/knärot/A 26029-2024 karta knärot.png", "A 26029-2024")</f>
        <v/>
      </c>
      <c r="V563">
        <f>HYPERLINK("https://klasma.github.io/Logging_2305/klagomål/A 26029-2024 FSC-klagomål.docx", "A 26029-2024")</f>
        <v/>
      </c>
      <c r="W563">
        <f>HYPERLINK("https://klasma.github.io/Logging_2305/klagomålsmail/A 26029-2024 FSC-klagomål mail.docx", "A 26029-2024")</f>
        <v/>
      </c>
      <c r="X563">
        <f>HYPERLINK("https://klasma.github.io/Logging_2305/tillsyn/A 26029-2024 tillsynsbegäran.docx", "A 26029-2024")</f>
        <v/>
      </c>
      <c r="Y563">
        <f>HYPERLINK("https://klasma.github.io/Logging_2305/tillsynsmail/A 26029-2024 tillsynsbegäran mail.docx", "A 26029-2024")</f>
        <v/>
      </c>
    </row>
    <row r="564" ht="15" customHeight="1">
      <c r="A564" t="inlineStr">
        <is>
          <t>A 25883-2024</t>
        </is>
      </c>
      <c r="B564" s="1" t="n">
        <v>45467.49233796296</v>
      </c>
      <c r="C564" s="1" t="n">
        <v>45997</v>
      </c>
      <c r="D564" t="inlineStr">
        <is>
          <t>JÄMTLANDS LÄN</t>
        </is>
      </c>
      <c r="E564" t="inlineStr">
        <is>
          <t>BRÄCKE</t>
        </is>
      </c>
      <c r="G564" t="n">
        <v>1.8</v>
      </c>
      <c r="H564" t="n">
        <v>0</v>
      </c>
      <c r="I564" t="n">
        <v>0</v>
      </c>
      <c r="J564" t="n">
        <v>0</v>
      </c>
      <c r="K564" t="n">
        <v>0</v>
      </c>
      <c r="L564" t="n">
        <v>0</v>
      </c>
      <c r="M564" t="n">
        <v>0</v>
      </c>
      <c r="N564" t="n">
        <v>0</v>
      </c>
      <c r="O564" t="n">
        <v>0</v>
      </c>
      <c r="P564" t="n">
        <v>0</v>
      </c>
      <c r="Q564" t="n">
        <v>0</v>
      </c>
      <c r="R564" s="2" t="inlineStr"/>
    </row>
    <row r="565" ht="15" customHeight="1">
      <c r="A565" t="inlineStr">
        <is>
          <t>A 4365-2023</t>
        </is>
      </c>
      <c r="B565" s="1" t="n">
        <v>44954</v>
      </c>
      <c r="C565" s="1" t="n">
        <v>45997</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24974-2024</t>
        </is>
      </c>
      <c r="B566" s="1" t="n">
        <v>45461</v>
      </c>
      <c r="C566" s="1" t="n">
        <v>45997</v>
      </c>
      <c r="D566" t="inlineStr">
        <is>
          <t>JÄMTLANDS LÄN</t>
        </is>
      </c>
      <c r="E566" t="inlineStr">
        <is>
          <t>BRÄCKE</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20879-2023</t>
        </is>
      </c>
      <c r="B567" s="1" t="n">
        <v>45058.94399305555</v>
      </c>
      <c r="C567" s="1" t="n">
        <v>45997</v>
      </c>
      <c r="D567" t="inlineStr">
        <is>
          <t>JÄMTLANDS LÄN</t>
        </is>
      </c>
      <c r="E567" t="inlineStr">
        <is>
          <t>BRÄCKE</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26353-2023</t>
        </is>
      </c>
      <c r="B568" s="1" t="n">
        <v>45091.94232638889</v>
      </c>
      <c r="C568" s="1" t="n">
        <v>45997</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27354-2023</t>
        </is>
      </c>
      <c r="B569" s="1" t="n">
        <v>45096</v>
      </c>
      <c r="C569" s="1" t="n">
        <v>45997</v>
      </c>
      <c r="D569" t="inlineStr">
        <is>
          <t>JÄMTLANDS LÄN</t>
        </is>
      </c>
      <c r="E569" t="inlineStr">
        <is>
          <t>BRÄCKE</t>
        </is>
      </c>
      <c r="G569" t="n">
        <v>2.3</v>
      </c>
      <c r="H569" t="n">
        <v>0</v>
      </c>
      <c r="I569" t="n">
        <v>0</v>
      </c>
      <c r="J569" t="n">
        <v>0</v>
      </c>
      <c r="K569" t="n">
        <v>0</v>
      </c>
      <c r="L569" t="n">
        <v>0</v>
      </c>
      <c r="M569" t="n">
        <v>0</v>
      </c>
      <c r="N569" t="n">
        <v>0</v>
      </c>
      <c r="O569" t="n">
        <v>0</v>
      </c>
      <c r="P569" t="n">
        <v>0</v>
      </c>
      <c r="Q569" t="n">
        <v>0</v>
      </c>
      <c r="R569" s="2" t="inlineStr"/>
    </row>
    <row r="570" ht="15" customHeight="1">
      <c r="A570" t="inlineStr">
        <is>
          <t>A 47983-2021</t>
        </is>
      </c>
      <c r="B570" s="1" t="n">
        <v>44448</v>
      </c>
      <c r="C570" s="1" t="n">
        <v>45997</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57011-2022</t>
        </is>
      </c>
      <c r="B571" s="1" t="n">
        <v>44894</v>
      </c>
      <c r="C571" s="1" t="n">
        <v>45997</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63534-2023</t>
        </is>
      </c>
      <c r="B572" s="1" t="n">
        <v>45274.94905092593</v>
      </c>
      <c r="C572" s="1" t="n">
        <v>45997</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3239-2022</t>
        </is>
      </c>
      <c r="B573" s="1" t="n">
        <v>44582.93296296296</v>
      </c>
      <c r="C573" s="1" t="n">
        <v>45997</v>
      </c>
      <c r="D573" t="inlineStr">
        <is>
          <t>JÄMTLANDS LÄN</t>
        </is>
      </c>
      <c r="E573" t="inlineStr">
        <is>
          <t>BRÄCKE</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49721-2024</t>
        </is>
      </c>
      <c r="B574" s="1" t="n">
        <v>45596.72841435186</v>
      </c>
      <c r="C574" s="1" t="n">
        <v>45997</v>
      </c>
      <c r="D574" t="inlineStr">
        <is>
          <t>JÄMTLANDS LÄN</t>
        </is>
      </c>
      <c r="E574" t="inlineStr">
        <is>
          <t>BRÄCKE</t>
        </is>
      </c>
      <c r="G574" t="n">
        <v>1.6</v>
      </c>
      <c r="H574" t="n">
        <v>0</v>
      </c>
      <c r="I574" t="n">
        <v>0</v>
      </c>
      <c r="J574" t="n">
        <v>0</v>
      </c>
      <c r="K574" t="n">
        <v>0</v>
      </c>
      <c r="L574" t="n">
        <v>0</v>
      </c>
      <c r="M574" t="n">
        <v>0</v>
      </c>
      <c r="N574" t="n">
        <v>0</v>
      </c>
      <c r="O574" t="n">
        <v>0</v>
      </c>
      <c r="P574" t="n">
        <v>0</v>
      </c>
      <c r="Q574" t="n">
        <v>0</v>
      </c>
      <c r="R574" s="2" t="inlineStr"/>
    </row>
    <row r="575" ht="15" customHeight="1">
      <c r="A575" t="inlineStr">
        <is>
          <t>A 16322-2025</t>
        </is>
      </c>
      <c r="B575" s="1" t="n">
        <v>45751.34886574074</v>
      </c>
      <c r="C575" s="1" t="n">
        <v>45997</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56640-2021</t>
        </is>
      </c>
      <c r="B576" s="1" t="n">
        <v>44480</v>
      </c>
      <c r="C576" s="1" t="n">
        <v>45997</v>
      </c>
      <c r="D576" t="inlineStr">
        <is>
          <t>JÄMTLANDS LÄN</t>
        </is>
      </c>
      <c r="E576" t="inlineStr">
        <is>
          <t>BRÄCKE</t>
        </is>
      </c>
      <c r="G576" t="n">
        <v>2.7</v>
      </c>
      <c r="H576" t="n">
        <v>0</v>
      </c>
      <c r="I576" t="n">
        <v>0</v>
      </c>
      <c r="J576" t="n">
        <v>0</v>
      </c>
      <c r="K576" t="n">
        <v>0</v>
      </c>
      <c r="L576" t="n">
        <v>0</v>
      </c>
      <c r="M576" t="n">
        <v>0</v>
      </c>
      <c r="N576" t="n">
        <v>0</v>
      </c>
      <c r="O576" t="n">
        <v>0</v>
      </c>
      <c r="P576" t="n">
        <v>0</v>
      </c>
      <c r="Q576" t="n">
        <v>0</v>
      </c>
      <c r="R576" s="2" t="inlineStr"/>
    </row>
    <row r="577" ht="15" customHeight="1">
      <c r="A577" t="inlineStr">
        <is>
          <t>A 2065-2024</t>
        </is>
      </c>
      <c r="B577" s="1" t="n">
        <v>45308.97871527778</v>
      </c>
      <c r="C577" s="1" t="n">
        <v>45997</v>
      </c>
      <c r="D577" t="inlineStr">
        <is>
          <t>JÄMTLANDS LÄN</t>
        </is>
      </c>
      <c r="E577" t="inlineStr">
        <is>
          <t>BRÄCKE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33998-2023</t>
        </is>
      </c>
      <c r="B578" s="1" t="n">
        <v>45134</v>
      </c>
      <c r="C578" s="1" t="n">
        <v>45997</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6768-2023</t>
        </is>
      </c>
      <c r="B579" s="1" t="n">
        <v>44966.93079861111</v>
      </c>
      <c r="C579" s="1" t="n">
        <v>45997</v>
      </c>
      <c r="D579" t="inlineStr">
        <is>
          <t>JÄMTLANDS LÄN</t>
        </is>
      </c>
      <c r="E579" t="inlineStr">
        <is>
          <t>BRÄCKE</t>
        </is>
      </c>
      <c r="G579" t="n">
        <v>3.4</v>
      </c>
      <c r="H579" t="n">
        <v>0</v>
      </c>
      <c r="I579" t="n">
        <v>0</v>
      </c>
      <c r="J579" t="n">
        <v>0</v>
      </c>
      <c r="K579" t="n">
        <v>0</v>
      </c>
      <c r="L579" t="n">
        <v>0</v>
      </c>
      <c r="M579" t="n">
        <v>0</v>
      </c>
      <c r="N579" t="n">
        <v>0</v>
      </c>
      <c r="O579" t="n">
        <v>0</v>
      </c>
      <c r="P579" t="n">
        <v>0</v>
      </c>
      <c r="Q579" t="n">
        <v>0</v>
      </c>
      <c r="R579" s="2" t="inlineStr"/>
      <c r="U579">
        <f>HYPERLINK("https://klasma.github.io/Logging_2305/knärot/A 6768-2023 karta knärot.png", "A 6768-2023")</f>
        <v/>
      </c>
      <c r="V579">
        <f>HYPERLINK("https://klasma.github.io/Logging_2305/klagomål/A 6768-2023 FSC-klagomål.docx", "A 6768-2023")</f>
        <v/>
      </c>
      <c r="W579">
        <f>HYPERLINK("https://klasma.github.io/Logging_2305/klagomålsmail/A 6768-2023 FSC-klagomål mail.docx", "A 6768-2023")</f>
        <v/>
      </c>
      <c r="X579">
        <f>HYPERLINK("https://klasma.github.io/Logging_2305/tillsyn/A 6768-2023 tillsynsbegäran.docx", "A 6768-2023")</f>
        <v/>
      </c>
      <c r="Y579">
        <f>HYPERLINK("https://klasma.github.io/Logging_2305/tillsynsmail/A 6768-2023 tillsynsbegäran mail.docx", "A 6768-2023")</f>
        <v/>
      </c>
    </row>
    <row r="580" ht="15" customHeight="1">
      <c r="A580" t="inlineStr">
        <is>
          <t>A 38105-2024</t>
        </is>
      </c>
      <c r="B580" s="1" t="n">
        <v>45545.36538194444</v>
      </c>
      <c r="C580" s="1" t="n">
        <v>45997</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23640-2024</t>
        </is>
      </c>
      <c r="B581" s="1" t="n">
        <v>45454.49516203703</v>
      </c>
      <c r="C581" s="1" t="n">
        <v>45997</v>
      </c>
      <c r="D581" t="inlineStr">
        <is>
          <t>JÄMTLANDS LÄN</t>
        </is>
      </c>
      <c r="E581" t="inlineStr">
        <is>
          <t>BRÄCKE</t>
        </is>
      </c>
      <c r="G581" t="n">
        <v>19.4</v>
      </c>
      <c r="H581" t="n">
        <v>0</v>
      </c>
      <c r="I581" t="n">
        <v>0</v>
      </c>
      <c r="J581" t="n">
        <v>0</v>
      </c>
      <c r="K581" t="n">
        <v>0</v>
      </c>
      <c r="L581" t="n">
        <v>0</v>
      </c>
      <c r="M581" t="n">
        <v>0</v>
      </c>
      <c r="N581" t="n">
        <v>0</v>
      </c>
      <c r="O581" t="n">
        <v>0</v>
      </c>
      <c r="P581" t="n">
        <v>0</v>
      </c>
      <c r="Q581" t="n">
        <v>0</v>
      </c>
      <c r="R581" s="2" t="inlineStr"/>
    </row>
    <row r="582" ht="15" customHeight="1">
      <c r="A582" t="inlineStr">
        <is>
          <t>A 64037-2023</t>
        </is>
      </c>
      <c r="B582" s="1" t="n">
        <v>45278.94344907408</v>
      </c>
      <c r="C582" s="1" t="n">
        <v>45997</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54568-2022</t>
        </is>
      </c>
      <c r="B583" s="1" t="n">
        <v>44882.95480324074</v>
      </c>
      <c r="C583" s="1" t="n">
        <v>45997</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27256-2021</t>
        </is>
      </c>
      <c r="B584" s="1" t="n">
        <v>44350</v>
      </c>
      <c r="C584" s="1" t="n">
        <v>45997</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46024-2022</t>
        </is>
      </c>
      <c r="B585" s="1" t="n">
        <v>44846.92635416667</v>
      </c>
      <c r="C585" s="1" t="n">
        <v>45997</v>
      </c>
      <c r="D585" t="inlineStr">
        <is>
          <t>JÄMTLANDS LÄN</t>
        </is>
      </c>
      <c r="E585" t="inlineStr">
        <is>
          <t>BRÄCKE</t>
        </is>
      </c>
      <c r="G585" t="n">
        <v>3</v>
      </c>
      <c r="H585" t="n">
        <v>0</v>
      </c>
      <c r="I585" t="n">
        <v>0</v>
      </c>
      <c r="J585" t="n">
        <v>0</v>
      </c>
      <c r="K585" t="n">
        <v>0</v>
      </c>
      <c r="L585" t="n">
        <v>0</v>
      </c>
      <c r="M585" t="n">
        <v>0</v>
      </c>
      <c r="N585" t="n">
        <v>0</v>
      </c>
      <c r="O585" t="n">
        <v>0</v>
      </c>
      <c r="P585" t="n">
        <v>0</v>
      </c>
      <c r="Q585" t="n">
        <v>0</v>
      </c>
      <c r="R585" s="2" t="inlineStr"/>
    </row>
    <row r="586" ht="15" customHeight="1">
      <c r="A586" t="inlineStr">
        <is>
          <t>A 26665-2021</t>
        </is>
      </c>
      <c r="B586" s="1" t="n">
        <v>44348</v>
      </c>
      <c r="C586" s="1" t="n">
        <v>45997</v>
      </c>
      <c r="D586" t="inlineStr">
        <is>
          <t>JÄMTLANDS LÄN</t>
        </is>
      </c>
      <c r="E586" t="inlineStr">
        <is>
          <t>BRÄCKE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63716-2023</t>
        </is>
      </c>
      <c r="B587" s="1" t="n">
        <v>45275</v>
      </c>
      <c r="C587" s="1" t="n">
        <v>45997</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35252-2021</t>
        </is>
      </c>
      <c r="B588" s="1" t="n">
        <v>44384.59356481482</v>
      </c>
      <c r="C588" s="1" t="n">
        <v>45997</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22459-2024</t>
        </is>
      </c>
      <c r="B589" s="1" t="n">
        <v>45446.94972222222</v>
      </c>
      <c r="C589" s="1" t="n">
        <v>45997</v>
      </c>
      <c r="D589" t="inlineStr">
        <is>
          <t>JÄMTLANDS LÄN</t>
        </is>
      </c>
      <c r="E589" t="inlineStr">
        <is>
          <t>BRÄCKE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55663-2023</t>
        </is>
      </c>
      <c r="B590" s="1" t="n">
        <v>45238.96738425926</v>
      </c>
      <c r="C590" s="1" t="n">
        <v>45997</v>
      </c>
      <c r="D590" t="inlineStr">
        <is>
          <t>JÄMTLANDS LÄN</t>
        </is>
      </c>
      <c r="E590" t="inlineStr">
        <is>
          <t>BRÄCKE</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51042-2023</t>
        </is>
      </c>
      <c r="B591" s="1" t="n">
        <v>45218.62233796297</v>
      </c>
      <c r="C591" s="1" t="n">
        <v>45997</v>
      </c>
      <c r="D591" t="inlineStr">
        <is>
          <t>JÄMTLANDS LÄN</t>
        </is>
      </c>
      <c r="E591" t="inlineStr">
        <is>
          <t>BRÄCKE</t>
        </is>
      </c>
      <c r="G591" t="n">
        <v>0.6</v>
      </c>
      <c r="H591" t="n">
        <v>0</v>
      </c>
      <c r="I591" t="n">
        <v>0</v>
      </c>
      <c r="J591" t="n">
        <v>0</v>
      </c>
      <c r="K591" t="n">
        <v>0</v>
      </c>
      <c r="L591" t="n">
        <v>0</v>
      </c>
      <c r="M591" t="n">
        <v>0</v>
      </c>
      <c r="N591" t="n">
        <v>0</v>
      </c>
      <c r="O591" t="n">
        <v>0</v>
      </c>
      <c r="P591" t="n">
        <v>0</v>
      </c>
      <c r="Q591" t="n">
        <v>0</v>
      </c>
      <c r="R591" s="2" t="inlineStr"/>
    </row>
    <row r="592" ht="15" customHeight="1">
      <c r="A592" t="inlineStr">
        <is>
          <t>A 41552-2024</t>
        </is>
      </c>
      <c r="B592" s="1" t="n">
        <v>45560.51988425926</v>
      </c>
      <c r="C592" s="1" t="n">
        <v>45997</v>
      </c>
      <c r="D592" t="inlineStr">
        <is>
          <t>JÄMTLANDS LÄN</t>
        </is>
      </c>
      <c r="E592" t="inlineStr">
        <is>
          <t>BRÄCKE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52712-2022</t>
        </is>
      </c>
      <c r="B593" s="1" t="n">
        <v>44874</v>
      </c>
      <c r="C593" s="1" t="n">
        <v>45997</v>
      </c>
      <c r="D593" t="inlineStr">
        <is>
          <t>JÄMTLANDS LÄN</t>
        </is>
      </c>
      <c r="E593" t="inlineStr">
        <is>
          <t>BRÄCKE</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52713-2022</t>
        </is>
      </c>
      <c r="B594" s="1" t="n">
        <v>44874.95504629629</v>
      </c>
      <c r="C594" s="1" t="n">
        <v>45997</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46597-2022</t>
        </is>
      </c>
      <c r="B595" s="1" t="n">
        <v>44848</v>
      </c>
      <c r="C595" s="1" t="n">
        <v>45997</v>
      </c>
      <c r="D595" t="inlineStr">
        <is>
          <t>JÄMTLANDS LÄN</t>
        </is>
      </c>
      <c r="E595" t="inlineStr">
        <is>
          <t>BRÄCKE</t>
        </is>
      </c>
      <c r="G595" t="n">
        <v>5.5</v>
      </c>
      <c r="H595" t="n">
        <v>0</v>
      </c>
      <c r="I595" t="n">
        <v>0</v>
      </c>
      <c r="J595" t="n">
        <v>0</v>
      </c>
      <c r="K595" t="n">
        <v>0</v>
      </c>
      <c r="L595" t="n">
        <v>0</v>
      </c>
      <c r="M595" t="n">
        <v>0</v>
      </c>
      <c r="N595" t="n">
        <v>0</v>
      </c>
      <c r="O595" t="n">
        <v>0</v>
      </c>
      <c r="P595" t="n">
        <v>0</v>
      </c>
      <c r="Q595" t="n">
        <v>0</v>
      </c>
      <c r="R595" s="2" t="inlineStr"/>
    </row>
    <row r="596" ht="15" customHeight="1">
      <c r="A596" t="inlineStr">
        <is>
          <t>A 3025-2021</t>
        </is>
      </c>
      <c r="B596" s="1" t="n">
        <v>44216</v>
      </c>
      <c r="C596" s="1" t="n">
        <v>45997</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56221-2021</t>
        </is>
      </c>
      <c r="B597" s="1" t="n">
        <v>44477</v>
      </c>
      <c r="C597" s="1" t="n">
        <v>45997</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29130-2024</t>
        </is>
      </c>
      <c r="B598" s="1" t="n">
        <v>45482.35856481481</v>
      </c>
      <c r="C598" s="1" t="n">
        <v>45997</v>
      </c>
      <c r="D598" t="inlineStr">
        <is>
          <t>JÄMTLANDS LÄN</t>
        </is>
      </c>
      <c r="E598" t="inlineStr">
        <is>
          <t>BRÄCKE</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35010-2022</t>
        </is>
      </c>
      <c r="B599" s="1" t="n">
        <v>44796.94616898148</v>
      </c>
      <c r="C599" s="1" t="n">
        <v>45997</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52754-2023</t>
        </is>
      </c>
      <c r="B600" s="1" t="n">
        <v>45225.96831018518</v>
      </c>
      <c r="C600" s="1" t="n">
        <v>45997</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10857-2024</t>
        </is>
      </c>
      <c r="B601" s="1" t="n">
        <v>45370.01916666667</v>
      </c>
      <c r="C601" s="1" t="n">
        <v>45997</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41936-2023</t>
        </is>
      </c>
      <c r="B602" s="1" t="n">
        <v>45176.94594907408</v>
      </c>
      <c r="C602" s="1" t="n">
        <v>45997</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4542-2022</t>
        </is>
      </c>
      <c r="B603" s="1" t="n">
        <v>44590</v>
      </c>
      <c r="C603" s="1" t="n">
        <v>45997</v>
      </c>
      <c r="D603" t="inlineStr">
        <is>
          <t>JÄMTLANDS LÄN</t>
        </is>
      </c>
      <c r="E603" t="inlineStr">
        <is>
          <t>BRÄCKE</t>
        </is>
      </c>
      <c r="G603" t="n">
        <v>18.5</v>
      </c>
      <c r="H603" t="n">
        <v>0</v>
      </c>
      <c r="I603" t="n">
        <v>0</v>
      </c>
      <c r="J603" t="n">
        <v>0</v>
      </c>
      <c r="K603" t="n">
        <v>0</v>
      </c>
      <c r="L603" t="n">
        <v>0</v>
      </c>
      <c r="M603" t="n">
        <v>0</v>
      </c>
      <c r="N603" t="n">
        <v>0</v>
      </c>
      <c r="O603" t="n">
        <v>0</v>
      </c>
      <c r="P603" t="n">
        <v>0</v>
      </c>
      <c r="Q603" t="n">
        <v>0</v>
      </c>
      <c r="R603" s="2" t="inlineStr"/>
    </row>
    <row r="604" ht="15" customHeight="1">
      <c r="A604" t="inlineStr">
        <is>
          <t>A 58083-2023</t>
        </is>
      </c>
      <c r="B604" s="1" t="n">
        <v>45247</v>
      </c>
      <c r="C604" s="1" t="n">
        <v>45997</v>
      </c>
      <c r="D604" t="inlineStr">
        <is>
          <t>JÄMTLANDS LÄN</t>
        </is>
      </c>
      <c r="E604" t="inlineStr">
        <is>
          <t>BRÄCKE</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14503-2024</t>
        </is>
      </c>
      <c r="B605" s="1" t="n">
        <v>45394.60408564815</v>
      </c>
      <c r="C605" s="1" t="n">
        <v>45997</v>
      </c>
      <c r="D605" t="inlineStr">
        <is>
          <t>JÄMTLANDS LÄN</t>
        </is>
      </c>
      <c r="E605" t="inlineStr">
        <is>
          <t>BRÄCKE</t>
        </is>
      </c>
      <c r="G605" t="n">
        <v>15.2</v>
      </c>
      <c r="H605" t="n">
        <v>0</v>
      </c>
      <c r="I605" t="n">
        <v>0</v>
      </c>
      <c r="J605" t="n">
        <v>0</v>
      </c>
      <c r="K605" t="n">
        <v>0</v>
      </c>
      <c r="L605" t="n">
        <v>0</v>
      </c>
      <c r="M605" t="n">
        <v>0</v>
      </c>
      <c r="N605" t="n">
        <v>0</v>
      </c>
      <c r="O605" t="n">
        <v>0</v>
      </c>
      <c r="P605" t="n">
        <v>0</v>
      </c>
      <c r="Q605" t="n">
        <v>0</v>
      </c>
      <c r="R605" s="2" t="inlineStr"/>
    </row>
    <row r="606" ht="15" customHeight="1">
      <c r="A606" t="inlineStr">
        <is>
          <t>A 18066-2025</t>
        </is>
      </c>
      <c r="B606" s="1" t="n">
        <v>45761.49002314815</v>
      </c>
      <c r="C606" s="1" t="n">
        <v>45997</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20514-2024</t>
        </is>
      </c>
      <c r="B607" s="1" t="n">
        <v>45435.94387731481</v>
      </c>
      <c r="C607" s="1" t="n">
        <v>45997</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11548-2023</t>
        </is>
      </c>
      <c r="B608" s="1" t="n">
        <v>44993.9484837963</v>
      </c>
      <c r="C608" s="1" t="n">
        <v>45997</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39930-2022</t>
        </is>
      </c>
      <c r="B609" s="1" t="n">
        <v>44819</v>
      </c>
      <c r="C609" s="1" t="n">
        <v>45997</v>
      </c>
      <c r="D609" t="inlineStr">
        <is>
          <t>JÄMTLANDS LÄN</t>
        </is>
      </c>
      <c r="E609" t="inlineStr">
        <is>
          <t>BRÄCKE</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38302-2024</t>
        </is>
      </c>
      <c r="B610" s="1" t="n">
        <v>45545.63614583333</v>
      </c>
      <c r="C610" s="1" t="n">
        <v>45997</v>
      </c>
      <c r="D610" t="inlineStr">
        <is>
          <t>JÄMTLANDS LÄN</t>
        </is>
      </c>
      <c r="E610" t="inlineStr">
        <is>
          <t>BRÄCKE</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12524-2025</t>
        </is>
      </c>
      <c r="B611" s="1" t="n">
        <v>45730.6775462963</v>
      </c>
      <c r="C611" s="1" t="n">
        <v>45997</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12553-2025</t>
        </is>
      </c>
      <c r="B612" s="1" t="n">
        <v>45731.34431712963</v>
      </c>
      <c r="C612" s="1" t="n">
        <v>45997</v>
      </c>
      <c r="D612" t="inlineStr">
        <is>
          <t>JÄMTLANDS LÄN</t>
        </is>
      </c>
      <c r="E612" t="inlineStr">
        <is>
          <t>BRÄCKE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45997</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43785-2022</t>
        </is>
      </c>
      <c r="B614" s="1" t="n">
        <v>44837</v>
      </c>
      <c r="C614" s="1" t="n">
        <v>45997</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13019-2023</t>
        </is>
      </c>
      <c r="B615" s="1" t="n">
        <v>45001</v>
      </c>
      <c r="C615" s="1" t="n">
        <v>45997</v>
      </c>
      <c r="D615" t="inlineStr">
        <is>
          <t>JÄMTLANDS LÄN</t>
        </is>
      </c>
      <c r="E615" t="inlineStr">
        <is>
          <t>BRÄCKE</t>
        </is>
      </c>
      <c r="G615" t="n">
        <v>3.8</v>
      </c>
      <c r="H615" t="n">
        <v>0</v>
      </c>
      <c r="I615" t="n">
        <v>0</v>
      </c>
      <c r="J615" t="n">
        <v>0</v>
      </c>
      <c r="K615" t="n">
        <v>0</v>
      </c>
      <c r="L615" t="n">
        <v>0</v>
      </c>
      <c r="M615" t="n">
        <v>0</v>
      </c>
      <c r="N615" t="n">
        <v>0</v>
      </c>
      <c r="O615" t="n">
        <v>0</v>
      </c>
      <c r="P615" t="n">
        <v>0</v>
      </c>
      <c r="Q615" t="n">
        <v>0</v>
      </c>
      <c r="R615" s="2" t="inlineStr"/>
    </row>
    <row r="616" ht="15" customHeight="1">
      <c r="A616" t="inlineStr">
        <is>
          <t>A 59914-2022</t>
        </is>
      </c>
      <c r="B616" s="1" t="n">
        <v>44908.96010416667</v>
      </c>
      <c r="C616" s="1" t="n">
        <v>45997</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62674-2021</t>
        </is>
      </c>
      <c r="B617" s="1" t="n">
        <v>44503.94478009259</v>
      </c>
      <c r="C617" s="1" t="n">
        <v>45997</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58039-2021</t>
        </is>
      </c>
      <c r="B618" s="1" t="n">
        <v>44487</v>
      </c>
      <c r="C618" s="1" t="n">
        <v>45997</v>
      </c>
      <c r="D618" t="inlineStr">
        <is>
          <t>JÄMTLANDS LÄN</t>
        </is>
      </c>
      <c r="E618" t="inlineStr">
        <is>
          <t>BRÄCKE</t>
        </is>
      </c>
      <c r="G618" t="n">
        <v>7.4</v>
      </c>
      <c r="H618" t="n">
        <v>0</v>
      </c>
      <c r="I618" t="n">
        <v>0</v>
      </c>
      <c r="J618" t="n">
        <v>0</v>
      </c>
      <c r="K618" t="n">
        <v>0</v>
      </c>
      <c r="L618" t="n">
        <v>0</v>
      </c>
      <c r="M618" t="n">
        <v>0</v>
      </c>
      <c r="N618" t="n">
        <v>0</v>
      </c>
      <c r="O618" t="n">
        <v>0</v>
      </c>
      <c r="P618" t="n">
        <v>0</v>
      </c>
      <c r="Q618" t="n">
        <v>0</v>
      </c>
      <c r="R618" s="2" t="inlineStr"/>
    </row>
    <row r="619" ht="15" customHeight="1">
      <c r="A619" t="inlineStr">
        <is>
          <t>A 17577-2022</t>
        </is>
      </c>
      <c r="B619" s="1" t="n">
        <v>44679</v>
      </c>
      <c r="C619" s="1" t="n">
        <v>45997</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17313-2025</t>
        </is>
      </c>
      <c r="B620" s="1" t="n">
        <v>45756.61498842593</v>
      </c>
      <c r="C620" s="1" t="n">
        <v>45997</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40791-2024</t>
        </is>
      </c>
      <c r="B621" s="1" t="n">
        <v>45558.50222222223</v>
      </c>
      <c r="C621" s="1" t="n">
        <v>45997</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38943-2024</t>
        </is>
      </c>
      <c r="B622" s="1" t="n">
        <v>45548.34490740741</v>
      </c>
      <c r="C622" s="1" t="n">
        <v>45997</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64034-2023</t>
        </is>
      </c>
      <c r="B623" s="1" t="n">
        <v>45278.94321759259</v>
      </c>
      <c r="C623" s="1" t="n">
        <v>45997</v>
      </c>
      <c r="D623" t="inlineStr">
        <is>
          <t>JÄMTLANDS LÄN</t>
        </is>
      </c>
      <c r="E623" t="inlineStr">
        <is>
          <t>BRÄCKE</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52529-2024</t>
        </is>
      </c>
      <c r="B624" s="1" t="n">
        <v>45609.61483796296</v>
      </c>
      <c r="C624" s="1" t="n">
        <v>45997</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3389-2024</t>
        </is>
      </c>
      <c r="B625" s="1" t="n">
        <v>45317.9409837963</v>
      </c>
      <c r="C625" s="1" t="n">
        <v>45997</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64266-2023</t>
        </is>
      </c>
      <c r="B626" s="1" t="n">
        <v>45279.94579861111</v>
      </c>
      <c r="C626" s="1" t="n">
        <v>45997</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60435-2023</t>
        </is>
      </c>
      <c r="B627" s="1" t="n">
        <v>45258</v>
      </c>
      <c r="C627" s="1" t="n">
        <v>45997</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3390-2024</t>
        </is>
      </c>
      <c r="B628" s="1" t="n">
        <v>45317.94108796296</v>
      </c>
      <c r="C628" s="1" t="n">
        <v>45997</v>
      </c>
      <c r="D628" t="inlineStr">
        <is>
          <t>JÄMTLANDS LÄN</t>
        </is>
      </c>
      <c r="E628" t="inlineStr">
        <is>
          <t>BRÄCKE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57417-2023</t>
        </is>
      </c>
      <c r="B629" s="1" t="n">
        <v>45245.96966435185</v>
      </c>
      <c r="C629" s="1" t="n">
        <v>45997</v>
      </c>
      <c r="D629" t="inlineStr">
        <is>
          <t>JÄMTLANDS LÄN</t>
        </is>
      </c>
      <c r="E629" t="inlineStr">
        <is>
          <t>BRÄCKE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14630-2025</t>
        </is>
      </c>
      <c r="B630" s="1" t="n">
        <v>45742.42767361111</v>
      </c>
      <c r="C630" s="1" t="n">
        <v>45997</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55512-2022</t>
        </is>
      </c>
      <c r="B631" s="1" t="n">
        <v>44887</v>
      </c>
      <c r="C631" s="1" t="n">
        <v>45997</v>
      </c>
      <c r="D631" t="inlineStr">
        <is>
          <t>JÄMTLANDS LÄN</t>
        </is>
      </c>
      <c r="E631" t="inlineStr">
        <is>
          <t>BRÄCKE</t>
        </is>
      </c>
      <c r="G631" t="n">
        <v>3.9</v>
      </c>
      <c r="H631" t="n">
        <v>0</v>
      </c>
      <c r="I631" t="n">
        <v>0</v>
      </c>
      <c r="J631" t="n">
        <v>0</v>
      </c>
      <c r="K631" t="n">
        <v>0</v>
      </c>
      <c r="L631" t="n">
        <v>0</v>
      </c>
      <c r="M631" t="n">
        <v>0</v>
      </c>
      <c r="N631" t="n">
        <v>0</v>
      </c>
      <c r="O631" t="n">
        <v>0</v>
      </c>
      <c r="P631" t="n">
        <v>0</v>
      </c>
      <c r="Q631" t="n">
        <v>0</v>
      </c>
      <c r="R631" s="2" t="inlineStr"/>
    </row>
    <row r="632" ht="15" customHeight="1">
      <c r="A632" t="inlineStr">
        <is>
          <t>A 55520-2022</t>
        </is>
      </c>
      <c r="B632" s="1" t="n">
        <v>44887</v>
      </c>
      <c r="C632" s="1" t="n">
        <v>45997</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55529-2022</t>
        </is>
      </c>
      <c r="B633" s="1" t="n">
        <v>44887.95256944445</v>
      </c>
      <c r="C633" s="1" t="n">
        <v>45997</v>
      </c>
      <c r="D633" t="inlineStr">
        <is>
          <t>JÄMTLANDS LÄN</t>
        </is>
      </c>
      <c r="E633" t="inlineStr">
        <is>
          <t>BRÄCKE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58079-2023</t>
        </is>
      </c>
      <c r="B634" s="1" t="n">
        <v>45247.96510416667</v>
      </c>
      <c r="C634" s="1" t="n">
        <v>45997</v>
      </c>
      <c r="D634" t="inlineStr">
        <is>
          <t>JÄMTLANDS LÄN</t>
        </is>
      </c>
      <c r="E634" t="inlineStr">
        <is>
          <t>BRÄCKE</t>
        </is>
      </c>
      <c r="F634" t="inlineStr">
        <is>
          <t>SCA</t>
        </is>
      </c>
      <c r="G634" t="n">
        <v>6.4</v>
      </c>
      <c r="H634" t="n">
        <v>0</v>
      </c>
      <c r="I634" t="n">
        <v>0</v>
      </c>
      <c r="J634" t="n">
        <v>0</v>
      </c>
      <c r="K634" t="n">
        <v>0</v>
      </c>
      <c r="L634" t="n">
        <v>0</v>
      </c>
      <c r="M634" t="n">
        <v>0</v>
      </c>
      <c r="N634" t="n">
        <v>0</v>
      </c>
      <c r="O634" t="n">
        <v>0</v>
      </c>
      <c r="P634" t="n">
        <v>0</v>
      </c>
      <c r="Q634" t="n">
        <v>0</v>
      </c>
      <c r="R634" s="2" t="inlineStr"/>
    </row>
    <row r="635" ht="15" customHeight="1">
      <c r="A635" t="inlineStr">
        <is>
          <t>A 39937-2022</t>
        </is>
      </c>
      <c r="B635" s="1" t="n">
        <v>44819.9487962963</v>
      </c>
      <c r="C635" s="1" t="n">
        <v>45997</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36551-2024</t>
        </is>
      </c>
      <c r="B636" s="1" t="n">
        <v>45537.468125</v>
      </c>
      <c r="C636" s="1" t="n">
        <v>45997</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35398-2024</t>
        </is>
      </c>
      <c r="B637" s="1" t="n">
        <v>45531.40420138889</v>
      </c>
      <c r="C637" s="1" t="n">
        <v>45997</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37504-2023</t>
        </is>
      </c>
      <c r="B638" s="1" t="n">
        <v>45157.59725694444</v>
      </c>
      <c r="C638" s="1" t="n">
        <v>45997</v>
      </c>
      <c r="D638" t="inlineStr">
        <is>
          <t>JÄMTLANDS LÄN</t>
        </is>
      </c>
      <c r="E638" t="inlineStr">
        <is>
          <t>BRÄCKE</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46939-2023</t>
        </is>
      </c>
      <c r="B639" s="1" t="n">
        <v>45195</v>
      </c>
      <c r="C639" s="1" t="n">
        <v>45997</v>
      </c>
      <c r="D639" t="inlineStr">
        <is>
          <t>JÄMTLANDS LÄN</t>
        </is>
      </c>
      <c r="E639" t="inlineStr">
        <is>
          <t>BRÄCKE</t>
        </is>
      </c>
      <c r="G639" t="n">
        <v>13.4</v>
      </c>
      <c r="H639" t="n">
        <v>0</v>
      </c>
      <c r="I639" t="n">
        <v>0</v>
      </c>
      <c r="J639" t="n">
        <v>0</v>
      </c>
      <c r="K639" t="n">
        <v>0</v>
      </c>
      <c r="L639" t="n">
        <v>0</v>
      </c>
      <c r="M639" t="n">
        <v>0</v>
      </c>
      <c r="N639" t="n">
        <v>0</v>
      </c>
      <c r="O639" t="n">
        <v>0</v>
      </c>
      <c r="P639" t="n">
        <v>0</v>
      </c>
      <c r="Q639" t="n">
        <v>0</v>
      </c>
      <c r="R639" s="2" t="inlineStr"/>
    </row>
    <row r="640" ht="15" customHeight="1">
      <c r="A640" t="inlineStr">
        <is>
          <t>A 24049-2023</t>
        </is>
      </c>
      <c r="B640" s="1" t="n">
        <v>45078.93966435185</v>
      </c>
      <c r="C640" s="1" t="n">
        <v>45997</v>
      </c>
      <c r="D640" t="inlineStr">
        <is>
          <t>JÄMTLANDS LÄN</t>
        </is>
      </c>
      <c r="E640" t="inlineStr">
        <is>
          <t>BRÄCKE</t>
        </is>
      </c>
      <c r="G640" t="n">
        <v>15.2</v>
      </c>
      <c r="H640" t="n">
        <v>0</v>
      </c>
      <c r="I640" t="n">
        <v>0</v>
      </c>
      <c r="J640" t="n">
        <v>0</v>
      </c>
      <c r="K640" t="n">
        <v>0</v>
      </c>
      <c r="L640" t="n">
        <v>0</v>
      </c>
      <c r="M640" t="n">
        <v>0</v>
      </c>
      <c r="N640" t="n">
        <v>0</v>
      </c>
      <c r="O640" t="n">
        <v>0</v>
      </c>
      <c r="P640" t="n">
        <v>0</v>
      </c>
      <c r="Q640" t="n">
        <v>0</v>
      </c>
      <c r="R640" s="2" t="inlineStr"/>
    </row>
    <row r="641" ht="15" customHeight="1">
      <c r="A641" t="inlineStr">
        <is>
          <t>A 14838-2025</t>
        </is>
      </c>
      <c r="B641" s="1" t="n">
        <v>45743.38582175926</v>
      </c>
      <c r="C641" s="1" t="n">
        <v>45997</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31520-2022</t>
        </is>
      </c>
      <c r="B642" s="1" t="n">
        <v>44774.94930555556</v>
      </c>
      <c r="C642" s="1" t="n">
        <v>45997</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59419-2023</t>
        </is>
      </c>
      <c r="B643" s="1" t="n">
        <v>45253.96864583333</v>
      </c>
      <c r="C643" s="1" t="n">
        <v>45997</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36392-2022</t>
        </is>
      </c>
      <c r="B644" s="1" t="n">
        <v>44803.94673611111</v>
      </c>
      <c r="C644" s="1" t="n">
        <v>45997</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1347-2025</t>
        </is>
      </c>
      <c r="B645" s="1" t="n">
        <v>45667.61490740741</v>
      </c>
      <c r="C645" s="1" t="n">
        <v>45997</v>
      </c>
      <c r="D645" t="inlineStr">
        <is>
          <t>JÄMTLANDS LÄN</t>
        </is>
      </c>
      <c r="E645" t="inlineStr">
        <is>
          <t>BRÄCKE</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4904-2025</t>
        </is>
      </c>
      <c r="B646" s="1" t="n">
        <v>45688.68020833333</v>
      </c>
      <c r="C646" s="1" t="n">
        <v>45997</v>
      </c>
      <c r="D646" t="inlineStr">
        <is>
          <t>JÄMTLANDS LÄN</t>
        </is>
      </c>
      <c r="E646" t="inlineStr">
        <is>
          <t>BRÄCKE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40313-2021</t>
        </is>
      </c>
      <c r="B647" s="1" t="n">
        <v>44419.50186342592</v>
      </c>
      <c r="C647" s="1" t="n">
        <v>45997</v>
      </c>
      <c r="D647" t="inlineStr">
        <is>
          <t>JÄMTLANDS LÄN</t>
        </is>
      </c>
      <c r="E647" t="inlineStr">
        <is>
          <t>BRÄCKE</t>
        </is>
      </c>
      <c r="G647" t="n">
        <v>5.7</v>
      </c>
      <c r="H647" t="n">
        <v>0</v>
      </c>
      <c r="I647" t="n">
        <v>0</v>
      </c>
      <c r="J647" t="n">
        <v>0</v>
      </c>
      <c r="K647" t="n">
        <v>0</v>
      </c>
      <c r="L647" t="n">
        <v>0</v>
      </c>
      <c r="M647" t="n">
        <v>0</v>
      </c>
      <c r="N647" t="n">
        <v>0</v>
      </c>
      <c r="O647" t="n">
        <v>0</v>
      </c>
      <c r="P647" t="n">
        <v>0</v>
      </c>
      <c r="Q647" t="n">
        <v>0</v>
      </c>
      <c r="R647" s="2" t="inlineStr"/>
    </row>
    <row r="648" ht="15" customHeight="1">
      <c r="A648" t="inlineStr">
        <is>
          <t>A 24432-2024</t>
        </is>
      </c>
      <c r="B648" s="1" t="n">
        <v>45457.96054398148</v>
      </c>
      <c r="C648" s="1" t="n">
        <v>45997</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34138-2023</t>
        </is>
      </c>
      <c r="B649" s="1" t="n">
        <v>45135</v>
      </c>
      <c r="C649" s="1" t="n">
        <v>45997</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41313-2024</t>
        </is>
      </c>
      <c r="B650" s="1" t="n">
        <v>45559.6359837963</v>
      </c>
      <c r="C650" s="1" t="n">
        <v>45997</v>
      </c>
      <c r="D650" t="inlineStr">
        <is>
          <t>JÄMTLANDS LÄN</t>
        </is>
      </c>
      <c r="E650" t="inlineStr">
        <is>
          <t>BRÄCKE</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51270-2022</t>
        </is>
      </c>
      <c r="B651" s="1" t="n">
        <v>44866</v>
      </c>
      <c r="C651" s="1" t="n">
        <v>45997</v>
      </c>
      <c r="D651" t="inlineStr">
        <is>
          <t>JÄMTLANDS LÄN</t>
        </is>
      </c>
      <c r="E651" t="inlineStr">
        <is>
          <t>BRÄCKE</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25934-2024</t>
        </is>
      </c>
      <c r="B652" s="1" t="n">
        <v>45467.62287037037</v>
      </c>
      <c r="C652" s="1" t="n">
        <v>45997</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36497-2023</t>
        </is>
      </c>
      <c r="B653" s="1" t="n">
        <v>45152</v>
      </c>
      <c r="C653" s="1" t="n">
        <v>45997</v>
      </c>
      <c r="D653" t="inlineStr">
        <is>
          <t>JÄMTLANDS LÄN</t>
        </is>
      </c>
      <c r="E653" t="inlineStr">
        <is>
          <t>BRÄCKE</t>
        </is>
      </c>
      <c r="G653" t="n">
        <v>2.2</v>
      </c>
      <c r="H653" t="n">
        <v>0</v>
      </c>
      <c r="I653" t="n">
        <v>0</v>
      </c>
      <c r="J653" t="n">
        <v>0</v>
      </c>
      <c r="K653" t="n">
        <v>0</v>
      </c>
      <c r="L653" t="n">
        <v>0</v>
      </c>
      <c r="M653" t="n">
        <v>0</v>
      </c>
      <c r="N653" t="n">
        <v>0</v>
      </c>
      <c r="O653" t="n">
        <v>0</v>
      </c>
      <c r="P653" t="n">
        <v>0</v>
      </c>
      <c r="Q653" t="n">
        <v>0</v>
      </c>
      <c r="R653" s="2" t="inlineStr"/>
    </row>
    <row r="654" ht="15" customHeight="1">
      <c r="A654" t="inlineStr">
        <is>
          <t>A 15262-2025</t>
        </is>
      </c>
      <c r="B654" s="1" t="n">
        <v>45744.65693287037</v>
      </c>
      <c r="C654" s="1" t="n">
        <v>45997</v>
      </c>
      <c r="D654" t="inlineStr">
        <is>
          <t>JÄMTLANDS LÄN</t>
        </is>
      </c>
      <c r="E654" t="inlineStr">
        <is>
          <t>BRÄCKE</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58728-2022</t>
        </is>
      </c>
      <c r="B655" s="1" t="n">
        <v>44902</v>
      </c>
      <c r="C655" s="1" t="n">
        <v>45997</v>
      </c>
      <c r="D655" t="inlineStr">
        <is>
          <t>JÄMTLANDS LÄN</t>
        </is>
      </c>
      <c r="E655" t="inlineStr">
        <is>
          <t>BRÄCKE</t>
        </is>
      </c>
      <c r="G655" t="n">
        <v>21.5</v>
      </c>
      <c r="H655" t="n">
        <v>0</v>
      </c>
      <c r="I655" t="n">
        <v>0</v>
      </c>
      <c r="J655" t="n">
        <v>0</v>
      </c>
      <c r="K655" t="n">
        <v>0</v>
      </c>
      <c r="L655" t="n">
        <v>0</v>
      </c>
      <c r="M655" t="n">
        <v>0</v>
      </c>
      <c r="N655" t="n">
        <v>0</v>
      </c>
      <c r="O655" t="n">
        <v>0</v>
      </c>
      <c r="P655" t="n">
        <v>0</v>
      </c>
      <c r="Q655" t="n">
        <v>0</v>
      </c>
      <c r="R655" s="2" t="inlineStr"/>
    </row>
    <row r="656" ht="15" customHeight="1">
      <c r="A656" t="inlineStr">
        <is>
          <t>A 10536-2022</t>
        </is>
      </c>
      <c r="B656" s="1" t="n">
        <v>44623.92185185185</v>
      </c>
      <c r="C656" s="1" t="n">
        <v>45997</v>
      </c>
      <c r="D656" t="inlineStr">
        <is>
          <t>JÄMTLANDS LÄN</t>
        </is>
      </c>
      <c r="E656" t="inlineStr">
        <is>
          <t>BRÄCKE</t>
        </is>
      </c>
      <c r="G656" t="n">
        <v>3.1</v>
      </c>
      <c r="H656" t="n">
        <v>0</v>
      </c>
      <c r="I656" t="n">
        <v>0</v>
      </c>
      <c r="J656" t="n">
        <v>0</v>
      </c>
      <c r="K656" t="n">
        <v>0</v>
      </c>
      <c r="L656" t="n">
        <v>0</v>
      </c>
      <c r="M656" t="n">
        <v>0</v>
      </c>
      <c r="N656" t="n">
        <v>0</v>
      </c>
      <c r="O656" t="n">
        <v>0</v>
      </c>
      <c r="P656" t="n">
        <v>0</v>
      </c>
      <c r="Q656" t="n">
        <v>0</v>
      </c>
      <c r="R656" s="2" t="inlineStr"/>
    </row>
    <row r="657" ht="15" customHeight="1">
      <c r="A657" t="inlineStr">
        <is>
          <t>A 45304-2022</t>
        </is>
      </c>
      <c r="B657" s="1" t="n">
        <v>44841</v>
      </c>
      <c r="C657" s="1" t="n">
        <v>45997</v>
      </c>
      <c r="D657" t="inlineStr">
        <is>
          <t>JÄMTLANDS LÄN</t>
        </is>
      </c>
      <c r="E657" t="inlineStr">
        <is>
          <t>BRÄCKE</t>
        </is>
      </c>
      <c r="G657" t="n">
        <v>3.8</v>
      </c>
      <c r="H657" t="n">
        <v>0</v>
      </c>
      <c r="I657" t="n">
        <v>0</v>
      </c>
      <c r="J657" t="n">
        <v>0</v>
      </c>
      <c r="K657" t="n">
        <v>0</v>
      </c>
      <c r="L657" t="n">
        <v>0</v>
      </c>
      <c r="M657" t="n">
        <v>0</v>
      </c>
      <c r="N657" t="n">
        <v>0</v>
      </c>
      <c r="O657" t="n">
        <v>0</v>
      </c>
      <c r="P657" t="n">
        <v>0</v>
      </c>
      <c r="Q657" t="n">
        <v>0</v>
      </c>
      <c r="R657" s="2" t="inlineStr"/>
    </row>
    <row r="658" ht="15" customHeight="1">
      <c r="A658" t="inlineStr">
        <is>
          <t>A 26910-2024</t>
        </is>
      </c>
      <c r="B658" s="1" t="n">
        <v>45470.76403935185</v>
      </c>
      <c r="C658" s="1" t="n">
        <v>45997</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4887-2025</t>
        </is>
      </c>
      <c r="B659" s="1" t="n">
        <v>45688.67800925926</v>
      </c>
      <c r="C659" s="1" t="n">
        <v>45997</v>
      </c>
      <c r="D659" t="inlineStr">
        <is>
          <t>JÄMTLANDS LÄN</t>
        </is>
      </c>
      <c r="E659" t="inlineStr">
        <is>
          <t>BRÄCKE</t>
        </is>
      </c>
      <c r="F659" t="inlineStr">
        <is>
          <t>SCA</t>
        </is>
      </c>
      <c r="G659" t="n">
        <v>9.4</v>
      </c>
      <c r="H659" t="n">
        <v>0</v>
      </c>
      <c r="I659" t="n">
        <v>0</v>
      </c>
      <c r="J659" t="n">
        <v>0</v>
      </c>
      <c r="K659" t="n">
        <v>0</v>
      </c>
      <c r="L659" t="n">
        <v>0</v>
      </c>
      <c r="M659" t="n">
        <v>0</v>
      </c>
      <c r="N659" t="n">
        <v>0</v>
      </c>
      <c r="O659" t="n">
        <v>0</v>
      </c>
      <c r="P659" t="n">
        <v>0</v>
      </c>
      <c r="Q659" t="n">
        <v>0</v>
      </c>
      <c r="R659" s="2" t="inlineStr"/>
    </row>
    <row r="660" ht="15" customHeight="1">
      <c r="A660" t="inlineStr">
        <is>
          <t>A 58082-2023</t>
        </is>
      </c>
      <c r="B660" s="1" t="n">
        <v>45247.96538194444</v>
      </c>
      <c r="C660" s="1" t="n">
        <v>45997</v>
      </c>
      <c r="D660" t="inlineStr">
        <is>
          <t>JÄMTLANDS LÄN</t>
        </is>
      </c>
      <c r="E660" t="inlineStr">
        <is>
          <t>BRÄCKE</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51378-2024</t>
        </is>
      </c>
      <c r="B661" s="1" t="n">
        <v>45604.38572916666</v>
      </c>
      <c r="C661" s="1" t="n">
        <v>45997</v>
      </c>
      <c r="D661" t="inlineStr">
        <is>
          <t>JÄMTLANDS LÄN</t>
        </is>
      </c>
      <c r="E661" t="inlineStr">
        <is>
          <t>BRÄCKE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49727-2023</t>
        </is>
      </c>
      <c r="B662" s="1" t="n">
        <v>45208</v>
      </c>
      <c r="C662" s="1" t="n">
        <v>45997</v>
      </c>
      <c r="D662" t="inlineStr">
        <is>
          <t>JÄMTLANDS LÄN</t>
        </is>
      </c>
      <c r="E662" t="inlineStr">
        <is>
          <t>BRÄCKE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51195-2024</t>
        </is>
      </c>
      <c r="B663" s="1" t="n">
        <v>45603.61532407408</v>
      </c>
      <c r="C663" s="1" t="n">
        <v>45997</v>
      </c>
      <c r="D663" t="inlineStr">
        <is>
          <t>JÄMTLANDS LÄN</t>
        </is>
      </c>
      <c r="E663" t="inlineStr">
        <is>
          <t>BRÄCKE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8253-2024</t>
        </is>
      </c>
      <c r="B664" s="1" t="n">
        <v>45350</v>
      </c>
      <c r="C664" s="1" t="n">
        <v>45997</v>
      </c>
      <c r="D664" t="inlineStr">
        <is>
          <t>JÄMTLANDS LÄN</t>
        </is>
      </c>
      <c r="E664" t="inlineStr">
        <is>
          <t>BRÄCKE</t>
        </is>
      </c>
      <c r="G664" t="n">
        <v>3.7</v>
      </c>
      <c r="H664" t="n">
        <v>0</v>
      </c>
      <c r="I664" t="n">
        <v>0</v>
      </c>
      <c r="J664" t="n">
        <v>0</v>
      </c>
      <c r="K664" t="n">
        <v>0</v>
      </c>
      <c r="L664" t="n">
        <v>0</v>
      </c>
      <c r="M664" t="n">
        <v>0</v>
      </c>
      <c r="N664" t="n">
        <v>0</v>
      </c>
      <c r="O664" t="n">
        <v>0</v>
      </c>
      <c r="P664" t="n">
        <v>0</v>
      </c>
      <c r="Q664" t="n">
        <v>0</v>
      </c>
      <c r="R664" s="2" t="inlineStr"/>
    </row>
    <row r="665" ht="15" customHeight="1">
      <c r="A665" t="inlineStr">
        <is>
          <t>A 23771-2023</t>
        </is>
      </c>
      <c r="B665" s="1" t="n">
        <v>45077</v>
      </c>
      <c r="C665" s="1" t="n">
        <v>45997</v>
      </c>
      <c r="D665" t="inlineStr">
        <is>
          <t>JÄMTLANDS LÄN</t>
        </is>
      </c>
      <c r="E665" t="inlineStr">
        <is>
          <t>BRÄCKE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45577-2023</t>
        </is>
      </c>
      <c r="B666" s="1" t="n">
        <v>45194</v>
      </c>
      <c r="C666" s="1" t="n">
        <v>45997</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24307-2024</t>
        </is>
      </c>
      <c r="B667" s="1" t="n">
        <v>45457.49471064815</v>
      </c>
      <c r="C667" s="1" t="n">
        <v>45997</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14266-2025</t>
        </is>
      </c>
      <c r="B668" s="1" t="n">
        <v>45740.63572916666</v>
      </c>
      <c r="C668" s="1" t="n">
        <v>45997</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51559-2022</t>
        </is>
      </c>
      <c r="B669" s="1" t="n">
        <v>44869</v>
      </c>
      <c r="C669" s="1" t="n">
        <v>45997</v>
      </c>
      <c r="D669" t="inlineStr">
        <is>
          <t>JÄMTLANDS LÄN</t>
        </is>
      </c>
      <c r="E669" t="inlineStr">
        <is>
          <t>BRÄCKE</t>
        </is>
      </c>
      <c r="F669" t="inlineStr">
        <is>
          <t>SCA</t>
        </is>
      </c>
      <c r="G669" t="n">
        <v>21.1</v>
      </c>
      <c r="H669" t="n">
        <v>0</v>
      </c>
      <c r="I669" t="n">
        <v>0</v>
      </c>
      <c r="J669" t="n">
        <v>0</v>
      </c>
      <c r="K669" t="n">
        <v>0</v>
      </c>
      <c r="L669" t="n">
        <v>0</v>
      </c>
      <c r="M669" t="n">
        <v>0</v>
      </c>
      <c r="N669" t="n">
        <v>0</v>
      </c>
      <c r="O669" t="n">
        <v>0</v>
      </c>
      <c r="P669" t="n">
        <v>0</v>
      </c>
      <c r="Q669" t="n">
        <v>0</v>
      </c>
      <c r="R669" s="2" t="inlineStr"/>
    </row>
    <row r="670" ht="15" customHeight="1">
      <c r="A670" t="inlineStr">
        <is>
          <t>A 25413-2024</t>
        </is>
      </c>
      <c r="B670" s="1" t="n">
        <v>45462</v>
      </c>
      <c r="C670" s="1" t="n">
        <v>45997</v>
      </c>
      <c r="D670" t="inlineStr">
        <is>
          <t>JÄMTLANDS LÄN</t>
        </is>
      </c>
      <c r="E670" t="inlineStr">
        <is>
          <t>BRÄCKE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3248-2025</t>
        </is>
      </c>
      <c r="B671" s="1" t="n">
        <v>45679.53173611111</v>
      </c>
      <c r="C671" s="1" t="n">
        <v>45997</v>
      </c>
      <c r="D671" t="inlineStr">
        <is>
          <t>JÄMTLANDS LÄN</t>
        </is>
      </c>
      <c r="E671" t="inlineStr">
        <is>
          <t>BRÄCKE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4915-2025</t>
        </is>
      </c>
      <c r="B672" s="1" t="n">
        <v>45688.68184027778</v>
      </c>
      <c r="C672" s="1" t="n">
        <v>45997</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19615-2025</t>
        </is>
      </c>
      <c r="B673" s="1" t="n">
        <v>45770.61519675926</v>
      </c>
      <c r="C673" s="1" t="n">
        <v>45997</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73106-2021</t>
        </is>
      </c>
      <c r="B674" s="1" t="n">
        <v>44550.45646990741</v>
      </c>
      <c r="C674" s="1" t="n">
        <v>45997</v>
      </c>
      <c r="D674" t="inlineStr">
        <is>
          <t>JÄMTLANDS LÄN</t>
        </is>
      </c>
      <c r="E674" t="inlineStr">
        <is>
          <t>BRÄCKE</t>
        </is>
      </c>
      <c r="F674" t="inlineStr">
        <is>
          <t>Sveaskog</t>
        </is>
      </c>
      <c r="G674" t="n">
        <v>5.4</v>
      </c>
      <c r="H674" t="n">
        <v>0</v>
      </c>
      <c r="I674" t="n">
        <v>0</v>
      </c>
      <c r="J674" t="n">
        <v>0</v>
      </c>
      <c r="K674" t="n">
        <v>0</v>
      </c>
      <c r="L674" t="n">
        <v>0</v>
      </c>
      <c r="M674" t="n">
        <v>0</v>
      </c>
      <c r="N674" t="n">
        <v>0</v>
      </c>
      <c r="O674" t="n">
        <v>0</v>
      </c>
      <c r="P674" t="n">
        <v>0</v>
      </c>
      <c r="Q674" t="n">
        <v>0</v>
      </c>
      <c r="R674" s="2" t="inlineStr"/>
    </row>
    <row r="675" ht="15" customHeight="1">
      <c r="A675" t="inlineStr">
        <is>
          <t>A 52714-2022</t>
        </is>
      </c>
      <c r="B675" s="1" t="n">
        <v>44874.95511574074</v>
      </c>
      <c r="C675" s="1" t="n">
        <v>45997</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50522-2024</t>
        </is>
      </c>
      <c r="B676" s="1" t="n">
        <v>45601.55399305555</v>
      </c>
      <c r="C676" s="1" t="n">
        <v>45997</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23443-2022</t>
        </is>
      </c>
      <c r="B677" s="1" t="n">
        <v>44720.94112268519</v>
      </c>
      <c r="C677" s="1" t="n">
        <v>45997</v>
      </c>
      <c r="D677" t="inlineStr">
        <is>
          <t>JÄMTLANDS LÄN</t>
        </is>
      </c>
      <c r="E677" t="inlineStr">
        <is>
          <t>BRÄCKE</t>
        </is>
      </c>
      <c r="G677" t="n">
        <v>1.9</v>
      </c>
      <c r="H677" t="n">
        <v>0</v>
      </c>
      <c r="I677" t="n">
        <v>0</v>
      </c>
      <c r="J677" t="n">
        <v>0</v>
      </c>
      <c r="K677" t="n">
        <v>0</v>
      </c>
      <c r="L677" t="n">
        <v>0</v>
      </c>
      <c r="M677" t="n">
        <v>0</v>
      </c>
      <c r="N677" t="n">
        <v>0</v>
      </c>
      <c r="O677" t="n">
        <v>0</v>
      </c>
      <c r="P677" t="n">
        <v>0</v>
      </c>
      <c r="Q677" t="n">
        <v>0</v>
      </c>
      <c r="R677" s="2" t="inlineStr"/>
    </row>
    <row r="678" ht="15" customHeight="1">
      <c r="A678" t="inlineStr">
        <is>
          <t>A 58078-2023</t>
        </is>
      </c>
      <c r="B678" s="1" t="n">
        <v>45247.965</v>
      </c>
      <c r="C678" s="1" t="n">
        <v>45997</v>
      </c>
      <c r="D678" t="inlineStr">
        <is>
          <t>JÄMTLANDS LÄN</t>
        </is>
      </c>
      <c r="E678" t="inlineStr">
        <is>
          <t>BRÄCKE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62249-2021</t>
        </is>
      </c>
      <c r="B679" s="1" t="n">
        <v>44503</v>
      </c>
      <c r="C679" s="1" t="n">
        <v>45997</v>
      </c>
      <c r="D679" t="inlineStr">
        <is>
          <t>JÄMTLANDS LÄN</t>
        </is>
      </c>
      <c r="E679" t="inlineStr">
        <is>
          <t>BRÄCKE</t>
        </is>
      </c>
      <c r="G679" t="n">
        <v>2.9</v>
      </c>
      <c r="H679" t="n">
        <v>0</v>
      </c>
      <c r="I679" t="n">
        <v>0</v>
      </c>
      <c r="J679" t="n">
        <v>0</v>
      </c>
      <c r="K679" t="n">
        <v>0</v>
      </c>
      <c r="L679" t="n">
        <v>0</v>
      </c>
      <c r="M679" t="n">
        <v>0</v>
      </c>
      <c r="N679" t="n">
        <v>0</v>
      </c>
      <c r="O679" t="n">
        <v>0</v>
      </c>
      <c r="P679" t="n">
        <v>0</v>
      </c>
      <c r="Q679" t="n">
        <v>0</v>
      </c>
      <c r="R679" s="2" t="inlineStr"/>
    </row>
    <row r="680" ht="15" customHeight="1">
      <c r="A680" t="inlineStr">
        <is>
          <t>A 20100-2023</t>
        </is>
      </c>
      <c r="B680" s="1" t="n">
        <v>45054.94239583334</v>
      </c>
      <c r="C680" s="1" t="n">
        <v>45997</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20101-2023</t>
        </is>
      </c>
      <c r="B681" s="1" t="n">
        <v>45054.94247685185</v>
      </c>
      <c r="C681" s="1" t="n">
        <v>45997</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44841-2024</t>
        </is>
      </c>
      <c r="B682" s="1" t="n">
        <v>45574.71900462963</v>
      </c>
      <c r="C682" s="1" t="n">
        <v>45997</v>
      </c>
      <c r="D682" t="inlineStr">
        <is>
          <t>JÄMTLANDS LÄN</t>
        </is>
      </c>
      <c r="E682" t="inlineStr">
        <is>
          <t>BRÄCKE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52983-2022</t>
        </is>
      </c>
      <c r="B683" s="1" t="n">
        <v>44875.92745370371</v>
      </c>
      <c r="C683" s="1" t="n">
        <v>45997</v>
      </c>
      <c r="D683" t="inlineStr">
        <is>
          <t>JÄMTLANDS LÄN</t>
        </is>
      </c>
      <c r="E683" t="inlineStr">
        <is>
          <t>BRÄCKE</t>
        </is>
      </c>
      <c r="G683" t="n">
        <v>7.6</v>
      </c>
      <c r="H683" t="n">
        <v>0</v>
      </c>
      <c r="I683" t="n">
        <v>0</v>
      </c>
      <c r="J683" t="n">
        <v>0</v>
      </c>
      <c r="K683" t="n">
        <v>0</v>
      </c>
      <c r="L683" t="n">
        <v>0</v>
      </c>
      <c r="M683" t="n">
        <v>0</v>
      </c>
      <c r="N683" t="n">
        <v>0</v>
      </c>
      <c r="O683" t="n">
        <v>0</v>
      </c>
      <c r="P683" t="n">
        <v>0</v>
      </c>
      <c r="Q683" t="n">
        <v>0</v>
      </c>
      <c r="R683" s="2" t="inlineStr"/>
    </row>
    <row r="684" ht="15" customHeight="1">
      <c r="A684" t="inlineStr">
        <is>
          <t>A 37173-2024</t>
        </is>
      </c>
      <c r="B684" s="1" t="n">
        <v>45539.63597222222</v>
      </c>
      <c r="C684" s="1" t="n">
        <v>45997</v>
      </c>
      <c r="D684" t="inlineStr">
        <is>
          <t>JÄMTLANDS LÄN</t>
        </is>
      </c>
      <c r="E684" t="inlineStr">
        <is>
          <t>BRÄCKE</t>
        </is>
      </c>
      <c r="G684" t="n">
        <v>3.8</v>
      </c>
      <c r="H684" t="n">
        <v>0</v>
      </c>
      <c r="I684" t="n">
        <v>0</v>
      </c>
      <c r="J684" t="n">
        <v>0</v>
      </c>
      <c r="K684" t="n">
        <v>0</v>
      </c>
      <c r="L684" t="n">
        <v>0</v>
      </c>
      <c r="M684" t="n">
        <v>0</v>
      </c>
      <c r="N684" t="n">
        <v>0</v>
      </c>
      <c r="O684" t="n">
        <v>0</v>
      </c>
      <c r="P684" t="n">
        <v>0</v>
      </c>
      <c r="Q684" t="n">
        <v>0</v>
      </c>
      <c r="R684" s="2" t="inlineStr"/>
    </row>
    <row r="685" ht="15" customHeight="1">
      <c r="A685" t="inlineStr">
        <is>
          <t>A 41418-2024</t>
        </is>
      </c>
      <c r="B685" s="1" t="n">
        <v>45560.34599537037</v>
      </c>
      <c r="C685" s="1" t="n">
        <v>45997</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41419-2024</t>
        </is>
      </c>
      <c r="B686" s="1" t="n">
        <v>45560</v>
      </c>
      <c r="C686" s="1" t="n">
        <v>45997</v>
      </c>
      <c r="D686" t="inlineStr">
        <is>
          <t>JÄMTLANDS LÄN</t>
        </is>
      </c>
      <c r="E686" t="inlineStr">
        <is>
          <t>BRÄCKE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44494.94096064815</v>
      </c>
      <c r="C687" s="1" t="n">
        <v>45997</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12063-2023</t>
        </is>
      </c>
      <c r="B688" s="1" t="n">
        <v>44996</v>
      </c>
      <c r="C688" s="1" t="n">
        <v>45997</v>
      </c>
      <c r="D688" t="inlineStr">
        <is>
          <t>JÄMTLANDS LÄN</t>
        </is>
      </c>
      <c r="E688" t="inlineStr">
        <is>
          <t>BRÄCKE</t>
        </is>
      </c>
      <c r="G688" t="n">
        <v>7.1</v>
      </c>
      <c r="H688" t="n">
        <v>0</v>
      </c>
      <c r="I688" t="n">
        <v>0</v>
      </c>
      <c r="J688" t="n">
        <v>0</v>
      </c>
      <c r="K688" t="n">
        <v>0</v>
      </c>
      <c r="L688" t="n">
        <v>0</v>
      </c>
      <c r="M688" t="n">
        <v>0</v>
      </c>
      <c r="N688" t="n">
        <v>0</v>
      </c>
      <c r="O688" t="n">
        <v>0</v>
      </c>
      <c r="P688" t="n">
        <v>0</v>
      </c>
      <c r="Q688" t="n">
        <v>0</v>
      </c>
      <c r="R688" s="2" t="inlineStr"/>
    </row>
    <row r="689" ht="15" customHeight="1">
      <c r="A689" t="inlineStr">
        <is>
          <t>A 38862-2024</t>
        </is>
      </c>
      <c r="B689" s="1" t="n">
        <v>45547.63063657407</v>
      </c>
      <c r="C689" s="1" t="n">
        <v>45997</v>
      </c>
      <c r="D689" t="inlineStr">
        <is>
          <t>JÄMTLANDS LÄN</t>
        </is>
      </c>
      <c r="E689" t="inlineStr">
        <is>
          <t>BRÄCKE</t>
        </is>
      </c>
      <c r="G689" t="n">
        <v>3.1</v>
      </c>
      <c r="H689" t="n">
        <v>0</v>
      </c>
      <c r="I689" t="n">
        <v>0</v>
      </c>
      <c r="J689" t="n">
        <v>0</v>
      </c>
      <c r="K689" t="n">
        <v>0</v>
      </c>
      <c r="L689" t="n">
        <v>0</v>
      </c>
      <c r="M689" t="n">
        <v>0</v>
      </c>
      <c r="N689" t="n">
        <v>0</v>
      </c>
      <c r="O689" t="n">
        <v>0</v>
      </c>
      <c r="P689" t="n">
        <v>0</v>
      </c>
      <c r="Q689" t="n">
        <v>0</v>
      </c>
      <c r="R689" s="2" t="inlineStr"/>
    </row>
    <row r="690" ht="15" customHeight="1">
      <c r="A690" t="inlineStr">
        <is>
          <t>A 52022-2022</t>
        </is>
      </c>
      <c r="B690" s="1" t="n">
        <v>44872.95662037037</v>
      </c>
      <c r="C690" s="1" t="n">
        <v>45997</v>
      </c>
      <c r="D690" t="inlineStr">
        <is>
          <t>JÄMTLANDS LÄN</t>
        </is>
      </c>
      <c r="E690" t="inlineStr">
        <is>
          <t>BRÄCKE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14373-2024</t>
        </is>
      </c>
      <c r="B691" s="1" t="n">
        <v>45393</v>
      </c>
      <c r="C691" s="1" t="n">
        <v>45997</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44753-2022</t>
        </is>
      </c>
      <c r="B692" s="1" t="n">
        <v>44840</v>
      </c>
      <c r="C692" s="1" t="n">
        <v>45997</v>
      </c>
      <c r="D692" t="inlineStr">
        <is>
          <t>JÄMTLANDS LÄN</t>
        </is>
      </c>
      <c r="E692" t="inlineStr">
        <is>
          <t>BRÄCKE</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23013-2021</t>
        </is>
      </c>
      <c r="B693" s="1" t="n">
        <v>44328</v>
      </c>
      <c r="C693" s="1" t="n">
        <v>45997</v>
      </c>
      <c r="D693" t="inlineStr">
        <is>
          <t>JÄMTLANDS LÄN</t>
        </is>
      </c>
      <c r="E693" t="inlineStr">
        <is>
          <t>BRÄCKE</t>
        </is>
      </c>
      <c r="G693" t="n">
        <v>8.4</v>
      </c>
      <c r="H693" t="n">
        <v>0</v>
      </c>
      <c r="I693" t="n">
        <v>0</v>
      </c>
      <c r="J693" t="n">
        <v>0</v>
      </c>
      <c r="K693" t="n">
        <v>0</v>
      </c>
      <c r="L693" t="n">
        <v>0</v>
      </c>
      <c r="M693" t="n">
        <v>0</v>
      </c>
      <c r="N693" t="n">
        <v>0</v>
      </c>
      <c r="O693" t="n">
        <v>0</v>
      </c>
      <c r="P693" t="n">
        <v>0</v>
      </c>
      <c r="Q693" t="n">
        <v>0</v>
      </c>
      <c r="R693" s="2" t="inlineStr"/>
    </row>
    <row r="694" ht="15" customHeight="1">
      <c r="A694" t="inlineStr">
        <is>
          <t>A 18206-2023</t>
        </is>
      </c>
      <c r="B694" s="1" t="n">
        <v>45041</v>
      </c>
      <c r="C694" s="1" t="n">
        <v>45997</v>
      </c>
      <c r="D694" t="inlineStr">
        <is>
          <t>JÄMTLANDS LÄN</t>
        </is>
      </c>
      <c r="E694" t="inlineStr">
        <is>
          <t>BRÄCKE</t>
        </is>
      </c>
      <c r="G694" t="n">
        <v>5.2</v>
      </c>
      <c r="H694" t="n">
        <v>0</v>
      </c>
      <c r="I694" t="n">
        <v>0</v>
      </c>
      <c r="J694" t="n">
        <v>0</v>
      </c>
      <c r="K694" t="n">
        <v>0</v>
      </c>
      <c r="L694" t="n">
        <v>0</v>
      </c>
      <c r="M694" t="n">
        <v>0</v>
      </c>
      <c r="N694" t="n">
        <v>0</v>
      </c>
      <c r="O694" t="n">
        <v>0</v>
      </c>
      <c r="P694" t="n">
        <v>0</v>
      </c>
      <c r="Q694" t="n">
        <v>0</v>
      </c>
      <c r="R694" s="2" t="inlineStr"/>
    </row>
    <row r="695" ht="15" customHeight="1">
      <c r="A695" t="inlineStr">
        <is>
          <t>A 6345-2023</t>
        </is>
      </c>
      <c r="B695" s="1" t="n">
        <v>44960</v>
      </c>
      <c r="C695" s="1" t="n">
        <v>45997</v>
      </c>
      <c r="D695" t="inlineStr">
        <is>
          <t>JÄMTLANDS LÄN</t>
        </is>
      </c>
      <c r="E695" t="inlineStr">
        <is>
          <t>BRÄCKE</t>
        </is>
      </c>
      <c r="G695" t="n">
        <v>11.4</v>
      </c>
      <c r="H695" t="n">
        <v>0</v>
      </c>
      <c r="I695" t="n">
        <v>0</v>
      </c>
      <c r="J695" t="n">
        <v>0</v>
      </c>
      <c r="K695" t="n">
        <v>0</v>
      </c>
      <c r="L695" t="n">
        <v>0</v>
      </c>
      <c r="M695" t="n">
        <v>0</v>
      </c>
      <c r="N695" t="n">
        <v>0</v>
      </c>
      <c r="O695" t="n">
        <v>0</v>
      </c>
      <c r="P695" t="n">
        <v>0</v>
      </c>
      <c r="Q695" t="n">
        <v>0</v>
      </c>
      <c r="R695" s="2" t="inlineStr"/>
    </row>
    <row r="696" ht="15" customHeight="1">
      <c r="A696" t="inlineStr">
        <is>
          <t>A 53724-2024</t>
        </is>
      </c>
      <c r="B696" s="1" t="n">
        <v>45615.45042824074</v>
      </c>
      <c r="C696" s="1" t="n">
        <v>45997</v>
      </c>
      <c r="D696" t="inlineStr">
        <is>
          <t>JÄMTLANDS LÄN</t>
        </is>
      </c>
      <c r="E696" t="inlineStr">
        <is>
          <t>BRÄCKE</t>
        </is>
      </c>
      <c r="G696" t="n">
        <v>4.7</v>
      </c>
      <c r="H696" t="n">
        <v>0</v>
      </c>
      <c r="I696" t="n">
        <v>0</v>
      </c>
      <c r="J696" t="n">
        <v>0</v>
      </c>
      <c r="K696" t="n">
        <v>0</v>
      </c>
      <c r="L696" t="n">
        <v>0</v>
      </c>
      <c r="M696" t="n">
        <v>0</v>
      </c>
      <c r="N696" t="n">
        <v>0</v>
      </c>
      <c r="O696" t="n">
        <v>0</v>
      </c>
      <c r="P696" t="n">
        <v>0</v>
      </c>
      <c r="Q696" t="n">
        <v>0</v>
      </c>
      <c r="R696" s="2" t="inlineStr"/>
    </row>
    <row r="697" ht="15" customHeight="1">
      <c r="A697" t="inlineStr">
        <is>
          <t>A 28077-2024</t>
        </is>
      </c>
      <c r="B697" s="1" t="n">
        <v>45476.58508101852</v>
      </c>
      <c r="C697" s="1" t="n">
        <v>45997</v>
      </c>
      <c r="D697" t="inlineStr">
        <is>
          <t>JÄMTLANDS LÄN</t>
        </is>
      </c>
      <c r="E697" t="inlineStr">
        <is>
          <t>BRÄCKE</t>
        </is>
      </c>
      <c r="G697" t="n">
        <v>18.3</v>
      </c>
      <c r="H697" t="n">
        <v>0</v>
      </c>
      <c r="I697" t="n">
        <v>0</v>
      </c>
      <c r="J697" t="n">
        <v>0</v>
      </c>
      <c r="K697" t="n">
        <v>0</v>
      </c>
      <c r="L697" t="n">
        <v>0</v>
      </c>
      <c r="M697" t="n">
        <v>0</v>
      </c>
      <c r="N697" t="n">
        <v>0</v>
      </c>
      <c r="O697" t="n">
        <v>0</v>
      </c>
      <c r="P697" t="n">
        <v>0</v>
      </c>
      <c r="Q697" t="n">
        <v>0</v>
      </c>
      <c r="R697" s="2" t="inlineStr"/>
    </row>
    <row r="698" ht="15" customHeight="1">
      <c r="A698" t="inlineStr">
        <is>
          <t>A 48784-2024</t>
        </is>
      </c>
      <c r="B698" s="1" t="n">
        <v>45593.63570601852</v>
      </c>
      <c r="C698" s="1" t="n">
        <v>45997</v>
      </c>
      <c r="D698" t="inlineStr">
        <is>
          <t>JÄMTLANDS LÄN</t>
        </is>
      </c>
      <c r="E698" t="inlineStr">
        <is>
          <t>BRÄCKE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29028-2024</t>
        </is>
      </c>
      <c r="B699" s="1" t="n">
        <v>45481.59387731482</v>
      </c>
      <c r="C699" s="1" t="n">
        <v>45997</v>
      </c>
      <c r="D699" t="inlineStr">
        <is>
          <t>JÄMTLANDS LÄN</t>
        </is>
      </c>
      <c r="E699" t="inlineStr">
        <is>
          <t>BRÄCKE</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1799-2024</t>
        </is>
      </c>
      <c r="B700" s="1" t="n">
        <v>45307</v>
      </c>
      <c r="C700" s="1" t="n">
        <v>45997</v>
      </c>
      <c r="D700" t="inlineStr">
        <is>
          <t>JÄMTLANDS LÄN</t>
        </is>
      </c>
      <c r="E700" t="inlineStr">
        <is>
          <t>BRÄCKE</t>
        </is>
      </c>
      <c r="G700" t="n">
        <v>4.5</v>
      </c>
      <c r="H700" t="n">
        <v>0</v>
      </c>
      <c r="I700" t="n">
        <v>0</v>
      </c>
      <c r="J700" t="n">
        <v>0</v>
      </c>
      <c r="K700" t="n">
        <v>0</v>
      </c>
      <c r="L700" t="n">
        <v>0</v>
      </c>
      <c r="M700" t="n">
        <v>0</v>
      </c>
      <c r="N700" t="n">
        <v>0</v>
      </c>
      <c r="O700" t="n">
        <v>0</v>
      </c>
      <c r="P700" t="n">
        <v>0</v>
      </c>
      <c r="Q700" t="n">
        <v>0</v>
      </c>
      <c r="R700" s="2" t="inlineStr"/>
    </row>
    <row r="701" ht="15" customHeight="1">
      <c r="A701" t="inlineStr">
        <is>
          <t>A 55976-2024</t>
        </is>
      </c>
      <c r="B701" s="1" t="n">
        <v>45623.65659722222</v>
      </c>
      <c r="C701" s="1" t="n">
        <v>45997</v>
      </c>
      <c r="D701" t="inlineStr">
        <is>
          <t>JÄMTLANDS LÄN</t>
        </is>
      </c>
      <c r="E701" t="inlineStr">
        <is>
          <t>BRÄCKE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19667-2025</t>
        </is>
      </c>
      <c r="B702" s="1" t="n">
        <v>45770.69820601852</v>
      </c>
      <c r="C702" s="1" t="n">
        <v>45997</v>
      </c>
      <c r="D702" t="inlineStr">
        <is>
          <t>JÄMTLANDS LÄN</t>
        </is>
      </c>
      <c r="E702" t="inlineStr">
        <is>
          <t>BRÄCKE</t>
        </is>
      </c>
      <c r="F702" t="inlineStr">
        <is>
          <t>Kyrkan</t>
        </is>
      </c>
      <c r="G702" t="n">
        <v>1</v>
      </c>
      <c r="H702" t="n">
        <v>0</v>
      </c>
      <c r="I702" t="n">
        <v>0</v>
      </c>
      <c r="J702" t="n">
        <v>0</v>
      </c>
      <c r="K702" t="n">
        <v>0</v>
      </c>
      <c r="L702" t="n">
        <v>0</v>
      </c>
      <c r="M702" t="n">
        <v>0</v>
      </c>
      <c r="N702" t="n">
        <v>0</v>
      </c>
      <c r="O702" t="n">
        <v>0</v>
      </c>
      <c r="P702" t="n">
        <v>0</v>
      </c>
      <c r="Q702" t="n">
        <v>0</v>
      </c>
      <c r="R702" s="2" t="inlineStr"/>
    </row>
    <row r="703" ht="15" customHeight="1">
      <c r="A703" t="inlineStr">
        <is>
          <t>A 53696-2024</t>
        </is>
      </c>
      <c r="B703" s="1" t="n">
        <v>45615.3857175926</v>
      </c>
      <c r="C703" s="1" t="n">
        <v>45997</v>
      </c>
      <c r="D703" t="inlineStr">
        <is>
          <t>JÄMTLANDS LÄN</t>
        </is>
      </c>
      <c r="E703" t="inlineStr">
        <is>
          <t>BRÄCKE</t>
        </is>
      </c>
      <c r="G703" t="n">
        <v>2.4</v>
      </c>
      <c r="H703" t="n">
        <v>0</v>
      </c>
      <c r="I703" t="n">
        <v>0</v>
      </c>
      <c r="J703" t="n">
        <v>0</v>
      </c>
      <c r="K703" t="n">
        <v>0</v>
      </c>
      <c r="L703" t="n">
        <v>0</v>
      </c>
      <c r="M703" t="n">
        <v>0</v>
      </c>
      <c r="N703" t="n">
        <v>0</v>
      </c>
      <c r="O703" t="n">
        <v>0</v>
      </c>
      <c r="P703" t="n">
        <v>0</v>
      </c>
      <c r="Q703" t="n">
        <v>0</v>
      </c>
      <c r="R703" s="2" t="inlineStr"/>
    </row>
    <row r="704" ht="15" customHeight="1">
      <c r="A704" t="inlineStr">
        <is>
          <t>A 58776-2023</t>
        </is>
      </c>
      <c r="B704" s="1" t="n">
        <v>45251.96740740741</v>
      </c>
      <c r="C704" s="1" t="n">
        <v>45997</v>
      </c>
      <c r="D704" t="inlineStr">
        <is>
          <t>JÄMTLANDS LÄN</t>
        </is>
      </c>
      <c r="E704" t="inlineStr">
        <is>
          <t>BRÄCKE</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27280-2024</t>
        </is>
      </c>
      <c r="B705" s="1" t="n">
        <v>45471.92576388889</v>
      </c>
      <c r="C705" s="1" t="n">
        <v>45997</v>
      </c>
      <c r="D705" t="inlineStr">
        <is>
          <t>JÄMTLANDS LÄN</t>
        </is>
      </c>
      <c r="E705" t="inlineStr">
        <is>
          <t>BRÄCKE</t>
        </is>
      </c>
      <c r="G705" t="n">
        <v>0.7</v>
      </c>
      <c r="H705" t="n">
        <v>0</v>
      </c>
      <c r="I705" t="n">
        <v>0</v>
      </c>
      <c r="J705" t="n">
        <v>0</v>
      </c>
      <c r="K705" t="n">
        <v>0</v>
      </c>
      <c r="L705" t="n">
        <v>0</v>
      </c>
      <c r="M705" t="n">
        <v>0</v>
      </c>
      <c r="N705" t="n">
        <v>0</v>
      </c>
      <c r="O705" t="n">
        <v>0</v>
      </c>
      <c r="P705" t="n">
        <v>0</v>
      </c>
      <c r="Q705" t="n">
        <v>0</v>
      </c>
      <c r="R705" s="2" t="inlineStr"/>
    </row>
    <row r="706" ht="15" customHeight="1">
      <c r="A706" t="inlineStr">
        <is>
          <t>A 49185-2024</t>
        </is>
      </c>
      <c r="B706" s="1" t="n">
        <v>45595.34466435185</v>
      </c>
      <c r="C706" s="1" t="n">
        <v>45997</v>
      </c>
      <c r="D706" t="inlineStr">
        <is>
          <t>JÄMTLANDS LÄN</t>
        </is>
      </c>
      <c r="E706" t="inlineStr">
        <is>
          <t>BRÄCKE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65433-2021</t>
        </is>
      </c>
      <c r="B707" s="1" t="n">
        <v>44515.93875</v>
      </c>
      <c r="C707" s="1" t="n">
        <v>45997</v>
      </c>
      <c r="D707" t="inlineStr">
        <is>
          <t>JÄMTLANDS LÄN</t>
        </is>
      </c>
      <c r="E707" t="inlineStr">
        <is>
          <t>BRÄCKE</t>
        </is>
      </c>
      <c r="G707" t="n">
        <v>2.2</v>
      </c>
      <c r="H707" t="n">
        <v>0</v>
      </c>
      <c r="I707" t="n">
        <v>0</v>
      </c>
      <c r="J707" t="n">
        <v>0</v>
      </c>
      <c r="K707" t="n">
        <v>0</v>
      </c>
      <c r="L707" t="n">
        <v>0</v>
      </c>
      <c r="M707" t="n">
        <v>0</v>
      </c>
      <c r="N707" t="n">
        <v>0</v>
      </c>
      <c r="O707" t="n">
        <v>0</v>
      </c>
      <c r="P707" t="n">
        <v>0</v>
      </c>
      <c r="Q707" t="n">
        <v>0</v>
      </c>
      <c r="R707" s="2" t="inlineStr"/>
    </row>
    <row r="708" ht="15" customHeight="1">
      <c r="A708" t="inlineStr">
        <is>
          <t>A 41314-2024</t>
        </is>
      </c>
      <c r="B708" s="1" t="n">
        <v>45559.63613425926</v>
      </c>
      <c r="C708" s="1" t="n">
        <v>45997</v>
      </c>
      <c r="D708" t="inlineStr">
        <is>
          <t>JÄMTLANDS LÄN</t>
        </is>
      </c>
      <c r="E708" t="inlineStr">
        <is>
          <t>BRÄCKE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50813-2024</t>
        </is>
      </c>
      <c r="B709" s="1" t="n">
        <v>45602</v>
      </c>
      <c r="C709" s="1" t="n">
        <v>45997</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49291-2024</t>
        </is>
      </c>
      <c r="B710" s="1" t="n">
        <v>45595.53299768519</v>
      </c>
      <c r="C710" s="1" t="n">
        <v>45997</v>
      </c>
      <c r="D710" t="inlineStr">
        <is>
          <t>JÄMTLANDS LÄN</t>
        </is>
      </c>
      <c r="E710" t="inlineStr">
        <is>
          <t>BRÄCKE</t>
        </is>
      </c>
      <c r="G710" t="n">
        <v>4.6</v>
      </c>
      <c r="H710" t="n">
        <v>0</v>
      </c>
      <c r="I710" t="n">
        <v>0</v>
      </c>
      <c r="J710" t="n">
        <v>0</v>
      </c>
      <c r="K710" t="n">
        <v>0</v>
      </c>
      <c r="L710" t="n">
        <v>0</v>
      </c>
      <c r="M710" t="n">
        <v>0</v>
      </c>
      <c r="N710" t="n">
        <v>0</v>
      </c>
      <c r="O710" t="n">
        <v>0</v>
      </c>
      <c r="P710" t="n">
        <v>0</v>
      </c>
      <c r="Q710" t="n">
        <v>0</v>
      </c>
      <c r="R710" s="2" t="inlineStr"/>
    </row>
    <row r="711" ht="15" customHeight="1">
      <c r="A711" t="inlineStr">
        <is>
          <t>A 59910-2022</t>
        </is>
      </c>
      <c r="B711" s="1" t="n">
        <v>44908</v>
      </c>
      <c r="C711" s="1" t="n">
        <v>45997</v>
      </c>
      <c r="D711" t="inlineStr">
        <is>
          <t>JÄMTLANDS LÄN</t>
        </is>
      </c>
      <c r="E711" t="inlineStr">
        <is>
          <t>BRÄCKE</t>
        </is>
      </c>
      <c r="F711" t="inlineStr">
        <is>
          <t>SCA</t>
        </is>
      </c>
      <c r="G711" t="n">
        <v>11.2</v>
      </c>
      <c r="H711" t="n">
        <v>0</v>
      </c>
      <c r="I711" t="n">
        <v>0</v>
      </c>
      <c r="J711" t="n">
        <v>0</v>
      </c>
      <c r="K711" t="n">
        <v>0</v>
      </c>
      <c r="L711" t="n">
        <v>0</v>
      </c>
      <c r="M711" t="n">
        <v>0</v>
      </c>
      <c r="N711" t="n">
        <v>0</v>
      </c>
      <c r="O711" t="n">
        <v>0</v>
      </c>
      <c r="P711" t="n">
        <v>0</v>
      </c>
      <c r="Q711" t="n">
        <v>0</v>
      </c>
      <c r="R711" s="2" t="inlineStr"/>
    </row>
    <row r="712" ht="15" customHeight="1">
      <c r="A712" t="inlineStr">
        <is>
          <t>A 59915-2022</t>
        </is>
      </c>
      <c r="B712" s="1" t="n">
        <v>44908.96019675926</v>
      </c>
      <c r="C712" s="1" t="n">
        <v>45997</v>
      </c>
      <c r="D712" t="inlineStr">
        <is>
          <t>JÄMTLANDS LÄN</t>
        </is>
      </c>
      <c r="E712" t="inlineStr">
        <is>
          <t>BRÄCKE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56641-2022</t>
        </is>
      </c>
      <c r="B713" s="1" t="n">
        <v>44893</v>
      </c>
      <c r="C713" s="1" t="n">
        <v>45997</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9553-2024</t>
        </is>
      </c>
      <c r="B714" s="1" t="n">
        <v>45360.03491898148</v>
      </c>
      <c r="C714" s="1" t="n">
        <v>45997</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53046-2023</t>
        </is>
      </c>
      <c r="B715" s="1" t="n">
        <v>45226.96388888889</v>
      </c>
      <c r="C715" s="1" t="n">
        <v>45997</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31888-2024</t>
        </is>
      </c>
      <c r="B716" s="1" t="n">
        <v>45509</v>
      </c>
      <c r="C716" s="1" t="n">
        <v>45997</v>
      </c>
      <c r="D716" t="inlineStr">
        <is>
          <t>JÄMTLANDS LÄN</t>
        </is>
      </c>
      <c r="E716" t="inlineStr">
        <is>
          <t>BRÄCKE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57473-2024</t>
        </is>
      </c>
      <c r="B717" s="1" t="n">
        <v>45630.34438657408</v>
      </c>
      <c r="C717" s="1" t="n">
        <v>45997</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31470-2023</t>
        </is>
      </c>
      <c r="B718" s="1" t="n">
        <v>45104</v>
      </c>
      <c r="C718" s="1" t="n">
        <v>45997</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33033-2023</t>
        </is>
      </c>
      <c r="B719" s="1" t="n">
        <v>45125.95037037037</v>
      </c>
      <c r="C719" s="1" t="n">
        <v>45997</v>
      </c>
      <c r="D719" t="inlineStr">
        <is>
          <t>JÄMTLANDS LÄN</t>
        </is>
      </c>
      <c r="E719" t="inlineStr">
        <is>
          <t>BRÄCKE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68763-2021</t>
        </is>
      </c>
      <c r="B720" s="1" t="n">
        <v>44529</v>
      </c>
      <c r="C720" s="1" t="n">
        <v>45997</v>
      </c>
      <c r="D720" t="inlineStr">
        <is>
          <t>JÄMTLANDS LÄN</t>
        </is>
      </c>
      <c r="E720" t="inlineStr">
        <is>
          <t>BRÄCKE</t>
        </is>
      </c>
      <c r="G720" t="n">
        <v>1.7</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45997</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53407-2022</t>
        </is>
      </c>
      <c r="B722" s="1" t="n">
        <v>44874</v>
      </c>
      <c r="C722" s="1" t="n">
        <v>45997</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60325-2021</t>
        </is>
      </c>
      <c r="B723" s="1" t="n">
        <v>44495.94054398148</v>
      </c>
      <c r="C723" s="1" t="n">
        <v>45997</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29003-2024</t>
        </is>
      </c>
      <c r="B724" s="1" t="n">
        <v>45481.52758101852</v>
      </c>
      <c r="C724" s="1" t="n">
        <v>45997</v>
      </c>
      <c r="D724" t="inlineStr">
        <is>
          <t>JÄMTLANDS LÄN</t>
        </is>
      </c>
      <c r="E724" t="inlineStr">
        <is>
          <t>BRÄCKE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45997</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14178-2021</t>
        </is>
      </c>
      <c r="B726" s="1" t="n">
        <v>44278</v>
      </c>
      <c r="C726" s="1" t="n">
        <v>45997</v>
      </c>
      <c r="D726" t="inlineStr">
        <is>
          <t>JÄMTLANDS LÄN</t>
        </is>
      </c>
      <c r="E726" t="inlineStr">
        <is>
          <t>BRÄCKE</t>
        </is>
      </c>
      <c r="G726" t="n">
        <v>0.7</v>
      </c>
      <c r="H726" t="n">
        <v>0</v>
      </c>
      <c r="I726" t="n">
        <v>0</v>
      </c>
      <c r="J726" t="n">
        <v>0</v>
      </c>
      <c r="K726" t="n">
        <v>0</v>
      </c>
      <c r="L726" t="n">
        <v>0</v>
      </c>
      <c r="M726" t="n">
        <v>0</v>
      </c>
      <c r="N726" t="n">
        <v>0</v>
      </c>
      <c r="O726" t="n">
        <v>0</v>
      </c>
      <c r="P726" t="n">
        <v>0</v>
      </c>
      <c r="Q726" t="n">
        <v>0</v>
      </c>
      <c r="R726" s="2" t="inlineStr"/>
    </row>
    <row r="727" ht="15" customHeight="1">
      <c r="A727" t="inlineStr">
        <is>
          <t>A 48080-2023</t>
        </is>
      </c>
      <c r="B727" s="1" t="n">
        <v>45204.94569444445</v>
      </c>
      <c r="C727" s="1" t="n">
        <v>45997</v>
      </c>
      <c r="D727" t="inlineStr">
        <is>
          <t>JÄMTLANDS LÄN</t>
        </is>
      </c>
      <c r="E727" t="inlineStr">
        <is>
          <t>BRÄCKE</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43910-2023</t>
        </is>
      </c>
      <c r="B728" s="1" t="n">
        <v>45182</v>
      </c>
      <c r="C728" s="1" t="n">
        <v>45997</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11830-2024</t>
        </is>
      </c>
      <c r="B729" s="1" t="n">
        <v>45376.35451388889</v>
      </c>
      <c r="C729" s="1" t="n">
        <v>45997</v>
      </c>
      <c r="D729" t="inlineStr">
        <is>
          <t>JÄMTLANDS LÄN</t>
        </is>
      </c>
      <c r="E729" t="inlineStr">
        <is>
          <t>BRÄCKE</t>
        </is>
      </c>
      <c r="G729" t="n">
        <v>18.3</v>
      </c>
      <c r="H729" t="n">
        <v>0</v>
      </c>
      <c r="I729" t="n">
        <v>0</v>
      </c>
      <c r="J729" t="n">
        <v>0</v>
      </c>
      <c r="K729" t="n">
        <v>0</v>
      </c>
      <c r="L729" t="n">
        <v>0</v>
      </c>
      <c r="M729" t="n">
        <v>0</v>
      </c>
      <c r="N729" t="n">
        <v>0</v>
      </c>
      <c r="O729" t="n">
        <v>0</v>
      </c>
      <c r="P729" t="n">
        <v>0</v>
      </c>
      <c r="Q729" t="n">
        <v>0</v>
      </c>
      <c r="R729" s="2" t="inlineStr"/>
    </row>
    <row r="730" ht="15" customHeight="1">
      <c r="A730" t="inlineStr">
        <is>
          <t>A 26458-2022</t>
        </is>
      </c>
      <c r="B730" s="1" t="n">
        <v>44739.34201388889</v>
      </c>
      <c r="C730" s="1" t="n">
        <v>45997</v>
      </c>
      <c r="D730" t="inlineStr">
        <is>
          <t>JÄMTLANDS LÄN</t>
        </is>
      </c>
      <c r="E730" t="inlineStr">
        <is>
          <t>BRÄCKE</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41738-2023</t>
        </is>
      </c>
      <c r="B731" s="1" t="n">
        <v>45176.418125</v>
      </c>
      <c r="C731" s="1" t="n">
        <v>45997</v>
      </c>
      <c r="D731" t="inlineStr">
        <is>
          <t>JÄMTLANDS LÄN</t>
        </is>
      </c>
      <c r="E731" t="inlineStr">
        <is>
          <t>BRÄCKE</t>
        </is>
      </c>
      <c r="G731" t="n">
        <v>12.7</v>
      </c>
      <c r="H731" t="n">
        <v>0</v>
      </c>
      <c r="I731" t="n">
        <v>0</v>
      </c>
      <c r="J731" t="n">
        <v>0</v>
      </c>
      <c r="K731" t="n">
        <v>0</v>
      </c>
      <c r="L731" t="n">
        <v>0</v>
      </c>
      <c r="M731" t="n">
        <v>0</v>
      </c>
      <c r="N731" t="n">
        <v>0</v>
      </c>
      <c r="O731" t="n">
        <v>0</v>
      </c>
      <c r="P731" t="n">
        <v>0</v>
      </c>
      <c r="Q731" t="n">
        <v>0</v>
      </c>
      <c r="R731" s="2" t="inlineStr"/>
    </row>
    <row r="732" ht="15" customHeight="1">
      <c r="A732" t="inlineStr">
        <is>
          <t>A 7027-2022</t>
        </is>
      </c>
      <c r="B732" s="1" t="n">
        <v>44603.46644675926</v>
      </c>
      <c r="C732" s="1" t="n">
        <v>45997</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45414-2024</t>
        </is>
      </c>
      <c r="B733" s="1" t="n">
        <v>45576.5943287037</v>
      </c>
      <c r="C733" s="1" t="n">
        <v>45997</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54451-2023</t>
        </is>
      </c>
      <c r="B734" s="1" t="n">
        <v>45233.44581018519</v>
      </c>
      <c r="C734" s="1" t="n">
        <v>45997</v>
      </c>
      <c r="D734" t="inlineStr">
        <is>
          <t>JÄMTLANDS LÄN</t>
        </is>
      </c>
      <c r="E734" t="inlineStr">
        <is>
          <t>BRÄCKE</t>
        </is>
      </c>
      <c r="G734" t="n">
        <v>2.5</v>
      </c>
      <c r="H734" t="n">
        <v>0</v>
      </c>
      <c r="I734" t="n">
        <v>0</v>
      </c>
      <c r="J734" t="n">
        <v>0</v>
      </c>
      <c r="K734" t="n">
        <v>0</v>
      </c>
      <c r="L734" t="n">
        <v>0</v>
      </c>
      <c r="M734" t="n">
        <v>0</v>
      </c>
      <c r="N734" t="n">
        <v>0</v>
      </c>
      <c r="O734" t="n">
        <v>0</v>
      </c>
      <c r="P734" t="n">
        <v>0</v>
      </c>
      <c r="Q734" t="n">
        <v>0</v>
      </c>
      <c r="R734" s="2" t="inlineStr"/>
    </row>
    <row r="735" ht="15" customHeight="1">
      <c r="A735" t="inlineStr">
        <is>
          <t>A 44694-2023</t>
        </is>
      </c>
      <c r="B735" s="1" t="n">
        <v>45189.92251157408</v>
      </c>
      <c r="C735" s="1" t="n">
        <v>45997</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45807-2024</t>
        </is>
      </c>
      <c r="B736" s="1" t="n">
        <v>45579.69815972223</v>
      </c>
      <c r="C736" s="1" t="n">
        <v>45997</v>
      </c>
      <c r="D736" t="inlineStr">
        <is>
          <t>JÄMTLANDS LÄN</t>
        </is>
      </c>
      <c r="E736" t="inlineStr">
        <is>
          <t>BRÄCKE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7756-2025</t>
        </is>
      </c>
      <c r="B737" s="1" t="n">
        <v>45706.51079861111</v>
      </c>
      <c r="C737" s="1" t="n">
        <v>45997</v>
      </c>
      <c r="D737" t="inlineStr">
        <is>
          <t>JÄMTLANDS LÄN</t>
        </is>
      </c>
      <c r="E737" t="inlineStr">
        <is>
          <t>BRÄCKE</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7757-2025</t>
        </is>
      </c>
      <c r="B738" s="1" t="n">
        <v>45706.51085648148</v>
      </c>
      <c r="C738" s="1" t="n">
        <v>45997</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33538-2021</t>
        </is>
      </c>
      <c r="B739" s="1" t="n">
        <v>44377</v>
      </c>
      <c r="C739" s="1" t="n">
        <v>45997</v>
      </c>
      <c r="D739" t="inlineStr">
        <is>
          <t>JÄMTLANDS LÄN</t>
        </is>
      </c>
      <c r="E739" t="inlineStr">
        <is>
          <t>BRÄCKE</t>
        </is>
      </c>
      <c r="G739" t="n">
        <v>6.9</v>
      </c>
      <c r="H739" t="n">
        <v>0</v>
      </c>
      <c r="I739" t="n">
        <v>0</v>
      </c>
      <c r="J739" t="n">
        <v>0</v>
      </c>
      <c r="K739" t="n">
        <v>0</v>
      </c>
      <c r="L739" t="n">
        <v>0</v>
      </c>
      <c r="M739" t="n">
        <v>0</v>
      </c>
      <c r="N739" t="n">
        <v>0</v>
      </c>
      <c r="O739" t="n">
        <v>0</v>
      </c>
      <c r="P739" t="n">
        <v>0</v>
      </c>
      <c r="Q739" t="n">
        <v>0</v>
      </c>
      <c r="R739" s="2" t="inlineStr"/>
    </row>
    <row r="740" ht="15" customHeight="1">
      <c r="A740" t="inlineStr">
        <is>
          <t>A 26923-2024</t>
        </is>
      </c>
      <c r="B740" s="1" t="n">
        <v>45470.93094907407</v>
      </c>
      <c r="C740" s="1" t="n">
        <v>45997</v>
      </c>
      <c r="D740" t="inlineStr">
        <is>
          <t>JÄMTLANDS LÄN</t>
        </is>
      </c>
      <c r="E740" t="inlineStr">
        <is>
          <t>BRÄCKE</t>
        </is>
      </c>
      <c r="G740" t="n">
        <v>2.7</v>
      </c>
      <c r="H740" t="n">
        <v>0</v>
      </c>
      <c r="I740" t="n">
        <v>0</v>
      </c>
      <c r="J740" t="n">
        <v>0</v>
      </c>
      <c r="K740" t="n">
        <v>0</v>
      </c>
      <c r="L740" t="n">
        <v>0</v>
      </c>
      <c r="M740" t="n">
        <v>0</v>
      </c>
      <c r="N740" t="n">
        <v>0</v>
      </c>
      <c r="O740" t="n">
        <v>0</v>
      </c>
      <c r="P740" t="n">
        <v>0</v>
      </c>
      <c r="Q740" t="n">
        <v>0</v>
      </c>
      <c r="R740" s="2" t="inlineStr"/>
    </row>
    <row r="741" ht="15" customHeight="1">
      <c r="A741" t="inlineStr">
        <is>
          <t>A 20265-2023</t>
        </is>
      </c>
      <c r="B741" s="1" t="n">
        <v>45055.94337962963</v>
      </c>
      <c r="C741" s="1" t="n">
        <v>45997</v>
      </c>
      <c r="D741" t="inlineStr">
        <is>
          <t>JÄMTLANDS LÄN</t>
        </is>
      </c>
      <c r="E741" t="inlineStr">
        <is>
          <t>BRÄCKE</t>
        </is>
      </c>
      <c r="G741" t="n">
        <v>4.7</v>
      </c>
      <c r="H741" t="n">
        <v>0</v>
      </c>
      <c r="I741" t="n">
        <v>0</v>
      </c>
      <c r="J741" t="n">
        <v>0</v>
      </c>
      <c r="K741" t="n">
        <v>0</v>
      </c>
      <c r="L741" t="n">
        <v>0</v>
      </c>
      <c r="M741" t="n">
        <v>0</v>
      </c>
      <c r="N741" t="n">
        <v>0</v>
      </c>
      <c r="O741" t="n">
        <v>0</v>
      </c>
      <c r="P741" t="n">
        <v>0</v>
      </c>
      <c r="Q741" t="n">
        <v>0</v>
      </c>
      <c r="R741" s="2" t="inlineStr"/>
    </row>
    <row r="742" ht="15" customHeight="1">
      <c r="A742" t="inlineStr">
        <is>
          <t>A 66859-2020</t>
        </is>
      </c>
      <c r="B742" s="1" t="n">
        <v>44179</v>
      </c>
      <c r="C742" s="1" t="n">
        <v>45997</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22981-2024</t>
        </is>
      </c>
      <c r="B743" s="1" t="n">
        <v>45449.90369212963</v>
      </c>
      <c r="C743" s="1" t="n">
        <v>45997</v>
      </c>
      <c r="D743" t="inlineStr">
        <is>
          <t>JÄMTLANDS LÄN</t>
        </is>
      </c>
      <c r="E743" t="inlineStr">
        <is>
          <t>BRÄCKE</t>
        </is>
      </c>
      <c r="G743" t="n">
        <v>3.4</v>
      </c>
      <c r="H743" t="n">
        <v>0</v>
      </c>
      <c r="I743" t="n">
        <v>0</v>
      </c>
      <c r="J743" t="n">
        <v>0</v>
      </c>
      <c r="K743" t="n">
        <v>0</v>
      </c>
      <c r="L743" t="n">
        <v>0</v>
      </c>
      <c r="M743" t="n">
        <v>0</v>
      </c>
      <c r="N743" t="n">
        <v>0</v>
      </c>
      <c r="O743" t="n">
        <v>0</v>
      </c>
      <c r="P743" t="n">
        <v>0</v>
      </c>
      <c r="Q743" t="n">
        <v>0</v>
      </c>
      <c r="R743" s="2" t="inlineStr"/>
    </row>
    <row r="744" ht="15" customHeight="1">
      <c r="A744" t="inlineStr">
        <is>
          <t>A 6378-2025</t>
        </is>
      </c>
      <c r="B744" s="1" t="n">
        <v>45699.40689814815</v>
      </c>
      <c r="C744" s="1" t="n">
        <v>45997</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12036-2023</t>
        </is>
      </c>
      <c r="B745" s="1" t="n">
        <v>44995</v>
      </c>
      <c r="C745" s="1" t="n">
        <v>45997</v>
      </c>
      <c r="D745" t="inlineStr">
        <is>
          <t>JÄMTLANDS LÄN</t>
        </is>
      </c>
      <c r="E745" t="inlineStr">
        <is>
          <t>BRÄCKE</t>
        </is>
      </c>
      <c r="G745" t="n">
        <v>16.3</v>
      </c>
      <c r="H745" t="n">
        <v>0</v>
      </c>
      <c r="I745" t="n">
        <v>0</v>
      </c>
      <c r="J745" t="n">
        <v>0</v>
      </c>
      <c r="K745" t="n">
        <v>0</v>
      </c>
      <c r="L745" t="n">
        <v>0</v>
      </c>
      <c r="M745" t="n">
        <v>0</v>
      </c>
      <c r="N745" t="n">
        <v>0</v>
      </c>
      <c r="O745" t="n">
        <v>0</v>
      </c>
      <c r="P745" t="n">
        <v>0</v>
      </c>
      <c r="Q745" t="n">
        <v>0</v>
      </c>
      <c r="R745" s="2" t="inlineStr"/>
    </row>
    <row r="746" ht="15" customHeight="1">
      <c r="A746" t="inlineStr">
        <is>
          <t>A 36549-2024</t>
        </is>
      </c>
      <c r="B746" s="1" t="n">
        <v>45537.46791666667</v>
      </c>
      <c r="C746" s="1" t="n">
        <v>45997</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13069-2025</t>
        </is>
      </c>
      <c r="B747" s="1" t="n">
        <v>45734.61494212963</v>
      </c>
      <c r="C747" s="1" t="n">
        <v>45997</v>
      </c>
      <c r="D747" t="inlineStr">
        <is>
          <t>JÄMTLANDS LÄN</t>
        </is>
      </c>
      <c r="E747" t="inlineStr">
        <is>
          <t>BRÄCKE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46860-2023</t>
        </is>
      </c>
      <c r="B748" s="1" t="n">
        <v>45200.12724537037</v>
      </c>
      <c r="C748" s="1" t="n">
        <v>45997</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10606-2025</t>
        </is>
      </c>
      <c r="B749" s="1" t="n">
        <v>45721.59429398148</v>
      </c>
      <c r="C749" s="1" t="n">
        <v>45997</v>
      </c>
      <c r="D749" t="inlineStr">
        <is>
          <t>JÄMTLANDS LÄN</t>
        </is>
      </c>
      <c r="E749" t="inlineStr">
        <is>
          <t>BRÄCKE</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21183-2023</t>
        </is>
      </c>
      <c r="B750" s="1" t="n">
        <v>45058</v>
      </c>
      <c r="C750" s="1" t="n">
        <v>45997</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14492-2024</t>
        </is>
      </c>
      <c r="B751" s="1" t="n">
        <v>45394.58215277778</v>
      </c>
      <c r="C751" s="1" t="n">
        <v>45997</v>
      </c>
      <c r="D751" t="inlineStr">
        <is>
          <t>JÄMTLANDS LÄN</t>
        </is>
      </c>
      <c r="E751" t="inlineStr">
        <is>
          <t>BRÄCKE</t>
        </is>
      </c>
      <c r="G751" t="n">
        <v>16.6</v>
      </c>
      <c r="H751" t="n">
        <v>0</v>
      </c>
      <c r="I751" t="n">
        <v>0</v>
      </c>
      <c r="J751" t="n">
        <v>0</v>
      </c>
      <c r="K751" t="n">
        <v>0</v>
      </c>
      <c r="L751" t="n">
        <v>0</v>
      </c>
      <c r="M751" t="n">
        <v>0</v>
      </c>
      <c r="N751" t="n">
        <v>0</v>
      </c>
      <c r="O751" t="n">
        <v>0</v>
      </c>
      <c r="P751" t="n">
        <v>0</v>
      </c>
      <c r="Q751" t="n">
        <v>0</v>
      </c>
      <c r="R751" s="2" t="inlineStr"/>
    </row>
    <row r="752" ht="15" customHeight="1">
      <c r="A752" t="inlineStr">
        <is>
          <t>A 39122-2024</t>
        </is>
      </c>
      <c r="B752" s="1" t="n">
        <v>45548.5940162037</v>
      </c>
      <c r="C752" s="1" t="n">
        <v>45997</v>
      </c>
      <c r="D752" t="inlineStr">
        <is>
          <t>JÄMTLANDS LÄN</t>
        </is>
      </c>
      <c r="E752" t="inlineStr">
        <is>
          <t>BRÄCKE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231-2025</t>
        </is>
      </c>
      <c r="B753" s="1" t="n">
        <v>45660.36972222223</v>
      </c>
      <c r="C753" s="1" t="n">
        <v>45997</v>
      </c>
      <c r="D753" t="inlineStr">
        <is>
          <t>JÄMTLANDS LÄN</t>
        </is>
      </c>
      <c r="E753" t="inlineStr">
        <is>
          <t>BRÄCKE</t>
        </is>
      </c>
      <c r="G753" t="n">
        <v>2.8</v>
      </c>
      <c r="H753" t="n">
        <v>0</v>
      </c>
      <c r="I753" t="n">
        <v>0</v>
      </c>
      <c r="J753" t="n">
        <v>0</v>
      </c>
      <c r="K753" t="n">
        <v>0</v>
      </c>
      <c r="L753" t="n">
        <v>0</v>
      </c>
      <c r="M753" t="n">
        <v>0</v>
      </c>
      <c r="N753" t="n">
        <v>0</v>
      </c>
      <c r="O753" t="n">
        <v>0</v>
      </c>
      <c r="P753" t="n">
        <v>0</v>
      </c>
      <c r="Q753" t="n">
        <v>0</v>
      </c>
      <c r="R753" s="2" t="inlineStr"/>
    </row>
    <row r="754" ht="15" customHeight="1">
      <c r="A754" t="inlineStr">
        <is>
          <t>A 278-2025</t>
        </is>
      </c>
      <c r="B754" s="1" t="n">
        <v>45660.49075231481</v>
      </c>
      <c r="C754" s="1" t="n">
        <v>45997</v>
      </c>
      <c r="D754" t="inlineStr">
        <is>
          <t>JÄMTLANDS LÄN</t>
        </is>
      </c>
      <c r="E754" t="inlineStr">
        <is>
          <t>BRÄCKE</t>
        </is>
      </c>
      <c r="G754" t="n">
        <v>0.5</v>
      </c>
      <c r="H754" t="n">
        <v>0</v>
      </c>
      <c r="I754" t="n">
        <v>0</v>
      </c>
      <c r="J754" t="n">
        <v>0</v>
      </c>
      <c r="K754" t="n">
        <v>0</v>
      </c>
      <c r="L754" t="n">
        <v>0</v>
      </c>
      <c r="M754" t="n">
        <v>0</v>
      </c>
      <c r="N754" t="n">
        <v>0</v>
      </c>
      <c r="O754" t="n">
        <v>0</v>
      </c>
      <c r="P754" t="n">
        <v>0</v>
      </c>
      <c r="Q754" t="n">
        <v>0</v>
      </c>
      <c r="R754" s="2" t="inlineStr"/>
    </row>
    <row r="755" ht="15" customHeight="1">
      <c r="A755" t="inlineStr">
        <is>
          <t>A 30592-2021</t>
        </is>
      </c>
      <c r="B755" s="1" t="n">
        <v>44364.93850694445</v>
      </c>
      <c r="C755" s="1" t="n">
        <v>45997</v>
      </c>
      <c r="D755" t="inlineStr">
        <is>
          <t>JÄMTLANDS LÄN</t>
        </is>
      </c>
      <c r="E755" t="inlineStr">
        <is>
          <t>BRÄCKE</t>
        </is>
      </c>
      <c r="F755" t="inlineStr">
        <is>
          <t>SCA</t>
        </is>
      </c>
      <c r="G755" t="n">
        <v>22.4</v>
      </c>
      <c r="H755" t="n">
        <v>0</v>
      </c>
      <c r="I755" t="n">
        <v>0</v>
      </c>
      <c r="J755" t="n">
        <v>0</v>
      </c>
      <c r="K755" t="n">
        <v>0</v>
      </c>
      <c r="L755" t="n">
        <v>0</v>
      </c>
      <c r="M755" t="n">
        <v>0</v>
      </c>
      <c r="N755" t="n">
        <v>0</v>
      </c>
      <c r="O755" t="n">
        <v>0</v>
      </c>
      <c r="P755" t="n">
        <v>0</v>
      </c>
      <c r="Q755" t="n">
        <v>0</v>
      </c>
      <c r="R755" s="2" t="inlineStr"/>
    </row>
    <row r="756" ht="15" customHeight="1">
      <c r="A756" t="inlineStr">
        <is>
          <t>A 51416-2024</t>
        </is>
      </c>
      <c r="B756" s="1" t="n">
        <v>45604.44829861111</v>
      </c>
      <c r="C756" s="1" t="n">
        <v>45997</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61662-2022</t>
        </is>
      </c>
      <c r="B757" s="1" t="n">
        <v>44916.96359953703</v>
      </c>
      <c r="C757" s="1" t="n">
        <v>45997</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17973-2025</t>
        </is>
      </c>
      <c r="B758" s="1" t="n">
        <v>45761.36490740741</v>
      </c>
      <c r="C758" s="1" t="n">
        <v>45997</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17977-2025</t>
        </is>
      </c>
      <c r="B759" s="1" t="n">
        <v>45761.36550925926</v>
      </c>
      <c r="C759" s="1" t="n">
        <v>45997</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25674-2023</t>
        </is>
      </c>
      <c r="B760" s="1" t="n">
        <v>45089</v>
      </c>
      <c r="C760" s="1" t="n">
        <v>45997</v>
      </c>
      <c r="D760" t="inlineStr">
        <is>
          <t>JÄMTLANDS LÄN</t>
        </is>
      </c>
      <c r="E760" t="inlineStr">
        <is>
          <t>BRÄCKE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51809-2023</t>
        </is>
      </c>
      <c r="B761" s="1" t="n">
        <v>45222.96574074074</v>
      </c>
      <c r="C761" s="1" t="n">
        <v>45997</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17905-2025</t>
        </is>
      </c>
      <c r="B762" s="1" t="n">
        <v>45758.71907407408</v>
      </c>
      <c r="C762" s="1" t="n">
        <v>45997</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51832-2023</t>
        </is>
      </c>
      <c r="B763" s="1" t="n">
        <v>45222.96841435185</v>
      </c>
      <c r="C763" s="1" t="n">
        <v>45997</v>
      </c>
      <c r="D763" t="inlineStr">
        <is>
          <t>JÄMTLANDS LÄN</t>
        </is>
      </c>
      <c r="E763" t="inlineStr">
        <is>
          <t>BRÄCKE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49646-2023</t>
        </is>
      </c>
      <c r="B764" s="1" t="n">
        <v>45211</v>
      </c>
      <c r="C764" s="1" t="n">
        <v>45997</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29456-2024</t>
        </is>
      </c>
      <c r="B765" s="1" t="n">
        <v>45483.96898148148</v>
      </c>
      <c r="C765" s="1" t="n">
        <v>45997</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29460-2024</t>
        </is>
      </c>
      <c r="B766" s="1" t="n">
        <v>45483.96952546296</v>
      </c>
      <c r="C766" s="1" t="n">
        <v>45997</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20667-2022</t>
        </is>
      </c>
      <c r="B767" s="1" t="n">
        <v>44700.65226851852</v>
      </c>
      <c r="C767" s="1" t="n">
        <v>45997</v>
      </c>
      <c r="D767" t="inlineStr">
        <is>
          <t>JÄMTLANDS LÄN</t>
        </is>
      </c>
      <c r="E767" t="inlineStr">
        <is>
          <t>BRÄCKE</t>
        </is>
      </c>
      <c r="G767" t="n">
        <v>13.8</v>
      </c>
      <c r="H767" t="n">
        <v>0</v>
      </c>
      <c r="I767" t="n">
        <v>0</v>
      </c>
      <c r="J767" t="n">
        <v>0</v>
      </c>
      <c r="K767" t="n">
        <v>0</v>
      </c>
      <c r="L767" t="n">
        <v>0</v>
      </c>
      <c r="M767" t="n">
        <v>0</v>
      </c>
      <c r="N767" t="n">
        <v>0</v>
      </c>
      <c r="O767" t="n">
        <v>0</v>
      </c>
      <c r="P767" t="n">
        <v>0</v>
      </c>
      <c r="Q767" t="n">
        <v>0</v>
      </c>
      <c r="R767" s="2" t="inlineStr"/>
    </row>
    <row r="768" ht="15" customHeight="1">
      <c r="A768" t="inlineStr">
        <is>
          <t>A 2483-2025</t>
        </is>
      </c>
      <c r="B768" s="1" t="n">
        <v>45673</v>
      </c>
      <c r="C768" s="1" t="n">
        <v>45997</v>
      </c>
      <c r="D768" t="inlineStr">
        <is>
          <t>JÄMTLANDS LÄN</t>
        </is>
      </c>
      <c r="E768" t="inlineStr">
        <is>
          <t>BRÄCKE</t>
        </is>
      </c>
      <c r="G768" t="n">
        <v>6.3</v>
      </c>
      <c r="H768" t="n">
        <v>0</v>
      </c>
      <c r="I768" t="n">
        <v>0</v>
      </c>
      <c r="J768" t="n">
        <v>0</v>
      </c>
      <c r="K768" t="n">
        <v>0</v>
      </c>
      <c r="L768" t="n">
        <v>0</v>
      </c>
      <c r="M768" t="n">
        <v>0</v>
      </c>
      <c r="N768" t="n">
        <v>0</v>
      </c>
      <c r="O768" t="n">
        <v>0</v>
      </c>
      <c r="P768" t="n">
        <v>0</v>
      </c>
      <c r="Q768" t="n">
        <v>0</v>
      </c>
      <c r="R768" s="2" t="inlineStr"/>
    </row>
    <row r="769" ht="15" customHeight="1">
      <c r="A769" t="inlineStr">
        <is>
          <t>A 23081-2024</t>
        </is>
      </c>
      <c r="B769" s="1" t="n">
        <v>45450.50152777778</v>
      </c>
      <c r="C769" s="1" t="n">
        <v>45997</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57605-2024</t>
        </is>
      </c>
      <c r="B770" s="1" t="n">
        <v>45630.53201388889</v>
      </c>
      <c r="C770" s="1" t="n">
        <v>45997</v>
      </c>
      <c r="D770" t="inlineStr">
        <is>
          <t>JÄMTLANDS LÄN</t>
        </is>
      </c>
      <c r="E770" t="inlineStr">
        <is>
          <t>BRÄCKE</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57623-2024</t>
        </is>
      </c>
      <c r="B771" s="1" t="n">
        <v>45630.55260416667</v>
      </c>
      <c r="C771" s="1" t="n">
        <v>45997</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61663-2022</t>
        </is>
      </c>
      <c r="B772" s="1" t="n">
        <v>44916</v>
      </c>
      <c r="C772" s="1" t="n">
        <v>45997</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45997</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24717-2022</t>
        </is>
      </c>
      <c r="B774" s="1" t="n">
        <v>44727</v>
      </c>
      <c r="C774" s="1" t="n">
        <v>45997</v>
      </c>
      <c r="D774" t="inlineStr">
        <is>
          <t>JÄMTLANDS LÄN</t>
        </is>
      </c>
      <c r="E774" t="inlineStr">
        <is>
          <t>BRÄCKE</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45997</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5482-2025</t>
        </is>
      </c>
      <c r="B776" s="1" t="n">
        <v>45693.34427083333</v>
      </c>
      <c r="C776" s="1" t="n">
        <v>45997</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17016-2024</t>
        </is>
      </c>
      <c r="B777" s="1" t="n">
        <v>45411</v>
      </c>
      <c r="C777" s="1" t="n">
        <v>45997</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51540-2024</t>
        </is>
      </c>
      <c r="B778" s="1" t="n">
        <v>45604</v>
      </c>
      <c r="C778" s="1" t="n">
        <v>45997</v>
      </c>
      <c r="D778" t="inlineStr">
        <is>
          <t>JÄMTLANDS LÄN</t>
        </is>
      </c>
      <c r="E778" t="inlineStr">
        <is>
          <t>BRÄCKE</t>
        </is>
      </c>
      <c r="G778" t="n">
        <v>0.6</v>
      </c>
      <c r="H778" t="n">
        <v>0</v>
      </c>
      <c r="I778" t="n">
        <v>0</v>
      </c>
      <c r="J778" t="n">
        <v>0</v>
      </c>
      <c r="K778" t="n">
        <v>0</v>
      </c>
      <c r="L778" t="n">
        <v>0</v>
      </c>
      <c r="M778" t="n">
        <v>0</v>
      </c>
      <c r="N778" t="n">
        <v>0</v>
      </c>
      <c r="O778" t="n">
        <v>0</v>
      </c>
      <c r="P778" t="n">
        <v>0</v>
      </c>
      <c r="Q778" t="n">
        <v>0</v>
      </c>
      <c r="R778" s="2" t="inlineStr"/>
    </row>
    <row r="779" ht="15" customHeight="1">
      <c r="A779" t="inlineStr">
        <is>
          <t>A 14664-2024</t>
        </is>
      </c>
      <c r="B779" s="1" t="n">
        <v>45397.41673611111</v>
      </c>
      <c r="C779" s="1" t="n">
        <v>45997</v>
      </c>
      <c r="D779" t="inlineStr">
        <is>
          <t>JÄMTLANDS LÄN</t>
        </is>
      </c>
      <c r="E779" t="inlineStr">
        <is>
          <t>BRÄCKE</t>
        </is>
      </c>
      <c r="G779" t="n">
        <v>4.5</v>
      </c>
      <c r="H779" t="n">
        <v>0</v>
      </c>
      <c r="I779" t="n">
        <v>0</v>
      </c>
      <c r="J779" t="n">
        <v>0</v>
      </c>
      <c r="K779" t="n">
        <v>0</v>
      </c>
      <c r="L779" t="n">
        <v>0</v>
      </c>
      <c r="M779" t="n">
        <v>0</v>
      </c>
      <c r="N779" t="n">
        <v>0</v>
      </c>
      <c r="O779" t="n">
        <v>0</v>
      </c>
      <c r="P779" t="n">
        <v>0</v>
      </c>
      <c r="Q779" t="n">
        <v>0</v>
      </c>
      <c r="R779" s="2" t="inlineStr"/>
    </row>
    <row r="780" ht="15" customHeight="1">
      <c r="A780" t="inlineStr">
        <is>
          <t>A 3737-2025</t>
        </is>
      </c>
      <c r="B780" s="1" t="n">
        <v>45681.57335648148</v>
      </c>
      <c r="C780" s="1" t="n">
        <v>45997</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16073-2021</t>
        </is>
      </c>
      <c r="B781" s="1" t="n">
        <v>44287</v>
      </c>
      <c r="C781" s="1" t="n">
        <v>45997</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10110-2025</t>
        </is>
      </c>
      <c r="B782" s="1" t="n">
        <v>45719.58855324074</v>
      </c>
      <c r="C782" s="1" t="n">
        <v>45997</v>
      </c>
      <c r="D782" t="inlineStr">
        <is>
          <t>JÄMTLANDS LÄN</t>
        </is>
      </c>
      <c r="E782" t="inlineStr">
        <is>
          <t>BRÄCKE</t>
        </is>
      </c>
      <c r="G782" t="n">
        <v>1.2</v>
      </c>
      <c r="H782" t="n">
        <v>0</v>
      </c>
      <c r="I782" t="n">
        <v>0</v>
      </c>
      <c r="J782" t="n">
        <v>0</v>
      </c>
      <c r="K782" t="n">
        <v>0</v>
      </c>
      <c r="L782" t="n">
        <v>0</v>
      </c>
      <c r="M782" t="n">
        <v>0</v>
      </c>
      <c r="N782" t="n">
        <v>0</v>
      </c>
      <c r="O782" t="n">
        <v>0</v>
      </c>
      <c r="P782" t="n">
        <v>0</v>
      </c>
      <c r="Q782" t="n">
        <v>0</v>
      </c>
      <c r="R782" s="2" t="inlineStr"/>
    </row>
    <row r="783" ht="15" customHeight="1">
      <c r="A783" t="inlineStr">
        <is>
          <t>A 58848-2024</t>
        </is>
      </c>
      <c r="B783" s="1" t="n">
        <v>45636.38657407407</v>
      </c>
      <c r="C783" s="1" t="n">
        <v>45997</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10130-2022</t>
        </is>
      </c>
      <c r="B784" s="1" t="n">
        <v>44621.94561342592</v>
      </c>
      <c r="C784" s="1" t="n">
        <v>45997</v>
      </c>
      <c r="D784" t="inlineStr">
        <is>
          <t>JÄMTLANDS LÄN</t>
        </is>
      </c>
      <c r="E784" t="inlineStr">
        <is>
          <t>BRÄCKE</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41647-2023</t>
        </is>
      </c>
      <c r="B785" s="1" t="n">
        <v>45175.95690972222</v>
      </c>
      <c r="C785" s="1" t="n">
        <v>45997</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45758-2024</t>
        </is>
      </c>
      <c r="B786" s="1" t="n">
        <v>45579.6357175926</v>
      </c>
      <c r="C786" s="1" t="n">
        <v>45997</v>
      </c>
      <c r="D786" t="inlineStr">
        <is>
          <t>JÄMTLANDS LÄN</t>
        </is>
      </c>
      <c r="E786" t="inlineStr">
        <is>
          <t>BRÄCKE</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52137-2023</t>
        </is>
      </c>
      <c r="B787" s="1" t="n">
        <v>45223</v>
      </c>
      <c r="C787" s="1" t="n">
        <v>45997</v>
      </c>
      <c r="D787" t="inlineStr">
        <is>
          <t>JÄMTLANDS LÄN</t>
        </is>
      </c>
      <c r="E787" t="inlineStr">
        <is>
          <t>BRÄCKE</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59405-2022</t>
        </is>
      </c>
      <c r="B788" s="1" t="n">
        <v>44906</v>
      </c>
      <c r="C788" s="1" t="n">
        <v>45997</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782-2025</t>
        </is>
      </c>
      <c r="B789" s="1" t="n">
        <v>45665.48423611111</v>
      </c>
      <c r="C789" s="1" t="n">
        <v>45997</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49330-2023</t>
        </is>
      </c>
      <c r="B790" s="1" t="n">
        <v>45210.94927083333</v>
      </c>
      <c r="C790" s="1" t="n">
        <v>45997</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54243-2022</t>
        </is>
      </c>
      <c r="B791" s="1" t="n">
        <v>44881</v>
      </c>
      <c r="C791" s="1" t="n">
        <v>45997</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4635-2022</t>
        </is>
      </c>
      <c r="B792" s="1" t="n">
        <v>44592.41413194445</v>
      </c>
      <c r="C792" s="1" t="n">
        <v>45997</v>
      </c>
      <c r="D792" t="inlineStr">
        <is>
          <t>JÄMTLANDS LÄN</t>
        </is>
      </c>
      <c r="E792" t="inlineStr">
        <is>
          <t>BRÄCKE</t>
        </is>
      </c>
      <c r="G792" t="n">
        <v>3.7</v>
      </c>
      <c r="H792" t="n">
        <v>0</v>
      </c>
      <c r="I792" t="n">
        <v>0</v>
      </c>
      <c r="J792" t="n">
        <v>0</v>
      </c>
      <c r="K792" t="n">
        <v>0</v>
      </c>
      <c r="L792" t="n">
        <v>0</v>
      </c>
      <c r="M792" t="n">
        <v>0</v>
      </c>
      <c r="N792" t="n">
        <v>0</v>
      </c>
      <c r="O792" t="n">
        <v>0</v>
      </c>
      <c r="P792" t="n">
        <v>0</v>
      </c>
      <c r="Q792" t="n">
        <v>0</v>
      </c>
      <c r="R792" s="2" t="inlineStr"/>
    </row>
    <row r="793" ht="15" customHeight="1">
      <c r="A793" t="inlineStr">
        <is>
          <t>A 21781-2023</t>
        </is>
      </c>
      <c r="B793" s="1" t="n">
        <v>45065</v>
      </c>
      <c r="C793" s="1" t="n">
        <v>45997</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52723-2023</t>
        </is>
      </c>
      <c r="B794" s="1" t="n">
        <v>45225</v>
      </c>
      <c r="C794" s="1" t="n">
        <v>45997</v>
      </c>
      <c r="D794" t="inlineStr">
        <is>
          <t>JÄMTLANDS LÄN</t>
        </is>
      </c>
      <c r="E794" t="inlineStr">
        <is>
          <t>BRÄCKE</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25676-2023</t>
        </is>
      </c>
      <c r="B795" s="1" t="n">
        <v>45089.93925925926</v>
      </c>
      <c r="C795" s="1" t="n">
        <v>45997</v>
      </c>
      <c r="D795" t="inlineStr">
        <is>
          <t>JÄMTLANDS LÄN</t>
        </is>
      </c>
      <c r="E795" t="inlineStr">
        <is>
          <t>BRÄCKE</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49526-2024</t>
        </is>
      </c>
      <c r="B796" s="1" t="n">
        <v>45596.40731481482</v>
      </c>
      <c r="C796" s="1" t="n">
        <v>45997</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48342-2024</t>
        </is>
      </c>
      <c r="B797" s="1" t="n">
        <v>45590.55238425926</v>
      </c>
      <c r="C797" s="1" t="n">
        <v>45997</v>
      </c>
      <c r="D797" t="inlineStr">
        <is>
          <t>JÄMTLANDS LÄN</t>
        </is>
      </c>
      <c r="E797" t="inlineStr">
        <is>
          <t>BRÄCKE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45997</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67613-2020</t>
        </is>
      </c>
      <c r="B799" s="1" t="n">
        <v>44181</v>
      </c>
      <c r="C799" s="1" t="n">
        <v>45997</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45950-2023</t>
        </is>
      </c>
      <c r="B800" s="1" t="n">
        <v>45195</v>
      </c>
      <c r="C800" s="1" t="n">
        <v>45997</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20756-2025</t>
        </is>
      </c>
      <c r="B801" s="1" t="n">
        <v>45776.57333333333</v>
      </c>
      <c r="C801" s="1" t="n">
        <v>45997</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20778-2025</t>
        </is>
      </c>
      <c r="B802" s="1" t="n">
        <v>45776.59439814815</v>
      </c>
      <c r="C802" s="1" t="n">
        <v>45997</v>
      </c>
      <c r="D802" t="inlineStr">
        <is>
          <t>JÄMTLANDS LÄN</t>
        </is>
      </c>
      <c r="E802" t="inlineStr">
        <is>
          <t>BRÄCKE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49032-2024</t>
        </is>
      </c>
      <c r="B803" s="1" t="n">
        <v>45594.53152777778</v>
      </c>
      <c r="C803" s="1" t="n">
        <v>45997</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10510-2025</t>
        </is>
      </c>
      <c r="B804" s="1" t="n">
        <v>45721.40363425926</v>
      </c>
      <c r="C804" s="1" t="n">
        <v>45997</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44550.45236111111</v>
      </c>
      <c r="C805" s="1" t="n">
        <v>45997</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55478-2024</t>
        </is>
      </c>
      <c r="B806" s="1" t="n">
        <v>45622.43795138889</v>
      </c>
      <c r="C806" s="1" t="n">
        <v>45997</v>
      </c>
      <c r="D806" t="inlineStr">
        <is>
          <t>JÄMTLANDS LÄN</t>
        </is>
      </c>
      <c r="E806" t="inlineStr">
        <is>
          <t>BRÄCKE</t>
        </is>
      </c>
      <c r="G806" t="n">
        <v>5.5</v>
      </c>
      <c r="H806" t="n">
        <v>0</v>
      </c>
      <c r="I806" t="n">
        <v>0</v>
      </c>
      <c r="J806" t="n">
        <v>0</v>
      </c>
      <c r="K806" t="n">
        <v>0</v>
      </c>
      <c r="L806" t="n">
        <v>0</v>
      </c>
      <c r="M806" t="n">
        <v>0</v>
      </c>
      <c r="N806" t="n">
        <v>0</v>
      </c>
      <c r="O806" t="n">
        <v>0</v>
      </c>
      <c r="P806" t="n">
        <v>0</v>
      </c>
      <c r="Q806" t="n">
        <v>0</v>
      </c>
      <c r="R806" s="2" t="inlineStr"/>
    </row>
    <row r="807" ht="15" customHeight="1">
      <c r="A807" t="inlineStr">
        <is>
          <t>A 50260-2024</t>
        </is>
      </c>
      <c r="B807" s="1" t="n">
        <v>45600</v>
      </c>
      <c r="C807" s="1" t="n">
        <v>45997</v>
      </c>
      <c r="D807" t="inlineStr">
        <is>
          <t>JÄMTLANDS LÄN</t>
        </is>
      </c>
      <c r="E807" t="inlineStr">
        <is>
          <t>BRÄCKE</t>
        </is>
      </c>
      <c r="G807" t="n">
        <v>5.3</v>
      </c>
      <c r="H807" t="n">
        <v>0</v>
      </c>
      <c r="I807" t="n">
        <v>0</v>
      </c>
      <c r="J807" t="n">
        <v>0</v>
      </c>
      <c r="K807" t="n">
        <v>0</v>
      </c>
      <c r="L807" t="n">
        <v>0</v>
      </c>
      <c r="M807" t="n">
        <v>0</v>
      </c>
      <c r="N807" t="n">
        <v>0</v>
      </c>
      <c r="O807" t="n">
        <v>0</v>
      </c>
      <c r="P807" t="n">
        <v>0</v>
      </c>
      <c r="Q807" t="n">
        <v>0</v>
      </c>
      <c r="R807" s="2" t="inlineStr"/>
    </row>
    <row r="808" ht="15" customHeight="1">
      <c r="A808" t="inlineStr">
        <is>
          <t>A 20760-2024</t>
        </is>
      </c>
      <c r="B808" s="1" t="n">
        <v>45436.92543981481</v>
      </c>
      <c r="C808" s="1" t="n">
        <v>45997</v>
      </c>
      <c r="D808" t="inlineStr">
        <is>
          <t>JÄMTLANDS LÄN</t>
        </is>
      </c>
      <c r="E808" t="inlineStr">
        <is>
          <t>BRÄCKE</t>
        </is>
      </c>
      <c r="G808" t="n">
        <v>10.9</v>
      </c>
      <c r="H808" t="n">
        <v>0</v>
      </c>
      <c r="I808" t="n">
        <v>0</v>
      </c>
      <c r="J808" t="n">
        <v>0</v>
      </c>
      <c r="K808" t="n">
        <v>0</v>
      </c>
      <c r="L808" t="n">
        <v>0</v>
      </c>
      <c r="M808" t="n">
        <v>0</v>
      </c>
      <c r="N808" t="n">
        <v>0</v>
      </c>
      <c r="O808" t="n">
        <v>0</v>
      </c>
      <c r="P808" t="n">
        <v>0</v>
      </c>
      <c r="Q808" t="n">
        <v>0</v>
      </c>
      <c r="R808" s="2" t="inlineStr"/>
    </row>
    <row r="809" ht="15" customHeight="1">
      <c r="A809" t="inlineStr">
        <is>
          <t>A 30480-2024</t>
        </is>
      </c>
      <c r="B809" s="1" t="n">
        <v>45491.9494675926</v>
      </c>
      <c r="C809" s="1" t="n">
        <v>45997</v>
      </c>
      <c r="D809" t="inlineStr">
        <is>
          <t>JÄMTLANDS LÄN</t>
        </is>
      </c>
      <c r="E809" t="inlineStr">
        <is>
          <t>BRÄCKE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44575.6277662037</v>
      </c>
      <c r="C810" s="1" t="n">
        <v>45997</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20870-2025</t>
        </is>
      </c>
      <c r="B811" s="1" t="n">
        <v>45777.34517361111</v>
      </c>
      <c r="C811" s="1" t="n">
        <v>45997</v>
      </c>
      <c r="D811" t="inlineStr">
        <is>
          <t>JÄMTLANDS LÄN</t>
        </is>
      </c>
      <c r="E811" t="inlineStr">
        <is>
          <t>BRÄCKE</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21117-2023</t>
        </is>
      </c>
      <c r="B812" s="1" t="n">
        <v>45061</v>
      </c>
      <c r="C812" s="1" t="n">
        <v>45997</v>
      </c>
      <c r="D812" t="inlineStr">
        <is>
          <t>JÄMTLANDS LÄN</t>
        </is>
      </c>
      <c r="E812" t="inlineStr">
        <is>
          <t>BRÄCKE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56493-2024</t>
        </is>
      </c>
      <c r="B813" s="1" t="n">
        <v>45625.49034722222</v>
      </c>
      <c r="C813" s="1" t="n">
        <v>45997</v>
      </c>
      <c r="D813" t="inlineStr">
        <is>
          <t>JÄMTLANDS LÄN</t>
        </is>
      </c>
      <c r="E813" t="inlineStr">
        <is>
          <t>BRÄCKE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72025-2021</t>
        </is>
      </c>
      <c r="B814" s="1" t="n">
        <v>44540</v>
      </c>
      <c r="C814" s="1" t="n">
        <v>45997</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10763-2023</t>
        </is>
      </c>
      <c r="B815" s="1" t="n">
        <v>44988</v>
      </c>
      <c r="C815" s="1" t="n">
        <v>45997</v>
      </c>
      <c r="D815" t="inlineStr">
        <is>
          <t>JÄMTLANDS LÄN</t>
        </is>
      </c>
      <c r="E815" t="inlineStr">
        <is>
          <t>BRÄCKE</t>
        </is>
      </c>
      <c r="G815" t="n">
        <v>1.8</v>
      </c>
      <c r="H815" t="n">
        <v>0</v>
      </c>
      <c r="I815" t="n">
        <v>0</v>
      </c>
      <c r="J815" t="n">
        <v>0</v>
      </c>
      <c r="K815" t="n">
        <v>0</v>
      </c>
      <c r="L815" t="n">
        <v>0</v>
      </c>
      <c r="M815" t="n">
        <v>0</v>
      </c>
      <c r="N815" t="n">
        <v>0</v>
      </c>
      <c r="O815" t="n">
        <v>0</v>
      </c>
      <c r="P815" t="n">
        <v>0</v>
      </c>
      <c r="Q815" t="n">
        <v>0</v>
      </c>
      <c r="R815" s="2" t="inlineStr"/>
    </row>
    <row r="816" ht="15" customHeight="1">
      <c r="A816" t="inlineStr">
        <is>
          <t>A 28765-2024</t>
        </is>
      </c>
      <c r="B816" s="1" t="n">
        <v>45478.59344907408</v>
      </c>
      <c r="C816" s="1" t="n">
        <v>45997</v>
      </c>
      <c r="D816" t="inlineStr">
        <is>
          <t>JÄMTLANDS LÄN</t>
        </is>
      </c>
      <c r="E816" t="inlineStr">
        <is>
          <t>BRÄCKE</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52846-2022</t>
        </is>
      </c>
      <c r="B817" s="1" t="n">
        <v>44875</v>
      </c>
      <c r="C817" s="1" t="n">
        <v>45997</v>
      </c>
      <c r="D817" t="inlineStr">
        <is>
          <t>JÄMTLANDS LÄN</t>
        </is>
      </c>
      <c r="E817" t="inlineStr">
        <is>
          <t>BRÄCKE</t>
        </is>
      </c>
      <c r="F817" t="inlineStr">
        <is>
          <t>Övriga Aktiebolag</t>
        </is>
      </c>
      <c r="G817" t="n">
        <v>13.1</v>
      </c>
      <c r="H817" t="n">
        <v>0</v>
      </c>
      <c r="I817" t="n">
        <v>0</v>
      </c>
      <c r="J817" t="n">
        <v>0</v>
      </c>
      <c r="K817" t="n">
        <v>0</v>
      </c>
      <c r="L817" t="n">
        <v>0</v>
      </c>
      <c r="M817" t="n">
        <v>0</v>
      </c>
      <c r="N817" t="n">
        <v>0</v>
      </c>
      <c r="O817" t="n">
        <v>0</v>
      </c>
      <c r="P817" t="n">
        <v>0</v>
      </c>
      <c r="Q817" t="n">
        <v>0</v>
      </c>
      <c r="R817" s="2" t="inlineStr"/>
    </row>
    <row r="818" ht="15" customHeight="1">
      <c r="A818" t="inlineStr">
        <is>
          <t>A 58086-2024</t>
        </is>
      </c>
      <c r="B818" s="1" t="n">
        <v>45632.34436342592</v>
      </c>
      <c r="C818" s="1" t="n">
        <v>45997</v>
      </c>
      <c r="D818" t="inlineStr">
        <is>
          <t>JÄMTLANDS LÄN</t>
        </is>
      </c>
      <c r="E818" t="inlineStr">
        <is>
          <t>BRÄCKE</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45028-2023</t>
        </is>
      </c>
      <c r="B819" s="1" t="n">
        <v>45190</v>
      </c>
      <c r="C819" s="1" t="n">
        <v>45997</v>
      </c>
      <c r="D819" t="inlineStr">
        <is>
          <t>JÄMTLANDS LÄN</t>
        </is>
      </c>
      <c r="E819" t="inlineStr">
        <is>
          <t>BRÄCKE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20909-2025</t>
        </is>
      </c>
      <c r="B820" s="1" t="n">
        <v>45777.40672453704</v>
      </c>
      <c r="C820" s="1" t="n">
        <v>45997</v>
      </c>
      <c r="D820" t="inlineStr">
        <is>
          <t>JÄMTLANDS LÄN</t>
        </is>
      </c>
      <c r="E820" t="inlineStr">
        <is>
          <t>BRÄCKE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60178-2022</t>
        </is>
      </c>
      <c r="B821" s="1" t="n">
        <v>44909</v>
      </c>
      <c r="C821" s="1" t="n">
        <v>45997</v>
      </c>
      <c r="D821" t="inlineStr">
        <is>
          <t>JÄMTLANDS LÄN</t>
        </is>
      </c>
      <c r="E821" t="inlineStr">
        <is>
          <t>BRÄCKE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54863-2024</t>
        </is>
      </c>
      <c r="B822" s="1" t="n">
        <v>45618.59431712963</v>
      </c>
      <c r="C822" s="1" t="n">
        <v>45997</v>
      </c>
      <c r="D822" t="inlineStr">
        <is>
          <t>JÄMTLANDS LÄN</t>
        </is>
      </c>
      <c r="E822" t="inlineStr">
        <is>
          <t>BRÄCKE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54865-2024</t>
        </is>
      </c>
      <c r="B823" s="1" t="n">
        <v>45618.59471064815</v>
      </c>
      <c r="C823" s="1" t="n">
        <v>45997</v>
      </c>
      <c r="D823" t="inlineStr">
        <is>
          <t>JÄMTLANDS LÄN</t>
        </is>
      </c>
      <c r="E823" t="inlineStr">
        <is>
          <t>BRÄCKE</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56656-2022</t>
        </is>
      </c>
      <c r="B824" s="1" t="n">
        <v>44893</v>
      </c>
      <c r="C824" s="1" t="n">
        <v>45997</v>
      </c>
      <c r="D824" t="inlineStr">
        <is>
          <t>JÄMTLANDS LÄN</t>
        </is>
      </c>
      <c r="E824" t="inlineStr">
        <is>
          <t>BRÄCKE</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52021-2022</t>
        </is>
      </c>
      <c r="B825" s="1" t="n">
        <v>44872.95638888889</v>
      </c>
      <c r="C825" s="1" t="n">
        <v>45997</v>
      </c>
      <c r="D825" t="inlineStr">
        <is>
          <t>JÄMTLANDS LÄN</t>
        </is>
      </c>
      <c r="E825" t="inlineStr">
        <is>
          <t>BRÄCKE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21305-2025</t>
        </is>
      </c>
      <c r="B826" s="1" t="n">
        <v>45781.40665509259</v>
      </c>
      <c r="C826" s="1" t="n">
        <v>45997</v>
      </c>
      <c r="D826" t="inlineStr">
        <is>
          <t>JÄMTLANDS LÄN</t>
        </is>
      </c>
      <c r="E826" t="inlineStr">
        <is>
          <t>BRÄCKE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38336-2024</t>
        </is>
      </c>
      <c r="B827" s="1" t="n">
        <v>45545.68386574074</v>
      </c>
      <c r="C827" s="1" t="n">
        <v>45997</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21368-2025</t>
        </is>
      </c>
      <c r="B828" s="1" t="n">
        <v>45782.44824074074</v>
      </c>
      <c r="C828" s="1" t="n">
        <v>45997</v>
      </c>
      <c r="D828" t="inlineStr">
        <is>
          <t>JÄMTLANDS LÄN</t>
        </is>
      </c>
      <c r="E828" t="inlineStr">
        <is>
          <t>BRÄCKE</t>
        </is>
      </c>
      <c r="F828" t="inlineStr">
        <is>
          <t>SCA</t>
        </is>
      </c>
      <c r="G828" t="n">
        <v>6.8</v>
      </c>
      <c r="H828" t="n">
        <v>0</v>
      </c>
      <c r="I828" t="n">
        <v>0</v>
      </c>
      <c r="J828" t="n">
        <v>0</v>
      </c>
      <c r="K828" t="n">
        <v>0</v>
      </c>
      <c r="L828" t="n">
        <v>0</v>
      </c>
      <c r="M828" t="n">
        <v>0</v>
      </c>
      <c r="N828" t="n">
        <v>0</v>
      </c>
      <c r="O828" t="n">
        <v>0</v>
      </c>
      <c r="P828" t="n">
        <v>0</v>
      </c>
      <c r="Q828" t="n">
        <v>0</v>
      </c>
      <c r="R828" s="2" t="inlineStr"/>
    </row>
    <row r="829" ht="15" customHeight="1">
      <c r="A829" t="inlineStr">
        <is>
          <t>A 40394-2023</t>
        </is>
      </c>
      <c r="B829" s="1" t="n">
        <v>45169.93751157408</v>
      </c>
      <c r="C829" s="1" t="n">
        <v>45997</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34646-2024</t>
        </is>
      </c>
      <c r="B830" s="1" t="n">
        <v>45526.4784375</v>
      </c>
      <c r="C830" s="1" t="n">
        <v>45997</v>
      </c>
      <c r="D830" t="inlineStr">
        <is>
          <t>JÄMTLANDS LÄN</t>
        </is>
      </c>
      <c r="E830" t="inlineStr">
        <is>
          <t>BRÄCKE</t>
        </is>
      </c>
      <c r="G830" t="n">
        <v>0.8</v>
      </c>
      <c r="H830" t="n">
        <v>0</v>
      </c>
      <c r="I830" t="n">
        <v>0</v>
      </c>
      <c r="J830" t="n">
        <v>0</v>
      </c>
      <c r="K830" t="n">
        <v>0</v>
      </c>
      <c r="L830" t="n">
        <v>0</v>
      </c>
      <c r="M830" t="n">
        <v>0</v>
      </c>
      <c r="N830" t="n">
        <v>0</v>
      </c>
      <c r="O830" t="n">
        <v>0</v>
      </c>
      <c r="P830" t="n">
        <v>0</v>
      </c>
      <c r="Q830" t="n">
        <v>0</v>
      </c>
      <c r="R830" s="2" t="inlineStr"/>
    </row>
    <row r="831" ht="15" customHeight="1">
      <c r="A831" t="inlineStr">
        <is>
          <t>A 29409-2024</t>
        </is>
      </c>
      <c r="B831" s="1" t="n">
        <v>45483.67341435186</v>
      </c>
      <c r="C831" s="1" t="n">
        <v>45997</v>
      </c>
      <c r="D831" t="inlineStr">
        <is>
          <t>JÄMTLANDS LÄN</t>
        </is>
      </c>
      <c r="E831" t="inlineStr">
        <is>
          <t>BRÄCKE</t>
        </is>
      </c>
      <c r="G831" t="n">
        <v>9.6</v>
      </c>
      <c r="H831" t="n">
        <v>0</v>
      </c>
      <c r="I831" t="n">
        <v>0</v>
      </c>
      <c r="J831" t="n">
        <v>0</v>
      </c>
      <c r="K831" t="n">
        <v>0</v>
      </c>
      <c r="L831" t="n">
        <v>0</v>
      </c>
      <c r="M831" t="n">
        <v>0</v>
      </c>
      <c r="N831" t="n">
        <v>0</v>
      </c>
      <c r="O831" t="n">
        <v>0</v>
      </c>
      <c r="P831" t="n">
        <v>0</v>
      </c>
      <c r="Q831" t="n">
        <v>0</v>
      </c>
      <c r="R831" s="2" t="inlineStr"/>
    </row>
    <row r="832" ht="15" customHeight="1">
      <c r="A832" t="inlineStr">
        <is>
          <t>A 21551-2025</t>
        </is>
      </c>
      <c r="B832" s="1" t="n">
        <v>45782.67771990741</v>
      </c>
      <c r="C832" s="1" t="n">
        <v>45997</v>
      </c>
      <c r="D832" t="inlineStr">
        <is>
          <t>JÄMTLANDS LÄN</t>
        </is>
      </c>
      <c r="E832" t="inlineStr">
        <is>
          <t>BRÄCKE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39004-2023</t>
        </is>
      </c>
      <c r="B833" s="1" t="n">
        <v>45162</v>
      </c>
      <c r="C833" s="1" t="n">
        <v>45997</v>
      </c>
      <c r="D833" t="inlineStr">
        <is>
          <t>JÄMTLANDS LÄN</t>
        </is>
      </c>
      <c r="E833" t="inlineStr">
        <is>
          <t>BRÄCKE</t>
        </is>
      </c>
      <c r="G833" t="n">
        <v>4.4</v>
      </c>
      <c r="H833" t="n">
        <v>0</v>
      </c>
      <c r="I833" t="n">
        <v>0</v>
      </c>
      <c r="J833" t="n">
        <v>0</v>
      </c>
      <c r="K833" t="n">
        <v>0</v>
      </c>
      <c r="L833" t="n">
        <v>0</v>
      </c>
      <c r="M833" t="n">
        <v>0</v>
      </c>
      <c r="N833" t="n">
        <v>0</v>
      </c>
      <c r="O833" t="n">
        <v>0</v>
      </c>
      <c r="P833" t="n">
        <v>0</v>
      </c>
      <c r="Q833" t="n">
        <v>0</v>
      </c>
      <c r="R833" s="2" t="inlineStr"/>
    </row>
    <row r="834" ht="15" customHeight="1">
      <c r="A834" t="inlineStr">
        <is>
          <t>A 18640-2024</t>
        </is>
      </c>
      <c r="B834" s="1" t="n">
        <v>45425.96644675926</v>
      </c>
      <c r="C834" s="1" t="n">
        <v>45997</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18626-2024</t>
        </is>
      </c>
      <c r="B835" s="1" t="n">
        <v>45425.96429398148</v>
      </c>
      <c r="C835" s="1" t="n">
        <v>45997</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13668-2024</t>
        </is>
      </c>
      <c r="B836" s="1" t="n">
        <v>45387</v>
      </c>
      <c r="C836" s="1" t="n">
        <v>45997</v>
      </c>
      <c r="D836" t="inlineStr">
        <is>
          <t>JÄMTLANDS LÄN</t>
        </is>
      </c>
      <c r="E836" t="inlineStr">
        <is>
          <t>BRÄCKE</t>
        </is>
      </c>
      <c r="G836" t="n">
        <v>8.1</v>
      </c>
      <c r="H836" t="n">
        <v>0</v>
      </c>
      <c r="I836" t="n">
        <v>0</v>
      </c>
      <c r="J836" t="n">
        <v>0</v>
      </c>
      <c r="K836" t="n">
        <v>0</v>
      </c>
      <c r="L836" t="n">
        <v>0</v>
      </c>
      <c r="M836" t="n">
        <v>0</v>
      </c>
      <c r="N836" t="n">
        <v>0</v>
      </c>
      <c r="O836" t="n">
        <v>0</v>
      </c>
      <c r="P836" t="n">
        <v>0</v>
      </c>
      <c r="Q836" t="n">
        <v>0</v>
      </c>
      <c r="R836" s="2" t="inlineStr"/>
    </row>
    <row r="837" ht="15" customHeight="1">
      <c r="A837" t="inlineStr">
        <is>
          <t>A 31521-2022</t>
        </is>
      </c>
      <c r="B837" s="1" t="n">
        <v>44774.949375</v>
      </c>
      <c r="C837" s="1" t="n">
        <v>45997</v>
      </c>
      <c r="D837" t="inlineStr">
        <is>
          <t>JÄMTLANDS LÄN</t>
        </is>
      </c>
      <c r="E837" t="inlineStr">
        <is>
          <t>BRÄCKE</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54571-2021</t>
        </is>
      </c>
      <c r="B838" s="1" t="n">
        <v>44473</v>
      </c>
      <c r="C838" s="1" t="n">
        <v>45997</v>
      </c>
      <c r="D838" t="inlineStr">
        <is>
          <t>JÄMTLANDS LÄN</t>
        </is>
      </c>
      <c r="E838" t="inlineStr">
        <is>
          <t>BRÄCKE</t>
        </is>
      </c>
      <c r="G838" t="n">
        <v>3</v>
      </c>
      <c r="H838" t="n">
        <v>0</v>
      </c>
      <c r="I838" t="n">
        <v>0</v>
      </c>
      <c r="J838" t="n">
        <v>0</v>
      </c>
      <c r="K838" t="n">
        <v>0</v>
      </c>
      <c r="L838" t="n">
        <v>0</v>
      </c>
      <c r="M838" t="n">
        <v>0</v>
      </c>
      <c r="N838" t="n">
        <v>0</v>
      </c>
      <c r="O838" t="n">
        <v>0</v>
      </c>
      <c r="P838" t="n">
        <v>0</v>
      </c>
      <c r="Q838" t="n">
        <v>0</v>
      </c>
      <c r="R838" s="2" t="inlineStr"/>
    </row>
    <row r="839" ht="15" customHeight="1">
      <c r="A839" t="inlineStr">
        <is>
          <t>A 56896-2021</t>
        </is>
      </c>
      <c r="B839" s="1" t="n">
        <v>44481.92091435185</v>
      </c>
      <c r="C839" s="1" t="n">
        <v>45997</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28903-2021</t>
        </is>
      </c>
      <c r="B840" s="1" t="n">
        <v>44357</v>
      </c>
      <c r="C840" s="1" t="n">
        <v>45997</v>
      </c>
      <c r="D840" t="inlineStr">
        <is>
          <t>JÄMTLANDS LÄN</t>
        </is>
      </c>
      <c r="E840" t="inlineStr">
        <is>
          <t>BRÄCKE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50520-2024</t>
        </is>
      </c>
      <c r="B841" s="1" t="n">
        <v>45601.55320601852</v>
      </c>
      <c r="C841" s="1" t="n">
        <v>45997</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21549-2025</t>
        </is>
      </c>
      <c r="B842" s="1" t="n">
        <v>45782.67743055556</v>
      </c>
      <c r="C842" s="1" t="n">
        <v>45997</v>
      </c>
      <c r="D842" t="inlineStr">
        <is>
          <t>JÄMTLANDS LÄN</t>
        </is>
      </c>
      <c r="E842" t="inlineStr">
        <is>
          <t>BRÄCKE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21449-2025</t>
        </is>
      </c>
      <c r="B843" s="1" t="n">
        <v>45782.55255787037</v>
      </c>
      <c r="C843" s="1" t="n">
        <v>45997</v>
      </c>
      <c r="D843" t="inlineStr">
        <is>
          <t>JÄMTLANDS LÄN</t>
        </is>
      </c>
      <c r="E843" t="inlineStr">
        <is>
          <t>BRÄCKE</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21450-2025</t>
        </is>
      </c>
      <c r="B844" s="1" t="n">
        <v>45782.55275462963</v>
      </c>
      <c r="C844" s="1" t="n">
        <v>45997</v>
      </c>
      <c r="D844" t="inlineStr">
        <is>
          <t>JÄMTLANDS LÄN</t>
        </is>
      </c>
      <c r="E844" t="inlineStr">
        <is>
          <t>BRÄCKE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20798-2024</t>
        </is>
      </c>
      <c r="B845" s="1" t="n">
        <v>45438.94798611111</v>
      </c>
      <c r="C845" s="1" t="n">
        <v>45997</v>
      </c>
      <c r="D845" t="inlineStr">
        <is>
          <t>JÄMTLANDS LÄN</t>
        </is>
      </c>
      <c r="E845" t="inlineStr">
        <is>
          <t>BRÄCKE</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49307-2024</t>
        </is>
      </c>
      <c r="B846" s="1" t="n">
        <v>45595.55241898148</v>
      </c>
      <c r="C846" s="1" t="n">
        <v>45997</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21486-2025</t>
        </is>
      </c>
      <c r="B847" s="1" t="n">
        <v>45782.59521990741</v>
      </c>
      <c r="C847" s="1" t="n">
        <v>45997</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63713-2023</t>
        </is>
      </c>
      <c r="B848" s="1" t="n">
        <v>45275</v>
      </c>
      <c r="C848" s="1" t="n">
        <v>45997</v>
      </c>
      <c r="D848" t="inlineStr">
        <is>
          <t>JÄMTLANDS LÄN</t>
        </is>
      </c>
      <c r="E848" t="inlineStr">
        <is>
          <t>BRÄCKE</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11371-2025</t>
        </is>
      </c>
      <c r="B849" s="1" t="n">
        <v>45726.55258101852</v>
      </c>
      <c r="C849" s="1" t="n">
        <v>45997</v>
      </c>
      <c r="D849" t="inlineStr">
        <is>
          <t>JÄMTLANDS LÄN</t>
        </is>
      </c>
      <c r="E849" t="inlineStr">
        <is>
          <t>BRÄCKE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26919-2024</t>
        </is>
      </c>
      <c r="B850" s="1" t="n">
        <v>45470.93050925926</v>
      </c>
      <c r="C850" s="1" t="n">
        <v>45997</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27799-2024</t>
        </is>
      </c>
      <c r="B851" s="1" t="n">
        <v>45475.56605324074</v>
      </c>
      <c r="C851" s="1" t="n">
        <v>45997</v>
      </c>
      <c r="D851" t="inlineStr">
        <is>
          <t>JÄMTLANDS LÄN</t>
        </is>
      </c>
      <c r="E851" t="inlineStr">
        <is>
          <t>BRÄCKE</t>
        </is>
      </c>
      <c r="G851" t="n">
        <v>3.6</v>
      </c>
      <c r="H851" t="n">
        <v>0</v>
      </c>
      <c r="I851" t="n">
        <v>0</v>
      </c>
      <c r="J851" t="n">
        <v>0</v>
      </c>
      <c r="K851" t="n">
        <v>0</v>
      </c>
      <c r="L851" t="n">
        <v>0</v>
      </c>
      <c r="M851" t="n">
        <v>0</v>
      </c>
      <c r="N851" t="n">
        <v>0</v>
      </c>
      <c r="O851" t="n">
        <v>0</v>
      </c>
      <c r="P851" t="n">
        <v>0</v>
      </c>
      <c r="Q851" t="n">
        <v>0</v>
      </c>
      <c r="R851" s="2" t="inlineStr"/>
    </row>
    <row r="852" ht="15" customHeight="1">
      <c r="A852" t="inlineStr">
        <is>
          <t>A 1504-2025</t>
        </is>
      </c>
      <c r="B852" s="1" t="n">
        <v>45670.42738425926</v>
      </c>
      <c r="C852" s="1" t="n">
        <v>45997</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34647-2024</t>
        </is>
      </c>
      <c r="B853" s="1" t="n">
        <v>45526.47844907407</v>
      </c>
      <c r="C853" s="1" t="n">
        <v>45997</v>
      </c>
      <c r="D853" t="inlineStr">
        <is>
          <t>JÄMTLANDS LÄN</t>
        </is>
      </c>
      <c r="E853" t="inlineStr">
        <is>
          <t>BRÄCKE</t>
        </is>
      </c>
      <c r="G853" t="n">
        <v>2.7</v>
      </c>
      <c r="H853" t="n">
        <v>0</v>
      </c>
      <c r="I853" t="n">
        <v>0</v>
      </c>
      <c r="J853" t="n">
        <v>0</v>
      </c>
      <c r="K853" t="n">
        <v>0</v>
      </c>
      <c r="L853" t="n">
        <v>0</v>
      </c>
      <c r="M853" t="n">
        <v>0</v>
      </c>
      <c r="N853" t="n">
        <v>0</v>
      </c>
      <c r="O853" t="n">
        <v>0</v>
      </c>
      <c r="P853" t="n">
        <v>0</v>
      </c>
      <c r="Q853" t="n">
        <v>0</v>
      </c>
      <c r="R853" s="2" t="inlineStr"/>
    </row>
    <row r="854" ht="15" customHeight="1">
      <c r="A854" t="inlineStr">
        <is>
          <t>A 19584-2024</t>
        </is>
      </c>
      <c r="B854" s="1" t="n">
        <v>45429</v>
      </c>
      <c r="C854" s="1" t="n">
        <v>45997</v>
      </c>
      <c r="D854" t="inlineStr">
        <is>
          <t>JÄMTLANDS LÄN</t>
        </is>
      </c>
      <c r="E854" t="inlineStr">
        <is>
          <t>BRÄCKE</t>
        </is>
      </c>
      <c r="G854" t="n">
        <v>2.6</v>
      </c>
      <c r="H854" t="n">
        <v>0</v>
      </c>
      <c r="I854" t="n">
        <v>0</v>
      </c>
      <c r="J854" t="n">
        <v>0</v>
      </c>
      <c r="K854" t="n">
        <v>0</v>
      </c>
      <c r="L854" t="n">
        <v>0</v>
      </c>
      <c r="M854" t="n">
        <v>0</v>
      </c>
      <c r="N854" t="n">
        <v>0</v>
      </c>
      <c r="O854" t="n">
        <v>0</v>
      </c>
      <c r="P854" t="n">
        <v>0</v>
      </c>
      <c r="Q854" t="n">
        <v>0</v>
      </c>
      <c r="R854" s="2" t="inlineStr"/>
    </row>
    <row r="855" ht="15" customHeight="1">
      <c r="A855" t="inlineStr">
        <is>
          <t>A 28796-2023</t>
        </is>
      </c>
      <c r="B855" s="1" t="n">
        <v>45096</v>
      </c>
      <c r="C855" s="1" t="n">
        <v>45997</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39326-2024</t>
        </is>
      </c>
      <c r="B856" s="1" t="n">
        <v>45551.42741898148</v>
      </c>
      <c r="C856" s="1" t="n">
        <v>45997</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45997</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20095-2023</t>
        </is>
      </c>
      <c r="B858" s="1" t="n">
        <v>45054.94199074074</v>
      </c>
      <c r="C858" s="1" t="n">
        <v>45997</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22000-2025</t>
        </is>
      </c>
      <c r="B859" s="1" t="n">
        <v>45784.69851851852</v>
      </c>
      <c r="C859" s="1" t="n">
        <v>45997</v>
      </c>
      <c r="D859" t="inlineStr">
        <is>
          <t>JÄMTLANDS LÄN</t>
        </is>
      </c>
      <c r="E859" t="inlineStr">
        <is>
          <t>BRÄCKE</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18641-2024</t>
        </is>
      </c>
      <c r="B860" s="1" t="n">
        <v>45425.9666087963</v>
      </c>
      <c r="C860" s="1" t="n">
        <v>45997</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58449-2024</t>
        </is>
      </c>
      <c r="B861" s="1" t="n">
        <v>45635.34413194445</v>
      </c>
      <c r="C861" s="1" t="n">
        <v>45997</v>
      </c>
      <c r="D861" t="inlineStr">
        <is>
          <t>JÄMTLANDS LÄN</t>
        </is>
      </c>
      <c r="E861" t="inlineStr">
        <is>
          <t>BRÄCKE</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2498-2025</t>
        </is>
      </c>
      <c r="B862" s="1" t="n">
        <v>45674.5315625</v>
      </c>
      <c r="C862" s="1" t="n">
        <v>45997</v>
      </c>
      <c r="D862" t="inlineStr">
        <is>
          <t>JÄMTLANDS LÄN</t>
        </is>
      </c>
      <c r="E862" t="inlineStr">
        <is>
          <t>BRÄCKE</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2511-2025</t>
        </is>
      </c>
      <c r="B863" s="1" t="n">
        <v>45674.57393518519</v>
      </c>
      <c r="C863" s="1" t="n">
        <v>45997</v>
      </c>
      <c r="D863" t="inlineStr">
        <is>
          <t>JÄMTLANDS LÄN</t>
        </is>
      </c>
      <c r="E863" t="inlineStr">
        <is>
          <t>BRÄCKE</t>
        </is>
      </c>
      <c r="F863" t="inlineStr">
        <is>
          <t>SCA</t>
        </is>
      </c>
      <c r="G863" t="n">
        <v>10.5</v>
      </c>
      <c r="H863" t="n">
        <v>0</v>
      </c>
      <c r="I863" t="n">
        <v>0</v>
      </c>
      <c r="J863" t="n">
        <v>0</v>
      </c>
      <c r="K863" t="n">
        <v>0</v>
      </c>
      <c r="L863" t="n">
        <v>0</v>
      </c>
      <c r="M863" t="n">
        <v>0</v>
      </c>
      <c r="N863" t="n">
        <v>0</v>
      </c>
      <c r="O863" t="n">
        <v>0</v>
      </c>
      <c r="P863" t="n">
        <v>0</v>
      </c>
      <c r="Q863" t="n">
        <v>0</v>
      </c>
      <c r="R863" s="2" t="inlineStr"/>
    </row>
    <row r="864" ht="15" customHeight="1">
      <c r="A864" t="inlineStr">
        <is>
          <t>A 1864-2022</t>
        </is>
      </c>
      <c r="B864" s="1" t="n">
        <v>44574</v>
      </c>
      <c r="C864" s="1" t="n">
        <v>45997</v>
      </c>
      <c r="D864" t="inlineStr">
        <is>
          <t>JÄMTLANDS LÄN</t>
        </is>
      </c>
      <c r="E864" t="inlineStr">
        <is>
          <t>BRÄCKE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24010-2024</t>
        </is>
      </c>
      <c r="B865" s="1" t="n">
        <v>45456.40370370371</v>
      </c>
      <c r="C865" s="1" t="n">
        <v>45997</v>
      </c>
      <c r="D865" t="inlineStr">
        <is>
          <t>JÄMTLANDS LÄN</t>
        </is>
      </c>
      <c r="E865" t="inlineStr">
        <is>
          <t>BRÄCKE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22936-2024</t>
        </is>
      </c>
      <c r="B866" s="1" t="n">
        <v>45448.94478009259</v>
      </c>
      <c r="C866" s="1" t="n">
        <v>45997</v>
      </c>
      <c r="D866" t="inlineStr">
        <is>
          <t>JÄMTLANDS LÄN</t>
        </is>
      </c>
      <c r="E866" t="inlineStr">
        <is>
          <t>BRÄCKE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59774-2024</t>
        </is>
      </c>
      <c r="B867" s="1" t="n">
        <v>45639.56954861111</v>
      </c>
      <c r="C867" s="1" t="n">
        <v>45997</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17606-2025</t>
        </is>
      </c>
      <c r="B868" s="1" t="n">
        <v>45757.73796296296</v>
      </c>
      <c r="C868" s="1" t="n">
        <v>45997</v>
      </c>
      <c r="D868" t="inlineStr">
        <is>
          <t>JÄMTLANDS LÄN</t>
        </is>
      </c>
      <c r="E868" t="inlineStr">
        <is>
          <t>BRÄCKE</t>
        </is>
      </c>
      <c r="G868" t="n">
        <v>1.5</v>
      </c>
      <c r="H868" t="n">
        <v>0</v>
      </c>
      <c r="I868" t="n">
        <v>0</v>
      </c>
      <c r="J868" t="n">
        <v>0</v>
      </c>
      <c r="K868" t="n">
        <v>0</v>
      </c>
      <c r="L868" t="n">
        <v>0</v>
      </c>
      <c r="M868" t="n">
        <v>0</v>
      </c>
      <c r="N868" t="n">
        <v>0</v>
      </c>
      <c r="O868" t="n">
        <v>0</v>
      </c>
      <c r="P868" t="n">
        <v>0</v>
      </c>
      <c r="Q868" t="n">
        <v>0</v>
      </c>
      <c r="R868" s="2" t="inlineStr"/>
    </row>
    <row r="869" ht="15" customHeight="1">
      <c r="A869" t="inlineStr">
        <is>
          <t>A 53608-2024</t>
        </is>
      </c>
      <c r="B869" s="1" t="n">
        <v>45614</v>
      </c>
      <c r="C869" s="1" t="n">
        <v>45997</v>
      </c>
      <c r="D869" t="inlineStr">
        <is>
          <t>JÄMTLANDS LÄN</t>
        </is>
      </c>
      <c r="E869" t="inlineStr">
        <is>
          <t>BRÄCKE</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20625-2023</t>
        </is>
      </c>
      <c r="B870" s="1" t="n">
        <v>45057.94351851852</v>
      </c>
      <c r="C870" s="1" t="n">
        <v>45997</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11310-2025</t>
        </is>
      </c>
      <c r="B871" s="1" t="n">
        <v>45726.44832175926</v>
      </c>
      <c r="C871" s="1" t="n">
        <v>45997</v>
      </c>
      <c r="D871" t="inlineStr">
        <is>
          <t>JÄMTLANDS LÄN</t>
        </is>
      </c>
      <c r="E871" t="inlineStr">
        <is>
          <t>BRÄCKE</t>
        </is>
      </c>
      <c r="G871" t="n">
        <v>1.6</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45997</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3865-2025</t>
        </is>
      </c>
      <c r="B873" s="1" t="n">
        <v>45684.31815972222</v>
      </c>
      <c r="C873" s="1" t="n">
        <v>45997</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11313-2022</t>
        </is>
      </c>
      <c r="B874" s="1" t="n">
        <v>44629.94712962963</v>
      </c>
      <c r="C874" s="1" t="n">
        <v>45997</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5340-2025</t>
        </is>
      </c>
      <c r="B875" s="1" t="n">
        <v>45692.55248842593</v>
      </c>
      <c r="C875" s="1" t="n">
        <v>45997</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19088-2021</t>
        </is>
      </c>
      <c r="B876" s="1" t="n">
        <v>44308</v>
      </c>
      <c r="C876" s="1" t="n">
        <v>45997</v>
      </c>
      <c r="D876" t="inlineStr">
        <is>
          <t>JÄMTLANDS LÄN</t>
        </is>
      </c>
      <c r="E876" t="inlineStr">
        <is>
          <t>BRÄCKE</t>
        </is>
      </c>
      <c r="G876" t="n">
        <v>3.6</v>
      </c>
      <c r="H876" t="n">
        <v>0</v>
      </c>
      <c r="I876" t="n">
        <v>0</v>
      </c>
      <c r="J876" t="n">
        <v>0</v>
      </c>
      <c r="K876" t="n">
        <v>0</v>
      </c>
      <c r="L876" t="n">
        <v>0</v>
      </c>
      <c r="M876" t="n">
        <v>0</v>
      </c>
      <c r="N876" t="n">
        <v>0</v>
      </c>
      <c r="O876" t="n">
        <v>0</v>
      </c>
      <c r="P876" t="n">
        <v>0</v>
      </c>
      <c r="Q876" t="n">
        <v>0</v>
      </c>
      <c r="R876" s="2" t="inlineStr"/>
    </row>
    <row r="877" ht="15" customHeight="1">
      <c r="A877" t="inlineStr">
        <is>
          <t>A 35506-2023</t>
        </is>
      </c>
      <c r="B877" s="1" t="n">
        <v>45146</v>
      </c>
      <c r="C877" s="1" t="n">
        <v>45997</v>
      </c>
      <c r="D877" t="inlineStr">
        <is>
          <t>JÄMTLANDS LÄN</t>
        </is>
      </c>
      <c r="E877" t="inlineStr">
        <is>
          <t>BRÄCKE</t>
        </is>
      </c>
      <c r="G877" t="n">
        <v>2.1</v>
      </c>
      <c r="H877" t="n">
        <v>0</v>
      </c>
      <c r="I877" t="n">
        <v>0</v>
      </c>
      <c r="J877" t="n">
        <v>0</v>
      </c>
      <c r="K877" t="n">
        <v>0</v>
      </c>
      <c r="L877" t="n">
        <v>0</v>
      </c>
      <c r="M877" t="n">
        <v>0</v>
      </c>
      <c r="N877" t="n">
        <v>0</v>
      </c>
      <c r="O877" t="n">
        <v>0</v>
      </c>
      <c r="P877" t="n">
        <v>0</v>
      </c>
      <c r="Q877" t="n">
        <v>0</v>
      </c>
      <c r="R877" s="2" t="inlineStr"/>
    </row>
    <row r="878" ht="15" customHeight="1">
      <c r="A878" t="inlineStr">
        <is>
          <t>A 20014-2022</t>
        </is>
      </c>
      <c r="B878" s="1" t="n">
        <v>44697.64387731482</v>
      </c>
      <c r="C878" s="1" t="n">
        <v>45997</v>
      </c>
      <c r="D878" t="inlineStr">
        <is>
          <t>JÄMTLANDS LÄN</t>
        </is>
      </c>
      <c r="E878" t="inlineStr">
        <is>
          <t>BRÄCKE</t>
        </is>
      </c>
      <c r="G878" t="n">
        <v>1.8</v>
      </c>
      <c r="H878" t="n">
        <v>0</v>
      </c>
      <c r="I878" t="n">
        <v>0</v>
      </c>
      <c r="J878" t="n">
        <v>0</v>
      </c>
      <c r="K878" t="n">
        <v>0</v>
      </c>
      <c r="L878" t="n">
        <v>0</v>
      </c>
      <c r="M878" t="n">
        <v>0</v>
      </c>
      <c r="N878" t="n">
        <v>0</v>
      </c>
      <c r="O878" t="n">
        <v>0</v>
      </c>
      <c r="P878" t="n">
        <v>0</v>
      </c>
      <c r="Q878" t="n">
        <v>0</v>
      </c>
      <c r="R878" s="2" t="inlineStr"/>
    </row>
    <row r="879" ht="15" customHeight="1">
      <c r="A879" t="inlineStr">
        <is>
          <t>A 56491-2024</t>
        </is>
      </c>
      <c r="B879" s="1" t="n">
        <v>45625.48987268518</v>
      </c>
      <c r="C879" s="1" t="n">
        <v>45997</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31692-2024</t>
        </is>
      </c>
      <c r="B880" s="1" t="n">
        <v>45507.95684027778</v>
      </c>
      <c r="C880" s="1" t="n">
        <v>45997</v>
      </c>
      <c r="D880" t="inlineStr">
        <is>
          <t>JÄMTLANDS LÄN</t>
        </is>
      </c>
      <c r="E880" t="inlineStr">
        <is>
          <t>BRÄCKE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31713-2024</t>
        </is>
      </c>
      <c r="B881" s="1" t="n">
        <v>45508.95126157408</v>
      </c>
      <c r="C881" s="1" t="n">
        <v>45997</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57066-2024</t>
        </is>
      </c>
      <c r="B882" s="1" t="n">
        <v>45629.35359953704</v>
      </c>
      <c r="C882" s="1" t="n">
        <v>45997</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57069-2024</t>
        </is>
      </c>
      <c r="B883" s="1" t="n">
        <v>45629.35391203704</v>
      </c>
      <c r="C883" s="1" t="n">
        <v>45997</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51558-2022</t>
        </is>
      </c>
      <c r="B884" s="1" t="n">
        <v>44869.9497337963</v>
      </c>
      <c r="C884" s="1" t="n">
        <v>45997</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30478-2022</t>
        </is>
      </c>
      <c r="B885" s="1" t="n">
        <v>44761</v>
      </c>
      <c r="C885" s="1" t="n">
        <v>45997</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30480-2022</t>
        </is>
      </c>
      <c r="B886" s="1" t="n">
        <v>44761.94019675926</v>
      </c>
      <c r="C886" s="1" t="n">
        <v>45997</v>
      </c>
      <c r="D886" t="inlineStr">
        <is>
          <t>JÄMTLANDS LÄN</t>
        </is>
      </c>
      <c r="E886" t="inlineStr">
        <is>
          <t>BRÄCKE</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24053-2022</t>
        </is>
      </c>
      <c r="B887" s="1" t="n">
        <v>44724.93731481482</v>
      </c>
      <c r="C887" s="1" t="n">
        <v>45997</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58547-2022</t>
        </is>
      </c>
      <c r="B888" s="1" t="n">
        <v>44894</v>
      </c>
      <c r="C888" s="1" t="n">
        <v>45997</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58903-2024</t>
        </is>
      </c>
      <c r="B889" s="1" t="n">
        <v>45636.4775</v>
      </c>
      <c r="C889" s="1" t="n">
        <v>45997</v>
      </c>
      <c r="D889" t="inlineStr">
        <is>
          <t>JÄMTLANDS LÄN</t>
        </is>
      </c>
      <c r="E889" t="inlineStr">
        <is>
          <t>BRÄCKE</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54447-2023</t>
        </is>
      </c>
      <c r="B890" s="1" t="n">
        <v>45233.44271990741</v>
      </c>
      <c r="C890" s="1" t="n">
        <v>45997</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19486-2023</t>
        </is>
      </c>
      <c r="B891" s="1" t="n">
        <v>45049</v>
      </c>
      <c r="C891" s="1" t="n">
        <v>45997</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32636-2024</t>
        </is>
      </c>
      <c r="B892" s="1" t="n">
        <v>45513.96137731482</v>
      </c>
      <c r="C892" s="1" t="n">
        <v>45997</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13165-2025</t>
        </is>
      </c>
      <c r="B893" s="1" t="n">
        <v>45735.36491898148</v>
      </c>
      <c r="C893" s="1" t="n">
        <v>45997</v>
      </c>
      <c r="D893" t="inlineStr">
        <is>
          <t>JÄMTLANDS LÄN</t>
        </is>
      </c>
      <c r="E893" t="inlineStr">
        <is>
          <t>BRÄCKE</t>
        </is>
      </c>
      <c r="F893" t="inlineStr">
        <is>
          <t>SCA</t>
        </is>
      </c>
      <c r="G893" t="n">
        <v>9.1</v>
      </c>
      <c r="H893" t="n">
        <v>0</v>
      </c>
      <c r="I893" t="n">
        <v>0</v>
      </c>
      <c r="J893" t="n">
        <v>0</v>
      </c>
      <c r="K893" t="n">
        <v>0</v>
      </c>
      <c r="L893" t="n">
        <v>0</v>
      </c>
      <c r="M893" t="n">
        <v>0</v>
      </c>
      <c r="N893" t="n">
        <v>0</v>
      </c>
      <c r="O893" t="n">
        <v>0</v>
      </c>
      <c r="P893" t="n">
        <v>0</v>
      </c>
      <c r="Q893" t="n">
        <v>0</v>
      </c>
      <c r="R893" s="2" t="inlineStr"/>
    </row>
    <row r="894" ht="15" customHeight="1">
      <c r="A894" t="inlineStr">
        <is>
          <t>A 58767-2023</t>
        </is>
      </c>
      <c r="B894" s="1" t="n">
        <v>45251.96665509259</v>
      </c>
      <c r="C894" s="1" t="n">
        <v>45997</v>
      </c>
      <c r="D894" t="inlineStr">
        <is>
          <t>JÄMTLANDS LÄN</t>
        </is>
      </c>
      <c r="E894" t="inlineStr">
        <is>
          <t>BRÄCKE</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59846-2024</t>
        </is>
      </c>
      <c r="B895" s="1" t="n">
        <v>45639.67769675926</v>
      </c>
      <c r="C895" s="1" t="n">
        <v>45997</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41922-2023</t>
        </is>
      </c>
      <c r="B896" s="1" t="n">
        <v>45176</v>
      </c>
      <c r="C896" s="1" t="n">
        <v>45997</v>
      </c>
      <c r="D896" t="inlineStr">
        <is>
          <t>JÄMTLANDS LÄN</t>
        </is>
      </c>
      <c r="E896" t="inlineStr">
        <is>
          <t>BRÄCKE</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23064-2024</t>
        </is>
      </c>
      <c r="B897" s="1" t="n">
        <v>45450.44827546296</v>
      </c>
      <c r="C897" s="1" t="n">
        <v>45997</v>
      </c>
      <c r="D897" t="inlineStr">
        <is>
          <t>JÄMTLANDS LÄN</t>
        </is>
      </c>
      <c r="E897" t="inlineStr">
        <is>
          <t>BRÄCKE</t>
        </is>
      </c>
      <c r="G897" t="n">
        <v>0.8</v>
      </c>
      <c r="H897" t="n">
        <v>0</v>
      </c>
      <c r="I897" t="n">
        <v>0</v>
      </c>
      <c r="J897" t="n">
        <v>0</v>
      </c>
      <c r="K897" t="n">
        <v>0</v>
      </c>
      <c r="L897" t="n">
        <v>0</v>
      </c>
      <c r="M897" t="n">
        <v>0</v>
      </c>
      <c r="N897" t="n">
        <v>0</v>
      </c>
      <c r="O897" t="n">
        <v>0</v>
      </c>
      <c r="P897" t="n">
        <v>0</v>
      </c>
      <c r="Q897" t="n">
        <v>0</v>
      </c>
      <c r="R897" s="2" t="inlineStr"/>
    </row>
    <row r="898" ht="15" customHeight="1">
      <c r="A898" t="inlineStr">
        <is>
          <t>A 18600-2024</t>
        </is>
      </c>
      <c r="B898" s="1" t="n">
        <v>45425.92462962963</v>
      </c>
      <c r="C898" s="1" t="n">
        <v>45997</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19485-2023</t>
        </is>
      </c>
      <c r="B899" s="1" t="n">
        <v>45049</v>
      </c>
      <c r="C899" s="1" t="n">
        <v>45997</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45997</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34137-2023</t>
        </is>
      </c>
      <c r="B901" s="1" t="n">
        <v>45135</v>
      </c>
      <c r="C901" s="1" t="n">
        <v>45997</v>
      </c>
      <c r="D901" t="inlineStr">
        <is>
          <t>JÄMTLANDS LÄN</t>
        </is>
      </c>
      <c r="E901" t="inlineStr">
        <is>
          <t>BRÄCKE</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5167-2025</t>
        </is>
      </c>
      <c r="B902" s="1" t="n">
        <v>45691.61539351852</v>
      </c>
      <c r="C902" s="1" t="n">
        <v>45997</v>
      </c>
      <c r="D902" t="inlineStr">
        <is>
          <t>JÄMTLANDS LÄN</t>
        </is>
      </c>
      <c r="E902" t="inlineStr">
        <is>
          <t>BRÄCKE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16317-2025</t>
        </is>
      </c>
      <c r="B903" s="1" t="n">
        <v>45751.3480787037</v>
      </c>
      <c r="C903" s="1" t="n">
        <v>45997</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104-2025</t>
        </is>
      </c>
      <c r="B904" s="1" t="n">
        <v>45659</v>
      </c>
      <c r="C904" s="1" t="n">
        <v>45997</v>
      </c>
      <c r="D904" t="inlineStr">
        <is>
          <t>JÄMTLANDS LÄN</t>
        </is>
      </c>
      <c r="E904" t="inlineStr">
        <is>
          <t>BRÄCKE</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51432-2023</t>
        </is>
      </c>
      <c r="B905" s="1" t="n">
        <v>45219.96431712963</v>
      </c>
      <c r="C905" s="1" t="n">
        <v>45997</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3249-2025</t>
        </is>
      </c>
      <c r="B906" s="1" t="n">
        <v>45679.53177083333</v>
      </c>
      <c r="C906" s="1" t="n">
        <v>45997</v>
      </c>
      <c r="D906" t="inlineStr">
        <is>
          <t>JÄMTLANDS LÄN</t>
        </is>
      </c>
      <c r="E906" t="inlineStr">
        <is>
          <t>BRÄCKE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49339-2024</t>
        </is>
      </c>
      <c r="B907" s="1" t="n">
        <v>45595.59420138889</v>
      </c>
      <c r="C907" s="1" t="n">
        <v>45997</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16462-2024</t>
        </is>
      </c>
      <c r="B908" s="1" t="n">
        <v>45408.05018518519</v>
      </c>
      <c r="C908" s="1" t="n">
        <v>45997</v>
      </c>
      <c r="D908" t="inlineStr">
        <is>
          <t>JÄMTLANDS LÄN</t>
        </is>
      </c>
      <c r="E908" t="inlineStr">
        <is>
          <t>BRÄCKE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26522-2024</t>
        </is>
      </c>
      <c r="B909" s="1" t="n">
        <v>45469</v>
      </c>
      <c r="C909" s="1" t="n">
        <v>45997</v>
      </c>
      <c r="D909" t="inlineStr">
        <is>
          <t>JÄMTLANDS LÄN</t>
        </is>
      </c>
      <c r="E909" t="inlineStr">
        <is>
          <t>BRÄCKE</t>
        </is>
      </c>
      <c r="G909" t="n">
        <v>14.1</v>
      </c>
      <c r="H909" t="n">
        <v>0</v>
      </c>
      <c r="I909" t="n">
        <v>0</v>
      </c>
      <c r="J909" t="n">
        <v>0</v>
      </c>
      <c r="K909" t="n">
        <v>0</v>
      </c>
      <c r="L909" t="n">
        <v>0</v>
      </c>
      <c r="M909" t="n">
        <v>0</v>
      </c>
      <c r="N909" t="n">
        <v>0</v>
      </c>
      <c r="O909" t="n">
        <v>0</v>
      </c>
      <c r="P909" t="n">
        <v>0</v>
      </c>
      <c r="Q909" t="n">
        <v>0</v>
      </c>
      <c r="R909" s="2" t="inlineStr"/>
    </row>
    <row r="910" ht="15" customHeight="1">
      <c r="A910" t="inlineStr">
        <is>
          <t>A 17182-2024</t>
        </is>
      </c>
      <c r="B910" s="1" t="n">
        <v>45412.97984953703</v>
      </c>
      <c r="C910" s="1" t="n">
        <v>45997</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4123-2025</t>
        </is>
      </c>
      <c r="B911" s="1" t="n">
        <v>45685.27107638889</v>
      </c>
      <c r="C911" s="1" t="n">
        <v>45997</v>
      </c>
      <c r="D911" t="inlineStr">
        <is>
          <t>JÄMTLANDS LÄN</t>
        </is>
      </c>
      <c r="E911" t="inlineStr">
        <is>
          <t>BRÄCKE</t>
        </is>
      </c>
      <c r="G911" t="n">
        <v>0.3</v>
      </c>
      <c r="H911" t="n">
        <v>0</v>
      </c>
      <c r="I911" t="n">
        <v>0</v>
      </c>
      <c r="J911" t="n">
        <v>0</v>
      </c>
      <c r="K911" t="n">
        <v>0</v>
      </c>
      <c r="L911" t="n">
        <v>0</v>
      </c>
      <c r="M911" t="n">
        <v>0</v>
      </c>
      <c r="N911" t="n">
        <v>0</v>
      </c>
      <c r="O911" t="n">
        <v>0</v>
      </c>
      <c r="P911" t="n">
        <v>0</v>
      </c>
      <c r="Q911" t="n">
        <v>0</v>
      </c>
      <c r="R911" s="2" t="inlineStr"/>
    </row>
    <row r="912" ht="15" customHeight="1">
      <c r="A912" t="inlineStr">
        <is>
          <t>A 25883-2022</t>
        </is>
      </c>
      <c r="B912" s="1" t="n">
        <v>44733</v>
      </c>
      <c r="C912" s="1" t="n">
        <v>45997</v>
      </c>
      <c r="D912" t="inlineStr">
        <is>
          <t>JÄMTLANDS LÄN</t>
        </is>
      </c>
      <c r="E912" t="inlineStr">
        <is>
          <t>BRÄCKE</t>
        </is>
      </c>
      <c r="F912" t="inlineStr">
        <is>
          <t>Övriga Aktiebolag</t>
        </is>
      </c>
      <c r="G912" t="n">
        <v>23.4</v>
      </c>
      <c r="H912" t="n">
        <v>0</v>
      </c>
      <c r="I912" t="n">
        <v>0</v>
      </c>
      <c r="J912" t="n">
        <v>0</v>
      </c>
      <c r="K912" t="n">
        <v>0</v>
      </c>
      <c r="L912" t="n">
        <v>0</v>
      </c>
      <c r="M912" t="n">
        <v>0</v>
      </c>
      <c r="N912" t="n">
        <v>0</v>
      </c>
      <c r="O912" t="n">
        <v>0</v>
      </c>
      <c r="P912" t="n">
        <v>0</v>
      </c>
      <c r="Q912" t="n">
        <v>0</v>
      </c>
      <c r="R912" s="2" t="inlineStr"/>
    </row>
    <row r="913" ht="15" customHeight="1">
      <c r="A913" t="inlineStr">
        <is>
          <t>A 45939-2024</t>
        </is>
      </c>
      <c r="B913" s="1" t="n">
        <v>45580.53155092592</v>
      </c>
      <c r="C913" s="1" t="n">
        <v>45997</v>
      </c>
      <c r="D913" t="inlineStr">
        <is>
          <t>JÄMTLANDS LÄN</t>
        </is>
      </c>
      <c r="E913" t="inlineStr">
        <is>
          <t>BRÄCKE</t>
        </is>
      </c>
      <c r="F913" t="inlineStr">
        <is>
          <t>Naturvårdsverket</t>
        </is>
      </c>
      <c r="G913" t="n">
        <v>0.9</v>
      </c>
      <c r="H913" t="n">
        <v>0</v>
      </c>
      <c r="I913" t="n">
        <v>0</v>
      </c>
      <c r="J913" t="n">
        <v>0</v>
      </c>
      <c r="K913" t="n">
        <v>0</v>
      </c>
      <c r="L913" t="n">
        <v>0</v>
      </c>
      <c r="M913" t="n">
        <v>0</v>
      </c>
      <c r="N913" t="n">
        <v>0</v>
      </c>
      <c r="O913" t="n">
        <v>0</v>
      </c>
      <c r="P913" t="n">
        <v>0</v>
      </c>
      <c r="Q913" t="n">
        <v>0</v>
      </c>
      <c r="R913" s="2" t="inlineStr"/>
    </row>
    <row r="914" ht="15" customHeight="1">
      <c r="A914" t="inlineStr">
        <is>
          <t>A 24726-2022</t>
        </is>
      </c>
      <c r="B914" s="1" t="n">
        <v>44727</v>
      </c>
      <c r="C914" s="1" t="n">
        <v>45997</v>
      </c>
      <c r="D914" t="inlineStr">
        <is>
          <t>JÄMTLANDS LÄN</t>
        </is>
      </c>
      <c r="E914" t="inlineStr">
        <is>
          <t>BRÄCKE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30685-2024</t>
        </is>
      </c>
      <c r="B915" s="1" t="n">
        <v>45495.95159722222</v>
      </c>
      <c r="C915" s="1" t="n">
        <v>45997</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5527-2025</t>
        </is>
      </c>
      <c r="B916" s="1" t="n">
        <v>45693.42859953704</v>
      </c>
      <c r="C916" s="1" t="n">
        <v>45997</v>
      </c>
      <c r="D916" t="inlineStr">
        <is>
          <t>JÄMTLANDS LÄN</t>
        </is>
      </c>
      <c r="E916" t="inlineStr">
        <is>
          <t>BRÄCKE</t>
        </is>
      </c>
      <c r="G916" t="n">
        <v>4.8</v>
      </c>
      <c r="H916" t="n">
        <v>0</v>
      </c>
      <c r="I916" t="n">
        <v>0</v>
      </c>
      <c r="J916" t="n">
        <v>0</v>
      </c>
      <c r="K916" t="n">
        <v>0</v>
      </c>
      <c r="L916" t="n">
        <v>0</v>
      </c>
      <c r="M916" t="n">
        <v>0</v>
      </c>
      <c r="N916" t="n">
        <v>0</v>
      </c>
      <c r="O916" t="n">
        <v>0</v>
      </c>
      <c r="P916" t="n">
        <v>0</v>
      </c>
      <c r="Q916" t="n">
        <v>0</v>
      </c>
      <c r="R916" s="2" t="inlineStr"/>
    </row>
    <row r="917" ht="15" customHeight="1">
      <c r="A917" t="inlineStr">
        <is>
          <t>A 10476-2022</t>
        </is>
      </c>
      <c r="B917" s="1" t="n">
        <v>44623</v>
      </c>
      <c r="C917" s="1" t="n">
        <v>45997</v>
      </c>
      <c r="D917" t="inlineStr">
        <is>
          <t>JÄMTLANDS LÄN</t>
        </is>
      </c>
      <c r="E917" t="inlineStr">
        <is>
          <t>BRÄCKE</t>
        </is>
      </c>
      <c r="G917" t="n">
        <v>3.8</v>
      </c>
      <c r="H917" t="n">
        <v>0</v>
      </c>
      <c r="I917" t="n">
        <v>0</v>
      </c>
      <c r="J917" t="n">
        <v>0</v>
      </c>
      <c r="K917" t="n">
        <v>0</v>
      </c>
      <c r="L917" t="n">
        <v>0</v>
      </c>
      <c r="M917" t="n">
        <v>0</v>
      </c>
      <c r="N917" t="n">
        <v>0</v>
      </c>
      <c r="O917" t="n">
        <v>0</v>
      </c>
      <c r="P917" t="n">
        <v>0</v>
      </c>
      <c r="Q917" t="n">
        <v>0</v>
      </c>
      <c r="R917" s="2" t="inlineStr"/>
    </row>
    <row r="918" ht="15" customHeight="1">
      <c r="A918" t="inlineStr">
        <is>
          <t>A 10542-2022</t>
        </is>
      </c>
      <c r="B918" s="1" t="n">
        <v>44623.92204861111</v>
      </c>
      <c r="C918" s="1" t="n">
        <v>45997</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17252-2025</t>
        </is>
      </c>
      <c r="B919" s="1" t="n">
        <v>45756.5109837963</v>
      </c>
      <c r="C919" s="1" t="n">
        <v>45997</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24062-2024</t>
        </is>
      </c>
      <c r="B920" s="1" t="n">
        <v>45456.54141203704</v>
      </c>
      <c r="C920" s="1" t="n">
        <v>45997</v>
      </c>
      <c r="D920" t="inlineStr">
        <is>
          <t>JÄMTLANDS LÄN</t>
        </is>
      </c>
      <c r="E920" t="inlineStr">
        <is>
          <t>BRÄCKE</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21961-2025</t>
        </is>
      </c>
      <c r="B921" s="1" t="n">
        <v>45784.61517361111</v>
      </c>
      <c r="C921" s="1" t="n">
        <v>45997</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58461-2023</t>
        </is>
      </c>
      <c r="B922" s="1" t="n">
        <v>45250</v>
      </c>
      <c r="C922" s="1" t="n">
        <v>45997</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32963-2022</t>
        </is>
      </c>
      <c r="B923" s="1" t="n">
        <v>44784.92496527778</v>
      </c>
      <c r="C923" s="1" t="n">
        <v>45997</v>
      </c>
      <c r="D923" t="inlineStr">
        <is>
          <t>JÄMTLANDS LÄN</t>
        </is>
      </c>
      <c r="E923" t="inlineStr">
        <is>
          <t>BRÄCKE</t>
        </is>
      </c>
      <c r="G923" t="n">
        <v>5.2</v>
      </c>
      <c r="H923" t="n">
        <v>0</v>
      </c>
      <c r="I923" t="n">
        <v>0</v>
      </c>
      <c r="J923" t="n">
        <v>0</v>
      </c>
      <c r="K923" t="n">
        <v>0</v>
      </c>
      <c r="L923" t="n">
        <v>0</v>
      </c>
      <c r="M923" t="n">
        <v>0</v>
      </c>
      <c r="N923" t="n">
        <v>0</v>
      </c>
      <c r="O923" t="n">
        <v>0</v>
      </c>
      <c r="P923" t="n">
        <v>0</v>
      </c>
      <c r="Q923" t="n">
        <v>0</v>
      </c>
      <c r="R923" s="2" t="inlineStr"/>
    </row>
    <row r="924" ht="15" customHeight="1">
      <c r="A924" t="inlineStr">
        <is>
          <t>A 21634-2025</t>
        </is>
      </c>
      <c r="B924" s="1" t="n">
        <v>45783.42775462963</v>
      </c>
      <c r="C924" s="1" t="n">
        <v>45997</v>
      </c>
      <c r="D924" t="inlineStr">
        <is>
          <t>JÄMTLANDS LÄN</t>
        </is>
      </c>
      <c r="E924" t="inlineStr">
        <is>
          <t>BRÄCKE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48416-2024</t>
        </is>
      </c>
      <c r="B925" s="1" t="n">
        <v>45590.64153935185</v>
      </c>
      <c r="C925" s="1" t="n">
        <v>45997</v>
      </c>
      <c r="D925" t="inlineStr">
        <is>
          <t>JÄMTLANDS LÄN</t>
        </is>
      </c>
      <c r="E925" t="inlineStr">
        <is>
          <t>BRÄCKE</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17601-2025</t>
        </is>
      </c>
      <c r="B926" s="1" t="n">
        <v>45757.71991898148</v>
      </c>
      <c r="C926" s="1" t="n">
        <v>45997</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35880-2023</t>
        </is>
      </c>
      <c r="B927" s="1" t="n">
        <v>45148</v>
      </c>
      <c r="C927" s="1" t="n">
        <v>45997</v>
      </c>
      <c r="D927" t="inlineStr">
        <is>
          <t>JÄMTLANDS LÄN</t>
        </is>
      </c>
      <c r="E927" t="inlineStr">
        <is>
          <t>BRÄCKE</t>
        </is>
      </c>
      <c r="G927" t="n">
        <v>2.2</v>
      </c>
      <c r="H927" t="n">
        <v>0</v>
      </c>
      <c r="I927" t="n">
        <v>0</v>
      </c>
      <c r="J927" t="n">
        <v>0</v>
      </c>
      <c r="K927" t="n">
        <v>0</v>
      </c>
      <c r="L927" t="n">
        <v>0</v>
      </c>
      <c r="M927" t="n">
        <v>0</v>
      </c>
      <c r="N927" t="n">
        <v>0</v>
      </c>
      <c r="O927" t="n">
        <v>0</v>
      </c>
      <c r="P927" t="n">
        <v>0</v>
      </c>
      <c r="Q927" t="n">
        <v>0</v>
      </c>
      <c r="R927" s="2" t="inlineStr"/>
    </row>
    <row r="928" ht="15" customHeight="1">
      <c r="A928" t="inlineStr">
        <is>
          <t>A 38007-2024</t>
        </is>
      </c>
      <c r="B928" s="1" t="n">
        <v>45544.62063657407</v>
      </c>
      <c r="C928" s="1" t="n">
        <v>45997</v>
      </c>
      <c r="D928" t="inlineStr">
        <is>
          <t>JÄMTLANDS LÄN</t>
        </is>
      </c>
      <c r="E928" t="inlineStr">
        <is>
          <t>BRÄCKE</t>
        </is>
      </c>
      <c r="G928" t="n">
        <v>1.6</v>
      </c>
      <c r="H928" t="n">
        <v>0</v>
      </c>
      <c r="I928" t="n">
        <v>0</v>
      </c>
      <c r="J928" t="n">
        <v>0</v>
      </c>
      <c r="K928" t="n">
        <v>0</v>
      </c>
      <c r="L928" t="n">
        <v>0</v>
      </c>
      <c r="M928" t="n">
        <v>0</v>
      </c>
      <c r="N928" t="n">
        <v>0</v>
      </c>
      <c r="O928" t="n">
        <v>0</v>
      </c>
      <c r="P928" t="n">
        <v>0</v>
      </c>
      <c r="Q928" t="n">
        <v>0</v>
      </c>
      <c r="R928" s="2" t="inlineStr"/>
    </row>
    <row r="929" ht="15" customHeight="1">
      <c r="A929" t="inlineStr">
        <is>
          <t>A 25895-2023</t>
        </is>
      </c>
      <c r="B929" s="1" t="n">
        <v>45085</v>
      </c>
      <c r="C929" s="1" t="n">
        <v>45997</v>
      </c>
      <c r="D929" t="inlineStr">
        <is>
          <t>JÄMTLANDS LÄN</t>
        </is>
      </c>
      <c r="E929" t="inlineStr">
        <is>
          <t>BRÄCKE</t>
        </is>
      </c>
      <c r="G929" t="n">
        <v>4.7</v>
      </c>
      <c r="H929" t="n">
        <v>0</v>
      </c>
      <c r="I929" t="n">
        <v>0</v>
      </c>
      <c r="J929" t="n">
        <v>0</v>
      </c>
      <c r="K929" t="n">
        <v>0</v>
      </c>
      <c r="L929" t="n">
        <v>0</v>
      </c>
      <c r="M929" t="n">
        <v>0</v>
      </c>
      <c r="N929" t="n">
        <v>0</v>
      </c>
      <c r="O929" t="n">
        <v>0</v>
      </c>
      <c r="P929" t="n">
        <v>0</v>
      </c>
      <c r="Q929" t="n">
        <v>0</v>
      </c>
      <c r="R929" s="2" t="inlineStr"/>
    </row>
    <row r="930" ht="15" customHeight="1">
      <c r="A930" t="inlineStr">
        <is>
          <t>A 35424-2023</t>
        </is>
      </c>
      <c r="B930" s="1" t="n">
        <v>45146.6240625</v>
      </c>
      <c r="C930" s="1" t="n">
        <v>45997</v>
      </c>
      <c r="D930" t="inlineStr">
        <is>
          <t>JÄMTLANDS LÄN</t>
        </is>
      </c>
      <c r="E930" t="inlineStr">
        <is>
          <t>BRÄCKE</t>
        </is>
      </c>
      <c r="G930" t="n">
        <v>1.8</v>
      </c>
      <c r="H930" t="n">
        <v>0</v>
      </c>
      <c r="I930" t="n">
        <v>0</v>
      </c>
      <c r="J930" t="n">
        <v>0</v>
      </c>
      <c r="K930" t="n">
        <v>0</v>
      </c>
      <c r="L930" t="n">
        <v>0</v>
      </c>
      <c r="M930" t="n">
        <v>0</v>
      </c>
      <c r="N930" t="n">
        <v>0</v>
      </c>
      <c r="O930" t="n">
        <v>0</v>
      </c>
      <c r="P930" t="n">
        <v>0</v>
      </c>
      <c r="Q930" t="n">
        <v>0</v>
      </c>
      <c r="R930" s="2" t="inlineStr"/>
    </row>
    <row r="931" ht="15" customHeight="1">
      <c r="A931" t="inlineStr">
        <is>
          <t>A 53278-2022</t>
        </is>
      </c>
      <c r="B931" s="1" t="n">
        <v>44876.94785879629</v>
      </c>
      <c r="C931" s="1" t="n">
        <v>45997</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53152-2024</t>
        </is>
      </c>
      <c r="B932" s="1" t="n">
        <v>45611.62123842593</v>
      </c>
      <c r="C932" s="1" t="n">
        <v>45997</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3247-2025</t>
        </is>
      </c>
      <c r="B933" s="1" t="n">
        <v>45679.5315625</v>
      </c>
      <c r="C933" s="1" t="n">
        <v>45997</v>
      </c>
      <c r="D933" t="inlineStr">
        <is>
          <t>JÄMTLANDS LÄN</t>
        </is>
      </c>
      <c r="E933" t="inlineStr">
        <is>
          <t>BRÄCKE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19996-2024</t>
        </is>
      </c>
      <c r="B934" s="1" t="n">
        <v>45433.92756944444</v>
      </c>
      <c r="C934" s="1" t="n">
        <v>45997</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11550-2023</t>
        </is>
      </c>
      <c r="B935" s="1" t="n">
        <v>44993</v>
      </c>
      <c r="C935" s="1" t="n">
        <v>45997</v>
      </c>
      <c r="D935" t="inlineStr">
        <is>
          <t>JÄMTLANDS LÄN</t>
        </is>
      </c>
      <c r="E935" t="inlineStr">
        <is>
          <t>BRÄCKE</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9467-2025</t>
        </is>
      </c>
      <c r="B936" s="1" t="n">
        <v>45715.46903935185</v>
      </c>
      <c r="C936" s="1" t="n">
        <v>45997</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4857-2025</t>
        </is>
      </c>
      <c r="B937" s="1" t="n">
        <v>45688.67418981482</v>
      </c>
      <c r="C937" s="1" t="n">
        <v>45997</v>
      </c>
      <c r="D937" t="inlineStr">
        <is>
          <t>JÄMTLANDS LÄN</t>
        </is>
      </c>
      <c r="E937" t="inlineStr">
        <is>
          <t>BRÄCKE</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9386-2025</t>
        </is>
      </c>
      <c r="B938" s="1" t="n">
        <v>45715.34450231482</v>
      </c>
      <c r="C938" s="1" t="n">
        <v>45997</v>
      </c>
      <c r="D938" t="inlineStr">
        <is>
          <t>JÄMTLANDS LÄN</t>
        </is>
      </c>
      <c r="E938" t="inlineStr">
        <is>
          <t>BRÄCKE</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31517-2024</t>
        </is>
      </c>
      <c r="B939" s="1" t="n">
        <v>45505</v>
      </c>
      <c r="C939" s="1" t="n">
        <v>45997</v>
      </c>
      <c r="D939" t="inlineStr">
        <is>
          <t>JÄMTLANDS LÄN</t>
        </is>
      </c>
      <c r="E939" t="inlineStr">
        <is>
          <t>BRÄCKE</t>
        </is>
      </c>
      <c r="F939" t="inlineStr">
        <is>
          <t>SCA</t>
        </is>
      </c>
      <c r="G939" t="n">
        <v>0.3</v>
      </c>
      <c r="H939" t="n">
        <v>0</v>
      </c>
      <c r="I939" t="n">
        <v>0</v>
      </c>
      <c r="J939" t="n">
        <v>0</v>
      </c>
      <c r="K939" t="n">
        <v>0</v>
      </c>
      <c r="L939" t="n">
        <v>0</v>
      </c>
      <c r="M939" t="n">
        <v>0</v>
      </c>
      <c r="N939" t="n">
        <v>0</v>
      </c>
      <c r="O939" t="n">
        <v>0</v>
      </c>
      <c r="P939" t="n">
        <v>0</v>
      </c>
      <c r="Q939" t="n">
        <v>0</v>
      </c>
      <c r="R939" s="2" t="inlineStr"/>
    </row>
    <row r="940" ht="15" customHeight="1">
      <c r="A940" t="inlineStr">
        <is>
          <t>A 55221-2024</t>
        </is>
      </c>
      <c r="B940" s="1" t="n">
        <v>45621.57369212963</v>
      </c>
      <c r="C940" s="1" t="n">
        <v>45997</v>
      </c>
      <c r="D940" t="inlineStr">
        <is>
          <t>JÄMTLANDS LÄN</t>
        </is>
      </c>
      <c r="E940" t="inlineStr">
        <is>
          <t>BRÄCKE</t>
        </is>
      </c>
      <c r="G940" t="n">
        <v>2.8</v>
      </c>
      <c r="H940" t="n">
        <v>0</v>
      </c>
      <c r="I940" t="n">
        <v>0</v>
      </c>
      <c r="J940" t="n">
        <v>0</v>
      </c>
      <c r="K940" t="n">
        <v>0</v>
      </c>
      <c r="L940" t="n">
        <v>0</v>
      </c>
      <c r="M940" t="n">
        <v>0</v>
      </c>
      <c r="N940" t="n">
        <v>0</v>
      </c>
      <c r="O940" t="n">
        <v>0</v>
      </c>
      <c r="P940" t="n">
        <v>0</v>
      </c>
      <c r="Q940" t="n">
        <v>0</v>
      </c>
      <c r="R940" s="2" t="inlineStr"/>
    </row>
    <row r="941" ht="15" customHeight="1">
      <c r="A941" t="inlineStr">
        <is>
          <t>A 57414-2023</t>
        </is>
      </c>
      <c r="B941" s="1" t="n">
        <v>45245.96939814815</v>
      </c>
      <c r="C941" s="1" t="n">
        <v>45997</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51827-2023</t>
        </is>
      </c>
      <c r="B942" s="1" t="n">
        <v>45222.96791666667</v>
      </c>
      <c r="C942" s="1" t="n">
        <v>45997</v>
      </c>
      <c r="D942" t="inlineStr">
        <is>
          <t>JÄMTLANDS LÄN</t>
        </is>
      </c>
      <c r="E942" t="inlineStr">
        <is>
          <t>BRÄCKE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41831-2024</t>
        </is>
      </c>
      <c r="B943" s="1" t="n">
        <v>45561.40703703704</v>
      </c>
      <c r="C943" s="1" t="n">
        <v>45997</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59416-2023</t>
        </is>
      </c>
      <c r="B944" s="1" t="n">
        <v>45253</v>
      </c>
      <c r="C944" s="1" t="n">
        <v>45997</v>
      </c>
      <c r="D944" t="inlineStr">
        <is>
          <t>JÄMTLANDS LÄN</t>
        </is>
      </c>
      <c r="E944" t="inlineStr">
        <is>
          <t>BRÄCKE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45997</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53578-2024</t>
        </is>
      </c>
      <c r="B946" s="1" t="n">
        <v>45614</v>
      </c>
      <c r="C946" s="1" t="n">
        <v>45997</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57586-2024</t>
        </is>
      </c>
      <c r="B947" s="1" t="n">
        <v>45630.49229166667</v>
      </c>
      <c r="C947" s="1" t="n">
        <v>45997</v>
      </c>
      <c r="D947" t="inlineStr">
        <is>
          <t>JÄMTLANDS LÄN</t>
        </is>
      </c>
      <c r="E947" t="inlineStr">
        <is>
          <t>BRÄCKE</t>
        </is>
      </c>
      <c r="G947" t="n">
        <v>0.1</v>
      </c>
      <c r="H947" t="n">
        <v>0</v>
      </c>
      <c r="I947" t="n">
        <v>0</v>
      </c>
      <c r="J947" t="n">
        <v>0</v>
      </c>
      <c r="K947" t="n">
        <v>0</v>
      </c>
      <c r="L947" t="n">
        <v>0</v>
      </c>
      <c r="M947" t="n">
        <v>0</v>
      </c>
      <c r="N947" t="n">
        <v>0</v>
      </c>
      <c r="O947" t="n">
        <v>0</v>
      </c>
      <c r="P947" t="n">
        <v>0</v>
      </c>
      <c r="Q947" t="n">
        <v>0</v>
      </c>
      <c r="R947" s="2" t="inlineStr"/>
    </row>
    <row r="948" ht="15" customHeight="1">
      <c r="A948" t="inlineStr">
        <is>
          <t>A 13906-2025</t>
        </is>
      </c>
      <c r="B948" s="1" t="n">
        <v>45737.6359375</v>
      </c>
      <c r="C948" s="1" t="n">
        <v>45997</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55468-2024</t>
        </is>
      </c>
      <c r="B949" s="1" t="n">
        <v>45622.43024305555</v>
      </c>
      <c r="C949" s="1" t="n">
        <v>45997</v>
      </c>
      <c r="D949" t="inlineStr">
        <is>
          <t>JÄMTLANDS LÄN</t>
        </is>
      </c>
      <c r="E949" t="inlineStr">
        <is>
          <t>BRÄCKE</t>
        </is>
      </c>
      <c r="G949" t="n">
        <v>5.6</v>
      </c>
      <c r="H949" t="n">
        <v>0</v>
      </c>
      <c r="I949" t="n">
        <v>0</v>
      </c>
      <c r="J949" t="n">
        <v>0</v>
      </c>
      <c r="K949" t="n">
        <v>0</v>
      </c>
      <c r="L949" t="n">
        <v>0</v>
      </c>
      <c r="M949" t="n">
        <v>0</v>
      </c>
      <c r="N949" t="n">
        <v>0</v>
      </c>
      <c r="O949" t="n">
        <v>0</v>
      </c>
      <c r="P949" t="n">
        <v>0</v>
      </c>
      <c r="Q949" t="n">
        <v>0</v>
      </c>
      <c r="R949" s="2" t="inlineStr"/>
    </row>
    <row r="950" ht="15" customHeight="1">
      <c r="A950" t="inlineStr">
        <is>
          <t>A 9438-2025</t>
        </is>
      </c>
      <c r="B950" s="1" t="n">
        <v>45715.41347222222</v>
      </c>
      <c r="C950" s="1" t="n">
        <v>45997</v>
      </c>
      <c r="D950" t="inlineStr">
        <is>
          <t>JÄMTLANDS LÄN</t>
        </is>
      </c>
      <c r="E950" t="inlineStr">
        <is>
          <t>BRÄCKE</t>
        </is>
      </c>
      <c r="G950" t="n">
        <v>6.9</v>
      </c>
      <c r="H950" t="n">
        <v>0</v>
      </c>
      <c r="I950" t="n">
        <v>0</v>
      </c>
      <c r="J950" t="n">
        <v>0</v>
      </c>
      <c r="K950" t="n">
        <v>0</v>
      </c>
      <c r="L950" t="n">
        <v>0</v>
      </c>
      <c r="M950" t="n">
        <v>0</v>
      </c>
      <c r="N950" t="n">
        <v>0</v>
      </c>
      <c r="O950" t="n">
        <v>0</v>
      </c>
      <c r="P950" t="n">
        <v>0</v>
      </c>
      <c r="Q950" t="n">
        <v>0</v>
      </c>
      <c r="R950" s="2" t="inlineStr"/>
    </row>
    <row r="951" ht="15" customHeight="1">
      <c r="A951" t="inlineStr">
        <is>
          <t>A 14290-2025</t>
        </is>
      </c>
      <c r="B951" s="1" t="n">
        <v>45740.67755787037</v>
      </c>
      <c r="C951" s="1" t="n">
        <v>45997</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13244-2023</t>
        </is>
      </c>
      <c r="B952" s="1" t="n">
        <v>45002</v>
      </c>
      <c r="C952" s="1" t="n">
        <v>45997</v>
      </c>
      <c r="D952" t="inlineStr">
        <is>
          <t>JÄMTLANDS LÄN</t>
        </is>
      </c>
      <c r="E952" t="inlineStr">
        <is>
          <t>BRÄCKE</t>
        </is>
      </c>
      <c r="G952" t="n">
        <v>1.1</v>
      </c>
      <c r="H952" t="n">
        <v>0</v>
      </c>
      <c r="I952" t="n">
        <v>0</v>
      </c>
      <c r="J952" t="n">
        <v>0</v>
      </c>
      <c r="K952" t="n">
        <v>0</v>
      </c>
      <c r="L952" t="n">
        <v>0</v>
      </c>
      <c r="M952" t="n">
        <v>0</v>
      </c>
      <c r="N952" t="n">
        <v>0</v>
      </c>
      <c r="O952" t="n">
        <v>0</v>
      </c>
      <c r="P952" t="n">
        <v>0</v>
      </c>
      <c r="Q952" t="n">
        <v>0</v>
      </c>
      <c r="R952" s="2" t="inlineStr"/>
    </row>
    <row r="953" ht="15" customHeight="1">
      <c r="A953" t="inlineStr">
        <is>
          <t>A 7123-2025</t>
        </is>
      </c>
      <c r="B953" s="1" t="n">
        <v>45702.34427083333</v>
      </c>
      <c r="C953" s="1" t="n">
        <v>45997</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33172-2023</t>
        </is>
      </c>
      <c r="B954" s="1" t="n">
        <v>45126.94283564815</v>
      </c>
      <c r="C954" s="1" t="n">
        <v>45997</v>
      </c>
      <c r="D954" t="inlineStr">
        <is>
          <t>JÄMTLANDS LÄN</t>
        </is>
      </c>
      <c r="E954" t="inlineStr">
        <is>
          <t>BRÄCKE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34315-2022</t>
        </is>
      </c>
      <c r="B955" s="1" t="n">
        <v>44792</v>
      </c>
      <c r="C955" s="1" t="n">
        <v>45997</v>
      </c>
      <c r="D955" t="inlineStr">
        <is>
          <t>JÄMTLANDS LÄN</t>
        </is>
      </c>
      <c r="E955" t="inlineStr">
        <is>
          <t>BRÄCKE</t>
        </is>
      </c>
      <c r="G955" t="n">
        <v>4.9</v>
      </c>
      <c r="H955" t="n">
        <v>0</v>
      </c>
      <c r="I955" t="n">
        <v>0</v>
      </c>
      <c r="J955" t="n">
        <v>0</v>
      </c>
      <c r="K955" t="n">
        <v>0</v>
      </c>
      <c r="L955" t="n">
        <v>0</v>
      </c>
      <c r="M955" t="n">
        <v>0</v>
      </c>
      <c r="N955" t="n">
        <v>0</v>
      </c>
      <c r="O955" t="n">
        <v>0</v>
      </c>
      <c r="P955" t="n">
        <v>0</v>
      </c>
      <c r="Q955" t="n">
        <v>0</v>
      </c>
      <c r="R955" s="2" t="inlineStr"/>
    </row>
    <row r="956" ht="15" customHeight="1">
      <c r="A956" t="inlineStr">
        <is>
          <t>A 32229-2023</t>
        </is>
      </c>
      <c r="B956" s="1" t="n">
        <v>45119.94334490741</v>
      </c>
      <c r="C956" s="1" t="n">
        <v>45997</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1672-2025</t>
        </is>
      </c>
      <c r="B957" s="1" t="n">
        <v>45670.6781712963</v>
      </c>
      <c r="C957" s="1" t="n">
        <v>45997</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57942-2023</t>
        </is>
      </c>
      <c r="B958" s="1" t="n">
        <v>45244</v>
      </c>
      <c r="C958" s="1" t="n">
        <v>45997</v>
      </c>
      <c r="D958" t="inlineStr">
        <is>
          <t>JÄMTLANDS LÄN</t>
        </is>
      </c>
      <c r="E958" t="inlineStr">
        <is>
          <t>BRÄCKE</t>
        </is>
      </c>
      <c r="G958" t="n">
        <v>3.9</v>
      </c>
      <c r="H958" t="n">
        <v>0</v>
      </c>
      <c r="I958" t="n">
        <v>0</v>
      </c>
      <c r="J958" t="n">
        <v>0</v>
      </c>
      <c r="K958" t="n">
        <v>0</v>
      </c>
      <c r="L958" t="n">
        <v>0</v>
      </c>
      <c r="M958" t="n">
        <v>0</v>
      </c>
      <c r="N958" t="n">
        <v>0</v>
      </c>
      <c r="O958" t="n">
        <v>0</v>
      </c>
      <c r="P958" t="n">
        <v>0</v>
      </c>
      <c r="Q958" t="n">
        <v>0</v>
      </c>
      <c r="R958" s="2" t="inlineStr"/>
    </row>
    <row r="959" ht="15" customHeight="1">
      <c r="A959" t="inlineStr">
        <is>
          <t>A 44324-2023</t>
        </is>
      </c>
      <c r="B959" s="1" t="n">
        <v>45188</v>
      </c>
      <c r="C959" s="1" t="n">
        <v>45997</v>
      </c>
      <c r="D959" t="inlineStr">
        <is>
          <t>JÄMTLANDS LÄN</t>
        </is>
      </c>
      <c r="E959" t="inlineStr">
        <is>
          <t>BRÄCKE</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41923-2023</t>
        </is>
      </c>
      <c r="B960" s="1" t="n">
        <v>45176</v>
      </c>
      <c r="C960" s="1" t="n">
        <v>45997</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58467-2023</t>
        </is>
      </c>
      <c r="B961" s="1" t="n">
        <v>45250.96192129629</v>
      </c>
      <c r="C961" s="1" t="n">
        <v>45997</v>
      </c>
      <c r="D961" t="inlineStr">
        <is>
          <t>JÄMTLANDS LÄN</t>
        </is>
      </c>
      <c r="E961" t="inlineStr">
        <is>
          <t>BRÄCKE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35972-2023</t>
        </is>
      </c>
      <c r="B962" s="1" t="n">
        <v>45148</v>
      </c>
      <c r="C962" s="1" t="n">
        <v>45997</v>
      </c>
      <c r="D962" t="inlineStr">
        <is>
          <t>JÄMTLANDS LÄN</t>
        </is>
      </c>
      <c r="E962" t="inlineStr">
        <is>
          <t>BRÄCKE</t>
        </is>
      </c>
      <c r="G962" t="n">
        <v>2.2</v>
      </c>
      <c r="H962" t="n">
        <v>0</v>
      </c>
      <c r="I962" t="n">
        <v>0</v>
      </c>
      <c r="J962" t="n">
        <v>0</v>
      </c>
      <c r="K962" t="n">
        <v>0</v>
      </c>
      <c r="L962" t="n">
        <v>0</v>
      </c>
      <c r="M962" t="n">
        <v>0</v>
      </c>
      <c r="N962" t="n">
        <v>0</v>
      </c>
      <c r="O962" t="n">
        <v>0</v>
      </c>
      <c r="P962" t="n">
        <v>0</v>
      </c>
      <c r="Q962" t="n">
        <v>0</v>
      </c>
      <c r="R962" s="2" t="inlineStr"/>
    </row>
    <row r="963" ht="15" customHeight="1">
      <c r="A963" t="inlineStr">
        <is>
          <t>A 39662-2024</t>
        </is>
      </c>
      <c r="B963" s="1" t="n">
        <v>45552.51068287037</v>
      </c>
      <c r="C963" s="1" t="n">
        <v>45997</v>
      </c>
      <c r="D963" t="inlineStr">
        <is>
          <t>JÄMTLANDS LÄN</t>
        </is>
      </c>
      <c r="E963" t="inlineStr">
        <is>
          <t>BRÄCKE</t>
        </is>
      </c>
      <c r="F963" t="inlineStr">
        <is>
          <t>SCA</t>
        </is>
      </c>
      <c r="G963" t="n">
        <v>11.3</v>
      </c>
      <c r="H963" t="n">
        <v>0</v>
      </c>
      <c r="I963" t="n">
        <v>0</v>
      </c>
      <c r="J963" t="n">
        <v>0</v>
      </c>
      <c r="K963" t="n">
        <v>0</v>
      </c>
      <c r="L963" t="n">
        <v>0</v>
      </c>
      <c r="M963" t="n">
        <v>0</v>
      </c>
      <c r="N963" t="n">
        <v>0</v>
      </c>
      <c r="O963" t="n">
        <v>0</v>
      </c>
      <c r="P963" t="n">
        <v>0</v>
      </c>
      <c r="Q963" t="n">
        <v>0</v>
      </c>
      <c r="R963" s="2" t="inlineStr"/>
    </row>
    <row r="964" ht="15" customHeight="1">
      <c r="A964" t="inlineStr">
        <is>
          <t>A 2954-2023</t>
        </is>
      </c>
      <c r="B964" s="1" t="n">
        <v>44945.62861111111</v>
      </c>
      <c r="C964" s="1" t="n">
        <v>45997</v>
      </c>
      <c r="D964" t="inlineStr">
        <is>
          <t>JÄMTLANDS LÄN</t>
        </is>
      </c>
      <c r="E964" t="inlineStr">
        <is>
          <t>BRÄCKE</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8891-2025</t>
        </is>
      </c>
      <c r="B965" s="1" t="n">
        <v>45713.39917824074</v>
      </c>
      <c r="C965" s="1" t="n">
        <v>45997</v>
      </c>
      <c r="D965" t="inlineStr">
        <is>
          <t>JÄMTLANDS LÄN</t>
        </is>
      </c>
      <c r="E965" t="inlineStr">
        <is>
          <t>BRÄCKE</t>
        </is>
      </c>
      <c r="G965" t="n">
        <v>1</v>
      </c>
      <c r="H965" t="n">
        <v>0</v>
      </c>
      <c r="I965" t="n">
        <v>0</v>
      </c>
      <c r="J965" t="n">
        <v>0</v>
      </c>
      <c r="K965" t="n">
        <v>0</v>
      </c>
      <c r="L965" t="n">
        <v>0</v>
      </c>
      <c r="M965" t="n">
        <v>0</v>
      </c>
      <c r="N965" t="n">
        <v>0</v>
      </c>
      <c r="O965" t="n">
        <v>0</v>
      </c>
      <c r="P965" t="n">
        <v>0</v>
      </c>
      <c r="Q965" t="n">
        <v>0</v>
      </c>
      <c r="R965" s="2" t="inlineStr"/>
    </row>
    <row r="966" ht="15" customHeight="1">
      <c r="A966" t="inlineStr">
        <is>
          <t>A 8386-2025</t>
        </is>
      </c>
      <c r="B966" s="1" t="n">
        <v>45709.35850694445</v>
      </c>
      <c r="C966" s="1" t="n">
        <v>45997</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3180-2024</t>
        </is>
      </c>
      <c r="B967" s="1" t="n">
        <v>45316.64880787037</v>
      </c>
      <c r="C967" s="1" t="n">
        <v>45997</v>
      </c>
      <c r="D967" t="inlineStr">
        <is>
          <t>JÄMTLANDS LÄN</t>
        </is>
      </c>
      <c r="E967" t="inlineStr">
        <is>
          <t>BRÄCKE</t>
        </is>
      </c>
      <c r="G967" t="n">
        <v>4.7</v>
      </c>
      <c r="H967" t="n">
        <v>0</v>
      </c>
      <c r="I967" t="n">
        <v>0</v>
      </c>
      <c r="J967" t="n">
        <v>0</v>
      </c>
      <c r="K967" t="n">
        <v>0</v>
      </c>
      <c r="L967" t="n">
        <v>0</v>
      </c>
      <c r="M967" t="n">
        <v>0</v>
      </c>
      <c r="N967" t="n">
        <v>0</v>
      </c>
      <c r="O967" t="n">
        <v>0</v>
      </c>
      <c r="P967" t="n">
        <v>0</v>
      </c>
      <c r="Q967" t="n">
        <v>0</v>
      </c>
      <c r="R967" s="2" t="inlineStr"/>
    </row>
    <row r="968" ht="15" customHeight="1">
      <c r="A968" t="inlineStr">
        <is>
          <t>A 3182-2024</t>
        </is>
      </c>
      <c r="B968" s="1" t="n">
        <v>45316.65004629629</v>
      </c>
      <c r="C968" s="1" t="n">
        <v>45997</v>
      </c>
      <c r="D968" t="inlineStr">
        <is>
          <t>JÄMTLANDS LÄN</t>
        </is>
      </c>
      <c r="E968" t="inlineStr">
        <is>
          <t>BRÄCKE</t>
        </is>
      </c>
      <c r="G968" t="n">
        <v>2.6</v>
      </c>
      <c r="H968" t="n">
        <v>0</v>
      </c>
      <c r="I968" t="n">
        <v>0</v>
      </c>
      <c r="J968" t="n">
        <v>0</v>
      </c>
      <c r="K968" t="n">
        <v>0</v>
      </c>
      <c r="L968" t="n">
        <v>0</v>
      </c>
      <c r="M968" t="n">
        <v>0</v>
      </c>
      <c r="N968" t="n">
        <v>0</v>
      </c>
      <c r="O968" t="n">
        <v>0</v>
      </c>
      <c r="P968" t="n">
        <v>0</v>
      </c>
      <c r="Q968" t="n">
        <v>0</v>
      </c>
      <c r="R968" s="2" t="inlineStr"/>
    </row>
    <row r="969" ht="15" customHeight="1">
      <c r="A969" t="inlineStr">
        <is>
          <t>A 6213-2025</t>
        </is>
      </c>
      <c r="B969" s="1" t="n">
        <v>45698.51072916666</v>
      </c>
      <c r="C969" s="1" t="n">
        <v>45997</v>
      </c>
      <c r="D969" t="inlineStr">
        <is>
          <t>JÄMTLANDS LÄN</t>
        </is>
      </c>
      <c r="E969" t="inlineStr">
        <is>
          <t>BRÄCKE</t>
        </is>
      </c>
      <c r="F969" t="inlineStr">
        <is>
          <t>SCA</t>
        </is>
      </c>
      <c r="G969" t="n">
        <v>11.4</v>
      </c>
      <c r="H969" t="n">
        <v>0</v>
      </c>
      <c r="I969" t="n">
        <v>0</v>
      </c>
      <c r="J969" t="n">
        <v>0</v>
      </c>
      <c r="K969" t="n">
        <v>0</v>
      </c>
      <c r="L969" t="n">
        <v>0</v>
      </c>
      <c r="M969" t="n">
        <v>0</v>
      </c>
      <c r="N969" t="n">
        <v>0</v>
      </c>
      <c r="O969" t="n">
        <v>0</v>
      </c>
      <c r="P969" t="n">
        <v>0</v>
      </c>
      <c r="Q969" t="n">
        <v>0</v>
      </c>
      <c r="R969" s="2" t="inlineStr"/>
    </row>
    <row r="970" ht="15" customHeight="1">
      <c r="A970" t="inlineStr">
        <is>
          <t>A 18965-2025</t>
        </is>
      </c>
      <c r="B970" s="1" t="n">
        <v>45764.53155092592</v>
      </c>
      <c r="C970" s="1" t="n">
        <v>45997</v>
      </c>
      <c r="D970" t="inlineStr">
        <is>
          <t>JÄMTLANDS LÄN</t>
        </is>
      </c>
      <c r="E970" t="inlineStr">
        <is>
          <t>BRÄCKE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35766-2023</t>
        </is>
      </c>
      <c r="B971" s="1" t="n">
        <v>45147</v>
      </c>
      <c r="C971" s="1" t="n">
        <v>45997</v>
      </c>
      <c r="D971" t="inlineStr">
        <is>
          <t>JÄMTLANDS LÄN</t>
        </is>
      </c>
      <c r="E971" t="inlineStr">
        <is>
          <t>BRÄCKE</t>
        </is>
      </c>
      <c r="G971" t="n">
        <v>2.2</v>
      </c>
      <c r="H971" t="n">
        <v>0</v>
      </c>
      <c r="I971" t="n">
        <v>0</v>
      </c>
      <c r="J971" t="n">
        <v>0</v>
      </c>
      <c r="K971" t="n">
        <v>0</v>
      </c>
      <c r="L971" t="n">
        <v>0</v>
      </c>
      <c r="M971" t="n">
        <v>0</v>
      </c>
      <c r="N971" t="n">
        <v>0</v>
      </c>
      <c r="O971" t="n">
        <v>0</v>
      </c>
      <c r="P971" t="n">
        <v>0</v>
      </c>
      <c r="Q971" t="n">
        <v>0</v>
      </c>
      <c r="R971" s="2" t="inlineStr"/>
    </row>
    <row r="972" ht="15" customHeight="1">
      <c r="A972" t="inlineStr">
        <is>
          <t>A 58740-2023</t>
        </is>
      </c>
      <c r="B972" s="1" t="n">
        <v>45251.92890046296</v>
      </c>
      <c r="C972" s="1" t="n">
        <v>45997</v>
      </c>
      <c r="D972" t="inlineStr">
        <is>
          <t>JÄMTLANDS LÄN</t>
        </is>
      </c>
      <c r="E972" t="inlineStr">
        <is>
          <t>BRÄCKE</t>
        </is>
      </c>
      <c r="G972" t="n">
        <v>1.4</v>
      </c>
      <c r="H972" t="n">
        <v>0</v>
      </c>
      <c r="I972" t="n">
        <v>0</v>
      </c>
      <c r="J972" t="n">
        <v>0</v>
      </c>
      <c r="K972" t="n">
        <v>0</v>
      </c>
      <c r="L972" t="n">
        <v>0</v>
      </c>
      <c r="M972" t="n">
        <v>0</v>
      </c>
      <c r="N972" t="n">
        <v>0</v>
      </c>
      <c r="O972" t="n">
        <v>0</v>
      </c>
      <c r="P972" t="n">
        <v>0</v>
      </c>
      <c r="Q972" t="n">
        <v>0</v>
      </c>
      <c r="R972" s="2" t="inlineStr"/>
    </row>
    <row r="973" ht="15" customHeight="1">
      <c r="A973" t="inlineStr">
        <is>
          <t>A 56499-2023</t>
        </is>
      </c>
      <c r="B973" s="1" t="n">
        <v>45237</v>
      </c>
      <c r="C973" s="1" t="n">
        <v>45997</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26444-2022</t>
        </is>
      </c>
      <c r="B974" s="1" t="n">
        <v>44738.93929398148</v>
      </c>
      <c r="C974" s="1" t="n">
        <v>45997</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56525-2023</t>
        </is>
      </c>
      <c r="B975" s="1" t="n">
        <v>45243.56650462963</v>
      </c>
      <c r="C975" s="1" t="n">
        <v>45997</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28738-2022</t>
        </is>
      </c>
      <c r="B976" s="1" t="n">
        <v>44748.94701388889</v>
      </c>
      <c r="C976" s="1" t="n">
        <v>45997</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20803-2021</t>
        </is>
      </c>
      <c r="B977" s="1" t="n">
        <v>44316</v>
      </c>
      <c r="C977" s="1" t="n">
        <v>45997</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2064-2024</t>
        </is>
      </c>
      <c r="B978" s="1" t="n">
        <v>45308</v>
      </c>
      <c r="C978" s="1" t="n">
        <v>45997</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26100-2021</t>
        </is>
      </c>
      <c r="B979" s="1" t="n">
        <v>44344.93584490741</v>
      </c>
      <c r="C979" s="1" t="n">
        <v>45997</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8052-2022</t>
        </is>
      </c>
      <c r="B980" s="1" t="n">
        <v>44609</v>
      </c>
      <c r="C980" s="1" t="n">
        <v>45997</v>
      </c>
      <c r="D980" t="inlineStr">
        <is>
          <t>JÄMTLANDS LÄN</t>
        </is>
      </c>
      <c r="E980" t="inlineStr">
        <is>
          <t>BRÄCKE</t>
        </is>
      </c>
      <c r="G980" t="n">
        <v>0.6</v>
      </c>
      <c r="H980" t="n">
        <v>0</v>
      </c>
      <c r="I980" t="n">
        <v>0</v>
      </c>
      <c r="J980" t="n">
        <v>0</v>
      </c>
      <c r="K980" t="n">
        <v>0</v>
      </c>
      <c r="L980" t="n">
        <v>0</v>
      </c>
      <c r="M980" t="n">
        <v>0</v>
      </c>
      <c r="N980" t="n">
        <v>0</v>
      </c>
      <c r="O980" t="n">
        <v>0</v>
      </c>
      <c r="P980" t="n">
        <v>0</v>
      </c>
      <c r="Q980" t="n">
        <v>0</v>
      </c>
      <c r="R980" s="2" t="inlineStr"/>
    </row>
    <row r="981" ht="15" customHeight="1">
      <c r="A981" t="inlineStr">
        <is>
          <t>A 46798-2023</t>
        </is>
      </c>
      <c r="B981" s="1" t="n">
        <v>45198</v>
      </c>
      <c r="C981" s="1" t="n">
        <v>45997</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50151-2023</t>
        </is>
      </c>
      <c r="B982" s="1" t="n">
        <v>45208</v>
      </c>
      <c r="C982" s="1" t="n">
        <v>45997</v>
      </c>
      <c r="D982" t="inlineStr">
        <is>
          <t>JÄMTLANDS LÄN</t>
        </is>
      </c>
      <c r="E982" t="inlineStr">
        <is>
          <t>BRÄCKE</t>
        </is>
      </c>
      <c r="G982" t="n">
        <v>0.8</v>
      </c>
      <c r="H982" t="n">
        <v>0</v>
      </c>
      <c r="I982" t="n">
        <v>0</v>
      </c>
      <c r="J982" t="n">
        <v>0</v>
      </c>
      <c r="K982" t="n">
        <v>0</v>
      </c>
      <c r="L982" t="n">
        <v>0</v>
      </c>
      <c r="M982" t="n">
        <v>0</v>
      </c>
      <c r="N982" t="n">
        <v>0</v>
      </c>
      <c r="O982" t="n">
        <v>0</v>
      </c>
      <c r="P982" t="n">
        <v>0</v>
      </c>
      <c r="Q982" t="n">
        <v>0</v>
      </c>
      <c r="R982" s="2" t="inlineStr"/>
    </row>
    <row r="983" ht="15" customHeight="1">
      <c r="A983" t="inlineStr">
        <is>
          <t>A 12889-2024</t>
        </is>
      </c>
      <c r="B983" s="1" t="n">
        <v>45385</v>
      </c>
      <c r="C983" s="1" t="n">
        <v>45997</v>
      </c>
      <c r="D983" t="inlineStr">
        <is>
          <t>JÄMTLANDS LÄN</t>
        </is>
      </c>
      <c r="E983" t="inlineStr">
        <is>
          <t>BRÄCKE</t>
        </is>
      </c>
      <c r="F983" t="inlineStr">
        <is>
          <t>Kyrkan</t>
        </is>
      </c>
      <c r="G983" t="n">
        <v>12.1</v>
      </c>
      <c r="H983" t="n">
        <v>0</v>
      </c>
      <c r="I983" t="n">
        <v>0</v>
      </c>
      <c r="J983" t="n">
        <v>0</v>
      </c>
      <c r="K983" t="n">
        <v>0</v>
      </c>
      <c r="L983" t="n">
        <v>0</v>
      </c>
      <c r="M983" t="n">
        <v>0</v>
      </c>
      <c r="N983" t="n">
        <v>0</v>
      </c>
      <c r="O983" t="n">
        <v>0</v>
      </c>
      <c r="P983" t="n">
        <v>0</v>
      </c>
      <c r="Q983" t="n">
        <v>0</v>
      </c>
      <c r="R983" s="2" t="inlineStr"/>
    </row>
    <row r="984" ht="15" customHeight="1">
      <c r="A984" t="inlineStr">
        <is>
          <t>A 61415-2021</t>
        </is>
      </c>
      <c r="B984" s="1" t="n">
        <v>44500.93565972222</v>
      </c>
      <c r="C984" s="1" t="n">
        <v>45997</v>
      </c>
      <c r="D984" t="inlineStr">
        <is>
          <t>JÄMTLANDS LÄN</t>
        </is>
      </c>
      <c r="E984" t="inlineStr">
        <is>
          <t>BRÄCKE</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52127-2023</t>
        </is>
      </c>
      <c r="B985" s="1" t="n">
        <v>45223.96543981481</v>
      </c>
      <c r="C985" s="1" t="n">
        <v>45997</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22164-2025</t>
        </is>
      </c>
      <c r="B986" s="1" t="n">
        <v>45785.59428240741</v>
      </c>
      <c r="C986" s="1" t="n">
        <v>45997</v>
      </c>
      <c r="D986" t="inlineStr">
        <is>
          <t>JÄMTLANDS LÄN</t>
        </is>
      </c>
      <c r="E986" t="inlineStr">
        <is>
          <t>BRÄCKE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22167-2025</t>
        </is>
      </c>
      <c r="B987" s="1" t="n">
        <v>45785.59498842592</v>
      </c>
      <c r="C987" s="1" t="n">
        <v>45997</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50591-2024</t>
        </is>
      </c>
      <c r="B988" s="1" t="n">
        <v>45601.6190625</v>
      </c>
      <c r="C988" s="1" t="n">
        <v>45997</v>
      </c>
      <c r="D988" t="inlineStr">
        <is>
          <t>JÄMTLANDS LÄN</t>
        </is>
      </c>
      <c r="E988" t="inlineStr">
        <is>
          <t>BRÄCKE</t>
        </is>
      </c>
      <c r="G988" t="n">
        <v>17</v>
      </c>
      <c r="H988" t="n">
        <v>0</v>
      </c>
      <c r="I988" t="n">
        <v>0</v>
      </c>
      <c r="J988" t="n">
        <v>0</v>
      </c>
      <c r="K988" t="n">
        <v>0</v>
      </c>
      <c r="L988" t="n">
        <v>0</v>
      </c>
      <c r="M988" t="n">
        <v>0</v>
      </c>
      <c r="N988" t="n">
        <v>0</v>
      </c>
      <c r="O988" t="n">
        <v>0</v>
      </c>
      <c r="P988" t="n">
        <v>0</v>
      </c>
      <c r="Q988" t="n">
        <v>0</v>
      </c>
      <c r="R988" s="2" t="inlineStr"/>
    </row>
    <row r="989" ht="15" customHeight="1">
      <c r="A989" t="inlineStr">
        <is>
          <t>A 54789-2023</t>
        </is>
      </c>
      <c r="B989" s="1" t="n">
        <v>45236.48659722223</v>
      </c>
      <c r="C989" s="1" t="n">
        <v>45997</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24531-2022</t>
        </is>
      </c>
      <c r="B990" s="1" t="n">
        <v>44726</v>
      </c>
      <c r="C990" s="1" t="n">
        <v>45997</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48482-2023</t>
        </is>
      </c>
      <c r="B991" s="1" t="n">
        <v>45206.95846064815</v>
      </c>
      <c r="C991" s="1" t="n">
        <v>45997</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4122-2025</t>
        </is>
      </c>
      <c r="B992" s="1" t="n">
        <v>45685.26828703703</v>
      </c>
      <c r="C992" s="1" t="n">
        <v>45997</v>
      </c>
      <c r="D992" t="inlineStr">
        <is>
          <t>JÄMTLANDS LÄN</t>
        </is>
      </c>
      <c r="E992" t="inlineStr">
        <is>
          <t>BRÄCKE</t>
        </is>
      </c>
      <c r="G992" t="n">
        <v>1.4</v>
      </c>
      <c r="H992" t="n">
        <v>0</v>
      </c>
      <c r="I992" t="n">
        <v>0</v>
      </c>
      <c r="J992" t="n">
        <v>0</v>
      </c>
      <c r="K992" t="n">
        <v>0</v>
      </c>
      <c r="L992" t="n">
        <v>0</v>
      </c>
      <c r="M992" t="n">
        <v>0</v>
      </c>
      <c r="N992" t="n">
        <v>0</v>
      </c>
      <c r="O992" t="n">
        <v>0</v>
      </c>
      <c r="P992" t="n">
        <v>0</v>
      </c>
      <c r="Q992" t="n">
        <v>0</v>
      </c>
      <c r="R992" s="2" t="inlineStr"/>
    </row>
    <row r="993" ht="15" customHeight="1">
      <c r="A993" t="inlineStr">
        <is>
          <t>A 56687-2023</t>
        </is>
      </c>
      <c r="B993" s="1" t="n">
        <v>45243.96633101852</v>
      </c>
      <c r="C993" s="1" t="n">
        <v>45997</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56688-2023</t>
        </is>
      </c>
      <c r="B994" s="1" t="n">
        <v>45243.96645833334</v>
      </c>
      <c r="C994" s="1" t="n">
        <v>45997</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7943-2025</t>
        </is>
      </c>
      <c r="B995" s="1" t="n">
        <v>45707.40697916667</v>
      </c>
      <c r="C995" s="1" t="n">
        <v>45997</v>
      </c>
      <c r="D995" t="inlineStr">
        <is>
          <t>JÄMTLANDS LÄN</t>
        </is>
      </c>
      <c r="E995" t="inlineStr">
        <is>
          <t>BRÄCKE</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16512-2024</t>
        </is>
      </c>
      <c r="B996" s="1" t="n">
        <v>45408.39922453704</v>
      </c>
      <c r="C996" s="1" t="n">
        <v>45997</v>
      </c>
      <c r="D996" t="inlineStr">
        <is>
          <t>JÄMTLANDS LÄN</t>
        </is>
      </c>
      <c r="E996" t="inlineStr">
        <is>
          <t>BRÄCKE</t>
        </is>
      </c>
      <c r="G996" t="n">
        <v>3.2</v>
      </c>
      <c r="H996" t="n">
        <v>0</v>
      </c>
      <c r="I996" t="n">
        <v>0</v>
      </c>
      <c r="J996" t="n">
        <v>0</v>
      </c>
      <c r="K996" t="n">
        <v>0</v>
      </c>
      <c r="L996" t="n">
        <v>0</v>
      </c>
      <c r="M996" t="n">
        <v>0</v>
      </c>
      <c r="N996" t="n">
        <v>0</v>
      </c>
      <c r="O996" t="n">
        <v>0</v>
      </c>
      <c r="P996" t="n">
        <v>0</v>
      </c>
      <c r="Q996" t="n">
        <v>0</v>
      </c>
      <c r="R996" s="2" t="inlineStr"/>
    </row>
    <row r="997" ht="15" customHeight="1">
      <c r="A997" t="inlineStr">
        <is>
          <t>A 21380-2024</t>
        </is>
      </c>
      <c r="B997" s="1" t="n">
        <v>45440</v>
      </c>
      <c r="C997" s="1" t="n">
        <v>45997</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21381-2024</t>
        </is>
      </c>
      <c r="B998" s="1" t="n">
        <v>45440.95402777778</v>
      </c>
      <c r="C998" s="1" t="n">
        <v>45997</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24718-2022</t>
        </is>
      </c>
      <c r="B999" s="1" t="n">
        <v>44727.94221064815</v>
      </c>
      <c r="C999" s="1" t="n">
        <v>45997</v>
      </c>
      <c r="D999" t="inlineStr">
        <is>
          <t>JÄMTLANDS LÄN</t>
        </is>
      </c>
      <c r="E999" t="inlineStr">
        <is>
          <t>BRÄCKE</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62074-2023</t>
        </is>
      </c>
      <c r="B1000" s="1" t="n">
        <v>45266</v>
      </c>
      <c r="C1000" s="1" t="n">
        <v>45997</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6622-2025</t>
        </is>
      </c>
      <c r="B1001" s="1" t="n">
        <v>45700.36594907408</v>
      </c>
      <c r="C1001" s="1" t="n">
        <v>45997</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12732-2025</t>
        </is>
      </c>
      <c r="B1002" s="1" t="n">
        <v>45733.51090277778</v>
      </c>
      <c r="C1002" s="1" t="n">
        <v>45997</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48480-2023</t>
        </is>
      </c>
      <c r="B1003" s="1" t="n">
        <v>45206.95831018518</v>
      </c>
      <c r="C1003" s="1" t="n">
        <v>45997</v>
      </c>
      <c r="D1003" t="inlineStr">
        <is>
          <t>JÄMTLANDS LÄN</t>
        </is>
      </c>
      <c r="E1003" t="inlineStr">
        <is>
          <t>BRÄCKE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58503-2022</t>
        </is>
      </c>
      <c r="B1004" s="1" t="n">
        <v>44902.38313657408</v>
      </c>
      <c r="C1004" s="1" t="n">
        <v>45997</v>
      </c>
      <c r="D1004" t="inlineStr">
        <is>
          <t>JÄMTLANDS LÄN</t>
        </is>
      </c>
      <c r="E1004" t="inlineStr">
        <is>
          <t>BRÄCKE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4491-2024</t>
        </is>
      </c>
      <c r="B1005" s="1" t="n">
        <v>45327</v>
      </c>
      <c r="C1005" s="1" t="n">
        <v>45997</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29262-2024</t>
        </is>
      </c>
      <c r="B1006" s="1" t="n">
        <v>45482.9487962963</v>
      </c>
      <c r="C1006" s="1" t="n">
        <v>45997</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10088-2025</t>
        </is>
      </c>
      <c r="B1007" s="1" t="n">
        <v>45719.57335648148</v>
      </c>
      <c r="C1007" s="1" t="n">
        <v>45997</v>
      </c>
      <c r="D1007" t="inlineStr">
        <is>
          <t>JÄMTLANDS LÄN</t>
        </is>
      </c>
      <c r="E1007" t="inlineStr">
        <is>
          <t>BRÄCKE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10106-2025</t>
        </is>
      </c>
      <c r="B1008" s="1" t="n">
        <v>45719.58611111111</v>
      </c>
      <c r="C1008" s="1" t="n">
        <v>45997</v>
      </c>
      <c r="D1008" t="inlineStr">
        <is>
          <t>JÄMTLANDS LÄN</t>
        </is>
      </c>
      <c r="E1008" t="inlineStr">
        <is>
          <t>BRÄCKE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58758-2023</t>
        </is>
      </c>
      <c r="B1009" s="1" t="n">
        <v>45251.93006944445</v>
      </c>
      <c r="C1009" s="1" t="n">
        <v>45997</v>
      </c>
      <c r="D1009" t="inlineStr">
        <is>
          <t>JÄMTLANDS LÄN</t>
        </is>
      </c>
      <c r="E1009" t="inlineStr">
        <is>
          <t>BRÄCKE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47186-2023</t>
        </is>
      </c>
      <c r="B1010" s="1" t="n">
        <v>45201</v>
      </c>
      <c r="C1010" s="1" t="n">
        <v>45997</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52760-2023</t>
        </is>
      </c>
      <c r="B1011" s="1" t="n">
        <v>45225</v>
      </c>
      <c r="C1011" s="1" t="n">
        <v>45997</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41183-2023</t>
        </is>
      </c>
      <c r="B1012" s="1" t="n">
        <v>45170</v>
      </c>
      <c r="C1012" s="1" t="n">
        <v>45997</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26278-2024</t>
        </is>
      </c>
      <c r="B1013" s="1" t="n">
        <v>45468.68905092592</v>
      </c>
      <c r="C1013" s="1" t="n">
        <v>45997</v>
      </c>
      <c r="D1013" t="inlineStr">
        <is>
          <t>JÄMTLANDS LÄN</t>
        </is>
      </c>
      <c r="E1013" t="inlineStr">
        <is>
          <t>BRÄCKE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50223-2023</t>
        </is>
      </c>
      <c r="B1014" s="1" t="n">
        <v>45215.94747685185</v>
      </c>
      <c r="C1014" s="1" t="n">
        <v>45997</v>
      </c>
      <c r="D1014" t="inlineStr">
        <is>
          <t>JÄMTLANDS LÄN</t>
        </is>
      </c>
      <c r="E1014" t="inlineStr">
        <is>
          <t>BRÄCKE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49591-2024</t>
        </is>
      </c>
      <c r="B1015" s="1" t="n">
        <v>45596.5525</v>
      </c>
      <c r="C1015" s="1" t="n">
        <v>45997</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26350-2023</t>
        </is>
      </c>
      <c r="B1016" s="1" t="n">
        <v>45091.9421412037</v>
      </c>
      <c r="C1016" s="1" t="n">
        <v>45997</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11438-2025</t>
        </is>
      </c>
      <c r="B1017" s="1" t="n">
        <v>45726.61552083334</v>
      </c>
      <c r="C1017" s="1" t="n">
        <v>45997</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28766-2024</t>
        </is>
      </c>
      <c r="B1018" s="1" t="n">
        <v>45478</v>
      </c>
      <c r="C1018" s="1" t="n">
        <v>45997</v>
      </c>
      <c r="D1018" t="inlineStr">
        <is>
          <t>JÄMTLANDS LÄN</t>
        </is>
      </c>
      <c r="E1018" t="inlineStr">
        <is>
          <t>BRÄCKE</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1881-2024</t>
        </is>
      </c>
      <c r="B1019" s="1" t="n">
        <v>45307.96266203704</v>
      </c>
      <c r="C1019" s="1" t="n">
        <v>45997</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44321-2023</t>
        </is>
      </c>
      <c r="B1020" s="1" t="n">
        <v>45188.65484953704</v>
      </c>
      <c r="C1020" s="1" t="n">
        <v>45997</v>
      </c>
      <c r="D1020" t="inlineStr">
        <is>
          <t>JÄMTLANDS LÄN</t>
        </is>
      </c>
      <c r="E1020" t="inlineStr">
        <is>
          <t>BRÄCKE</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44328-2023</t>
        </is>
      </c>
      <c r="B1021" s="1" t="n">
        <v>45188.659375</v>
      </c>
      <c r="C1021" s="1" t="n">
        <v>45997</v>
      </c>
      <c r="D1021" t="inlineStr">
        <is>
          <t>JÄMTLANDS LÄN</t>
        </is>
      </c>
      <c r="E1021" t="inlineStr">
        <is>
          <t>BRÄCKE</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53047-2023</t>
        </is>
      </c>
      <c r="B1022" s="1" t="n">
        <v>45226.96398148148</v>
      </c>
      <c r="C1022" s="1" t="n">
        <v>45997</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10486-2025</t>
        </is>
      </c>
      <c r="B1023" s="1" t="n">
        <v>45721.34410879629</v>
      </c>
      <c r="C1023" s="1" t="n">
        <v>45997</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64643-2023</t>
        </is>
      </c>
      <c r="B1024" s="1" t="n">
        <v>45281</v>
      </c>
      <c r="C1024" s="1" t="n">
        <v>45997</v>
      </c>
      <c r="D1024" t="inlineStr">
        <is>
          <t>JÄMTLANDS LÄN</t>
        </is>
      </c>
      <c r="E1024" t="inlineStr">
        <is>
          <t>BRÄCKE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26302-2024</t>
        </is>
      </c>
      <c r="B1025" s="1" t="n">
        <v>45468.9328587963</v>
      </c>
      <c r="C1025" s="1" t="n">
        <v>45997</v>
      </c>
      <c r="D1025" t="inlineStr">
        <is>
          <t>JÄMTLANDS LÄN</t>
        </is>
      </c>
      <c r="E1025" t="inlineStr">
        <is>
          <t>BRÄCKE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47746-2024</t>
        </is>
      </c>
      <c r="B1026" s="1" t="n">
        <v>45588.53438657407</v>
      </c>
      <c r="C1026" s="1" t="n">
        <v>45997</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40094-2023</t>
        </is>
      </c>
      <c r="B1027" s="1" t="n">
        <v>45168</v>
      </c>
      <c r="C1027" s="1" t="n">
        <v>45997</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5536-2025</t>
        </is>
      </c>
      <c r="B1028" s="1" t="n">
        <v>45693.44846064815</v>
      </c>
      <c r="C1028" s="1" t="n">
        <v>45997</v>
      </c>
      <c r="D1028" t="inlineStr">
        <is>
          <t>JÄMTLANDS LÄN</t>
        </is>
      </c>
      <c r="E1028" t="inlineStr">
        <is>
          <t>BRÄCKE</t>
        </is>
      </c>
      <c r="F1028" t="inlineStr">
        <is>
          <t>SCA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5537-2025</t>
        </is>
      </c>
      <c r="B1029" s="1" t="n">
        <v>45693.44858796296</v>
      </c>
      <c r="C1029" s="1" t="n">
        <v>45997</v>
      </c>
      <c r="D1029" t="inlineStr">
        <is>
          <t>JÄMTLANDS LÄN</t>
        </is>
      </c>
      <c r="E1029" t="inlineStr">
        <is>
          <t>BRÄCKE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61149-2023</t>
        </is>
      </c>
      <c r="B1030" s="1" t="n">
        <v>45261.96777777778</v>
      </c>
      <c r="C1030" s="1" t="n">
        <v>45997</v>
      </c>
      <c r="D1030" t="inlineStr">
        <is>
          <t>JÄMTLANDS LÄN</t>
        </is>
      </c>
      <c r="E1030" t="inlineStr">
        <is>
          <t>BRÄCKE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10309-2023</t>
        </is>
      </c>
      <c r="B1031" s="1" t="n">
        <v>44986</v>
      </c>
      <c r="C1031" s="1" t="n">
        <v>45997</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54328-2023</t>
        </is>
      </c>
      <c r="B1032" s="1" t="n">
        <v>45232.95774305556</v>
      </c>
      <c r="C1032" s="1" t="n">
        <v>45997</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59369-2022</t>
        </is>
      </c>
      <c r="B1033" s="1" t="n">
        <v>44904.94859953703</v>
      </c>
      <c r="C1033" s="1" t="n">
        <v>45997</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30569-2024</t>
        </is>
      </c>
      <c r="B1034" s="1" t="n">
        <v>45492.95690972222</v>
      </c>
      <c r="C1034" s="1" t="n">
        <v>45997</v>
      </c>
      <c r="D1034" t="inlineStr">
        <is>
          <t>JÄMTLANDS LÄN</t>
        </is>
      </c>
      <c r="E1034" t="inlineStr">
        <is>
          <t>BRÄCKE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12891-2024</t>
        </is>
      </c>
      <c r="B1035" s="1" t="n">
        <v>45385</v>
      </c>
      <c r="C1035" s="1" t="n">
        <v>45997</v>
      </c>
      <c r="D1035" t="inlineStr">
        <is>
          <t>JÄMTLANDS LÄN</t>
        </is>
      </c>
      <c r="E1035" t="inlineStr">
        <is>
          <t>BRÄCKE</t>
        </is>
      </c>
      <c r="F1035" t="inlineStr">
        <is>
          <t>Kyrkan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23687-2022</t>
        </is>
      </c>
      <c r="B1036" s="1" t="n">
        <v>44721</v>
      </c>
      <c r="C1036" s="1" t="n">
        <v>45997</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39996-2024</t>
        </is>
      </c>
      <c r="B1037" s="1" t="n">
        <v>45553.63585648148</v>
      </c>
      <c r="C1037" s="1" t="n">
        <v>45997</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19386-2025</t>
        </is>
      </c>
      <c r="B1038" s="1" t="n">
        <v>45769.65719907408</v>
      </c>
      <c r="C1038" s="1" t="n">
        <v>45997</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54524-2022</t>
        </is>
      </c>
      <c r="B1039" s="1" t="n">
        <v>44882.74364583333</v>
      </c>
      <c r="C1039" s="1" t="n">
        <v>45997</v>
      </c>
      <c r="D1039" t="inlineStr">
        <is>
          <t>JÄMTLANDS LÄN</t>
        </is>
      </c>
      <c r="E1039" t="inlineStr">
        <is>
          <t>BRÄCKE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54600-2023</t>
        </is>
      </c>
      <c r="B1040" s="1" t="n">
        <v>45233.95663194444</v>
      </c>
      <c r="C1040" s="1" t="n">
        <v>45997</v>
      </c>
      <c r="D1040" t="inlineStr">
        <is>
          <t>JÄMTLANDS LÄN</t>
        </is>
      </c>
      <c r="E1040" t="inlineStr">
        <is>
          <t>BRÄCKE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47500-2023</t>
        </is>
      </c>
      <c r="B1041" s="1" t="n">
        <v>45202.9425</v>
      </c>
      <c r="C1041" s="1" t="n">
        <v>45997</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783-2025</t>
        </is>
      </c>
      <c r="B1042" s="1" t="n">
        <v>45665.49290509259</v>
      </c>
      <c r="C1042" s="1" t="n">
        <v>45997</v>
      </c>
      <c r="D1042" t="inlineStr">
        <is>
          <t>JÄMTLANDS LÄN</t>
        </is>
      </c>
      <c r="E1042" t="inlineStr">
        <is>
          <t>BRÄCKE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48419-2023</t>
        </is>
      </c>
      <c r="B1043" s="1" t="n">
        <v>45205</v>
      </c>
      <c r="C1043" s="1" t="n">
        <v>45997</v>
      </c>
      <c r="D1043" t="inlineStr">
        <is>
          <t>JÄMTLANDS LÄN</t>
        </is>
      </c>
      <c r="E1043" t="inlineStr">
        <is>
          <t>BRÄCKE</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45997</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29314-2021</t>
        </is>
      </c>
      <c r="B1045" s="1" t="n">
        <v>44361</v>
      </c>
      <c r="C1045" s="1" t="n">
        <v>45997</v>
      </c>
      <c r="D1045" t="inlineStr">
        <is>
          <t>JÄMTLANDS LÄN</t>
        </is>
      </c>
      <c r="E1045" t="inlineStr">
        <is>
          <t>BRÄCKE</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3179-2024</t>
        </is>
      </c>
      <c r="B1046" s="1" t="n">
        <v>45316</v>
      </c>
      <c r="C1046" s="1" t="n">
        <v>45997</v>
      </c>
      <c r="D1046" t="inlineStr">
        <is>
          <t>JÄMTLANDS LÄN</t>
        </is>
      </c>
      <c r="E1046" t="inlineStr">
        <is>
          <t>BRÄCKE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18047-2025</t>
        </is>
      </c>
      <c r="B1047" s="1" t="n">
        <v>45761.46606481481</v>
      </c>
      <c r="C1047" s="1" t="n">
        <v>45997</v>
      </c>
      <c r="D1047" t="inlineStr">
        <is>
          <t>JÄMTLANDS LÄN</t>
        </is>
      </c>
      <c r="E1047" t="inlineStr">
        <is>
          <t>BRÄCKE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38280-2021</t>
        </is>
      </c>
      <c r="B1048" s="1" t="n">
        <v>44405</v>
      </c>
      <c r="C1048" s="1" t="n">
        <v>45997</v>
      </c>
      <c r="D1048" t="inlineStr">
        <is>
          <t>JÄMTLANDS LÄN</t>
        </is>
      </c>
      <c r="E1048" t="inlineStr">
        <is>
          <t>BRÄCKE</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47486-2023</t>
        </is>
      </c>
      <c r="B1049" s="1" t="n">
        <v>45202.94155092593</v>
      </c>
      <c r="C1049" s="1" t="n">
        <v>45997</v>
      </c>
      <c r="D1049" t="inlineStr">
        <is>
          <t>JÄMTLANDS LÄN</t>
        </is>
      </c>
      <c r="E1049" t="inlineStr">
        <is>
          <t>BRÄCKE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47487-2023</t>
        </is>
      </c>
      <c r="B1050" s="1" t="n">
        <v>45202.94162037037</v>
      </c>
      <c r="C1050" s="1" t="n">
        <v>45997</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51441-2023</t>
        </is>
      </c>
      <c r="B1051" s="1" t="n">
        <v>45219</v>
      </c>
      <c r="C1051" s="1" t="n">
        <v>45997</v>
      </c>
      <c r="D1051" t="inlineStr">
        <is>
          <t>JÄMTLANDS LÄN</t>
        </is>
      </c>
      <c r="E1051" t="inlineStr">
        <is>
          <t>BRÄCKE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40765-2023</t>
        </is>
      </c>
      <c r="B1052" s="1" t="n">
        <v>45170</v>
      </c>
      <c r="C1052" s="1" t="n">
        <v>45997</v>
      </c>
      <c r="D1052" t="inlineStr">
        <is>
          <t>JÄMTLANDS LÄN</t>
        </is>
      </c>
      <c r="E1052" t="inlineStr">
        <is>
          <t>BRÄCKE</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50220-2023</t>
        </is>
      </c>
      <c r="B1053" s="1" t="n">
        <v>45215</v>
      </c>
      <c r="C1053" s="1" t="n">
        <v>45997</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3031-2023</t>
        </is>
      </c>
      <c r="B1054" s="1" t="n">
        <v>44945</v>
      </c>
      <c r="C1054" s="1" t="n">
        <v>45997</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3033-2023</t>
        </is>
      </c>
      <c r="B1055" s="1" t="n">
        <v>44945</v>
      </c>
      <c r="C1055" s="1" t="n">
        <v>45997</v>
      </c>
      <c r="D1055" t="inlineStr">
        <is>
          <t>JÄMTLANDS LÄN</t>
        </is>
      </c>
      <c r="E1055" t="inlineStr">
        <is>
          <t>BRÄCKE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3036-2023</t>
        </is>
      </c>
      <c r="B1056" s="1" t="n">
        <v>44945.94201388889</v>
      </c>
      <c r="C1056" s="1" t="n">
        <v>45997</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8422-2022</t>
        </is>
      </c>
      <c r="B1057" s="1" t="n">
        <v>44610</v>
      </c>
      <c r="C1057" s="1" t="n">
        <v>45997</v>
      </c>
      <c r="D1057" t="inlineStr">
        <is>
          <t>JÄMTLANDS LÄN</t>
        </is>
      </c>
      <c r="E1057" t="inlineStr">
        <is>
          <t>BRÄCKE</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48507-2023</t>
        </is>
      </c>
      <c r="B1058" s="1" t="n">
        <v>45207.94034722223</v>
      </c>
      <c r="C1058" s="1" t="n">
        <v>45997</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17420-2024</t>
        </is>
      </c>
      <c r="B1059" s="1" t="n">
        <v>45414.96395833333</v>
      </c>
      <c r="C1059" s="1" t="n">
        <v>45997</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55667-2023</t>
        </is>
      </c>
      <c r="B1060" s="1" t="n">
        <v>45238.96780092592</v>
      </c>
      <c r="C1060" s="1" t="n">
        <v>45997</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55668-2023</t>
        </is>
      </c>
      <c r="B1061" s="1" t="n">
        <v>45238</v>
      </c>
      <c r="C1061" s="1" t="n">
        <v>45997</v>
      </c>
      <c r="D1061" t="inlineStr">
        <is>
          <t>JÄMTLANDS LÄN</t>
        </is>
      </c>
      <c r="E1061" t="inlineStr">
        <is>
          <t>BRÄCKE</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64302-2023</t>
        </is>
      </c>
      <c r="B1062" s="1" t="n">
        <v>45280</v>
      </c>
      <c r="C1062" s="1" t="n">
        <v>45997</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59586-2023</t>
        </is>
      </c>
      <c r="B1063" s="1" t="n">
        <v>45254.61172453704</v>
      </c>
      <c r="C1063" s="1" t="n">
        <v>45997</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56047-2024</t>
        </is>
      </c>
      <c r="B1064" s="1" t="n">
        <v>45624.34450231482</v>
      </c>
      <c r="C1064" s="1" t="n">
        <v>45997</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60954-2023</t>
        </is>
      </c>
      <c r="B1065" s="1" t="n">
        <v>45261.45638888889</v>
      </c>
      <c r="C1065" s="1" t="n">
        <v>45997</v>
      </c>
      <c r="D1065" t="inlineStr">
        <is>
          <t>JÄMTLANDS LÄN</t>
        </is>
      </c>
      <c r="E1065" t="inlineStr">
        <is>
          <t>BRÄCKE</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57783-2023</t>
        </is>
      </c>
      <c r="B1066" s="1" t="n">
        <v>45246.96743055555</v>
      </c>
      <c r="C1066" s="1" t="n">
        <v>45997</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57798-2023</t>
        </is>
      </c>
      <c r="B1067" s="1" t="n">
        <v>45246.96893518518</v>
      </c>
      <c r="C1067" s="1" t="n">
        <v>45997</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29821-2022</t>
        </is>
      </c>
      <c r="B1068" s="1" t="n">
        <v>44755.94486111111</v>
      </c>
      <c r="C1068" s="1" t="n">
        <v>45997</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15243-2025</t>
        </is>
      </c>
      <c r="B1069" s="1" t="n">
        <v>45744.61537037037</v>
      </c>
      <c r="C1069" s="1" t="n">
        <v>45997</v>
      </c>
      <c r="D1069" t="inlineStr">
        <is>
          <t>JÄMTLANDS LÄN</t>
        </is>
      </c>
      <c r="E1069" t="inlineStr">
        <is>
          <t>BRÄCKE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10103-2025</t>
        </is>
      </c>
      <c r="B1070" s="1" t="n">
        <v>45719.57978009259</v>
      </c>
      <c r="C1070" s="1" t="n">
        <v>45997</v>
      </c>
      <c r="D1070" t="inlineStr">
        <is>
          <t>JÄMTLANDS LÄN</t>
        </is>
      </c>
      <c r="E1070" t="inlineStr">
        <is>
          <t>BRÄCKE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53522-2023</t>
        </is>
      </c>
      <c r="B1071" s="1" t="n">
        <v>45223</v>
      </c>
      <c r="C1071" s="1" t="n">
        <v>45997</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60666-2024</t>
        </is>
      </c>
      <c r="B1072" s="1" t="n">
        <v>45644.44833333333</v>
      </c>
      <c r="C1072" s="1" t="n">
        <v>45997</v>
      </c>
      <c r="D1072" t="inlineStr">
        <is>
          <t>JÄMTLANDS LÄN</t>
        </is>
      </c>
      <c r="E1072" t="inlineStr">
        <is>
          <t>BRÄCKE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58491-2024</t>
        </is>
      </c>
      <c r="B1073" s="1" t="n">
        <v>45635.40408564815</v>
      </c>
      <c r="C1073" s="1" t="n">
        <v>45997</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43789-2022</t>
        </is>
      </c>
      <c r="B1074" s="1" t="n">
        <v>44837</v>
      </c>
      <c r="C1074" s="1" t="n">
        <v>45997</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8853-2025</t>
        </is>
      </c>
      <c r="B1075" s="1" t="n">
        <v>45713.34482638889</v>
      </c>
      <c r="C1075" s="1" t="n">
        <v>45997</v>
      </c>
      <c r="D1075" t="inlineStr">
        <is>
          <t>JÄMTLANDS LÄN</t>
        </is>
      </c>
      <c r="E1075" t="inlineStr">
        <is>
          <t>BRÄCKE</t>
        </is>
      </c>
      <c r="F1075" t="inlineStr">
        <is>
          <t>SCA</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16466-2024</t>
        </is>
      </c>
      <c r="B1076" s="1" t="n">
        <v>45408.050625</v>
      </c>
      <c r="C1076" s="1" t="n">
        <v>45997</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13083-2025</t>
        </is>
      </c>
      <c r="B1077" s="1" t="n">
        <v>45734</v>
      </c>
      <c r="C1077" s="1" t="n">
        <v>45997</v>
      </c>
      <c r="D1077" t="inlineStr">
        <is>
          <t>JÄMTLANDS LÄN</t>
        </is>
      </c>
      <c r="E1077" t="inlineStr">
        <is>
          <t>BRÄCKE</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9706-2025</t>
        </is>
      </c>
      <c r="B1078" s="1" t="n">
        <v>45716.3858912037</v>
      </c>
      <c r="C1078" s="1" t="n">
        <v>45997</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44979.47976851852</v>
      </c>
      <c r="C1079" s="1" t="n">
        <v>45997</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35642-2025</t>
        </is>
      </c>
      <c r="B1080" s="1" t="n">
        <v>45859.48991898148</v>
      </c>
      <c r="C1080" s="1" t="n">
        <v>45997</v>
      </c>
      <c r="D1080" t="inlineStr">
        <is>
          <t>JÄMTLANDS LÄN</t>
        </is>
      </c>
      <c r="E1080" t="inlineStr">
        <is>
          <t>BRÄCKE</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35712-2025</t>
        </is>
      </c>
      <c r="B1081" s="1" t="n">
        <v>45860.40660879629</v>
      </c>
      <c r="C1081" s="1" t="n">
        <v>45997</v>
      </c>
      <c r="D1081" t="inlineStr">
        <is>
          <t>JÄMTLANDS LÄN</t>
        </is>
      </c>
      <c r="E1081" t="inlineStr">
        <is>
          <t>BRÄCKE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35731-2025</t>
        </is>
      </c>
      <c r="B1082" s="1" t="n">
        <v>45860.46923611111</v>
      </c>
      <c r="C1082" s="1" t="n">
        <v>45997</v>
      </c>
      <c r="D1082" t="inlineStr">
        <is>
          <t>JÄMTLANDS LÄN</t>
        </is>
      </c>
      <c r="E1082" t="inlineStr">
        <is>
          <t>BRÄCKE</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35668-2025</t>
        </is>
      </c>
      <c r="B1083" s="1" t="n">
        <v>45859.61552083334</v>
      </c>
      <c r="C1083" s="1" t="n">
        <v>45997</v>
      </c>
      <c r="D1083" t="inlineStr">
        <is>
          <t>JÄMTLANDS LÄN</t>
        </is>
      </c>
      <c r="E1083" t="inlineStr">
        <is>
          <t>BRÄCKE</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35880-2025</t>
        </is>
      </c>
      <c r="B1084" s="1" t="n">
        <v>45862.38334490741</v>
      </c>
      <c r="C1084" s="1" t="n">
        <v>45997</v>
      </c>
      <c r="D1084" t="inlineStr">
        <is>
          <t>JÄMTLANDS LÄN</t>
        </is>
      </c>
      <c r="E1084" t="inlineStr">
        <is>
          <t>BRÄCKE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18255-2025</t>
        </is>
      </c>
      <c r="B1085" s="1" t="n">
        <v>45762.3446412037</v>
      </c>
      <c r="C1085" s="1" t="n">
        <v>45997</v>
      </c>
      <c r="D1085" t="inlineStr">
        <is>
          <t>JÄMTLANDS LÄN</t>
        </is>
      </c>
      <c r="E1085" t="inlineStr">
        <is>
          <t>BRÄCKE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35879-2025</t>
        </is>
      </c>
      <c r="B1086" s="1" t="n">
        <v>45862.37929398148</v>
      </c>
      <c r="C1086" s="1" t="n">
        <v>45997</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35906-2025</t>
        </is>
      </c>
      <c r="B1087" s="1" t="n">
        <v>45862.51081018519</v>
      </c>
      <c r="C1087" s="1" t="n">
        <v>45997</v>
      </c>
      <c r="D1087" t="inlineStr">
        <is>
          <t>JÄMTLANDS LÄN</t>
        </is>
      </c>
      <c r="E1087" t="inlineStr">
        <is>
          <t>BRÄCKE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35908-2025</t>
        </is>
      </c>
      <c r="B1088" s="1" t="n">
        <v>45862.51113425926</v>
      </c>
      <c r="C1088" s="1" t="n">
        <v>45997</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38456-2025</t>
        </is>
      </c>
      <c r="B1089" s="1" t="n">
        <v>45883.69831018519</v>
      </c>
      <c r="C1089" s="1" t="n">
        <v>45997</v>
      </c>
      <c r="D1089" t="inlineStr">
        <is>
          <t>JÄMTLANDS LÄN</t>
        </is>
      </c>
      <c r="E1089" t="inlineStr">
        <is>
          <t>BRÄCKE</t>
        </is>
      </c>
      <c r="F1089" t="inlineStr">
        <is>
          <t>SCA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59932-2022</t>
        </is>
      </c>
      <c r="B1090" s="1" t="n">
        <v>44909.36262731482</v>
      </c>
      <c r="C1090" s="1" t="n">
        <v>45997</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36034-2025</t>
        </is>
      </c>
      <c r="B1091" s="1" t="n">
        <v>45865.64755787037</v>
      </c>
      <c r="C1091" s="1" t="n">
        <v>45997</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38333-2025</t>
        </is>
      </c>
      <c r="B1092" s="1" t="n">
        <v>45883.49164351852</v>
      </c>
      <c r="C1092" s="1" t="n">
        <v>45997</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38461-2025</t>
        </is>
      </c>
      <c r="B1093" s="1" t="n">
        <v>45883.71962962963</v>
      </c>
      <c r="C1093" s="1" t="n">
        <v>45997</v>
      </c>
      <c r="D1093" t="inlineStr">
        <is>
          <t>JÄMTLANDS LÄN</t>
        </is>
      </c>
      <c r="E1093" t="inlineStr">
        <is>
          <t>BRÄCKE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36169-2025</t>
        </is>
      </c>
      <c r="B1094" s="1" t="n">
        <v>45867.38596064815</v>
      </c>
      <c r="C1094" s="1" t="n">
        <v>45997</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45997</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36223-2025</t>
        </is>
      </c>
      <c r="B1096" s="1" t="n">
        <v>45867.51101851852</v>
      </c>
      <c r="C1096" s="1" t="n">
        <v>45997</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36222-2025</t>
        </is>
      </c>
      <c r="B1097" s="1" t="n">
        <v>45867.51087962963</v>
      </c>
      <c r="C1097" s="1" t="n">
        <v>45997</v>
      </c>
      <c r="D1097" t="inlineStr">
        <is>
          <t>JÄMTLANDS LÄN</t>
        </is>
      </c>
      <c r="E1097" t="inlineStr">
        <is>
          <t>BRÄCKE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36386-2025</t>
        </is>
      </c>
      <c r="B1098" s="1" t="n">
        <v>45868.59412037037</v>
      </c>
      <c r="C1098" s="1" t="n">
        <v>45997</v>
      </c>
      <c r="D1098" t="inlineStr">
        <is>
          <t>JÄMTLANDS LÄN</t>
        </is>
      </c>
      <c r="E1098" t="inlineStr">
        <is>
          <t>BRÄCKE</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38381-2025</t>
        </is>
      </c>
      <c r="B1099" s="1" t="n">
        <v>45883.57380787037</v>
      </c>
      <c r="C1099" s="1" t="n">
        <v>45997</v>
      </c>
      <c r="D1099" t="inlineStr">
        <is>
          <t>JÄMTLANDS LÄN</t>
        </is>
      </c>
      <c r="E1099" t="inlineStr">
        <is>
          <t>BRÄCKE</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38278-2025</t>
        </is>
      </c>
      <c r="B1100" s="1" t="n">
        <v>45883.41405092592</v>
      </c>
      <c r="C1100" s="1" t="n">
        <v>45997</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36534-2025</t>
        </is>
      </c>
      <c r="B1101" s="1" t="n">
        <v>45869.61495370371</v>
      </c>
      <c r="C1101" s="1" t="n">
        <v>45997</v>
      </c>
      <c r="D1101" t="inlineStr">
        <is>
          <t>JÄMTLANDS LÄN</t>
        </is>
      </c>
      <c r="E1101" t="inlineStr">
        <is>
          <t>BRÄCKE</t>
        </is>
      </c>
      <c r="F1101" t="inlineStr">
        <is>
          <t>SCA</t>
        </is>
      </c>
      <c r="G1101" t="n">
        <v>22.1</v>
      </c>
      <c r="H1101" t="n">
        <v>0</v>
      </c>
      <c r="I1101" t="n">
        <v>0</v>
      </c>
      <c r="J1101" t="n">
        <v>0</v>
      </c>
      <c r="K1101" t="n">
        <v>0</v>
      </c>
      <c r="L1101" t="n">
        <v>0</v>
      </c>
      <c r="M1101" t="n">
        <v>0</v>
      </c>
      <c r="N1101" t="n">
        <v>0</v>
      </c>
      <c r="O1101" t="n">
        <v>0</v>
      </c>
      <c r="P1101" t="n">
        <v>0</v>
      </c>
      <c r="Q1101" t="n">
        <v>0</v>
      </c>
      <c r="R1101" s="2" t="inlineStr"/>
    </row>
    <row r="1102" ht="15" customHeight="1">
      <c r="A1102" t="inlineStr">
        <is>
          <t>A 36507-2025</t>
        </is>
      </c>
      <c r="B1102" s="1" t="n">
        <v>45869.57335648148</v>
      </c>
      <c r="C1102" s="1" t="n">
        <v>45997</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36508-2025</t>
        </is>
      </c>
      <c r="B1103" s="1" t="n">
        <v>45869.57351851852</v>
      </c>
      <c r="C1103" s="1" t="n">
        <v>45997</v>
      </c>
      <c r="D1103" t="inlineStr">
        <is>
          <t>JÄMTLANDS LÄN</t>
        </is>
      </c>
      <c r="E1103" t="inlineStr">
        <is>
          <t>BRÄCKE</t>
        </is>
      </c>
      <c r="F1103" t="inlineStr">
        <is>
          <t>SCA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38123-2025</t>
        </is>
      </c>
      <c r="B1104" s="1" t="n">
        <v>45882.55259259259</v>
      </c>
      <c r="C1104" s="1" t="n">
        <v>45997</v>
      </c>
      <c r="D1104" t="inlineStr">
        <is>
          <t>JÄMTLANDS LÄN</t>
        </is>
      </c>
      <c r="E1104" t="inlineStr">
        <is>
          <t>BRÄCKE</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37959-2024</t>
        </is>
      </c>
      <c r="B1105" s="1" t="n">
        <v>45544.53870370371</v>
      </c>
      <c r="C1105" s="1" t="n">
        <v>45997</v>
      </c>
      <c r="D1105" t="inlineStr">
        <is>
          <t>JÄMTLANDS LÄN</t>
        </is>
      </c>
      <c r="E1105" t="inlineStr">
        <is>
          <t>BRÄCKE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48433-2023</t>
        </is>
      </c>
      <c r="B1106" s="1" t="n">
        <v>45205</v>
      </c>
      <c r="C1106" s="1" t="n">
        <v>45997</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38304-2025</t>
        </is>
      </c>
      <c r="B1107" s="1" t="n">
        <v>45883.46912037037</v>
      </c>
      <c r="C1107" s="1" t="n">
        <v>45997</v>
      </c>
      <c r="D1107" t="inlineStr">
        <is>
          <t>JÄMTLANDS LÄN</t>
        </is>
      </c>
      <c r="E1107" t="inlineStr">
        <is>
          <t>BRÄCKE</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36970-2025</t>
        </is>
      </c>
      <c r="B1108" s="1" t="n">
        <v>45874.63700231481</v>
      </c>
      <c r="C1108" s="1" t="n">
        <v>45997</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48473-2023</t>
        </is>
      </c>
      <c r="B1109" s="1" t="n">
        <v>45206.95770833334</v>
      </c>
      <c r="C1109" s="1" t="n">
        <v>45997</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57096-2024</t>
        </is>
      </c>
      <c r="B1110" s="1" t="n">
        <v>45629.35810185185</v>
      </c>
      <c r="C1110" s="1" t="n">
        <v>45997</v>
      </c>
      <c r="D1110" t="inlineStr">
        <is>
          <t>JÄMTLANDS LÄN</t>
        </is>
      </c>
      <c r="E1110" t="inlineStr">
        <is>
          <t>BRÄCKE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28135-2024</t>
        </is>
      </c>
      <c r="B1111" s="1" t="n">
        <v>45476</v>
      </c>
      <c r="C1111" s="1" t="n">
        <v>45997</v>
      </c>
      <c r="D1111" t="inlineStr">
        <is>
          <t>JÄMTLANDS LÄN</t>
        </is>
      </c>
      <c r="E1111" t="inlineStr">
        <is>
          <t>BRÄCKE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49043-2023</t>
        </is>
      </c>
      <c r="B1112" s="1" t="n">
        <v>45209.95743055556</v>
      </c>
      <c r="C1112" s="1" t="n">
        <v>45997</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38326-2025</t>
        </is>
      </c>
      <c r="B1113" s="1" t="n">
        <v>45883.49070601852</v>
      </c>
      <c r="C1113" s="1" t="n">
        <v>45997</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38328-2025</t>
        </is>
      </c>
      <c r="B1114" s="1" t="n">
        <v>45883.4909837963</v>
      </c>
      <c r="C1114" s="1" t="n">
        <v>45997</v>
      </c>
      <c r="D1114" t="inlineStr">
        <is>
          <t>JÄMTLANDS LÄN</t>
        </is>
      </c>
      <c r="E1114" t="inlineStr">
        <is>
          <t>BRÄCKE</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38358-2025</t>
        </is>
      </c>
      <c r="B1115" s="1" t="n">
        <v>45883.5327662037</v>
      </c>
      <c r="C1115" s="1" t="n">
        <v>45997</v>
      </c>
      <c r="D1115" t="inlineStr">
        <is>
          <t>JÄMTLANDS LÄN</t>
        </is>
      </c>
      <c r="E1115" t="inlineStr">
        <is>
          <t>BRÄCKE</t>
        </is>
      </c>
      <c r="F1115" t="inlineStr">
        <is>
          <t>SCA</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38361-2025</t>
        </is>
      </c>
      <c r="B1116" s="1" t="n">
        <v>45883.53303240741</v>
      </c>
      <c r="C1116" s="1" t="n">
        <v>45997</v>
      </c>
      <c r="D1116" t="inlineStr">
        <is>
          <t>JÄMTLANDS LÄN</t>
        </is>
      </c>
      <c r="E1116" t="inlineStr">
        <is>
          <t>BRÄCKE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38391-2025</t>
        </is>
      </c>
      <c r="B1117" s="1" t="n">
        <v>45883.57501157407</v>
      </c>
      <c r="C1117" s="1" t="n">
        <v>45997</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22940-2025</t>
        </is>
      </c>
      <c r="B1118" s="1" t="n">
        <v>45790.46918981482</v>
      </c>
      <c r="C1118" s="1" t="n">
        <v>45997</v>
      </c>
      <c r="D1118" t="inlineStr">
        <is>
          <t>JÄMTLANDS LÄN</t>
        </is>
      </c>
      <c r="E1118" t="inlineStr">
        <is>
          <t>BRÄCKE</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59047-2022</t>
        </is>
      </c>
      <c r="B1119" s="1" t="n">
        <v>44903.95328703704</v>
      </c>
      <c r="C1119" s="1" t="n">
        <v>45997</v>
      </c>
      <c r="D1119" t="inlineStr">
        <is>
          <t>JÄMTLANDS LÄN</t>
        </is>
      </c>
      <c r="E1119" t="inlineStr">
        <is>
          <t>BRÄCKE</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38324-2025</t>
        </is>
      </c>
      <c r="B1120" s="1" t="n">
        <v>45883.49037037037</v>
      </c>
      <c r="C1120" s="1" t="n">
        <v>45997</v>
      </c>
      <c r="D1120" t="inlineStr">
        <is>
          <t>JÄMTLANDS LÄN</t>
        </is>
      </c>
      <c r="E1120" t="inlineStr">
        <is>
          <t>BRÄCKE</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38329-2025</t>
        </is>
      </c>
      <c r="B1121" s="1" t="n">
        <v>45883.49111111111</v>
      </c>
      <c r="C1121" s="1" t="n">
        <v>45997</v>
      </c>
      <c r="D1121" t="inlineStr">
        <is>
          <t>JÄMTLANDS LÄN</t>
        </is>
      </c>
      <c r="E1121" t="inlineStr">
        <is>
          <t>BRÄCKE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37239-2023</t>
        </is>
      </c>
      <c r="B1122" s="1" t="n">
        <v>45155.95373842592</v>
      </c>
      <c r="C1122" s="1" t="n">
        <v>45997</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22670-2025</t>
        </is>
      </c>
      <c r="B1123" s="1" t="n">
        <v>45789.49024305555</v>
      </c>
      <c r="C1123" s="1" t="n">
        <v>45997</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37116-2025</t>
        </is>
      </c>
      <c r="B1124" s="1" t="n">
        <v>45875.51150462963</v>
      </c>
      <c r="C1124" s="1" t="n">
        <v>45997</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22958-2025</t>
        </is>
      </c>
      <c r="B1125" s="1" t="n">
        <v>45790.53184027778</v>
      </c>
      <c r="C1125" s="1" t="n">
        <v>45997</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37241-2025</t>
        </is>
      </c>
      <c r="B1126" s="1" t="n">
        <v>45876.38599537037</v>
      </c>
      <c r="C1126" s="1" t="n">
        <v>45997</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22957-2025</t>
        </is>
      </c>
      <c r="B1127" s="1" t="n">
        <v>45790.53179398148</v>
      </c>
      <c r="C1127" s="1" t="n">
        <v>45997</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22313-2025</t>
        </is>
      </c>
      <c r="B1128" s="1" t="n">
        <v>45786.38583333333</v>
      </c>
      <c r="C1128" s="1" t="n">
        <v>45997</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38352-2025</t>
        </is>
      </c>
      <c r="B1129" s="1" t="n">
        <v>45883.53186342592</v>
      </c>
      <c r="C1129" s="1" t="n">
        <v>45997</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38353-2025</t>
        </is>
      </c>
      <c r="B1130" s="1" t="n">
        <v>45883.53201388889</v>
      </c>
      <c r="C1130" s="1" t="n">
        <v>45997</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38378-2025</t>
        </is>
      </c>
      <c r="B1131" s="1" t="n">
        <v>45883.57368055556</v>
      </c>
      <c r="C1131" s="1" t="n">
        <v>45997</v>
      </c>
      <c r="D1131" t="inlineStr">
        <is>
          <t>JÄMTLANDS LÄN</t>
        </is>
      </c>
      <c r="E1131" t="inlineStr">
        <is>
          <t>BRÄCKE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38379-2025</t>
        </is>
      </c>
      <c r="B1132" s="1" t="n">
        <v>45883.57377314815</v>
      </c>
      <c r="C1132" s="1" t="n">
        <v>45997</v>
      </c>
      <c r="D1132" t="inlineStr">
        <is>
          <t>JÄMTLANDS LÄN</t>
        </is>
      </c>
      <c r="E1132" t="inlineStr">
        <is>
          <t>BRÄCKE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37117-2025</t>
        </is>
      </c>
      <c r="B1133" s="1" t="n">
        <v>45875.51163194444</v>
      </c>
      <c r="C1133" s="1" t="n">
        <v>45997</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38459-2025</t>
        </is>
      </c>
      <c r="B1134" s="1" t="n">
        <v>45883.71927083333</v>
      </c>
      <c r="C1134" s="1" t="n">
        <v>45997</v>
      </c>
      <c r="D1134" t="inlineStr">
        <is>
          <t>JÄMTLANDS LÄN</t>
        </is>
      </c>
      <c r="E1134" t="inlineStr">
        <is>
          <t>BRÄCKE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12601-2022</t>
        </is>
      </c>
      <c r="B1135" s="1" t="n">
        <v>44638</v>
      </c>
      <c r="C1135" s="1" t="n">
        <v>45997</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22772-2025</t>
        </is>
      </c>
      <c r="B1136" s="1" t="n">
        <v>45789.63618055556</v>
      </c>
      <c r="C1136" s="1" t="n">
        <v>45997</v>
      </c>
      <c r="D1136" t="inlineStr">
        <is>
          <t>JÄMTLANDS LÄN</t>
        </is>
      </c>
      <c r="E1136" t="inlineStr">
        <is>
          <t>BRÄCKE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22792-2025</t>
        </is>
      </c>
      <c r="B1137" s="1" t="n">
        <v>45789.65681712963</v>
      </c>
      <c r="C1137" s="1" t="n">
        <v>45997</v>
      </c>
      <c r="D1137" t="inlineStr">
        <is>
          <t>JÄMTLANDS LÄN</t>
        </is>
      </c>
      <c r="E1137" t="inlineStr">
        <is>
          <t>BRÄCKE</t>
        </is>
      </c>
      <c r="F1137" t="inlineStr">
        <is>
          <t>SCA</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15423-2025</t>
        </is>
      </c>
      <c r="B1138" s="1" t="n">
        <v>45747.4640162037</v>
      </c>
      <c r="C1138" s="1" t="n">
        <v>45997</v>
      </c>
      <c r="D1138" t="inlineStr">
        <is>
          <t>JÄMTLANDS LÄN</t>
        </is>
      </c>
      <c r="E1138" t="inlineStr">
        <is>
          <t>BRÄCKE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22652-2025</t>
        </is>
      </c>
      <c r="B1139" s="1" t="n">
        <v>45789.46920138889</v>
      </c>
      <c r="C1139" s="1" t="n">
        <v>45997</v>
      </c>
      <c r="D1139" t="inlineStr">
        <is>
          <t>JÄMTLANDS LÄN</t>
        </is>
      </c>
      <c r="E1139" t="inlineStr">
        <is>
          <t>BRÄCKE</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37185-2025</t>
        </is>
      </c>
      <c r="B1140" s="1" t="n">
        <v>45875.63608796296</v>
      </c>
      <c r="C1140" s="1" t="n">
        <v>45997</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30287-2024</t>
        </is>
      </c>
      <c r="B1141" s="1" t="n">
        <v>45490.6452199074</v>
      </c>
      <c r="C1141" s="1" t="n">
        <v>45997</v>
      </c>
      <c r="D1141" t="inlineStr">
        <is>
          <t>JÄMTLANDS LÄN</t>
        </is>
      </c>
      <c r="E1141" t="inlineStr">
        <is>
          <t>BRÄCKE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37074-2025</t>
        </is>
      </c>
      <c r="B1142" s="1" t="n">
        <v>45875.40717592592</v>
      </c>
      <c r="C1142" s="1" t="n">
        <v>45997</v>
      </c>
      <c r="D1142" t="inlineStr">
        <is>
          <t>JÄMTLANDS LÄN</t>
        </is>
      </c>
      <c r="E1142" t="inlineStr">
        <is>
          <t>BRÄCKE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37093-2025</t>
        </is>
      </c>
      <c r="B1143" s="1" t="n">
        <v>45875.46909722222</v>
      </c>
      <c r="C1143" s="1" t="n">
        <v>45997</v>
      </c>
      <c r="D1143" t="inlineStr">
        <is>
          <t>JÄMTLANDS LÄN</t>
        </is>
      </c>
      <c r="E1143" t="inlineStr">
        <is>
          <t>BRÄCKE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50609-2023</t>
        </is>
      </c>
      <c r="B1144" s="1" t="n">
        <v>45217</v>
      </c>
      <c r="C1144" s="1" t="n">
        <v>45997</v>
      </c>
      <c r="D1144" t="inlineStr">
        <is>
          <t>JÄMTLANDS LÄN</t>
        </is>
      </c>
      <c r="E1144" t="inlineStr">
        <is>
          <t>BRÄCKE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37412-2025</t>
        </is>
      </c>
      <c r="B1145" s="1" t="n">
        <v>45877.46915509259</v>
      </c>
      <c r="C1145" s="1" t="n">
        <v>45997</v>
      </c>
      <c r="D1145" t="inlineStr">
        <is>
          <t>JÄMTLANDS LÄN</t>
        </is>
      </c>
      <c r="E1145" t="inlineStr">
        <is>
          <t>BRÄCKE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20513-2024</t>
        </is>
      </c>
      <c r="B1146" s="1" t="n">
        <v>45435.94380787037</v>
      </c>
      <c r="C1146" s="1" t="n">
        <v>45997</v>
      </c>
      <c r="D1146" t="inlineStr">
        <is>
          <t>JÄMTLANDS LÄN</t>
        </is>
      </c>
      <c r="E1146" t="inlineStr">
        <is>
          <t>BRÄCKE</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22816-2025</t>
        </is>
      </c>
      <c r="B1147" s="1" t="n">
        <v>45789.69841435185</v>
      </c>
      <c r="C1147" s="1" t="n">
        <v>45997</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37403-2025</t>
        </is>
      </c>
      <c r="B1148" s="1" t="n">
        <v>45877.44828703703</v>
      </c>
      <c r="C1148" s="1" t="n">
        <v>45997</v>
      </c>
      <c r="D1148" t="inlineStr">
        <is>
          <t>JÄMTLANDS LÄN</t>
        </is>
      </c>
      <c r="E1148" t="inlineStr">
        <is>
          <t>BRÄCKE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37411-2025</t>
        </is>
      </c>
      <c r="B1149" s="1" t="n">
        <v>45877.46912037037</v>
      </c>
      <c r="C1149" s="1" t="n">
        <v>45997</v>
      </c>
      <c r="D1149" t="inlineStr">
        <is>
          <t>JÄMTLANDS LÄN</t>
        </is>
      </c>
      <c r="E1149" t="inlineStr">
        <is>
          <t>BRÄCKE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37459-2025</t>
        </is>
      </c>
      <c r="B1150" s="1" t="n">
        <v>45877.57327546296</v>
      </c>
      <c r="C1150" s="1" t="n">
        <v>45997</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37423-2025</t>
        </is>
      </c>
      <c r="B1151" s="1" t="n">
        <v>45877.48996527777</v>
      </c>
      <c r="C1151" s="1" t="n">
        <v>45997</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37938-2025</t>
        </is>
      </c>
      <c r="B1152" s="1" t="n">
        <v>45880</v>
      </c>
      <c r="C1152" s="1" t="n">
        <v>45997</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23211-2025</t>
        </is>
      </c>
      <c r="B1153" s="1" t="n">
        <v>45791.46956018519</v>
      </c>
      <c r="C1153" s="1" t="n">
        <v>45997</v>
      </c>
      <c r="D1153" t="inlineStr">
        <is>
          <t>JÄMTLANDS LÄN</t>
        </is>
      </c>
      <c r="E1153" t="inlineStr">
        <is>
          <t>BRÄCKE</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12864-2024</t>
        </is>
      </c>
      <c r="B1154" s="1" t="n">
        <v>45384.9415625</v>
      </c>
      <c r="C1154" s="1" t="n">
        <v>45997</v>
      </c>
      <c r="D1154" t="inlineStr">
        <is>
          <t>JÄMTLANDS LÄN</t>
        </is>
      </c>
      <c r="E1154" t="inlineStr">
        <is>
          <t>BRÄCKE</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23298-2025</t>
        </is>
      </c>
      <c r="B1155" s="1" t="n">
        <v>45791.59456018519</v>
      </c>
      <c r="C1155" s="1" t="n">
        <v>45997</v>
      </c>
      <c r="D1155" t="inlineStr">
        <is>
          <t>JÄMTLANDS LÄN</t>
        </is>
      </c>
      <c r="E1155" t="inlineStr">
        <is>
          <t>BRÄCKE</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23344-2025</t>
        </is>
      </c>
      <c r="B1156" s="1" t="n">
        <v>45791.65712962963</v>
      </c>
      <c r="C1156" s="1" t="n">
        <v>45997</v>
      </c>
      <c r="D1156" t="inlineStr">
        <is>
          <t>JÄMTLANDS LÄN</t>
        </is>
      </c>
      <c r="E1156" t="inlineStr">
        <is>
          <t>BRÄCKE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11093-2022</t>
        </is>
      </c>
      <c r="B1157" s="1" t="n">
        <v>44628</v>
      </c>
      <c r="C1157" s="1" t="n">
        <v>45997</v>
      </c>
      <c r="D1157" t="inlineStr">
        <is>
          <t>JÄMTLANDS LÄN</t>
        </is>
      </c>
      <c r="E1157" t="inlineStr">
        <is>
          <t>BRÄCKE</t>
        </is>
      </c>
      <c r="G1157" t="n">
        <v>16.4</v>
      </c>
      <c r="H1157" t="n">
        <v>0</v>
      </c>
      <c r="I1157" t="n">
        <v>0</v>
      </c>
      <c r="J1157" t="n">
        <v>0</v>
      </c>
      <c r="K1157" t="n">
        <v>0</v>
      </c>
      <c r="L1157" t="n">
        <v>0</v>
      </c>
      <c r="M1157" t="n">
        <v>0</v>
      </c>
      <c r="N1157" t="n">
        <v>0</v>
      </c>
      <c r="O1157" t="n">
        <v>0</v>
      </c>
      <c r="P1157" t="n">
        <v>0</v>
      </c>
      <c r="Q1157" t="n">
        <v>0</v>
      </c>
      <c r="R1157" s="2" t="inlineStr"/>
    </row>
    <row r="1158" ht="15" customHeight="1">
      <c r="A1158" t="inlineStr">
        <is>
          <t>A 37394-2025</t>
        </is>
      </c>
      <c r="B1158" s="1" t="n">
        <v>45877.4275462963</v>
      </c>
      <c r="C1158" s="1" t="n">
        <v>45997</v>
      </c>
      <c r="D1158" t="inlineStr">
        <is>
          <t>JÄMTLANDS LÄN</t>
        </is>
      </c>
      <c r="E1158" t="inlineStr">
        <is>
          <t>BRÄCKE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37709-2025</t>
        </is>
      </c>
      <c r="B1159" s="1" t="n">
        <v>45880.59458333333</v>
      </c>
      <c r="C1159" s="1" t="n">
        <v>45997</v>
      </c>
      <c r="D1159" t="inlineStr">
        <is>
          <t>JÄMTLANDS LÄN</t>
        </is>
      </c>
      <c r="E1159" t="inlineStr">
        <is>
          <t>BRÄCKE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37377-2025</t>
        </is>
      </c>
      <c r="B1160" s="1" t="n">
        <v>45877.3653125</v>
      </c>
      <c r="C1160" s="1" t="n">
        <v>45997</v>
      </c>
      <c r="D1160" t="inlineStr">
        <is>
          <t>JÄMTLANDS LÄN</t>
        </is>
      </c>
      <c r="E1160" t="inlineStr">
        <is>
          <t>BRÄCKE</t>
        </is>
      </c>
      <c r="F1160" t="inlineStr">
        <is>
          <t>SCA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37405-2025</t>
        </is>
      </c>
      <c r="B1161" s="1" t="n">
        <v>45877.44858796296</v>
      </c>
      <c r="C1161" s="1" t="n">
        <v>45997</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23363-2025</t>
        </is>
      </c>
      <c r="B1162" s="1" t="n">
        <v>45791.67775462963</v>
      </c>
      <c r="C1162" s="1" t="n">
        <v>45997</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37460-2025</t>
        </is>
      </c>
      <c r="B1163" s="1" t="n">
        <v>45877.57342592593</v>
      </c>
      <c r="C1163" s="1" t="n">
        <v>45997</v>
      </c>
      <c r="D1163" t="inlineStr">
        <is>
          <t>JÄMTLANDS LÄN</t>
        </is>
      </c>
      <c r="E1163" t="inlineStr">
        <is>
          <t>BRÄCKE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37824-2025</t>
        </is>
      </c>
      <c r="B1164" s="1" t="n">
        <v>45881.40686342592</v>
      </c>
      <c r="C1164" s="1" t="n">
        <v>45997</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37585-2025</t>
        </is>
      </c>
      <c r="B1165" s="1" t="n">
        <v>45880.40076388889</v>
      </c>
      <c r="C1165" s="1" t="n">
        <v>45997</v>
      </c>
      <c r="D1165" t="inlineStr">
        <is>
          <t>JÄMTLANDS LÄN</t>
        </is>
      </c>
      <c r="E1165" t="inlineStr">
        <is>
          <t>BRÄCKE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38241-2025</t>
        </is>
      </c>
      <c r="B1166" s="1" t="n">
        <v>45883.36541666667</v>
      </c>
      <c r="C1166" s="1" t="n">
        <v>45997</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38245-2025</t>
        </is>
      </c>
      <c r="B1167" s="1" t="n">
        <v>45883.36563657408</v>
      </c>
      <c r="C1167" s="1" t="n">
        <v>45997</v>
      </c>
      <c r="D1167" t="inlineStr">
        <is>
          <t>JÄMTLANDS LÄN</t>
        </is>
      </c>
      <c r="E1167" t="inlineStr">
        <is>
          <t>BRÄCKE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37464-2025</t>
        </is>
      </c>
      <c r="B1168" s="1" t="n">
        <v>45877.57395833333</v>
      </c>
      <c r="C1168" s="1" t="n">
        <v>45997</v>
      </c>
      <c r="D1168" t="inlineStr">
        <is>
          <t>JÄMTLANDS LÄN</t>
        </is>
      </c>
      <c r="E1168" t="inlineStr">
        <is>
          <t>BRÄCKE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1914-2025</t>
        </is>
      </c>
      <c r="B1169" s="1" t="n">
        <v>45671.65984953703</v>
      </c>
      <c r="C1169" s="1" t="n">
        <v>45997</v>
      </c>
      <c r="D1169" t="inlineStr">
        <is>
          <t>JÄMTLANDS LÄN</t>
        </is>
      </c>
      <c r="E1169" t="inlineStr">
        <is>
          <t>BRÄCKE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38025-2025</t>
        </is>
      </c>
      <c r="B1170" s="1" t="n">
        <v>45882.34527777778</v>
      </c>
      <c r="C1170" s="1" t="n">
        <v>45997</v>
      </c>
      <c r="D1170" t="inlineStr">
        <is>
          <t>JÄMTLANDS LÄN</t>
        </is>
      </c>
      <c r="E1170" t="inlineStr">
        <is>
          <t>BRÄCKE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39087-2025</t>
        </is>
      </c>
      <c r="B1171" s="1" t="n">
        <v>45888.49076388889</v>
      </c>
      <c r="C1171" s="1" t="n">
        <v>45997</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39100-2025</t>
        </is>
      </c>
      <c r="B1172" s="1" t="n">
        <v>45888.5108912037</v>
      </c>
      <c r="C1172" s="1" t="n">
        <v>45997</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37974-2025</t>
        </is>
      </c>
      <c r="B1173" s="1" t="n">
        <v>45881.67743055556</v>
      </c>
      <c r="C1173" s="1" t="n">
        <v>45997</v>
      </c>
      <c r="D1173" t="inlineStr">
        <is>
          <t>JÄMTLANDS LÄN</t>
        </is>
      </c>
      <c r="E1173" t="inlineStr">
        <is>
          <t>BRÄCKE</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38847-2025</t>
        </is>
      </c>
      <c r="B1174" s="1" t="n">
        <v>45887.54438657407</v>
      </c>
      <c r="C1174" s="1" t="n">
        <v>45997</v>
      </c>
      <c r="D1174" t="inlineStr">
        <is>
          <t>JÄMTLANDS LÄN</t>
        </is>
      </c>
      <c r="E1174" t="inlineStr">
        <is>
          <t>BRÄCKE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38095-2025</t>
        </is>
      </c>
      <c r="B1175" s="1" t="n">
        <v>45882.49050925926</v>
      </c>
      <c r="C1175" s="1" t="n">
        <v>45997</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38072-2025</t>
        </is>
      </c>
      <c r="B1176" s="1" t="n">
        <v>45882</v>
      </c>
      <c r="C1176" s="1" t="n">
        <v>45997</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37887-2025</t>
        </is>
      </c>
      <c r="B1177" s="1" t="n">
        <v>45881.51099537037</v>
      </c>
      <c r="C1177" s="1" t="n">
        <v>45997</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38811-2025</t>
        </is>
      </c>
      <c r="B1178" s="1" t="n">
        <v>45887.48994212963</v>
      </c>
      <c r="C1178" s="1" t="n">
        <v>45997</v>
      </c>
      <c r="D1178" t="inlineStr">
        <is>
          <t>JÄMTLANDS LÄN</t>
        </is>
      </c>
      <c r="E1178" t="inlineStr">
        <is>
          <t>BRÄCKE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38812-2025</t>
        </is>
      </c>
      <c r="B1179" s="1" t="n">
        <v>45887.49016203704</v>
      </c>
      <c r="C1179" s="1" t="n">
        <v>45997</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38835-2025</t>
        </is>
      </c>
      <c r="B1180" s="1" t="n">
        <v>45887.53195601852</v>
      </c>
      <c r="C1180" s="1" t="n">
        <v>45997</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38030-2025</t>
        </is>
      </c>
      <c r="B1181" s="1" t="n">
        <v>45882.36521990741</v>
      </c>
      <c r="C1181" s="1" t="n">
        <v>45997</v>
      </c>
      <c r="D1181" t="inlineStr">
        <is>
          <t>JÄMTLANDS LÄN</t>
        </is>
      </c>
      <c r="E1181" t="inlineStr">
        <is>
          <t>BRÄCKE</t>
        </is>
      </c>
      <c r="F1181" t="inlineStr">
        <is>
          <t>SCA</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39052-2025</t>
        </is>
      </c>
      <c r="B1182" s="1" t="n">
        <v>45888.44829861111</v>
      </c>
      <c r="C1182" s="1" t="n">
        <v>45997</v>
      </c>
      <c r="D1182" t="inlineStr">
        <is>
          <t>JÄMTLANDS LÄN</t>
        </is>
      </c>
      <c r="E1182" t="inlineStr">
        <is>
          <t>BRÄCKE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23491-2025</t>
        </is>
      </c>
      <c r="B1183" s="1" t="n">
        <v>45792.46924768519</v>
      </c>
      <c r="C1183" s="1" t="n">
        <v>45997</v>
      </c>
      <c r="D1183" t="inlineStr">
        <is>
          <t>JÄMTLANDS LÄN</t>
        </is>
      </c>
      <c r="E1183" t="inlineStr">
        <is>
          <t>BRÄCKE</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47550-2024</t>
        </is>
      </c>
      <c r="B1184" s="1" t="n">
        <v>45587.66041666667</v>
      </c>
      <c r="C1184" s="1" t="n">
        <v>45997</v>
      </c>
      <c r="D1184" t="inlineStr">
        <is>
          <t>JÄMTLANDS LÄN</t>
        </is>
      </c>
      <c r="E1184" t="inlineStr">
        <is>
          <t>BRÄCKE</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39086-2025</t>
        </is>
      </c>
      <c r="B1185" s="1" t="n">
        <v>45888.49046296296</v>
      </c>
      <c r="C1185" s="1" t="n">
        <v>45997</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38775-2025</t>
        </is>
      </c>
      <c r="B1186" s="1" t="n">
        <v>45887.42667824074</v>
      </c>
      <c r="C1186" s="1" t="n">
        <v>45997</v>
      </c>
      <c r="D1186" t="inlineStr">
        <is>
          <t>JÄMTLANDS LÄN</t>
        </is>
      </c>
      <c r="E1186" t="inlineStr">
        <is>
          <t>BRÄCKE</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38834-2025</t>
        </is>
      </c>
      <c r="B1187" s="1" t="n">
        <v>45887.53174768519</v>
      </c>
      <c r="C1187" s="1" t="n">
        <v>45997</v>
      </c>
      <c r="D1187" t="inlineStr">
        <is>
          <t>JÄMTLANDS LÄN</t>
        </is>
      </c>
      <c r="E1187" t="inlineStr">
        <is>
          <t>BRÄCKE</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38842-2025</t>
        </is>
      </c>
      <c r="B1188" s="1" t="n">
        <v>45887.54003472222</v>
      </c>
      <c r="C1188" s="1" t="n">
        <v>45997</v>
      </c>
      <c r="D1188" t="inlineStr">
        <is>
          <t>JÄMTLANDS LÄN</t>
        </is>
      </c>
      <c r="E1188" t="inlineStr">
        <is>
          <t>BRÄCKE</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39088-2025</t>
        </is>
      </c>
      <c r="B1189" s="1" t="n">
        <v>45888.49105324074</v>
      </c>
      <c r="C1189" s="1" t="n">
        <v>45997</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39117-2025</t>
        </is>
      </c>
      <c r="B1190" s="1" t="n">
        <v>45888.55275462963</v>
      </c>
      <c r="C1190" s="1" t="n">
        <v>45997</v>
      </c>
      <c r="D1190" t="inlineStr">
        <is>
          <t>JÄMTLANDS LÄN</t>
        </is>
      </c>
      <c r="E1190" t="inlineStr">
        <is>
          <t>BRÄCKE</t>
        </is>
      </c>
      <c r="F1190" t="inlineStr">
        <is>
          <t>SCA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47320-2025</t>
        </is>
      </c>
      <c r="B1191" s="1" t="n">
        <v>45930.55255787037</v>
      </c>
      <c r="C1191" s="1" t="n">
        <v>45997</v>
      </c>
      <c r="D1191" t="inlineStr">
        <is>
          <t>JÄMTLANDS LÄN</t>
        </is>
      </c>
      <c r="E1191" t="inlineStr">
        <is>
          <t>BRÄCKE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39344-2025</t>
        </is>
      </c>
      <c r="B1192" s="1" t="n">
        <v>45889.53175925926</v>
      </c>
      <c r="C1192" s="1" t="n">
        <v>45997</v>
      </c>
      <c r="D1192" t="inlineStr">
        <is>
          <t>JÄMTLANDS LÄN</t>
        </is>
      </c>
      <c r="E1192" t="inlineStr">
        <is>
          <t>BRÄCKE</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47235-2025</t>
        </is>
      </c>
      <c r="B1193" s="1" t="n">
        <v>45930.40729166667</v>
      </c>
      <c r="C1193" s="1" t="n">
        <v>45997</v>
      </c>
      <c r="D1193" t="inlineStr">
        <is>
          <t>JÄMTLANDS LÄN</t>
        </is>
      </c>
      <c r="E1193" t="inlineStr">
        <is>
          <t>BRÄCKE</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39532-2025</t>
        </is>
      </c>
      <c r="B1194" s="1" t="n">
        <v>45890.44847222222</v>
      </c>
      <c r="C1194" s="1" t="n">
        <v>45997</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39376-2025</t>
        </is>
      </c>
      <c r="B1195" s="1" t="n">
        <v>45889.59425925926</v>
      </c>
      <c r="C1195" s="1" t="n">
        <v>45997</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39487-2025</t>
        </is>
      </c>
      <c r="B1196" s="1" t="n">
        <v>45890.3650462963</v>
      </c>
      <c r="C1196" s="1" t="n">
        <v>45997</v>
      </c>
      <c r="D1196" t="inlineStr">
        <is>
          <t>JÄMTLANDS LÄN</t>
        </is>
      </c>
      <c r="E1196" t="inlineStr">
        <is>
          <t>BRÄCKE</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55654-2025</t>
        </is>
      </c>
      <c r="B1197" s="1" t="n">
        <v>45972.38594907407</v>
      </c>
      <c r="C1197" s="1" t="n">
        <v>45997</v>
      </c>
      <c r="D1197" t="inlineStr">
        <is>
          <t>JÄMTLANDS LÄN</t>
        </is>
      </c>
      <c r="E1197" t="inlineStr">
        <is>
          <t>BRÄCKE</t>
        </is>
      </c>
      <c r="F1197" t="inlineStr">
        <is>
          <t>SCA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47070-2025</t>
        </is>
      </c>
      <c r="B1198" s="1" t="n">
        <v>45929.63621527778</v>
      </c>
      <c r="C1198" s="1" t="n">
        <v>45997</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39506-2025</t>
        </is>
      </c>
      <c r="B1199" s="1" t="n">
        <v>45890.40703703704</v>
      </c>
      <c r="C1199" s="1" t="n">
        <v>45997</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v>
      </c>
      <c r="C1200" s="1" t="n">
        <v>45997</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11545-2025</t>
        </is>
      </c>
      <c r="B1201" s="1" t="n">
        <v>45727</v>
      </c>
      <c r="C1201" s="1" t="n">
        <v>45997</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45997</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9824-2025</t>
        </is>
      </c>
      <c r="B1203" s="1" t="n">
        <v>45716</v>
      </c>
      <c r="C1203" s="1" t="n">
        <v>45997</v>
      </c>
      <c r="D1203" t="inlineStr">
        <is>
          <t>JÄMTLANDS LÄN</t>
        </is>
      </c>
      <c r="E1203" t="inlineStr">
        <is>
          <t>BRÄCKE</t>
        </is>
      </c>
      <c r="F1203" t="inlineStr">
        <is>
          <t>SCA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39535-2025</t>
        </is>
      </c>
      <c r="B1204" s="1" t="n">
        <v>45890.44881944444</v>
      </c>
      <c r="C1204" s="1" t="n">
        <v>45997</v>
      </c>
      <c r="D1204" t="inlineStr">
        <is>
          <t>JÄMTLANDS LÄN</t>
        </is>
      </c>
      <c r="E1204" t="inlineStr">
        <is>
          <t>BRÄCKE</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47120-2025</t>
        </is>
      </c>
      <c r="B1205" s="1" t="n">
        <v>45929.67829861111</v>
      </c>
      <c r="C1205" s="1" t="n">
        <v>45997</v>
      </c>
      <c r="D1205" t="inlineStr">
        <is>
          <t>JÄMTLANDS LÄN</t>
        </is>
      </c>
      <c r="E1205" t="inlineStr">
        <is>
          <t>BRÄCKE</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39680-2025</t>
        </is>
      </c>
      <c r="B1206" s="1" t="n">
        <v>45890.65677083333</v>
      </c>
      <c r="C1206" s="1" t="n">
        <v>45997</v>
      </c>
      <c r="D1206" t="inlineStr">
        <is>
          <t>JÄMTLANDS LÄN</t>
        </is>
      </c>
      <c r="E1206" t="inlineStr">
        <is>
          <t>BRÄCKE</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11309-2025</t>
        </is>
      </c>
      <c r="B1207" s="1" t="n">
        <v>45726</v>
      </c>
      <c r="C1207" s="1" t="n">
        <v>45997</v>
      </c>
      <c r="D1207" t="inlineStr">
        <is>
          <t>JÄMTLANDS LÄN</t>
        </is>
      </c>
      <c r="E1207" t="inlineStr">
        <is>
          <t>BRÄCKE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39377-2025</t>
        </is>
      </c>
      <c r="B1208" s="1" t="n">
        <v>45889.59434027778</v>
      </c>
      <c r="C1208" s="1" t="n">
        <v>45997</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39273-2025</t>
        </is>
      </c>
      <c r="B1209" s="1" t="n">
        <v>45889.38655092593</v>
      </c>
      <c r="C1209" s="1" t="n">
        <v>45997</v>
      </c>
      <c r="D1209" t="inlineStr">
        <is>
          <t>JÄMTLANDS LÄN</t>
        </is>
      </c>
      <c r="E1209" t="inlineStr">
        <is>
          <t>BRÄCKE</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39385-2025</t>
        </is>
      </c>
      <c r="B1210" s="1" t="n">
        <v>45889.61550925926</v>
      </c>
      <c r="C1210" s="1" t="n">
        <v>45997</v>
      </c>
      <c r="D1210" t="inlineStr">
        <is>
          <t>JÄMTLANDS LÄN</t>
        </is>
      </c>
      <c r="E1210" t="inlineStr">
        <is>
          <t>BRÄCKE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39355-2025</t>
        </is>
      </c>
      <c r="B1211" s="1" t="n">
        <v>45889.55252314815</v>
      </c>
      <c r="C1211" s="1" t="n">
        <v>45997</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55382-2025</t>
        </is>
      </c>
      <c r="B1212" s="1" t="n">
        <v>45971.42909722222</v>
      </c>
      <c r="C1212" s="1" t="n">
        <v>45997</v>
      </c>
      <c r="D1212" t="inlineStr">
        <is>
          <t>JÄMTLANDS LÄN</t>
        </is>
      </c>
      <c r="E1212" t="inlineStr">
        <is>
          <t>BRÄCKE</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47474-2025</t>
        </is>
      </c>
      <c r="B1213" s="1" t="n">
        <v>45930.67776620371</v>
      </c>
      <c r="C1213" s="1" t="n">
        <v>45997</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55457-2025</t>
        </is>
      </c>
      <c r="B1214" s="1" t="n">
        <v>45971.51321759259</v>
      </c>
      <c r="C1214" s="1" t="n">
        <v>45997</v>
      </c>
      <c r="D1214" t="inlineStr">
        <is>
          <t>JÄMTLANDS LÄN</t>
        </is>
      </c>
      <c r="E1214" t="inlineStr">
        <is>
          <t>BRÄCKE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39505-2025</t>
        </is>
      </c>
      <c r="B1215" s="1" t="n">
        <v>45890.40689814815</v>
      </c>
      <c r="C1215" s="1" t="n">
        <v>45997</v>
      </c>
      <c r="D1215" t="inlineStr">
        <is>
          <t>JÄMTLANDS LÄN</t>
        </is>
      </c>
      <c r="E1215" t="inlineStr">
        <is>
          <t>BRÄCKE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55733-2025</t>
        </is>
      </c>
      <c r="B1216" s="1" t="n">
        <v>45972.55298611111</v>
      </c>
      <c r="C1216" s="1" t="n">
        <v>45997</v>
      </c>
      <c r="D1216" t="inlineStr">
        <is>
          <t>JÄMTLANDS LÄN</t>
        </is>
      </c>
      <c r="E1216" t="inlineStr">
        <is>
          <t>BRÄCKE</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39933-2025</t>
        </is>
      </c>
      <c r="B1217" s="1" t="n">
        <v>45891.71150462963</v>
      </c>
      <c r="C1217" s="1" t="n">
        <v>45997</v>
      </c>
      <c r="D1217" t="inlineStr">
        <is>
          <t>JÄMTLANDS LÄN</t>
        </is>
      </c>
      <c r="E1217" t="inlineStr">
        <is>
          <t>BRÄCKE</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23723-2025</t>
        </is>
      </c>
      <c r="B1218" s="1" t="n">
        <v>45793</v>
      </c>
      <c r="C1218" s="1" t="n">
        <v>45997</v>
      </c>
      <c r="D1218" t="inlineStr">
        <is>
          <t>JÄMTLANDS LÄN</t>
        </is>
      </c>
      <c r="E1218" t="inlineStr">
        <is>
          <t>BRÄCKE</t>
        </is>
      </c>
      <c r="F1218" t="inlineStr">
        <is>
          <t>SCA</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39767-2025</t>
        </is>
      </c>
      <c r="B1219" s="1" t="n">
        <v>45891.44828703703</v>
      </c>
      <c r="C1219" s="1" t="n">
        <v>45997</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47439-2025</t>
        </is>
      </c>
      <c r="B1220" s="1" t="n">
        <v>45930.63744212963</v>
      </c>
      <c r="C1220" s="1" t="n">
        <v>45997</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17097-2025</t>
        </is>
      </c>
      <c r="B1221" s="1" t="n">
        <v>45755</v>
      </c>
      <c r="C1221" s="1" t="n">
        <v>45997</v>
      </c>
      <c r="D1221" t="inlineStr">
        <is>
          <t>JÄMTLANDS LÄN</t>
        </is>
      </c>
      <c r="E1221" t="inlineStr">
        <is>
          <t>BRÄCKE</t>
        </is>
      </c>
      <c r="F1221" t="inlineStr">
        <is>
          <t>SCA</t>
        </is>
      </c>
      <c r="G1221" t="n">
        <v>29.9</v>
      </c>
      <c r="H1221" t="n">
        <v>0</v>
      </c>
      <c r="I1221" t="n">
        <v>0</v>
      </c>
      <c r="J1221" t="n">
        <v>0</v>
      </c>
      <c r="K1221" t="n">
        <v>0</v>
      </c>
      <c r="L1221" t="n">
        <v>0</v>
      </c>
      <c r="M1221" t="n">
        <v>0</v>
      </c>
      <c r="N1221" t="n">
        <v>0</v>
      </c>
      <c r="O1221" t="n">
        <v>0</v>
      </c>
      <c r="P1221" t="n">
        <v>0</v>
      </c>
      <c r="Q1221" t="n">
        <v>0</v>
      </c>
      <c r="R1221" s="2" t="inlineStr"/>
    </row>
    <row r="1222" ht="15" customHeight="1">
      <c r="A1222" t="inlineStr">
        <is>
          <t>A 55367-2025</t>
        </is>
      </c>
      <c r="B1222" s="1" t="n">
        <v>45971.41381944445</v>
      </c>
      <c r="C1222" s="1" t="n">
        <v>45997</v>
      </c>
      <c r="D1222" t="inlineStr">
        <is>
          <t>JÄMTLANDS LÄN</t>
        </is>
      </c>
      <c r="E1222" t="inlineStr">
        <is>
          <t>BRÄCKE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55388-2025</t>
        </is>
      </c>
      <c r="B1223" s="1" t="n">
        <v>45971.43935185186</v>
      </c>
      <c r="C1223" s="1" t="n">
        <v>45997</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47230-2025</t>
        </is>
      </c>
      <c r="B1224" s="1" t="n">
        <v>45930.40326388889</v>
      </c>
      <c r="C1224" s="1" t="n">
        <v>45997</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47318-2025</t>
        </is>
      </c>
      <c r="B1225" s="1" t="n">
        <v>45930.55251157407</v>
      </c>
      <c r="C1225" s="1" t="n">
        <v>45997</v>
      </c>
      <c r="D1225" t="inlineStr">
        <is>
          <t>JÄMTLANDS LÄN</t>
        </is>
      </c>
      <c r="E1225" t="inlineStr">
        <is>
          <t>BRÄCKE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39745-2025</t>
        </is>
      </c>
      <c r="B1226" s="1" t="n">
        <v>45891.38579861111</v>
      </c>
      <c r="C1226" s="1" t="n">
        <v>45997</v>
      </c>
      <c r="D1226" t="inlineStr">
        <is>
          <t>JÄMTLANDS LÄN</t>
        </is>
      </c>
      <c r="E1226" t="inlineStr">
        <is>
          <t>BRÄCKE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39901-2025</t>
        </is>
      </c>
      <c r="B1227" s="1" t="n">
        <v>45891.63577546296</v>
      </c>
      <c r="C1227" s="1" t="n">
        <v>45997</v>
      </c>
      <c r="D1227" t="inlineStr">
        <is>
          <t>JÄMTLANDS LÄN</t>
        </is>
      </c>
      <c r="E1227" t="inlineStr">
        <is>
          <t>BRÄCKE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55485-2025</t>
        </is>
      </c>
      <c r="B1228" s="1" t="n">
        <v>45971.5733912037</v>
      </c>
      <c r="C1228" s="1" t="n">
        <v>45997</v>
      </c>
      <c r="D1228" t="inlineStr">
        <is>
          <t>JÄMTLANDS LÄN</t>
        </is>
      </c>
      <c r="E1228" t="inlineStr">
        <is>
          <t>BRÄCKE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55524-2025</t>
        </is>
      </c>
      <c r="B1229" s="1" t="n">
        <v>45971.61523148148</v>
      </c>
      <c r="C1229" s="1" t="n">
        <v>45997</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55636-2025</t>
        </is>
      </c>
      <c r="B1230" s="1" t="n">
        <v>45972.345</v>
      </c>
      <c r="C1230" s="1" t="n">
        <v>45997</v>
      </c>
      <c r="D1230" t="inlineStr">
        <is>
          <t>JÄMTLANDS LÄN</t>
        </is>
      </c>
      <c r="E1230" t="inlineStr">
        <is>
          <t>BRÄCKE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46875-2025</t>
        </is>
      </c>
      <c r="B1231" s="1" t="n">
        <v>45929.34453703704</v>
      </c>
      <c r="C1231" s="1" t="n">
        <v>45997</v>
      </c>
      <c r="D1231" t="inlineStr">
        <is>
          <t>JÄMTLANDS LÄN</t>
        </is>
      </c>
      <c r="E1231" t="inlineStr">
        <is>
          <t>BRÄCKE</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47117-2025</t>
        </is>
      </c>
      <c r="B1232" s="1" t="n">
        <v>45929.67751157407</v>
      </c>
      <c r="C1232" s="1" t="n">
        <v>45997</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4914-2025</t>
        </is>
      </c>
      <c r="B1233" s="1" t="n">
        <v>45688.68173611111</v>
      </c>
      <c r="C1233" s="1" t="n">
        <v>45997</v>
      </c>
      <c r="D1233" t="inlineStr">
        <is>
          <t>JÄMTLANDS LÄN</t>
        </is>
      </c>
      <c r="E1233" t="inlineStr">
        <is>
          <t>BRÄCKE</t>
        </is>
      </c>
      <c r="F1233" t="inlineStr">
        <is>
          <t>SCA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5621-2025</t>
        </is>
      </c>
      <c r="B1234" s="1" t="n">
        <v>45693.6357175926</v>
      </c>
      <c r="C1234" s="1" t="n">
        <v>45997</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44855-2025</t>
        </is>
      </c>
      <c r="B1235" s="1" t="n">
        <v>45918</v>
      </c>
      <c r="C1235" s="1" t="n">
        <v>45997</v>
      </c>
      <c r="D1235" t="inlineStr">
        <is>
          <t>JÄMTLANDS LÄN</t>
        </is>
      </c>
      <c r="E1235" t="inlineStr">
        <is>
          <t>BRÄCKE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40411-2025</t>
        </is>
      </c>
      <c r="B1236" s="1" t="n">
        <v>45895.57373842593</v>
      </c>
      <c r="C1236" s="1" t="n">
        <v>45997</v>
      </c>
      <c r="D1236" t="inlineStr">
        <is>
          <t>JÄMTLANDS LÄN</t>
        </is>
      </c>
      <c r="E1236" t="inlineStr">
        <is>
          <t>BRÄCKE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40607-2025</t>
        </is>
      </c>
      <c r="B1237" s="1" t="n">
        <v>45896</v>
      </c>
      <c r="C1237" s="1" t="n">
        <v>45997</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40334-2025</t>
        </is>
      </c>
      <c r="B1238" s="1" t="n">
        <v>45895</v>
      </c>
      <c r="C1238" s="1" t="n">
        <v>45997</v>
      </c>
      <c r="D1238" t="inlineStr">
        <is>
          <t>JÄMTLANDS LÄN</t>
        </is>
      </c>
      <c r="E1238" t="inlineStr">
        <is>
          <t>BRÄCKE</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8739-2025</t>
        </is>
      </c>
      <c r="B1239" s="1" t="n">
        <v>45712.55239583334</v>
      </c>
      <c r="C1239" s="1" t="n">
        <v>45997</v>
      </c>
      <c r="D1239" t="inlineStr">
        <is>
          <t>JÄMTLANDS LÄN</t>
        </is>
      </c>
      <c r="E1239" t="inlineStr">
        <is>
          <t>BRÄCKE</t>
        </is>
      </c>
      <c r="F1239" t="inlineStr">
        <is>
          <t>SCA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31558-2024</t>
        </is>
      </c>
      <c r="B1240" s="1" t="n">
        <v>45505</v>
      </c>
      <c r="C1240" s="1" t="n">
        <v>45997</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47714-2025</t>
        </is>
      </c>
      <c r="B1241" s="1" t="n">
        <v>45931.61553240741</v>
      </c>
      <c r="C1241" s="1" t="n">
        <v>45997</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23458-2025</t>
        </is>
      </c>
      <c r="B1242" s="1" t="n">
        <v>45792.42756944444</v>
      </c>
      <c r="C1242" s="1" t="n">
        <v>45997</v>
      </c>
      <c r="D1242" t="inlineStr">
        <is>
          <t>JÄMTLANDS LÄN</t>
        </is>
      </c>
      <c r="E1242" t="inlineStr">
        <is>
          <t>BRÄCKE</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12900-2023</t>
        </is>
      </c>
      <c r="B1243" s="1" t="n">
        <v>45001</v>
      </c>
      <c r="C1243" s="1" t="n">
        <v>45997</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23583-2025</t>
        </is>
      </c>
      <c r="B1244" s="1" t="n">
        <v>45792.63043981481</v>
      </c>
      <c r="C1244" s="1" t="n">
        <v>45997</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56309-2025</t>
        </is>
      </c>
      <c r="B1245" s="1" t="n">
        <v>45974.61491898148</v>
      </c>
      <c r="C1245" s="1" t="n">
        <v>45997</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47873-2025</t>
        </is>
      </c>
      <c r="B1246" s="1" t="n">
        <v>45932.4528587963</v>
      </c>
      <c r="C1246" s="1" t="n">
        <v>45997</v>
      </c>
      <c r="D1246" t="inlineStr">
        <is>
          <t>JÄMTLANDS LÄN</t>
        </is>
      </c>
      <c r="E1246" t="inlineStr">
        <is>
          <t>BRÄCKE</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53169-2025</t>
        </is>
      </c>
      <c r="B1247" s="1" t="n">
        <v>45958.51101851852</v>
      </c>
      <c r="C1247" s="1" t="n">
        <v>45997</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47826-2025</t>
        </is>
      </c>
      <c r="B1248" s="1" t="n">
        <v>45932.34487268519</v>
      </c>
      <c r="C1248" s="1" t="n">
        <v>45997</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41236-2025</t>
        </is>
      </c>
      <c r="B1249" s="1" t="n">
        <v>45898.59565972222</v>
      </c>
      <c r="C1249" s="1" t="n">
        <v>45997</v>
      </c>
      <c r="D1249" t="inlineStr">
        <is>
          <t>JÄMTLANDS LÄN</t>
        </is>
      </c>
      <c r="E1249" t="inlineStr">
        <is>
          <t>BRÄCKE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41285-2025</t>
        </is>
      </c>
      <c r="B1250" s="1" t="n">
        <v>45898.63637731481</v>
      </c>
      <c r="C1250" s="1" t="n">
        <v>45997</v>
      </c>
      <c r="D1250" t="inlineStr">
        <is>
          <t>JÄMTLANDS LÄN</t>
        </is>
      </c>
      <c r="E1250" t="inlineStr">
        <is>
          <t>BRÄCKE</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40749-2025</t>
        </is>
      </c>
      <c r="B1251" s="1" t="n">
        <v>45897.38248842592</v>
      </c>
      <c r="C1251" s="1" t="n">
        <v>45997</v>
      </c>
      <c r="D1251" t="inlineStr">
        <is>
          <t>JÄMTLANDS LÄN</t>
        </is>
      </c>
      <c r="E1251" t="inlineStr">
        <is>
          <t>BRÄCKE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41297-2025</t>
        </is>
      </c>
      <c r="B1252" s="1" t="n">
        <v>45898.66872685185</v>
      </c>
      <c r="C1252" s="1" t="n">
        <v>45997</v>
      </c>
      <c r="D1252" t="inlineStr">
        <is>
          <t>JÄMTLANDS LÄN</t>
        </is>
      </c>
      <c r="E1252" t="inlineStr">
        <is>
          <t>BRÄCKE</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40793-2025</t>
        </is>
      </c>
      <c r="B1253" s="1" t="n">
        <v>45897.44868055556</v>
      </c>
      <c r="C1253" s="1" t="n">
        <v>45997</v>
      </c>
      <c r="D1253" t="inlineStr">
        <is>
          <t>JÄMTLANDS LÄN</t>
        </is>
      </c>
      <c r="E1253" t="inlineStr">
        <is>
          <t>BRÄCKE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40868-2025</t>
        </is>
      </c>
      <c r="B1254" s="1" t="n">
        <v>45897.57365740741</v>
      </c>
      <c r="C1254" s="1" t="n">
        <v>45997</v>
      </c>
      <c r="D1254" t="inlineStr">
        <is>
          <t>JÄMTLANDS LÄN</t>
        </is>
      </c>
      <c r="E1254" t="inlineStr">
        <is>
          <t>BRÄCKE</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40869-2025</t>
        </is>
      </c>
      <c r="B1255" s="1" t="n">
        <v>45897.57383101852</v>
      </c>
      <c r="C1255" s="1" t="n">
        <v>45997</v>
      </c>
      <c r="D1255" t="inlineStr">
        <is>
          <t>JÄMTLANDS LÄN</t>
        </is>
      </c>
      <c r="E1255" t="inlineStr">
        <is>
          <t>BRÄCKE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40809-2025</t>
        </is>
      </c>
      <c r="B1256" s="1" t="n">
        <v>45897.46936342592</v>
      </c>
      <c r="C1256" s="1" t="n">
        <v>45997</v>
      </c>
      <c r="D1256" t="inlineStr">
        <is>
          <t>JÄMTLANDS LÄN</t>
        </is>
      </c>
      <c r="E1256" t="inlineStr">
        <is>
          <t>BRÄCKE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40834-2025</t>
        </is>
      </c>
      <c r="B1257" s="1" t="n">
        <v>45897.51135416667</v>
      </c>
      <c r="C1257" s="1" t="n">
        <v>45997</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40843-2025</t>
        </is>
      </c>
      <c r="B1258" s="1" t="n">
        <v>45897.5321412037</v>
      </c>
      <c r="C1258" s="1" t="n">
        <v>45997</v>
      </c>
      <c r="D1258" t="inlineStr">
        <is>
          <t>JÄMTLANDS LÄN</t>
        </is>
      </c>
      <c r="E1258" t="inlineStr">
        <is>
          <t>BRÄCKE</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2245-2025</t>
        </is>
      </c>
      <c r="B1259" s="1" t="n">
        <v>45673.49019675926</v>
      </c>
      <c r="C1259" s="1" t="n">
        <v>45997</v>
      </c>
      <c r="D1259" t="inlineStr">
        <is>
          <t>JÄMTLANDS LÄN</t>
        </is>
      </c>
      <c r="E1259" t="inlineStr">
        <is>
          <t>BRÄCKE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41187-2025</t>
        </is>
      </c>
      <c r="B1260" s="1" t="n">
        <v>45898.56390046296</v>
      </c>
      <c r="C1260" s="1" t="n">
        <v>45997</v>
      </c>
      <c r="D1260" t="inlineStr">
        <is>
          <t>JÄMTLANDS LÄN</t>
        </is>
      </c>
      <c r="E1260" t="inlineStr">
        <is>
          <t>BRÄCKE</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2774-2025</t>
        </is>
      </c>
      <c r="B1261" s="1" t="n">
        <v>45677.51086805556</v>
      </c>
      <c r="C1261" s="1" t="n">
        <v>45997</v>
      </c>
      <c r="D1261" t="inlineStr">
        <is>
          <t>JÄMTLANDS LÄN</t>
        </is>
      </c>
      <c r="E1261" t="inlineStr">
        <is>
          <t>BRÄCKE</t>
        </is>
      </c>
      <c r="F1261" t="inlineStr">
        <is>
          <t>SCA</t>
        </is>
      </c>
      <c r="G1261" t="n">
        <v>11.4</v>
      </c>
      <c r="H1261" t="n">
        <v>0</v>
      </c>
      <c r="I1261" t="n">
        <v>0</v>
      </c>
      <c r="J1261" t="n">
        <v>0</v>
      </c>
      <c r="K1261" t="n">
        <v>0</v>
      </c>
      <c r="L1261" t="n">
        <v>0</v>
      </c>
      <c r="M1261" t="n">
        <v>0</v>
      </c>
      <c r="N1261" t="n">
        <v>0</v>
      </c>
      <c r="O1261" t="n">
        <v>0</v>
      </c>
      <c r="P1261" t="n">
        <v>0</v>
      </c>
      <c r="Q1261" t="n">
        <v>0</v>
      </c>
      <c r="R1261" s="2" t="inlineStr"/>
      <c r="U1261">
        <f>HYPERLINK("https://klasma.github.io/Logging_2305/knärot/A 2774-2025 karta knärot.png", "A 2774-2025")</f>
        <v/>
      </c>
      <c r="V1261">
        <f>HYPERLINK("https://klasma.github.io/Logging_2305/klagomål/A 2774-2025 FSC-klagomål.docx", "A 2774-2025")</f>
        <v/>
      </c>
      <c r="W1261">
        <f>HYPERLINK("https://klasma.github.io/Logging_2305/klagomålsmail/A 2774-2025 FSC-klagomål mail.docx", "A 2774-2025")</f>
        <v/>
      </c>
      <c r="X1261">
        <f>HYPERLINK("https://klasma.github.io/Logging_2305/tillsyn/A 2774-2025 tillsynsbegäran.docx", "A 2774-2025")</f>
        <v/>
      </c>
      <c r="Y1261">
        <f>HYPERLINK("https://klasma.github.io/Logging_2305/tillsynsmail/A 2774-2025 tillsynsbegäran mail.docx", "A 2774-2025")</f>
        <v/>
      </c>
    </row>
    <row r="1262" ht="15" customHeight="1">
      <c r="A1262" t="inlineStr">
        <is>
          <t>A 5618-2025</t>
        </is>
      </c>
      <c r="B1262" s="1" t="n">
        <v>45693.61509259259</v>
      </c>
      <c r="C1262" s="1" t="n">
        <v>45997</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54986-2023</t>
        </is>
      </c>
      <c r="B1263" s="1" t="n">
        <v>45236.96729166667</v>
      </c>
      <c r="C1263" s="1" t="n">
        <v>45997</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31526-2024</t>
        </is>
      </c>
      <c r="B1264" s="1" t="n">
        <v>45505.95956018518</v>
      </c>
      <c r="C1264" s="1" t="n">
        <v>45997</v>
      </c>
      <c r="D1264" t="inlineStr">
        <is>
          <t>JÄMTLANDS LÄN</t>
        </is>
      </c>
      <c r="E1264" t="inlineStr">
        <is>
          <t>BRÄCKE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41196-2025</t>
        </is>
      </c>
      <c r="B1265" s="1" t="n">
        <v>45898.57332175926</v>
      </c>
      <c r="C1265" s="1" t="n">
        <v>45997</v>
      </c>
      <c r="D1265" t="inlineStr">
        <is>
          <t>JÄMTLANDS LÄN</t>
        </is>
      </c>
      <c r="E1265" t="inlineStr">
        <is>
          <t>BRÄCKE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40900-2025</t>
        </is>
      </c>
      <c r="B1266" s="1" t="n">
        <v>45897.61546296296</v>
      </c>
      <c r="C1266" s="1" t="n">
        <v>45997</v>
      </c>
      <c r="D1266" t="inlineStr">
        <is>
          <t>JÄMTLANDS LÄN</t>
        </is>
      </c>
      <c r="E1266" t="inlineStr">
        <is>
          <t>BRÄCKE</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45691-2022</t>
        </is>
      </c>
      <c r="B1267" s="1" t="n">
        <v>44845.95319444445</v>
      </c>
      <c r="C1267" s="1" t="n">
        <v>45997</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46623-2022</t>
        </is>
      </c>
      <c r="B1268" s="1" t="n">
        <v>44848.95137731481</v>
      </c>
      <c r="C1268" s="1" t="n">
        <v>45997</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41193-2025</t>
        </is>
      </c>
      <c r="B1269" s="1" t="n">
        <v>45898.56891203704</v>
      </c>
      <c r="C1269" s="1" t="n">
        <v>45997</v>
      </c>
      <c r="D1269" t="inlineStr">
        <is>
          <t>JÄMTLANDS LÄN</t>
        </is>
      </c>
      <c r="E1269" t="inlineStr">
        <is>
          <t>BRÄCKE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48067-2025</t>
        </is>
      </c>
      <c r="B1270" s="1" t="n">
        <v>45932.69829861111</v>
      </c>
      <c r="C1270" s="1" t="n">
        <v>45997</v>
      </c>
      <c r="D1270" t="inlineStr">
        <is>
          <t>JÄMTLANDS LÄN</t>
        </is>
      </c>
      <c r="E1270" t="inlineStr">
        <is>
          <t>BRÄCKE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9970-2025</t>
        </is>
      </c>
      <c r="B1271" s="1" t="n">
        <v>45719.38614583333</v>
      </c>
      <c r="C1271" s="1" t="n">
        <v>45997</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41049-2025</t>
        </is>
      </c>
      <c r="B1272" s="1" t="n">
        <v>45898.40252314815</v>
      </c>
      <c r="C1272" s="1" t="n">
        <v>45997</v>
      </c>
      <c r="D1272" t="inlineStr">
        <is>
          <t>JÄMTLANDS LÄN</t>
        </is>
      </c>
      <c r="E1272" t="inlineStr">
        <is>
          <t>BRÄCKE</t>
        </is>
      </c>
      <c r="F1272" t="inlineStr">
        <is>
          <t>Övriga Aktiebolag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55905-2025</t>
        </is>
      </c>
      <c r="B1273" s="1" t="n">
        <v>45973.39108796296</v>
      </c>
      <c r="C1273" s="1" t="n">
        <v>45997</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40757-2025</t>
        </is>
      </c>
      <c r="B1274" s="1" t="n">
        <v>45897.39034722222</v>
      </c>
      <c r="C1274" s="1" t="n">
        <v>45997</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41060-2025</t>
        </is>
      </c>
      <c r="B1275" s="1" t="n">
        <v>45898.4071875</v>
      </c>
      <c r="C1275" s="1" t="n">
        <v>45997</v>
      </c>
      <c r="D1275" t="inlineStr">
        <is>
          <t>JÄMTLANDS LÄN</t>
        </is>
      </c>
      <c r="E1275" t="inlineStr">
        <is>
          <t>BRÄCKE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40871-2025</t>
        </is>
      </c>
      <c r="B1276" s="1" t="n">
        <v>45897.57418981481</v>
      </c>
      <c r="C1276" s="1" t="n">
        <v>45997</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40832-2025</t>
        </is>
      </c>
      <c r="B1277" s="1" t="n">
        <v>45897.51096064815</v>
      </c>
      <c r="C1277" s="1" t="n">
        <v>45997</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55880-2025</t>
        </is>
      </c>
      <c r="B1278" s="1" t="n">
        <v>45973.36510416667</v>
      </c>
      <c r="C1278" s="1" t="n">
        <v>45997</v>
      </c>
      <c r="D1278" t="inlineStr">
        <is>
          <t>JÄMTLANDS LÄN</t>
        </is>
      </c>
      <c r="E1278" t="inlineStr">
        <is>
          <t>BRÄCKE</t>
        </is>
      </c>
      <c r="F1278" t="inlineStr">
        <is>
          <t>SCA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40903-2025</t>
        </is>
      </c>
      <c r="B1279" s="1" t="n">
        <v>45897.61609953704</v>
      </c>
      <c r="C1279" s="1" t="n">
        <v>45997</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41094-2025</t>
        </is>
      </c>
      <c r="B1280" s="1" t="n">
        <v>45898.44246527777</v>
      </c>
      <c r="C1280" s="1" t="n">
        <v>45997</v>
      </c>
      <c r="D1280" t="inlineStr">
        <is>
          <t>JÄMTLANDS LÄN</t>
        </is>
      </c>
      <c r="E1280" t="inlineStr">
        <is>
          <t>BRÄCKE</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41195-2025</t>
        </is>
      </c>
      <c r="B1281" s="1" t="n">
        <v>45898.57331018519</v>
      </c>
      <c r="C1281" s="1" t="n">
        <v>45997</v>
      </c>
      <c r="D1281" t="inlineStr">
        <is>
          <t>JÄMTLANDS LÄN</t>
        </is>
      </c>
      <c r="E1281" t="inlineStr">
        <is>
          <t>BRÄCKE</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41257-2025</t>
        </is>
      </c>
      <c r="B1282" s="1" t="n">
        <v>45898.6084375</v>
      </c>
      <c r="C1282" s="1" t="n">
        <v>45997</v>
      </c>
      <c r="D1282" t="inlineStr">
        <is>
          <t>JÄMTLANDS LÄN</t>
        </is>
      </c>
      <c r="E1282" t="inlineStr">
        <is>
          <t>BRÄCKE</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41026-2025</t>
        </is>
      </c>
      <c r="B1283" s="1" t="n">
        <v>45898.36888888889</v>
      </c>
      <c r="C1283" s="1" t="n">
        <v>45997</v>
      </c>
      <c r="D1283" t="inlineStr">
        <is>
          <t>JÄMTLANDS LÄN</t>
        </is>
      </c>
      <c r="E1283" t="inlineStr">
        <is>
          <t>BRÄCKE</t>
        </is>
      </c>
      <c r="F1283" t="inlineStr">
        <is>
          <t>Övriga Aktiebolag</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24588-2025</t>
        </is>
      </c>
      <c r="B1284" s="1" t="n">
        <v>45798.53157407408</v>
      </c>
      <c r="C1284" s="1" t="n">
        <v>45997</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40748-2025</t>
        </is>
      </c>
      <c r="B1285" s="1" t="n">
        <v>45897.38009259259</v>
      </c>
      <c r="C1285" s="1" t="n">
        <v>45997</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40908-2025</t>
        </is>
      </c>
      <c r="B1286" s="1" t="n">
        <v>45897.61657407408</v>
      </c>
      <c r="C1286" s="1" t="n">
        <v>45997</v>
      </c>
      <c r="D1286" t="inlineStr">
        <is>
          <t>JÄMTLANDS LÄN</t>
        </is>
      </c>
      <c r="E1286" t="inlineStr">
        <is>
          <t>BRÄCKE</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40959-2025</t>
        </is>
      </c>
      <c r="B1287" s="1" t="n">
        <v>45897.67890046296</v>
      </c>
      <c r="C1287" s="1" t="n">
        <v>45997</v>
      </c>
      <c r="D1287" t="inlineStr">
        <is>
          <t>JÄMTLANDS LÄN</t>
        </is>
      </c>
      <c r="E1287" t="inlineStr">
        <is>
          <t>BRÄCKE</t>
        </is>
      </c>
      <c r="F1287" t="inlineStr">
        <is>
          <t>Naturvårdsverket</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27197-2025</t>
        </is>
      </c>
      <c r="B1288" s="1" t="n">
        <v>45812.38596064815</v>
      </c>
      <c r="C1288" s="1" t="n">
        <v>45997</v>
      </c>
      <c r="D1288" t="inlineStr">
        <is>
          <t>JÄMTLANDS LÄN</t>
        </is>
      </c>
      <c r="E1288" t="inlineStr">
        <is>
          <t>BRÄCKE</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53168-2025</t>
        </is>
      </c>
      <c r="B1289" s="1" t="n">
        <v>45958.51083333333</v>
      </c>
      <c r="C1289" s="1" t="n">
        <v>45997</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47868-2025</t>
        </is>
      </c>
      <c r="B1290" s="1" t="n">
        <v>45932.44094907407</v>
      </c>
      <c r="C1290" s="1" t="n">
        <v>45997</v>
      </c>
      <c r="D1290" t="inlineStr">
        <is>
          <t>JÄMTLANDS LÄN</t>
        </is>
      </c>
      <c r="E1290" t="inlineStr">
        <is>
          <t>BRÄCKE</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41510-2025</t>
        </is>
      </c>
      <c r="B1291" s="1" t="n">
        <v>45901.53417824074</v>
      </c>
      <c r="C1291" s="1" t="n">
        <v>45997</v>
      </c>
      <c r="D1291" t="inlineStr">
        <is>
          <t>JÄMTLANDS LÄN</t>
        </is>
      </c>
      <c r="E1291" t="inlineStr">
        <is>
          <t>BRÄCKE</t>
        </is>
      </c>
      <c r="F1291" t="inlineStr">
        <is>
          <t>Övriga Aktiebolag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48706-2025</t>
        </is>
      </c>
      <c r="B1292" s="1" t="n">
        <v>45936.62423611111</v>
      </c>
      <c r="C1292" s="1" t="n">
        <v>45997</v>
      </c>
      <c r="D1292" t="inlineStr">
        <is>
          <t>JÄMTLANDS LÄN</t>
        </is>
      </c>
      <c r="E1292" t="inlineStr">
        <is>
          <t>BRÄCKE</t>
        </is>
      </c>
      <c r="F1292" t="inlineStr">
        <is>
          <t>Övriga Aktiebolag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41503-2025</t>
        </is>
      </c>
      <c r="B1293" s="1" t="n">
        <v>45901.51952546297</v>
      </c>
      <c r="C1293" s="1" t="n">
        <v>45997</v>
      </c>
      <c r="D1293" t="inlineStr">
        <is>
          <t>JÄMTLANDS LÄN</t>
        </is>
      </c>
      <c r="E1293" t="inlineStr">
        <is>
          <t>BRÄCKE</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41368-2025</t>
        </is>
      </c>
      <c r="B1294" s="1" t="n">
        <v>45900.5678125</v>
      </c>
      <c r="C1294" s="1" t="n">
        <v>45997</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41344-2025</t>
        </is>
      </c>
      <c r="B1295" s="1" t="n">
        <v>45899.46899305555</v>
      </c>
      <c r="C1295" s="1" t="n">
        <v>45997</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41367-2025</t>
        </is>
      </c>
      <c r="B1296" s="1" t="n">
        <v>45900.55118055556</v>
      </c>
      <c r="C1296" s="1" t="n">
        <v>45997</v>
      </c>
      <c r="D1296" t="inlineStr">
        <is>
          <t>JÄMTLANDS LÄN</t>
        </is>
      </c>
      <c r="E1296" t="inlineStr">
        <is>
          <t>BRÄCKE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41345-2025</t>
        </is>
      </c>
      <c r="B1297" s="1" t="n">
        <v>45899.46903935185</v>
      </c>
      <c r="C1297" s="1" t="n">
        <v>45997</v>
      </c>
      <c r="D1297" t="inlineStr">
        <is>
          <t>JÄMTLANDS LÄN</t>
        </is>
      </c>
      <c r="E1297" t="inlineStr">
        <is>
          <t>BRÄCKE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41526-2025</t>
        </is>
      </c>
      <c r="B1298" s="1" t="n">
        <v>45901.5528587963</v>
      </c>
      <c r="C1298" s="1" t="n">
        <v>45997</v>
      </c>
      <c r="D1298" t="inlineStr">
        <is>
          <t>JÄMTLANDS LÄN</t>
        </is>
      </c>
      <c r="E1298" t="inlineStr">
        <is>
          <t>BRÄCKE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41600-2025</t>
        </is>
      </c>
      <c r="B1299" s="1" t="n">
        <v>45901.65686342592</v>
      </c>
      <c r="C1299" s="1" t="n">
        <v>45997</v>
      </c>
      <c r="D1299" t="inlineStr">
        <is>
          <t>JÄMTLANDS LÄN</t>
        </is>
      </c>
      <c r="E1299" t="inlineStr">
        <is>
          <t>BRÄCKE</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42312-2025</t>
        </is>
      </c>
      <c r="B1300" s="1" t="n">
        <v>45904.65673611111</v>
      </c>
      <c r="C1300" s="1" t="n">
        <v>45997</v>
      </c>
      <c r="D1300" t="inlineStr">
        <is>
          <t>JÄMTLANDS LÄN</t>
        </is>
      </c>
      <c r="E1300" t="inlineStr">
        <is>
          <t>BRÄCKE</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56807-2025</t>
        </is>
      </c>
      <c r="B1301" s="1" t="n">
        <v>45978.44863425926</v>
      </c>
      <c r="C1301" s="1" t="n">
        <v>45997</v>
      </c>
      <c r="D1301" t="inlineStr">
        <is>
          <t>JÄMTLANDS LÄN</t>
        </is>
      </c>
      <c r="E1301" t="inlineStr">
        <is>
          <t>BRÄCKE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42131-2025</t>
        </is>
      </c>
      <c r="B1302" s="1" t="n">
        <v>45904.34542824074</v>
      </c>
      <c r="C1302" s="1" t="n">
        <v>45997</v>
      </c>
      <c r="D1302" t="inlineStr">
        <is>
          <t>JÄMTLANDS LÄN</t>
        </is>
      </c>
      <c r="E1302" t="inlineStr">
        <is>
          <t>BRÄCKE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56739-2025</t>
        </is>
      </c>
      <c r="B1303" s="1" t="n">
        <v>45978.34491898148</v>
      </c>
      <c r="C1303" s="1" t="n">
        <v>45997</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42123-2025</t>
        </is>
      </c>
      <c r="B1304" s="1" t="n">
        <v>45904.34429398148</v>
      </c>
      <c r="C1304" s="1" t="n">
        <v>45997</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42128-2025</t>
        </is>
      </c>
      <c r="B1305" s="1" t="n">
        <v>45904.34517361111</v>
      </c>
      <c r="C1305" s="1" t="n">
        <v>45997</v>
      </c>
      <c r="D1305" t="inlineStr">
        <is>
          <t>JÄMTLANDS LÄN</t>
        </is>
      </c>
      <c r="E1305" t="inlineStr">
        <is>
          <t>BRÄCKE</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42130-2025</t>
        </is>
      </c>
      <c r="B1306" s="1" t="n">
        <v>45904.34540509259</v>
      </c>
      <c r="C1306" s="1" t="n">
        <v>45997</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42132-2025</t>
        </is>
      </c>
      <c r="B1307" s="1" t="n">
        <v>45904.34546296296</v>
      </c>
      <c r="C1307" s="1" t="n">
        <v>45997</v>
      </c>
      <c r="D1307" t="inlineStr">
        <is>
          <t>JÄMTLANDS LÄN</t>
        </is>
      </c>
      <c r="E1307" t="inlineStr">
        <is>
          <t>BRÄCKE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42270-2025</t>
        </is>
      </c>
      <c r="B1308" s="1" t="n">
        <v>45904.60445601852</v>
      </c>
      <c r="C1308" s="1" t="n">
        <v>45997</v>
      </c>
      <c r="D1308" t="inlineStr">
        <is>
          <t>JÄMTLANDS LÄN</t>
        </is>
      </c>
      <c r="E1308" t="inlineStr">
        <is>
          <t>BRÄCKE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42280-2025</t>
        </is>
      </c>
      <c r="B1309" s="1" t="n">
        <v>45904.61605324074</v>
      </c>
      <c r="C1309" s="1" t="n">
        <v>45997</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41547-2025</t>
        </is>
      </c>
      <c r="B1310" s="1" t="n">
        <v>45901.57991898148</v>
      </c>
      <c r="C1310" s="1" t="n">
        <v>45997</v>
      </c>
      <c r="D1310" t="inlineStr">
        <is>
          <t>JÄMTLANDS LÄN</t>
        </is>
      </c>
      <c r="E1310" t="inlineStr">
        <is>
          <t>BRÄCKE</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41757-2025</t>
        </is>
      </c>
      <c r="B1311" s="1" t="n">
        <v>45902.50755787037</v>
      </c>
      <c r="C1311" s="1" t="n">
        <v>45997</v>
      </c>
      <c r="D1311" t="inlineStr">
        <is>
          <t>JÄMTLANDS LÄN</t>
        </is>
      </c>
      <c r="E1311" t="inlineStr">
        <is>
          <t>BRÄCKE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41981-2025</t>
        </is>
      </c>
      <c r="B1312" s="1" t="n">
        <v>45903.53172453704</v>
      </c>
      <c r="C1312" s="1" t="n">
        <v>45997</v>
      </c>
      <c r="D1312" t="inlineStr">
        <is>
          <t>JÄMTLANDS LÄN</t>
        </is>
      </c>
      <c r="E1312" t="inlineStr">
        <is>
          <t>BRÄCKE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56738-2025</t>
        </is>
      </c>
      <c r="B1313" s="1" t="n">
        <v>45978.34487268519</v>
      </c>
      <c r="C1313" s="1" t="n">
        <v>45997</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56431-2025</t>
        </is>
      </c>
      <c r="B1314" s="1" t="n">
        <v>45975.34625</v>
      </c>
      <c r="C1314" s="1" t="n">
        <v>45997</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48177-2025</t>
        </is>
      </c>
      <c r="B1315" s="1" t="n">
        <v>45933.44846064815</v>
      </c>
      <c r="C1315" s="1" t="n">
        <v>45997</v>
      </c>
      <c r="D1315" t="inlineStr">
        <is>
          <t>JÄMTLANDS LÄN</t>
        </is>
      </c>
      <c r="E1315" t="inlineStr">
        <is>
          <t>BRÄCKE</t>
        </is>
      </c>
      <c r="F1315" t="inlineStr">
        <is>
          <t>SCA</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42380-2025</t>
        </is>
      </c>
      <c r="B1316" s="1" t="n">
        <v>45905.34456018519</v>
      </c>
      <c r="C1316" s="1" t="n">
        <v>45997</v>
      </c>
      <c r="D1316" t="inlineStr">
        <is>
          <t>JÄMTLANDS LÄN</t>
        </is>
      </c>
      <c r="E1316" t="inlineStr">
        <is>
          <t>BRÄCKE</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42507-2025</t>
        </is>
      </c>
      <c r="B1317" s="1" t="n">
        <v>45905.53167824074</v>
      </c>
      <c r="C1317" s="1" t="n">
        <v>45997</v>
      </c>
      <c r="D1317" t="inlineStr">
        <is>
          <t>JÄMTLANDS LÄN</t>
        </is>
      </c>
      <c r="E1317" t="inlineStr">
        <is>
          <t>BRÄCKE</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42435-2025</t>
        </is>
      </c>
      <c r="B1318" s="1" t="n">
        <v>45905.42763888889</v>
      </c>
      <c r="C1318" s="1" t="n">
        <v>45997</v>
      </c>
      <c r="D1318" t="inlineStr">
        <is>
          <t>JÄMTLANDS LÄN</t>
        </is>
      </c>
      <c r="E1318" t="inlineStr">
        <is>
          <t>BRÄCKE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48562-2025</t>
        </is>
      </c>
      <c r="B1319" s="1" t="n">
        <v>45936.43636574074</v>
      </c>
      <c r="C1319" s="1" t="n">
        <v>45997</v>
      </c>
      <c r="D1319" t="inlineStr">
        <is>
          <t>JÄMTLANDS LÄN</t>
        </is>
      </c>
      <c r="E1319" t="inlineStr">
        <is>
          <t>BRÄCKE</t>
        </is>
      </c>
      <c r="F1319" t="inlineStr">
        <is>
          <t>Övriga Aktiebolag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42659-2025</t>
        </is>
      </c>
      <c r="B1320" s="1" t="n">
        <v>45907.56715277778</v>
      </c>
      <c r="C1320" s="1" t="n">
        <v>45997</v>
      </c>
      <c r="D1320" t="inlineStr">
        <is>
          <t>JÄMTLANDS LÄN</t>
        </is>
      </c>
      <c r="E1320" t="inlineStr">
        <is>
          <t>BRÄCKE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16372-2023</t>
        </is>
      </c>
      <c r="B1321" s="1" t="n">
        <v>45028.94083333333</v>
      </c>
      <c r="C1321" s="1" t="n">
        <v>45997</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52249-2023</t>
        </is>
      </c>
      <c r="B1322" s="1" t="n">
        <v>45217</v>
      </c>
      <c r="C1322" s="1" t="n">
        <v>45997</v>
      </c>
      <c r="D1322" t="inlineStr">
        <is>
          <t>JÄMTLANDS LÄN</t>
        </is>
      </c>
      <c r="E1322" t="inlineStr">
        <is>
          <t>BRÄCKE</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42784-2025</t>
        </is>
      </c>
      <c r="B1323" s="1" t="n">
        <v>45908.51035879629</v>
      </c>
      <c r="C1323" s="1" t="n">
        <v>45997</v>
      </c>
      <c r="D1323" t="inlineStr">
        <is>
          <t>JÄMTLANDS LÄN</t>
        </is>
      </c>
      <c r="E1323" t="inlineStr">
        <is>
          <t>BRÄCKE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12722-2025</t>
        </is>
      </c>
      <c r="B1324" s="1" t="n">
        <v>45733.48998842593</v>
      </c>
      <c r="C1324" s="1" t="n">
        <v>45997</v>
      </c>
      <c r="D1324" t="inlineStr">
        <is>
          <t>JÄMTLANDS LÄN</t>
        </is>
      </c>
      <c r="E1324" t="inlineStr">
        <is>
          <t>BRÄCKE</t>
        </is>
      </c>
      <c r="F1324" t="inlineStr">
        <is>
          <t>SCA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42379-2025</t>
        </is>
      </c>
      <c r="B1325" s="1" t="n">
        <v>45905.34443287037</v>
      </c>
      <c r="C1325" s="1" t="n">
        <v>45997</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56535-2025</t>
        </is>
      </c>
      <c r="B1326" s="1" t="n">
        <v>45975.46998842592</v>
      </c>
      <c r="C1326" s="1" t="n">
        <v>45997</v>
      </c>
      <c r="D1326" t="inlineStr">
        <is>
          <t>JÄMTLANDS LÄN</t>
        </is>
      </c>
      <c r="E1326" t="inlineStr">
        <is>
          <t>BRÄCKE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23320-2025</t>
        </is>
      </c>
      <c r="B1327" s="1" t="n">
        <v>45791.61528935185</v>
      </c>
      <c r="C1327" s="1" t="n">
        <v>45997</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42732-2025</t>
        </is>
      </c>
      <c r="B1328" s="1" t="n">
        <v>45908.40704861111</v>
      </c>
      <c r="C1328" s="1" t="n">
        <v>45997</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42590-2025</t>
        </is>
      </c>
      <c r="B1329" s="1" t="n">
        <v>45905.63607638889</v>
      </c>
      <c r="C1329" s="1" t="n">
        <v>45997</v>
      </c>
      <c r="D1329" t="inlineStr">
        <is>
          <t>JÄMTLANDS LÄN</t>
        </is>
      </c>
      <c r="E1329" t="inlineStr">
        <is>
          <t>BRÄCKE</t>
        </is>
      </c>
      <c r="F1329" t="inlineStr">
        <is>
          <t>SCA</t>
        </is>
      </c>
      <c r="G1329" t="n">
        <v>24.2</v>
      </c>
      <c r="H1329" t="n">
        <v>0</v>
      </c>
      <c r="I1329" t="n">
        <v>0</v>
      </c>
      <c r="J1329" t="n">
        <v>0</v>
      </c>
      <c r="K1329" t="n">
        <v>0</v>
      </c>
      <c r="L1329" t="n">
        <v>0</v>
      </c>
      <c r="M1329" t="n">
        <v>0</v>
      </c>
      <c r="N1329" t="n">
        <v>0</v>
      </c>
      <c r="O1329" t="n">
        <v>0</v>
      </c>
      <c r="P1329" t="n">
        <v>0</v>
      </c>
      <c r="Q1329" t="n">
        <v>0</v>
      </c>
      <c r="R1329" s="2" t="inlineStr"/>
    </row>
    <row r="1330" ht="15" customHeight="1">
      <c r="A1330" t="inlineStr">
        <is>
          <t>A 56448-2025</t>
        </is>
      </c>
      <c r="B1330" s="1" t="n">
        <v>45975.34862268518</v>
      </c>
      <c r="C1330" s="1" t="n">
        <v>45997</v>
      </c>
      <c r="D1330" t="inlineStr">
        <is>
          <t>JÄMTLANDS LÄN</t>
        </is>
      </c>
      <c r="E1330" t="inlineStr">
        <is>
          <t>BRÄCKE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56449-2025</t>
        </is>
      </c>
      <c r="B1331" s="1" t="n">
        <v>45975.34864583334</v>
      </c>
      <c r="C1331" s="1" t="n">
        <v>45997</v>
      </c>
      <c r="D1331" t="inlineStr">
        <is>
          <t>JÄMTLANDS LÄN</t>
        </is>
      </c>
      <c r="E1331" t="inlineStr">
        <is>
          <t>BRÄCKE</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32671-2024</t>
        </is>
      </c>
      <c r="B1332" s="1" t="n">
        <v>45514.59587962963</v>
      </c>
      <c r="C1332" s="1" t="n">
        <v>45997</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13762-2024</t>
        </is>
      </c>
      <c r="B1333" s="1" t="n">
        <v>45390</v>
      </c>
      <c r="C1333" s="1" t="n">
        <v>45997</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24077-2025</t>
        </is>
      </c>
      <c r="B1334" s="1" t="n">
        <v>45796.55240740741</v>
      </c>
      <c r="C1334" s="1" t="n">
        <v>45997</v>
      </c>
      <c r="D1334" t="inlineStr">
        <is>
          <t>JÄMTLANDS LÄN</t>
        </is>
      </c>
      <c r="E1334" t="inlineStr">
        <is>
          <t>BRÄCKE</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67612-2020</t>
        </is>
      </c>
      <c r="B1335" s="1" t="n">
        <v>44181</v>
      </c>
      <c r="C1335" s="1" t="n">
        <v>45997</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43022-2025</t>
        </is>
      </c>
      <c r="B1336" s="1" t="n">
        <v>45909.51016203704</v>
      </c>
      <c r="C1336" s="1" t="n">
        <v>45997</v>
      </c>
      <c r="D1336" t="inlineStr">
        <is>
          <t>JÄMTLANDS LÄN</t>
        </is>
      </c>
      <c r="E1336" t="inlineStr">
        <is>
          <t>BRÄCKE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23303-2025</t>
        </is>
      </c>
      <c r="B1337" s="1" t="n">
        <v>45791</v>
      </c>
      <c r="C1337" s="1" t="n">
        <v>45997</v>
      </c>
      <c r="D1337" t="inlineStr">
        <is>
          <t>JÄMTLANDS LÄN</t>
        </is>
      </c>
      <c r="E1337" t="inlineStr">
        <is>
          <t>BRÄCKE</t>
        </is>
      </c>
      <c r="G1337" t="n">
        <v>22.2</v>
      </c>
      <c r="H1337" t="n">
        <v>0</v>
      </c>
      <c r="I1337" t="n">
        <v>0</v>
      </c>
      <c r="J1337" t="n">
        <v>0</v>
      </c>
      <c r="K1337" t="n">
        <v>0</v>
      </c>
      <c r="L1337" t="n">
        <v>0</v>
      </c>
      <c r="M1337" t="n">
        <v>0</v>
      </c>
      <c r="N1337" t="n">
        <v>0</v>
      </c>
      <c r="O1337" t="n">
        <v>0</v>
      </c>
      <c r="P1337" t="n">
        <v>0</v>
      </c>
      <c r="Q1337" t="n">
        <v>0</v>
      </c>
      <c r="R1337" s="2" t="inlineStr"/>
    </row>
    <row r="1338" ht="15" customHeight="1">
      <c r="A1338" t="inlineStr">
        <is>
          <t>A 48660-2025</t>
        </is>
      </c>
      <c r="B1338" s="1" t="n">
        <v>45936.56836805555</v>
      </c>
      <c r="C1338" s="1" t="n">
        <v>45997</v>
      </c>
      <c r="D1338" t="inlineStr">
        <is>
          <t>JÄMTLANDS LÄN</t>
        </is>
      </c>
      <c r="E1338" t="inlineStr">
        <is>
          <t>BRÄCKE</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43254-2025</t>
        </is>
      </c>
      <c r="B1339" s="1" t="n">
        <v>45910.553125</v>
      </c>
      <c r="C1339" s="1" t="n">
        <v>45997</v>
      </c>
      <c r="D1339" t="inlineStr">
        <is>
          <t>JÄMTLANDS LÄN</t>
        </is>
      </c>
      <c r="E1339" t="inlineStr">
        <is>
          <t>BRÄCKE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27460-2024</t>
        </is>
      </c>
      <c r="B1340" s="1" t="n">
        <v>45474.44785879629</v>
      </c>
      <c r="C1340" s="1" t="n">
        <v>45997</v>
      </c>
      <c r="D1340" t="inlineStr">
        <is>
          <t>JÄMTLANDS LÄN</t>
        </is>
      </c>
      <c r="E1340" t="inlineStr">
        <is>
          <t>BRÄCKE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24043-2025</t>
        </is>
      </c>
      <c r="B1341" s="1" t="n">
        <v>45796.49002314815</v>
      </c>
      <c r="C1341" s="1" t="n">
        <v>45997</v>
      </c>
      <c r="D1341" t="inlineStr">
        <is>
          <t>JÄMTLANDS LÄN</t>
        </is>
      </c>
      <c r="E1341" t="inlineStr">
        <is>
          <t>BRÄCKE</t>
        </is>
      </c>
      <c r="F1341" t="inlineStr">
        <is>
          <t>SCA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9434-2025</t>
        </is>
      </c>
      <c r="B1342" s="1" t="n">
        <v>45715.41209490741</v>
      </c>
      <c r="C1342" s="1" t="n">
        <v>45997</v>
      </c>
      <c r="D1342" t="inlineStr">
        <is>
          <t>JÄMTLANDS LÄN</t>
        </is>
      </c>
      <c r="E1342" t="inlineStr">
        <is>
          <t>BRÄCKE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43123-2023</t>
        </is>
      </c>
      <c r="B1343" s="1" t="n">
        <v>45182</v>
      </c>
      <c r="C1343" s="1" t="n">
        <v>45997</v>
      </c>
      <c r="D1343" t="inlineStr">
        <is>
          <t>JÄMTLANDS LÄN</t>
        </is>
      </c>
      <c r="E1343" t="inlineStr">
        <is>
          <t>BRÄCKE</t>
        </is>
      </c>
      <c r="F1343" t="inlineStr">
        <is>
          <t>Naturvårdsverket</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27455-2024</t>
        </is>
      </c>
      <c r="B1344" s="1" t="n">
        <v>45474.43834490741</v>
      </c>
      <c r="C1344" s="1" t="n">
        <v>45997</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42933-2025</t>
        </is>
      </c>
      <c r="B1345" s="1" t="n">
        <v>45909.32215277778</v>
      </c>
      <c r="C1345" s="1" t="n">
        <v>45997</v>
      </c>
      <c r="D1345" t="inlineStr">
        <is>
          <t>JÄMTLANDS LÄN</t>
        </is>
      </c>
      <c r="E1345" t="inlineStr">
        <is>
          <t>BRÄCKE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23842-2025</t>
        </is>
      </c>
      <c r="B1346" s="1" t="n">
        <v>45793.61534722222</v>
      </c>
      <c r="C1346" s="1" t="n">
        <v>45997</v>
      </c>
      <c r="D1346" t="inlineStr">
        <is>
          <t>JÄMTLANDS LÄN</t>
        </is>
      </c>
      <c r="E1346" t="inlineStr">
        <is>
          <t>BRÄCKE</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43180-2025</t>
        </is>
      </c>
      <c r="B1347" s="1" t="n">
        <v>45910.40699074074</v>
      </c>
      <c r="C1347" s="1" t="n">
        <v>45997</v>
      </c>
      <c r="D1347" t="inlineStr">
        <is>
          <t>JÄMTLANDS LÄN</t>
        </is>
      </c>
      <c r="E1347" t="inlineStr">
        <is>
          <t>BRÄCKE</t>
        </is>
      </c>
      <c r="F1347" t="inlineStr">
        <is>
          <t>SCA</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41825-2024</t>
        </is>
      </c>
      <c r="B1348" s="1" t="n">
        <v>45561.39943287037</v>
      </c>
      <c r="C1348" s="1" t="n">
        <v>45997</v>
      </c>
      <c r="D1348" t="inlineStr">
        <is>
          <t>JÄMTLANDS LÄN</t>
        </is>
      </c>
      <c r="E1348" t="inlineStr">
        <is>
          <t>BRÄCKE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42936-2025</t>
        </is>
      </c>
      <c r="B1349" s="1" t="n">
        <v>45909.32590277777</v>
      </c>
      <c r="C1349" s="1" t="n">
        <v>45997</v>
      </c>
      <c r="D1349" t="inlineStr">
        <is>
          <t>JÄMTLANDS LÄN</t>
        </is>
      </c>
      <c r="E1349" t="inlineStr">
        <is>
          <t>BRÄCKE</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29873-2024</t>
        </is>
      </c>
      <c r="B1350" s="1" t="n">
        <v>45485.94542824074</v>
      </c>
      <c r="C1350" s="1" t="n">
        <v>45997</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14798-2023</t>
        </is>
      </c>
      <c r="B1351" s="1" t="n">
        <v>45014.61738425926</v>
      </c>
      <c r="C1351" s="1" t="n">
        <v>45997</v>
      </c>
      <c r="D1351" t="inlineStr">
        <is>
          <t>JÄMTLANDS LÄN</t>
        </is>
      </c>
      <c r="E1351" t="inlineStr">
        <is>
          <t>BRÄCKE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15144-2024</t>
        </is>
      </c>
      <c r="B1352" s="1" t="n">
        <v>45399.94340277778</v>
      </c>
      <c r="C1352" s="1" t="n">
        <v>45997</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52476-2025</t>
        </is>
      </c>
      <c r="B1353" s="1" t="n">
        <v>45954.46921296296</v>
      </c>
      <c r="C1353" s="1" t="n">
        <v>45997</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23539-2025</t>
        </is>
      </c>
      <c r="B1354" s="1" t="n">
        <v>45792</v>
      </c>
      <c r="C1354" s="1" t="n">
        <v>45997</v>
      </c>
      <c r="D1354" t="inlineStr">
        <is>
          <t>JÄMTLANDS LÄN</t>
        </is>
      </c>
      <c r="E1354" t="inlineStr">
        <is>
          <t>BRÄCKE</t>
        </is>
      </c>
      <c r="G1354" t="n">
        <v>14.9</v>
      </c>
      <c r="H1354" t="n">
        <v>0</v>
      </c>
      <c r="I1354" t="n">
        <v>0</v>
      </c>
      <c r="J1354" t="n">
        <v>0</v>
      </c>
      <c r="K1354" t="n">
        <v>0</v>
      </c>
      <c r="L1354" t="n">
        <v>0</v>
      </c>
      <c r="M1354" t="n">
        <v>0</v>
      </c>
      <c r="N1354" t="n">
        <v>0</v>
      </c>
      <c r="O1354" t="n">
        <v>0</v>
      </c>
      <c r="P1354" t="n">
        <v>0</v>
      </c>
      <c r="Q1354" t="n">
        <v>0</v>
      </c>
      <c r="R1354" s="2" t="inlineStr"/>
    </row>
    <row r="1355" ht="15" customHeight="1">
      <c r="A1355" t="inlineStr">
        <is>
          <t>A 1174-2025</t>
        </is>
      </c>
      <c r="B1355" s="1" t="n">
        <v>45667.34418981482</v>
      </c>
      <c r="C1355" s="1" t="n">
        <v>45997</v>
      </c>
      <c r="D1355" t="inlineStr">
        <is>
          <t>JÄMTLANDS LÄN</t>
        </is>
      </c>
      <c r="E1355" t="inlineStr">
        <is>
          <t>BRÄCKE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24154-2025</t>
        </is>
      </c>
      <c r="B1356" s="1" t="n">
        <v>45796.65685185185</v>
      </c>
      <c r="C1356" s="1" t="n">
        <v>45997</v>
      </c>
      <c r="D1356" t="inlineStr">
        <is>
          <t>JÄMTLANDS LÄN</t>
        </is>
      </c>
      <c r="E1356" t="inlineStr">
        <is>
          <t>BRÄCKE</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43723-2025</t>
        </is>
      </c>
      <c r="B1357" s="1" t="n">
        <v>45912.42844907408</v>
      </c>
      <c r="C1357" s="1" t="n">
        <v>45997</v>
      </c>
      <c r="D1357" t="inlineStr">
        <is>
          <t>JÄMTLANDS LÄN</t>
        </is>
      </c>
      <c r="E1357" t="inlineStr">
        <is>
          <t>BRÄCKE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43387-2025</t>
        </is>
      </c>
      <c r="B1358" s="1" t="n">
        <v>45911.3653587963</v>
      </c>
      <c r="C1358" s="1" t="n">
        <v>45997</v>
      </c>
      <c r="D1358" t="inlineStr">
        <is>
          <t>JÄMTLANDS LÄN</t>
        </is>
      </c>
      <c r="E1358" t="inlineStr">
        <is>
          <t>BRÄCKE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43416-2025</t>
        </is>
      </c>
      <c r="B1359" s="1" t="n">
        <v>45911.40685185185</v>
      </c>
      <c r="C1359" s="1" t="n">
        <v>45997</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24456-2025</t>
        </is>
      </c>
      <c r="B1360" s="1" t="n">
        <v>45798.34450231482</v>
      </c>
      <c r="C1360" s="1" t="n">
        <v>45997</v>
      </c>
      <c r="D1360" t="inlineStr">
        <is>
          <t>JÄMTLANDS LÄN</t>
        </is>
      </c>
      <c r="E1360" t="inlineStr">
        <is>
          <t>BRÄCKE</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24436-2025</t>
        </is>
      </c>
      <c r="B1361" s="1" t="n">
        <v>45797.7922337963</v>
      </c>
      <c r="C1361" s="1" t="n">
        <v>45997</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43736-2025</t>
        </is>
      </c>
      <c r="B1362" s="1" t="n">
        <v>45912.44840277778</v>
      </c>
      <c r="C1362" s="1" t="n">
        <v>45997</v>
      </c>
      <c r="D1362" t="inlineStr">
        <is>
          <t>JÄMTLANDS LÄN</t>
        </is>
      </c>
      <c r="E1362" t="inlineStr">
        <is>
          <t>BRÄCKE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10532-2022</t>
        </is>
      </c>
      <c r="B1363" s="1" t="n">
        <v>44623</v>
      </c>
      <c r="C1363" s="1" t="n">
        <v>45997</v>
      </c>
      <c r="D1363" t="inlineStr">
        <is>
          <t>JÄMTLANDS LÄN</t>
        </is>
      </c>
      <c r="E1363" t="inlineStr">
        <is>
          <t>BRÄCKE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24236-2025</t>
        </is>
      </c>
      <c r="B1364" s="1" t="n">
        <v>45797.38586805556</v>
      </c>
      <c r="C1364" s="1" t="n">
        <v>45997</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43618-2025</t>
        </is>
      </c>
      <c r="B1365" s="1" t="n">
        <v>45911.67806712963</v>
      </c>
      <c r="C1365" s="1" t="n">
        <v>45997</v>
      </c>
      <c r="D1365" t="inlineStr">
        <is>
          <t>JÄMTLANDS LÄN</t>
        </is>
      </c>
      <c r="E1365" t="inlineStr">
        <is>
          <t>BRÄCKE</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24454-2025</t>
        </is>
      </c>
      <c r="B1366" s="1" t="n">
        <v>45798.34436342592</v>
      </c>
      <c r="C1366" s="1" t="n">
        <v>45997</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41694-2025</t>
        </is>
      </c>
      <c r="B1367" s="1" t="n">
        <v>45902</v>
      </c>
      <c r="C1367" s="1" t="n">
        <v>45997</v>
      </c>
      <c r="D1367" t="inlineStr">
        <is>
          <t>JÄMTLANDS LÄN</t>
        </is>
      </c>
      <c r="E1367" t="inlineStr">
        <is>
          <t>BRÄCKE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24502-2025</t>
        </is>
      </c>
      <c r="B1368" s="1" t="n">
        <v>45798.39761574074</v>
      </c>
      <c r="C1368" s="1" t="n">
        <v>45997</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24437-2025</t>
        </is>
      </c>
      <c r="B1369" s="1" t="n">
        <v>45797.79256944444</v>
      </c>
      <c r="C1369" s="1" t="n">
        <v>45997</v>
      </c>
      <c r="D1369" t="inlineStr">
        <is>
          <t>JÄMTLANDS LÄN</t>
        </is>
      </c>
      <c r="E1369" t="inlineStr">
        <is>
          <t>BRÄCKE</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24636-2025</t>
        </is>
      </c>
      <c r="B1370" s="1" t="n">
        <v>45798.61528935185</v>
      </c>
      <c r="C1370" s="1" t="n">
        <v>45997</v>
      </c>
      <c r="D1370" t="inlineStr">
        <is>
          <t>JÄMTLANDS LÄN</t>
        </is>
      </c>
      <c r="E1370" t="inlineStr">
        <is>
          <t>BRÄCKE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43591-2025</t>
        </is>
      </c>
      <c r="B1371" s="1" t="n">
        <v>45911.65681712963</v>
      </c>
      <c r="C1371" s="1" t="n">
        <v>45997</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48851-2025</t>
        </is>
      </c>
      <c r="B1372" s="1" t="n">
        <v>45937.42969907408</v>
      </c>
      <c r="C1372" s="1" t="n">
        <v>45997</v>
      </c>
      <c r="D1372" t="inlineStr">
        <is>
          <t>JÄMTLANDS LÄN</t>
        </is>
      </c>
      <c r="E1372" t="inlineStr">
        <is>
          <t>BRÄCKE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57272-2025</t>
        </is>
      </c>
      <c r="B1373" s="1" t="n">
        <v>45979.67814814814</v>
      </c>
      <c r="C1373" s="1" t="n">
        <v>45997</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24647-2025</t>
        </is>
      </c>
      <c r="B1374" s="1" t="n">
        <v>45798.63575231482</v>
      </c>
      <c r="C1374" s="1" t="n">
        <v>45997</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22841-2025</t>
        </is>
      </c>
      <c r="B1375" s="1" t="n">
        <v>45789</v>
      </c>
      <c r="C1375" s="1" t="n">
        <v>45997</v>
      </c>
      <c r="D1375" t="inlineStr">
        <is>
          <t>JÄMTLANDS LÄN</t>
        </is>
      </c>
      <c r="E1375" t="inlineStr">
        <is>
          <t>BRÄCKE</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24427-2025</t>
        </is>
      </c>
      <c r="B1376" s="1" t="n">
        <v>45797.69851851852</v>
      </c>
      <c r="C1376" s="1" t="n">
        <v>45997</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24433-2025</t>
        </is>
      </c>
      <c r="B1377" s="1" t="n">
        <v>45797.75547453704</v>
      </c>
      <c r="C1377" s="1" t="n">
        <v>45997</v>
      </c>
      <c r="D1377" t="inlineStr">
        <is>
          <t>JÄMTLANDS LÄN</t>
        </is>
      </c>
      <c r="E1377" t="inlineStr">
        <is>
          <t>BRÄCKE</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24550-2025</t>
        </is>
      </c>
      <c r="B1378" s="1" t="n">
        <v>45798.44836805556</v>
      </c>
      <c r="C1378" s="1" t="n">
        <v>45997</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58741-2023</t>
        </is>
      </c>
      <c r="B1379" s="1" t="n">
        <v>45251.92894675926</v>
      </c>
      <c r="C1379" s="1" t="n">
        <v>45997</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24604-2025</t>
        </is>
      </c>
      <c r="B1380" s="1" t="n">
        <v>45798.5734375</v>
      </c>
      <c r="C1380" s="1" t="n">
        <v>45997</v>
      </c>
      <c r="D1380" t="inlineStr">
        <is>
          <t>JÄMTLANDS LÄN</t>
        </is>
      </c>
      <c r="E1380" t="inlineStr">
        <is>
          <t>BRÄCKE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57038-2025</t>
        </is>
      </c>
      <c r="B1381" s="1" t="n">
        <v>45979.34527777778</v>
      </c>
      <c r="C1381" s="1" t="n">
        <v>45997</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44247-2025</t>
        </is>
      </c>
      <c r="B1382" s="1" t="n">
        <v>45915.68195601852</v>
      </c>
      <c r="C1382" s="1" t="n">
        <v>45997</v>
      </c>
      <c r="D1382" t="inlineStr">
        <is>
          <t>JÄMTLANDS LÄN</t>
        </is>
      </c>
      <c r="E1382" t="inlineStr">
        <is>
          <t>BRÄCKE</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49046-2025</t>
        </is>
      </c>
      <c r="B1383" s="1" t="n">
        <v>45937.63693287037</v>
      </c>
      <c r="C1383" s="1" t="n">
        <v>45997</v>
      </c>
      <c r="D1383" t="inlineStr">
        <is>
          <t>JÄMTLANDS LÄN</t>
        </is>
      </c>
      <c r="E1383" t="inlineStr">
        <is>
          <t>BRÄCKE</t>
        </is>
      </c>
      <c r="F1383" t="inlineStr">
        <is>
          <t>SCA</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57050-2025</t>
        </is>
      </c>
      <c r="B1384" s="1" t="n">
        <v>45979.34721064815</v>
      </c>
      <c r="C1384" s="1" t="n">
        <v>45997</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52991-2025</t>
        </is>
      </c>
      <c r="B1385" s="1" t="n">
        <v>45957.71960648148</v>
      </c>
      <c r="C1385" s="1" t="n">
        <v>45997</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52781-2025</t>
        </is>
      </c>
      <c r="B1386" s="1" t="n">
        <v>45957.4228125</v>
      </c>
      <c r="C1386" s="1" t="n">
        <v>45997</v>
      </c>
      <c r="D1386" t="inlineStr">
        <is>
          <t>JÄMTLANDS LÄN</t>
        </is>
      </c>
      <c r="E1386" t="inlineStr">
        <is>
          <t>BRÄCKE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53210-2025</t>
        </is>
      </c>
      <c r="B1387" s="1" t="n">
        <v>45958.59469907408</v>
      </c>
      <c r="C1387" s="1" t="n">
        <v>45997</v>
      </c>
      <c r="D1387" t="inlineStr">
        <is>
          <t>JÄMTLANDS LÄN</t>
        </is>
      </c>
      <c r="E1387" t="inlineStr">
        <is>
          <t>BRÄCKE</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24784-2025</t>
        </is>
      </c>
      <c r="B1388" s="1" t="n">
        <v>45799.42741898148</v>
      </c>
      <c r="C1388" s="1" t="n">
        <v>45997</v>
      </c>
      <c r="D1388" t="inlineStr">
        <is>
          <t>JÄMTLANDS LÄN</t>
        </is>
      </c>
      <c r="E1388" t="inlineStr">
        <is>
          <t>BRÄCKE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57139-2025</t>
        </is>
      </c>
      <c r="B1389" s="1" t="n">
        <v>45979.48126157407</v>
      </c>
      <c r="C1389" s="1" t="n">
        <v>45997</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57226-2025</t>
        </is>
      </c>
      <c r="B1390" s="1" t="n">
        <v>45979.61574074074</v>
      </c>
      <c r="C1390" s="1" t="n">
        <v>45997</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57270-2025</t>
        </is>
      </c>
      <c r="B1391" s="1" t="n">
        <v>45979.67766203704</v>
      </c>
      <c r="C1391" s="1" t="n">
        <v>45997</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53140-2025</t>
        </is>
      </c>
      <c r="B1392" s="1" t="n">
        <v>45958.4703125</v>
      </c>
      <c r="C1392" s="1" t="n">
        <v>45997</v>
      </c>
      <c r="D1392" t="inlineStr">
        <is>
          <t>JÄMTLANDS LÄN</t>
        </is>
      </c>
      <c r="E1392" t="inlineStr">
        <is>
          <t>BRÄCKE</t>
        </is>
      </c>
      <c r="F1392" t="inlineStr">
        <is>
          <t>Övriga Aktiebolag</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53270-2025</t>
        </is>
      </c>
      <c r="B1393" s="1" t="n">
        <v>45958.70261574074</v>
      </c>
      <c r="C1393" s="1" t="n">
        <v>45997</v>
      </c>
      <c r="D1393" t="inlineStr">
        <is>
          <t>JÄMTLANDS LÄN</t>
        </is>
      </c>
      <c r="E1393" t="inlineStr">
        <is>
          <t>BRÄCKE</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57352-2025</t>
        </is>
      </c>
      <c r="B1394" s="1" t="n">
        <v>45980.36506944444</v>
      </c>
      <c r="C1394" s="1" t="n">
        <v>45997</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57354-2025</t>
        </is>
      </c>
      <c r="B1395" s="1" t="n">
        <v>45980.36532407408</v>
      </c>
      <c r="C1395" s="1" t="n">
        <v>45997</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57084-2025</t>
        </is>
      </c>
      <c r="B1396" s="1" t="n">
        <v>45979.41707175926</v>
      </c>
      <c r="C1396" s="1" t="n">
        <v>45997</v>
      </c>
      <c r="D1396" t="inlineStr">
        <is>
          <t>JÄMTLANDS LÄN</t>
        </is>
      </c>
      <c r="E1396" t="inlineStr">
        <is>
          <t>BRÄCKE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49292-2025</t>
        </is>
      </c>
      <c r="B1397" s="1" t="n">
        <v>45938.53203703704</v>
      </c>
      <c r="C1397" s="1" t="n">
        <v>45997</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49255-2025</t>
        </is>
      </c>
      <c r="B1398" s="1" t="n">
        <v>45938.49164351852</v>
      </c>
      <c r="C1398" s="1" t="n">
        <v>45997</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49260-2025</t>
        </is>
      </c>
      <c r="B1399" s="1" t="n">
        <v>45938.49702546297</v>
      </c>
      <c r="C1399" s="1" t="n">
        <v>45997</v>
      </c>
      <c r="D1399" t="inlineStr">
        <is>
          <t>JÄMTLANDS LÄN</t>
        </is>
      </c>
      <c r="E1399" t="inlineStr">
        <is>
          <t>BRÄCKE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5004-2023</t>
        </is>
      </c>
      <c r="B1400" s="1" t="n">
        <v>44956</v>
      </c>
      <c r="C1400" s="1" t="n">
        <v>45997</v>
      </c>
      <c r="D1400" t="inlineStr">
        <is>
          <t>JÄMTLANDS LÄN</t>
        </is>
      </c>
      <c r="E1400" t="inlineStr">
        <is>
          <t>BRÄCKE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5169-2025</t>
        </is>
      </c>
      <c r="B1401" s="1" t="n">
        <v>45691.61571759259</v>
      </c>
      <c r="C1401" s="1" t="n">
        <v>45997</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25101-2025</t>
        </is>
      </c>
      <c r="B1402" s="1" t="n">
        <v>45800.34444444445</v>
      </c>
      <c r="C1402" s="1" t="n">
        <v>45997</v>
      </c>
      <c r="D1402" t="inlineStr">
        <is>
          <t>JÄMTLANDS LÄN</t>
        </is>
      </c>
      <c r="E1402" t="inlineStr">
        <is>
          <t>BRÄCKE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25102-2025</t>
        </is>
      </c>
      <c r="B1403" s="1" t="n">
        <v>45800.34445601852</v>
      </c>
      <c r="C1403" s="1" t="n">
        <v>45997</v>
      </c>
      <c r="D1403" t="inlineStr">
        <is>
          <t>JÄMTLANDS LÄN</t>
        </is>
      </c>
      <c r="E1403" t="inlineStr">
        <is>
          <t>BRÄCKE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25159-2025</t>
        </is>
      </c>
      <c r="B1404" s="1" t="n">
        <v>45800.42804398148</v>
      </c>
      <c r="C1404" s="1" t="n">
        <v>45997</v>
      </c>
      <c r="D1404" t="inlineStr">
        <is>
          <t>JÄMTLANDS LÄN</t>
        </is>
      </c>
      <c r="E1404" t="inlineStr">
        <is>
          <t>BRÄCKE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57036-2025</t>
        </is>
      </c>
      <c r="B1405" s="1" t="n">
        <v>45979.34494212963</v>
      </c>
      <c r="C1405" s="1" t="n">
        <v>45997</v>
      </c>
      <c r="D1405" t="inlineStr">
        <is>
          <t>JÄMTLANDS LÄN</t>
        </is>
      </c>
      <c r="E1405" t="inlineStr">
        <is>
          <t>BRÄCKE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24850-2025</t>
        </is>
      </c>
      <c r="B1406" s="1" t="n">
        <v>45799.46958333333</v>
      </c>
      <c r="C1406" s="1" t="n">
        <v>45997</v>
      </c>
      <c r="D1406" t="inlineStr">
        <is>
          <t>JÄMTLANDS LÄN</t>
        </is>
      </c>
      <c r="E1406" t="inlineStr">
        <is>
          <t>BRÄCKE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48982-2025</t>
        </is>
      </c>
      <c r="B1407" s="1" t="n">
        <v>45937.57377314815</v>
      </c>
      <c r="C1407" s="1" t="n">
        <v>45997</v>
      </c>
      <c r="D1407" t="inlineStr">
        <is>
          <t>JÄMTLANDS LÄN</t>
        </is>
      </c>
      <c r="E1407" t="inlineStr">
        <is>
          <t>BRÄCKE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44035-2025</t>
        </is>
      </c>
      <c r="B1408" s="1" t="n">
        <v>45915.49084490741</v>
      </c>
      <c r="C1408" s="1" t="n">
        <v>45997</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44030-2025</t>
        </is>
      </c>
      <c r="B1409" s="1" t="n">
        <v>45915.49006944444</v>
      </c>
      <c r="C1409" s="1" t="n">
        <v>45997</v>
      </c>
      <c r="D1409" t="inlineStr">
        <is>
          <t>JÄMTLANDS LÄN</t>
        </is>
      </c>
      <c r="E1409" t="inlineStr">
        <is>
          <t>BRÄCKE</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57133-2025</t>
        </is>
      </c>
      <c r="B1410" s="1" t="n">
        <v>45979.4744212963</v>
      </c>
      <c r="C1410" s="1" t="n">
        <v>45997</v>
      </c>
      <c r="D1410" t="inlineStr">
        <is>
          <t>JÄMTLANDS LÄN</t>
        </is>
      </c>
      <c r="E1410" t="inlineStr">
        <is>
          <t>BRÄCKE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57458-2025</t>
        </is>
      </c>
      <c r="B1411" s="1" t="n">
        <v>45980.53171296296</v>
      </c>
      <c r="C1411" s="1" t="n">
        <v>45997</v>
      </c>
      <c r="D1411" t="inlineStr">
        <is>
          <t>JÄMTLANDS LÄN</t>
        </is>
      </c>
      <c r="E1411" t="inlineStr">
        <is>
          <t>BRÄCKE</t>
        </is>
      </c>
      <c r="F1411" t="inlineStr">
        <is>
          <t>SCA</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53197-2025</t>
        </is>
      </c>
      <c r="B1412" s="1" t="n">
        <v>45958.57358796296</v>
      </c>
      <c r="C1412" s="1" t="n">
        <v>45997</v>
      </c>
      <c r="D1412" t="inlineStr">
        <is>
          <t>JÄMTLANDS LÄN</t>
        </is>
      </c>
      <c r="E1412" t="inlineStr">
        <is>
          <t>BRÄCKE</t>
        </is>
      </c>
      <c r="F1412" t="inlineStr">
        <is>
          <t>SCA</t>
        </is>
      </c>
      <c r="G1412" t="n">
        <v>43.4</v>
      </c>
      <c r="H1412" t="n">
        <v>0</v>
      </c>
      <c r="I1412" t="n">
        <v>0</v>
      </c>
      <c r="J1412" t="n">
        <v>0</v>
      </c>
      <c r="K1412" t="n">
        <v>0</v>
      </c>
      <c r="L1412" t="n">
        <v>0</v>
      </c>
      <c r="M1412" t="n">
        <v>0</v>
      </c>
      <c r="N1412" t="n">
        <v>0</v>
      </c>
      <c r="O1412" t="n">
        <v>0</v>
      </c>
      <c r="P1412" t="n">
        <v>0</v>
      </c>
      <c r="Q1412" t="n">
        <v>0</v>
      </c>
      <c r="R1412" s="2" t="inlineStr"/>
    </row>
    <row r="1413" ht="15" customHeight="1">
      <c r="A1413" t="inlineStr">
        <is>
          <t>A 49276-2025</t>
        </is>
      </c>
      <c r="B1413" s="1" t="n">
        <v>45938.50738425926</v>
      </c>
      <c r="C1413" s="1" t="n">
        <v>45997</v>
      </c>
      <c r="D1413" t="inlineStr">
        <is>
          <t>JÄMTLANDS LÄN</t>
        </is>
      </c>
      <c r="E1413" t="inlineStr">
        <is>
          <t>BRÄCKE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52771-2025</t>
        </is>
      </c>
      <c r="B1414" s="1" t="n">
        <v>45957.41019675926</v>
      </c>
      <c r="C1414" s="1" t="n">
        <v>45997</v>
      </c>
      <c r="D1414" t="inlineStr">
        <is>
          <t>JÄMTLANDS LÄN</t>
        </is>
      </c>
      <c r="E1414" t="inlineStr">
        <is>
          <t>BRÄCKE</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52798-2025</t>
        </is>
      </c>
      <c r="B1415" s="1" t="n">
        <v>45957.44013888889</v>
      </c>
      <c r="C1415" s="1" t="n">
        <v>45997</v>
      </c>
      <c r="D1415" t="inlineStr">
        <is>
          <t>JÄMTLANDS LÄN</t>
        </is>
      </c>
      <c r="E1415" t="inlineStr">
        <is>
          <t>BRÄCKE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57334-2025</t>
        </is>
      </c>
      <c r="B1416" s="1" t="n">
        <v>45980.345</v>
      </c>
      <c r="C1416" s="1" t="n">
        <v>45997</v>
      </c>
      <c r="D1416" t="inlineStr">
        <is>
          <t>JÄMTLANDS LÄN</t>
        </is>
      </c>
      <c r="E1416" t="inlineStr">
        <is>
          <t>BRÄCKE</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25734-2025</t>
        </is>
      </c>
      <c r="B1417" s="1" t="n">
        <v>45803.76541666667</v>
      </c>
      <c r="C1417" s="1" t="n">
        <v>45997</v>
      </c>
      <c r="D1417" t="inlineStr">
        <is>
          <t>JÄMTLANDS LÄN</t>
        </is>
      </c>
      <c r="E1417" t="inlineStr">
        <is>
          <t>BRÄCKE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53138-2025</t>
        </is>
      </c>
      <c r="B1418" s="1" t="n">
        <v>45958.47013888889</v>
      </c>
      <c r="C1418" s="1" t="n">
        <v>45997</v>
      </c>
      <c r="D1418" t="inlineStr">
        <is>
          <t>JÄMTLANDS LÄN</t>
        </is>
      </c>
      <c r="E1418" t="inlineStr">
        <is>
          <t>BRÄCKE</t>
        </is>
      </c>
      <c r="F1418" t="inlineStr">
        <is>
          <t>Övriga Aktiebolag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25821-2025</t>
        </is>
      </c>
      <c r="B1419" s="1" t="n">
        <v>45804.43686342592</v>
      </c>
      <c r="C1419" s="1" t="n">
        <v>45997</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57329-2025</t>
        </is>
      </c>
      <c r="B1420" s="1" t="n">
        <v>45980.34434027778</v>
      </c>
      <c r="C1420" s="1" t="n">
        <v>45997</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53114-2025</t>
        </is>
      </c>
      <c r="B1421" s="1" t="n">
        <v>45958.44440972222</v>
      </c>
      <c r="C1421" s="1" t="n">
        <v>45997</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44057-2025</t>
        </is>
      </c>
      <c r="B1422" s="1" t="n">
        <v>45915.53097222222</v>
      </c>
      <c r="C1422" s="1" t="n">
        <v>45997</v>
      </c>
      <c r="D1422" t="inlineStr">
        <is>
          <t>JÄMTLANDS LÄN</t>
        </is>
      </c>
      <c r="E1422" t="inlineStr">
        <is>
          <t>BRÄCKE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49666-2025</t>
        </is>
      </c>
      <c r="B1423" s="1" t="n">
        <v>45939.63657407407</v>
      </c>
      <c r="C1423" s="1" t="n">
        <v>45997</v>
      </c>
      <c r="D1423" t="inlineStr">
        <is>
          <t>JÄMTLANDS LÄN</t>
        </is>
      </c>
      <c r="E1423" t="inlineStr">
        <is>
          <t>BRÄCKE</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49826-2025</t>
        </is>
      </c>
      <c r="B1424" s="1" t="n">
        <v>45940.44829861111</v>
      </c>
      <c r="C1424" s="1" t="n">
        <v>45997</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26379-2025</t>
        </is>
      </c>
      <c r="B1425" s="1" t="n">
        <v>45806.48998842593</v>
      </c>
      <c r="C1425" s="1" t="n">
        <v>45997</v>
      </c>
      <c r="D1425" t="inlineStr">
        <is>
          <t>JÄMTLANDS LÄN</t>
        </is>
      </c>
      <c r="E1425" t="inlineStr">
        <is>
          <t>BRÄCKE</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44216-2025</t>
        </is>
      </c>
      <c r="B1426" s="1" t="n">
        <v>45915.6359837963</v>
      </c>
      <c r="C1426" s="1" t="n">
        <v>45997</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57616-2025</t>
        </is>
      </c>
      <c r="B1427" s="1" t="n">
        <v>45981.34456018519</v>
      </c>
      <c r="C1427" s="1" t="n">
        <v>45997</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53185-2025</t>
        </is>
      </c>
      <c r="B1428" s="1" t="n">
        <v>45958.55537037037</v>
      </c>
      <c r="C1428" s="1" t="n">
        <v>45997</v>
      </c>
      <c r="D1428" t="inlineStr">
        <is>
          <t>JÄMTLANDS LÄN</t>
        </is>
      </c>
      <c r="E1428" t="inlineStr">
        <is>
          <t>BRÄCKE</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44245-2025</t>
        </is>
      </c>
      <c r="B1429" s="1" t="n">
        <v>45915.67982638889</v>
      </c>
      <c r="C1429" s="1" t="n">
        <v>45997</v>
      </c>
      <c r="D1429" t="inlineStr">
        <is>
          <t>JÄMTLANDS LÄN</t>
        </is>
      </c>
      <c r="E1429" t="inlineStr">
        <is>
          <t>BRÄCKE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53139-2025</t>
        </is>
      </c>
      <c r="B1430" s="1" t="n">
        <v>45958.47019675926</v>
      </c>
      <c r="C1430" s="1" t="n">
        <v>45997</v>
      </c>
      <c r="D1430" t="inlineStr">
        <is>
          <t>JÄMTLANDS LÄN</t>
        </is>
      </c>
      <c r="E1430" t="inlineStr">
        <is>
          <t>BRÄCKE</t>
        </is>
      </c>
      <c r="F1430" t="inlineStr">
        <is>
          <t>Övriga Aktiebolag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57850-2025</t>
        </is>
      </c>
      <c r="B1431" s="1" t="n">
        <v>45981.6360300926</v>
      </c>
      <c r="C1431" s="1" t="n">
        <v>45997</v>
      </c>
      <c r="D1431" t="inlineStr">
        <is>
          <t>JÄMTLANDS LÄN</t>
        </is>
      </c>
      <c r="E1431" t="inlineStr">
        <is>
          <t>BRÄCKE</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58091-2025</t>
        </is>
      </c>
      <c r="B1432" s="1" t="n">
        <v>45982.57381944444</v>
      </c>
      <c r="C1432" s="1" t="n">
        <v>45997</v>
      </c>
      <c r="D1432" t="inlineStr">
        <is>
          <t>JÄMTLANDS LÄN</t>
        </is>
      </c>
      <c r="E1432" t="inlineStr">
        <is>
          <t>BRÄCKE</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58132-2025</t>
        </is>
      </c>
      <c r="B1433" s="1" t="n">
        <v>45982.61650462963</v>
      </c>
      <c r="C1433" s="1" t="n">
        <v>45997</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44959-2025</t>
        </is>
      </c>
      <c r="B1434" s="1" t="n">
        <v>45918.61537037037</v>
      </c>
      <c r="C1434" s="1" t="n">
        <v>45997</v>
      </c>
      <c r="D1434" t="inlineStr">
        <is>
          <t>JÄMTLANDS LÄN</t>
        </is>
      </c>
      <c r="E1434" t="inlineStr">
        <is>
          <t>BRÄCKE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26298-2025</t>
        </is>
      </c>
      <c r="B1435" s="1" t="n">
        <v>45805.63619212963</v>
      </c>
      <c r="C1435" s="1" t="n">
        <v>45997</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44831-2025</t>
        </is>
      </c>
      <c r="B1436" s="1" t="n">
        <v>45918.40663194445</v>
      </c>
      <c r="C1436" s="1" t="n">
        <v>45997</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44840-2025</t>
        </is>
      </c>
      <c r="B1437" s="1" t="n">
        <v>45918.42769675926</v>
      </c>
      <c r="C1437" s="1" t="n">
        <v>45997</v>
      </c>
      <c r="D1437" t="inlineStr">
        <is>
          <t>JÄMTLANDS LÄN</t>
        </is>
      </c>
      <c r="E1437" t="inlineStr">
        <is>
          <t>BRÄCKE</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57948-2025</t>
        </is>
      </c>
      <c r="B1438" s="1" t="n">
        <v>45982.34452546296</v>
      </c>
      <c r="C1438" s="1" t="n">
        <v>45997</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18265-2025</t>
        </is>
      </c>
      <c r="B1439" s="1" t="n">
        <v>45762.36525462963</v>
      </c>
      <c r="C1439" s="1" t="n">
        <v>45997</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53352-2025</t>
        </is>
      </c>
      <c r="B1440" s="1" t="n">
        <v>45959.44840277778</v>
      </c>
      <c r="C1440" s="1" t="n">
        <v>45997</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4132-2025</t>
        </is>
      </c>
      <c r="B1441" s="1" t="n">
        <v>45685.34538194445</v>
      </c>
      <c r="C1441" s="1" t="n">
        <v>45997</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44847-2025</t>
        </is>
      </c>
      <c r="B1442" s="1" t="n">
        <v>45918.44200231481</v>
      </c>
      <c r="C1442" s="1" t="n">
        <v>45997</v>
      </c>
      <c r="D1442" t="inlineStr">
        <is>
          <t>JÄMTLANDS LÄN</t>
        </is>
      </c>
      <c r="E1442" t="inlineStr">
        <is>
          <t>BRÄCKE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44843-2025</t>
        </is>
      </c>
      <c r="B1443" s="1" t="n">
        <v>45918.43283564815</v>
      </c>
      <c r="C1443" s="1" t="n">
        <v>45997</v>
      </c>
      <c r="D1443" t="inlineStr">
        <is>
          <t>JÄMTLANDS LÄN</t>
        </is>
      </c>
      <c r="E1443" t="inlineStr">
        <is>
          <t>BRÄCKE</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44854-2025</t>
        </is>
      </c>
      <c r="B1444" s="1" t="n">
        <v>45918.44819444444</v>
      </c>
      <c r="C1444" s="1" t="n">
        <v>45997</v>
      </c>
      <c r="D1444" t="inlineStr">
        <is>
          <t>JÄMTLANDS LÄN</t>
        </is>
      </c>
      <c r="E1444" t="inlineStr">
        <is>
          <t>BRÄCKE</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59650-2024</t>
        </is>
      </c>
      <c r="B1445" s="1" t="n">
        <v>45639.34488425926</v>
      </c>
      <c r="C1445" s="1" t="n">
        <v>45997</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44968-2025</t>
        </is>
      </c>
      <c r="B1446" s="1" t="n">
        <v>45918.63228009259</v>
      </c>
      <c r="C1446" s="1" t="n">
        <v>45997</v>
      </c>
      <c r="D1446" t="inlineStr">
        <is>
          <t>JÄMTLANDS LÄN</t>
        </is>
      </c>
      <c r="E1446" t="inlineStr">
        <is>
          <t>BRÄCKE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26736-2025</t>
        </is>
      </c>
      <c r="B1447" s="1" t="n">
        <v>45810.51644675926</v>
      </c>
      <c r="C1447" s="1" t="n">
        <v>45997</v>
      </c>
      <c r="D1447" t="inlineStr">
        <is>
          <t>JÄMTLANDS LÄN</t>
        </is>
      </c>
      <c r="E1447" t="inlineStr">
        <is>
          <t>BRÄCKE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44957-2025</t>
        </is>
      </c>
      <c r="B1448" s="1" t="n">
        <v>45918.615</v>
      </c>
      <c r="C1448" s="1" t="n">
        <v>45997</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50256-2025</t>
        </is>
      </c>
      <c r="B1449" s="1" t="n">
        <v>45944.34435185185</v>
      </c>
      <c r="C1449" s="1" t="n">
        <v>45997</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50263-2025</t>
        </is>
      </c>
      <c r="B1450" s="1" t="n">
        <v>45944.34545138889</v>
      </c>
      <c r="C1450" s="1" t="n">
        <v>45997</v>
      </c>
      <c r="D1450" t="inlineStr">
        <is>
          <t>JÄMTLANDS LÄN</t>
        </is>
      </c>
      <c r="E1450" t="inlineStr">
        <is>
          <t>BRÄCKE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14607-2025</t>
        </is>
      </c>
      <c r="B1451" s="1" t="n">
        <v>45742.37540509259</v>
      </c>
      <c r="C1451" s="1" t="n">
        <v>45997</v>
      </c>
      <c r="D1451" t="inlineStr">
        <is>
          <t>JÄMTLANDS LÄN</t>
        </is>
      </c>
      <c r="E1451" t="inlineStr">
        <is>
          <t>BRÄCKE</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26818-2025</t>
        </is>
      </c>
      <c r="B1452" s="1" t="n">
        <v>45810.63622685185</v>
      </c>
      <c r="C1452" s="1" t="n">
        <v>45997</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59245-2024</t>
        </is>
      </c>
      <c r="B1453" s="1" t="n">
        <v>45637.59230324074</v>
      </c>
      <c r="C1453" s="1" t="n">
        <v>45997</v>
      </c>
      <c r="D1453" t="inlineStr">
        <is>
          <t>JÄMTLANDS LÄN</t>
        </is>
      </c>
      <c r="E1453" t="inlineStr">
        <is>
          <t>BRÄCKE</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58495-2025</t>
        </is>
      </c>
      <c r="B1454" s="1" t="n">
        <v>45985.67776620371</v>
      </c>
      <c r="C1454" s="1" t="n">
        <v>45997</v>
      </c>
      <c r="D1454" t="inlineStr">
        <is>
          <t>JÄMTLANDS LÄN</t>
        </is>
      </c>
      <c r="E1454" t="inlineStr">
        <is>
          <t>BRÄCKE</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57607-2025</t>
        </is>
      </c>
      <c r="B1455" s="1" t="n">
        <v>45981</v>
      </c>
      <c r="C1455" s="1" t="n">
        <v>45997</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53943-2025</t>
        </is>
      </c>
      <c r="B1456" s="1" t="n">
        <v>45961.48997685185</v>
      </c>
      <c r="C1456" s="1" t="n">
        <v>45997</v>
      </c>
      <c r="D1456" t="inlineStr">
        <is>
          <t>JÄMTLANDS LÄN</t>
        </is>
      </c>
      <c r="E1456" t="inlineStr">
        <is>
          <t>BRÄCKE</t>
        </is>
      </c>
      <c r="F1456" t="inlineStr">
        <is>
          <t>SCA</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24489-2025</t>
        </is>
      </c>
      <c r="B1457" s="1" t="n">
        <v>45798.3859375</v>
      </c>
      <c r="C1457" s="1" t="n">
        <v>45997</v>
      </c>
      <c r="D1457" t="inlineStr">
        <is>
          <t>JÄMTLANDS LÄN</t>
        </is>
      </c>
      <c r="E1457" t="inlineStr">
        <is>
          <t>BRÄCKE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58351-2025</t>
        </is>
      </c>
      <c r="B1458" s="1" t="n">
        <v>45985.5109375</v>
      </c>
      <c r="C1458" s="1" t="n">
        <v>45997</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53868-2025</t>
        </is>
      </c>
      <c r="B1459" s="1" t="n">
        <v>45961.38594907407</v>
      </c>
      <c r="C1459" s="1" t="n">
        <v>45997</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27041-2025</t>
        </is>
      </c>
      <c r="B1460" s="1" t="n">
        <v>45811.60465277778</v>
      </c>
      <c r="C1460" s="1" t="n">
        <v>45997</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58618-2025</t>
        </is>
      </c>
      <c r="B1461" s="1" t="n">
        <v>45986.46935185185</v>
      </c>
      <c r="C1461" s="1" t="n">
        <v>45997</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54158-2025</t>
        </is>
      </c>
      <c r="B1462" s="1" t="n">
        <v>45964.50181712963</v>
      </c>
      <c r="C1462" s="1" t="n">
        <v>45997</v>
      </c>
      <c r="D1462" t="inlineStr">
        <is>
          <t>JÄMTLANDS LÄN</t>
        </is>
      </c>
      <c r="E1462" t="inlineStr">
        <is>
          <t>BRÄCKE</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7301-2025</t>
        </is>
      </c>
      <c r="B1463" s="1" t="n">
        <v>45702.65668981482</v>
      </c>
      <c r="C1463" s="1" t="n">
        <v>45997</v>
      </c>
      <c r="D1463" t="inlineStr">
        <is>
          <t>JÄMTLANDS LÄN</t>
        </is>
      </c>
      <c r="E1463" t="inlineStr">
        <is>
          <t>BRÄCKE</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50016-2025</t>
        </is>
      </c>
      <c r="B1464" s="1" t="n">
        <v>45943.35318287037</v>
      </c>
      <c r="C1464" s="1" t="n">
        <v>45997</v>
      </c>
      <c r="D1464" t="inlineStr">
        <is>
          <t>JÄMTLANDS LÄN</t>
        </is>
      </c>
      <c r="E1464" t="inlineStr">
        <is>
          <t>BRÄCKE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50079-2025</t>
        </is>
      </c>
      <c r="B1465" s="1" t="n">
        <v>45943.46916666667</v>
      </c>
      <c r="C1465" s="1" t="n">
        <v>45997</v>
      </c>
      <c r="D1465" t="inlineStr">
        <is>
          <t>JÄMTLANDS LÄN</t>
        </is>
      </c>
      <c r="E1465" t="inlineStr">
        <is>
          <t>BRÄCKE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54010-2025</t>
        </is>
      </c>
      <c r="B1466" s="1" t="n">
        <v>45961.6153125</v>
      </c>
      <c r="C1466" s="1" t="n">
        <v>45997</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54011-2025</t>
        </is>
      </c>
      <c r="B1467" s="1" t="n">
        <v>45961.61545138889</v>
      </c>
      <c r="C1467" s="1" t="n">
        <v>45997</v>
      </c>
      <c r="D1467" t="inlineStr">
        <is>
          <t>JÄMTLANDS LÄN</t>
        </is>
      </c>
      <c r="E1467" t="inlineStr">
        <is>
          <t>BRÄCKE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50272-2025</t>
        </is>
      </c>
      <c r="B1468" s="1" t="n">
        <v>45944.365</v>
      </c>
      <c r="C1468" s="1" t="n">
        <v>45997</v>
      </c>
      <c r="D1468" t="inlineStr">
        <is>
          <t>JÄMTLANDS LÄN</t>
        </is>
      </c>
      <c r="E1468" t="inlineStr">
        <is>
          <t>BRÄCKE</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53829-2025</t>
        </is>
      </c>
      <c r="B1469" s="1" t="n">
        <v>45961.34475694445</v>
      </c>
      <c r="C1469" s="1" t="n">
        <v>45997</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58498-2022</t>
        </is>
      </c>
      <c r="B1470" s="1" t="n">
        <v>44902.37547453704</v>
      </c>
      <c r="C1470" s="1" t="n">
        <v>45997</v>
      </c>
      <c r="D1470" t="inlineStr">
        <is>
          <t>JÄMTLANDS LÄN</t>
        </is>
      </c>
      <c r="E1470" t="inlineStr">
        <is>
          <t>BRÄCKE</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50257-2025</t>
        </is>
      </c>
      <c r="B1471" s="1" t="n">
        <v>45944.34462962963</v>
      </c>
      <c r="C1471" s="1" t="n">
        <v>45997</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50214-2025</t>
        </is>
      </c>
      <c r="B1472" s="1" t="n">
        <v>45943.67826388889</v>
      </c>
      <c r="C1472" s="1" t="n">
        <v>45997</v>
      </c>
      <c r="D1472" t="inlineStr">
        <is>
          <t>JÄMTLANDS LÄN</t>
        </is>
      </c>
      <c r="E1472" t="inlineStr">
        <is>
          <t>BRÄCKE</t>
        </is>
      </c>
      <c r="F1472" t="inlineStr">
        <is>
          <t>SCA</t>
        </is>
      </c>
      <c r="G1472" t="n">
        <v>15.7</v>
      </c>
      <c r="H1472" t="n">
        <v>0</v>
      </c>
      <c r="I1472" t="n">
        <v>0</v>
      </c>
      <c r="J1472" t="n">
        <v>0</v>
      </c>
      <c r="K1472" t="n">
        <v>0</v>
      </c>
      <c r="L1472" t="n">
        <v>0</v>
      </c>
      <c r="M1472" t="n">
        <v>0</v>
      </c>
      <c r="N1472" t="n">
        <v>0</v>
      </c>
      <c r="O1472" t="n">
        <v>0</v>
      </c>
      <c r="P1472" t="n">
        <v>0</v>
      </c>
      <c r="Q1472" t="n">
        <v>0</v>
      </c>
      <c r="R1472" s="2" t="inlineStr"/>
    </row>
    <row r="1473" ht="15" customHeight="1">
      <c r="A1473" t="inlineStr">
        <is>
          <t>A 50216-2025</t>
        </is>
      </c>
      <c r="B1473" s="1" t="n">
        <v>45943.67859953704</v>
      </c>
      <c r="C1473" s="1" t="n">
        <v>45997</v>
      </c>
      <c r="D1473" t="inlineStr">
        <is>
          <t>JÄMTLANDS LÄN</t>
        </is>
      </c>
      <c r="E1473" t="inlineStr">
        <is>
          <t>BRÄCKE</t>
        </is>
      </c>
      <c r="F1473" t="inlineStr">
        <is>
          <t>SCA</t>
        </is>
      </c>
      <c r="G1473" t="n">
        <v>15.7</v>
      </c>
      <c r="H1473" t="n">
        <v>0</v>
      </c>
      <c r="I1473" t="n">
        <v>0</v>
      </c>
      <c r="J1473" t="n">
        <v>0</v>
      </c>
      <c r="K1473" t="n">
        <v>0</v>
      </c>
      <c r="L1473" t="n">
        <v>0</v>
      </c>
      <c r="M1473" t="n">
        <v>0</v>
      </c>
      <c r="N1473" t="n">
        <v>0</v>
      </c>
      <c r="O1473" t="n">
        <v>0</v>
      </c>
      <c r="P1473" t="n">
        <v>0</v>
      </c>
      <c r="Q1473" t="n">
        <v>0</v>
      </c>
      <c r="R1473" s="2" t="inlineStr"/>
    </row>
    <row r="1474" ht="15" customHeight="1">
      <c r="A1474" t="inlineStr">
        <is>
          <t>A 58744-2025</t>
        </is>
      </c>
      <c r="B1474" s="1" t="n">
        <v>45986.6365162037</v>
      </c>
      <c r="C1474" s="1" t="n">
        <v>45997</v>
      </c>
      <c r="D1474" t="inlineStr">
        <is>
          <t>JÄMTLANDS LÄN</t>
        </is>
      </c>
      <c r="E1474" t="inlineStr">
        <is>
          <t>BRÄCKE</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50271-2025</t>
        </is>
      </c>
      <c r="B1475" s="1" t="n">
        <v>45944.35690972222</v>
      </c>
      <c r="C1475" s="1" t="n">
        <v>45997</v>
      </c>
      <c r="D1475" t="inlineStr">
        <is>
          <t>JÄMTLANDS LÄN</t>
        </is>
      </c>
      <c r="E1475" t="inlineStr">
        <is>
          <t>BRÄCKE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27453-2025</t>
        </is>
      </c>
      <c r="B1476" s="1" t="n">
        <v>45813.34454861111</v>
      </c>
      <c r="C1476" s="1" t="n">
        <v>45997</v>
      </c>
      <c r="D1476" t="inlineStr">
        <is>
          <t>JÄMTLANDS LÄN</t>
        </is>
      </c>
      <c r="E1476" t="inlineStr">
        <is>
          <t>BRÄCKE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58762-2025</t>
        </is>
      </c>
      <c r="B1477" s="1" t="n">
        <v>45986.6568287037</v>
      </c>
      <c r="C1477" s="1" t="n">
        <v>45997</v>
      </c>
      <c r="D1477" t="inlineStr">
        <is>
          <t>JÄMTLANDS LÄN</t>
        </is>
      </c>
      <c r="E1477" t="inlineStr">
        <is>
          <t>BRÄCKE</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54007-2025</t>
        </is>
      </c>
      <c r="B1478" s="1" t="n">
        <v>45961.61497685185</v>
      </c>
      <c r="C1478" s="1" t="n">
        <v>45997</v>
      </c>
      <c r="D1478" t="inlineStr">
        <is>
          <t>JÄMTLANDS LÄN</t>
        </is>
      </c>
      <c r="E1478" t="inlineStr">
        <is>
          <t>BRÄCKE</t>
        </is>
      </c>
      <c r="F1478" t="inlineStr">
        <is>
          <t>SCA</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54009-2025</t>
        </is>
      </c>
      <c r="B1479" s="1" t="n">
        <v>45961.61516203704</v>
      </c>
      <c r="C1479" s="1" t="n">
        <v>45997</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54160-2025</t>
        </is>
      </c>
      <c r="B1480" s="1" t="n">
        <v>45964.50528935185</v>
      </c>
      <c r="C1480" s="1" t="n">
        <v>45997</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52229-2024</t>
        </is>
      </c>
      <c r="B1481" s="1" t="n">
        <v>45608.60803240741</v>
      </c>
      <c r="C1481" s="1" t="n">
        <v>45997</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53844-2025</t>
        </is>
      </c>
      <c r="B1482" s="1" t="n">
        <v>45961.36488425926</v>
      </c>
      <c r="C1482" s="1" t="n">
        <v>45997</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54257-2025</t>
        </is>
      </c>
      <c r="B1483" s="1" t="n">
        <v>45964.65732638889</v>
      </c>
      <c r="C1483" s="1" t="n">
        <v>45997</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27516-2025</t>
        </is>
      </c>
      <c r="B1484" s="1" t="n">
        <v>45813.43526620371</v>
      </c>
      <c r="C1484" s="1" t="n">
        <v>45997</v>
      </c>
      <c r="D1484" t="inlineStr">
        <is>
          <t>JÄMTLANDS LÄN</t>
        </is>
      </c>
      <c r="E1484" t="inlineStr">
        <is>
          <t>BRÄCKE</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45081-2025</t>
        </is>
      </c>
      <c r="B1485" s="1" t="n">
        <v>45919.36574074074</v>
      </c>
      <c r="C1485" s="1" t="n">
        <v>45997</v>
      </c>
      <c r="D1485" t="inlineStr">
        <is>
          <t>JÄMTLANDS LÄN</t>
        </is>
      </c>
      <c r="E1485" t="inlineStr">
        <is>
          <t>BRÄCKE</t>
        </is>
      </c>
      <c r="F1485" t="inlineStr">
        <is>
          <t>SCA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27511-2025</t>
        </is>
      </c>
      <c r="B1486" s="1" t="n">
        <v>45813.42799768518</v>
      </c>
      <c r="C1486" s="1" t="n">
        <v>45997</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45589-2025</t>
        </is>
      </c>
      <c r="B1487" s="1" t="n">
        <v>45922.67697916667</v>
      </c>
      <c r="C1487" s="1" t="n">
        <v>45997</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50262-2025</t>
        </is>
      </c>
      <c r="B1488" s="1" t="n">
        <v>45944.34542824074</v>
      </c>
      <c r="C1488" s="1" t="n">
        <v>45997</v>
      </c>
      <c r="D1488" t="inlineStr">
        <is>
          <t>JÄMTLANDS LÄN</t>
        </is>
      </c>
      <c r="E1488" t="inlineStr">
        <is>
          <t>BRÄCKE</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27546-2025</t>
        </is>
      </c>
      <c r="B1489" s="1" t="n">
        <v>45813.46957175926</v>
      </c>
      <c r="C1489" s="1" t="n">
        <v>45997</v>
      </c>
      <c r="D1489" t="inlineStr">
        <is>
          <t>JÄMTLANDS LÄN</t>
        </is>
      </c>
      <c r="E1489" t="inlineStr">
        <is>
          <t>BRÄCKE</t>
        </is>
      </c>
      <c r="F1489" t="inlineStr">
        <is>
          <t>SCA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46017-2025</t>
        </is>
      </c>
      <c r="B1490" s="1" t="n">
        <v>45924.42774305555</v>
      </c>
      <c r="C1490" s="1" t="n">
        <v>45997</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54681-2025</t>
        </is>
      </c>
      <c r="B1491" s="1" t="n">
        <v>45966.42777777778</v>
      </c>
      <c r="C1491" s="1" t="n">
        <v>45997</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45797-2025</t>
        </is>
      </c>
      <c r="B1492" s="1" t="n">
        <v>45923.57422453703</v>
      </c>
      <c r="C1492" s="1" t="n">
        <v>45997</v>
      </c>
      <c r="D1492" t="inlineStr">
        <is>
          <t>JÄMTLANDS LÄN</t>
        </is>
      </c>
      <c r="E1492" t="inlineStr">
        <is>
          <t>BRÄCKE</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54793-2025</t>
        </is>
      </c>
      <c r="B1493" s="1" t="n">
        <v>45966.63584490741</v>
      </c>
      <c r="C1493" s="1" t="n">
        <v>45997</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54799-2025</t>
        </is>
      </c>
      <c r="B1494" s="1" t="n">
        <v>45966.63707175926</v>
      </c>
      <c r="C1494" s="1" t="n">
        <v>45997</v>
      </c>
      <c r="D1494" t="inlineStr">
        <is>
          <t>JÄMTLANDS LÄN</t>
        </is>
      </c>
      <c r="E1494" t="inlineStr">
        <is>
          <t>BRÄCKE</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54775-2025</t>
        </is>
      </c>
      <c r="B1495" s="1" t="n">
        <v>45966.61333333333</v>
      </c>
      <c r="C1495" s="1" t="n">
        <v>45997</v>
      </c>
      <c r="D1495" t="inlineStr">
        <is>
          <t>JÄMTLANDS LÄN</t>
        </is>
      </c>
      <c r="E1495" t="inlineStr">
        <is>
          <t>BRÄCKE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28198-2025</t>
        </is>
      </c>
      <c r="B1496" s="1" t="n">
        <v>45818.43175925926</v>
      </c>
      <c r="C1496" s="1" t="n">
        <v>45997</v>
      </c>
      <c r="D1496" t="inlineStr">
        <is>
          <t>JÄMTLANDS LÄN</t>
        </is>
      </c>
      <c r="E1496" t="inlineStr">
        <is>
          <t>BRÄCKE</t>
        </is>
      </c>
      <c r="F1496" t="inlineStr">
        <is>
          <t>Övriga Aktiebolag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24492-2025</t>
        </is>
      </c>
      <c r="B1497" s="1" t="n">
        <v>45798.38611111111</v>
      </c>
      <c r="C1497" s="1" t="n">
        <v>45997</v>
      </c>
      <c r="D1497" t="inlineStr">
        <is>
          <t>JÄMTLANDS LÄN</t>
        </is>
      </c>
      <c r="E1497" t="inlineStr">
        <is>
          <t>BRÄCKE</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54323-2025</t>
        </is>
      </c>
      <c r="B1498" s="1" t="n">
        <v>45965.34454861111</v>
      </c>
      <c r="C1498" s="1" t="n">
        <v>45997</v>
      </c>
      <c r="D1498" t="inlineStr">
        <is>
          <t>JÄMTLANDS LÄN</t>
        </is>
      </c>
      <c r="E1498" t="inlineStr">
        <is>
          <t>BRÄCKE</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46131-2025</t>
        </is>
      </c>
      <c r="B1499" s="1" t="n">
        <v>45924.59469907408</v>
      </c>
      <c r="C1499" s="1" t="n">
        <v>45997</v>
      </c>
      <c r="D1499" t="inlineStr">
        <is>
          <t>JÄMTLANDS LÄN</t>
        </is>
      </c>
      <c r="E1499" t="inlineStr">
        <is>
          <t>BRÄCKE</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46069-2025</t>
        </is>
      </c>
      <c r="B1500" s="1" t="n">
        <v>45924.48994212963</v>
      </c>
      <c r="C1500" s="1" t="n">
        <v>45997</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34102-2025</t>
        </is>
      </c>
      <c r="B1501" s="1" t="n">
        <v>45845.49</v>
      </c>
      <c r="C1501" s="1" t="n">
        <v>45997</v>
      </c>
      <c r="D1501" t="inlineStr">
        <is>
          <t>JÄMTLANDS LÄN</t>
        </is>
      </c>
      <c r="E1501" t="inlineStr">
        <is>
          <t>BRÄCKE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45703-2025</t>
        </is>
      </c>
      <c r="B1502" s="1" t="n">
        <v>45923.40854166666</v>
      </c>
      <c r="C1502" s="1" t="n">
        <v>45997</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46004-2025</t>
        </is>
      </c>
      <c r="B1503" s="1" t="n">
        <v>45924.40741898148</v>
      </c>
      <c r="C1503" s="1" t="n">
        <v>45997</v>
      </c>
      <c r="D1503" t="inlineStr">
        <is>
          <t>JÄMTLANDS LÄN</t>
        </is>
      </c>
      <c r="E1503" t="inlineStr">
        <is>
          <t>BRÄCKE</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10369-2025</t>
        </is>
      </c>
      <c r="B1504" s="1" t="n">
        <v>45720.55243055556</v>
      </c>
      <c r="C1504" s="1" t="n">
        <v>45997</v>
      </c>
      <c r="D1504" t="inlineStr">
        <is>
          <t>JÄMTLANDS LÄN</t>
        </is>
      </c>
      <c r="E1504" t="inlineStr">
        <is>
          <t>BRÄCKE</t>
        </is>
      </c>
      <c r="F1504" t="inlineStr">
        <is>
          <t>SCA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54642-2025</t>
        </is>
      </c>
      <c r="B1505" s="1" t="n">
        <v>45966.36555555555</v>
      </c>
      <c r="C1505" s="1" t="n">
        <v>45997</v>
      </c>
      <c r="D1505" t="inlineStr">
        <is>
          <t>JÄMTLANDS LÄN</t>
        </is>
      </c>
      <c r="E1505" t="inlineStr">
        <is>
          <t>BRÄCKE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28173-2025</t>
        </is>
      </c>
      <c r="B1506" s="1" t="n">
        <v>45818.38231481481</v>
      </c>
      <c r="C1506" s="1" t="n">
        <v>45997</v>
      </c>
      <c r="D1506" t="inlineStr">
        <is>
          <t>JÄMTLANDS LÄN</t>
        </is>
      </c>
      <c r="E1506" t="inlineStr">
        <is>
          <t>BRÄCKE</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46070-2025</t>
        </is>
      </c>
      <c r="B1507" s="1" t="n">
        <v>45924.49011574074</v>
      </c>
      <c r="C1507" s="1" t="n">
        <v>45997</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28210-2025</t>
        </is>
      </c>
      <c r="B1508" s="1" t="n">
        <v>45818.45143518518</v>
      </c>
      <c r="C1508" s="1" t="n">
        <v>45997</v>
      </c>
      <c r="D1508" t="inlineStr">
        <is>
          <t>JÄMTLANDS LÄN</t>
        </is>
      </c>
      <c r="E1508" t="inlineStr">
        <is>
          <t>BRÄCKE</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28323-2025</t>
        </is>
      </c>
      <c r="B1509" s="1" t="n">
        <v>45818.64758101852</v>
      </c>
      <c r="C1509" s="1" t="n">
        <v>45997</v>
      </c>
      <c r="D1509" t="inlineStr">
        <is>
          <t>JÄMTLANDS LÄN</t>
        </is>
      </c>
      <c r="E1509" t="inlineStr">
        <is>
          <t>BRÄCKE</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46005-2025</t>
        </is>
      </c>
      <c r="B1510" s="1" t="n">
        <v>45924.40751157407</v>
      </c>
      <c r="C1510" s="1" t="n">
        <v>45997</v>
      </c>
      <c r="D1510" t="inlineStr">
        <is>
          <t>JÄMTLANDS LÄN</t>
        </is>
      </c>
      <c r="E1510" t="inlineStr">
        <is>
          <t>BRÄCKE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46093-2025</t>
        </is>
      </c>
      <c r="B1511" s="1" t="n">
        <v>45924.53166666667</v>
      </c>
      <c r="C1511" s="1" t="n">
        <v>45997</v>
      </c>
      <c r="D1511" t="inlineStr">
        <is>
          <t>JÄMTLANDS LÄN</t>
        </is>
      </c>
      <c r="E1511" t="inlineStr">
        <is>
          <t>BRÄCKE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24490-2025</t>
        </is>
      </c>
      <c r="B1512" s="1" t="n">
        <v>45798.38594907407</v>
      </c>
      <c r="C1512" s="1" t="n">
        <v>45997</v>
      </c>
      <c r="D1512" t="inlineStr">
        <is>
          <t>JÄMTLANDS LÄN</t>
        </is>
      </c>
      <c r="E1512" t="inlineStr">
        <is>
          <t>BRÄCKE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50722-2025</t>
        </is>
      </c>
      <c r="B1513" s="1" t="n">
        <v>45946.34673611111</v>
      </c>
      <c r="C1513" s="1" t="n">
        <v>45997</v>
      </c>
      <c r="D1513" t="inlineStr">
        <is>
          <t>JÄMTLANDS LÄN</t>
        </is>
      </c>
      <c r="E1513" t="inlineStr">
        <is>
          <t>BRÄCKE</t>
        </is>
      </c>
      <c r="F1513" t="inlineStr">
        <is>
          <t>SCA</t>
        </is>
      </c>
      <c r="G1513" t="n">
        <v>22.7</v>
      </c>
      <c r="H1513" t="n">
        <v>0</v>
      </c>
      <c r="I1513" t="n">
        <v>0</v>
      </c>
      <c r="J1513" t="n">
        <v>0</v>
      </c>
      <c r="K1513" t="n">
        <v>0</v>
      </c>
      <c r="L1513" t="n">
        <v>0</v>
      </c>
      <c r="M1513" t="n">
        <v>0</v>
      </c>
      <c r="N1513" t="n">
        <v>0</v>
      </c>
      <c r="O1513" t="n">
        <v>0</v>
      </c>
      <c r="P1513" t="n">
        <v>0</v>
      </c>
      <c r="Q1513" t="n">
        <v>0</v>
      </c>
      <c r="R1513" s="2" t="inlineStr"/>
    </row>
    <row r="1514" ht="15" customHeight="1">
      <c r="A1514" t="inlineStr">
        <is>
          <t>A 54422-2025</t>
        </is>
      </c>
      <c r="B1514" s="1" t="n">
        <v>45965.48649305556</v>
      </c>
      <c r="C1514" s="1" t="n">
        <v>45997</v>
      </c>
      <c r="D1514" t="inlineStr">
        <is>
          <t>JÄMTLANDS LÄN</t>
        </is>
      </c>
      <c r="E1514" t="inlineStr">
        <is>
          <t>BRÄCKE</t>
        </is>
      </c>
      <c r="F1514" t="inlineStr">
        <is>
          <t>Övriga Aktiebolag</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54315-2025</t>
        </is>
      </c>
      <c r="B1515" s="1" t="n">
        <v>45965.32789351852</v>
      </c>
      <c r="C1515" s="1" t="n">
        <v>45997</v>
      </c>
      <c r="D1515" t="inlineStr">
        <is>
          <t>JÄMTLANDS LÄN</t>
        </is>
      </c>
      <c r="E1515" t="inlineStr">
        <is>
          <t>BRÄCKE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54316-2025</t>
        </is>
      </c>
      <c r="B1516" s="1" t="n">
        <v>45965.32975694445</v>
      </c>
      <c r="C1516" s="1" t="n">
        <v>45997</v>
      </c>
      <c r="D1516" t="inlineStr">
        <is>
          <t>JÄMTLANDS LÄN</t>
        </is>
      </c>
      <c r="E1516" t="inlineStr">
        <is>
          <t>BRÄCKE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28928-2025</t>
        </is>
      </c>
      <c r="B1517" s="1" t="n">
        <v>45820.67738425926</v>
      </c>
      <c r="C1517" s="1" t="n">
        <v>45997</v>
      </c>
      <c r="D1517" t="inlineStr">
        <is>
          <t>JÄMTLANDS LÄN</t>
        </is>
      </c>
      <c r="E1517" t="inlineStr">
        <is>
          <t>BRÄCKE</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46180-2025</t>
        </is>
      </c>
      <c r="B1518" s="1" t="n">
        <v>45924.65664351852</v>
      </c>
      <c r="C1518" s="1" t="n">
        <v>45997</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45698-2025</t>
        </is>
      </c>
      <c r="B1519" s="1" t="n">
        <v>45923.39917824074</v>
      </c>
      <c r="C1519" s="1" t="n">
        <v>45997</v>
      </c>
      <c r="D1519" t="inlineStr">
        <is>
          <t>JÄMTLANDS LÄN</t>
        </is>
      </c>
      <c r="E1519" t="inlineStr">
        <is>
          <t>BRÄCKE</t>
        </is>
      </c>
      <c r="F1519" t="inlineStr">
        <is>
          <t>Övriga Aktiebolag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58957-2025</t>
        </is>
      </c>
      <c r="B1520" s="1" t="n">
        <v>45987.59512731482</v>
      </c>
      <c r="C1520" s="1" t="n">
        <v>45997</v>
      </c>
      <c r="D1520" t="inlineStr">
        <is>
          <t>JÄMTLANDS LÄN</t>
        </is>
      </c>
      <c r="E1520" t="inlineStr">
        <is>
          <t>BRÄCKE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58854-2025</t>
        </is>
      </c>
      <c r="B1521" s="1" t="n">
        <v>45987.40699074074</v>
      </c>
      <c r="C1521" s="1" t="n">
        <v>45997</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28675-2025</t>
        </is>
      </c>
      <c r="B1522" s="1" t="n">
        <v>45819.67756944444</v>
      </c>
      <c r="C1522" s="1" t="n">
        <v>45997</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28636-2025</t>
        </is>
      </c>
      <c r="B1523" s="1" t="n">
        <v>45819.63576388889</v>
      </c>
      <c r="C1523" s="1" t="n">
        <v>45997</v>
      </c>
      <c r="D1523" t="inlineStr">
        <is>
          <t>JÄMTLANDS LÄN</t>
        </is>
      </c>
      <c r="E1523" t="inlineStr">
        <is>
          <t>BRÄCKE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45741-2025</t>
        </is>
      </c>
      <c r="B1524" s="1" t="n">
        <v>45923.46953703704</v>
      </c>
      <c r="C1524" s="1" t="n">
        <v>45997</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59285-2025</t>
        </is>
      </c>
      <c r="B1525" s="1" t="n">
        <v>45988.73943287037</v>
      </c>
      <c r="C1525" s="1" t="n">
        <v>45997</v>
      </c>
      <c r="D1525" t="inlineStr">
        <is>
          <t>JÄMTLANDS LÄN</t>
        </is>
      </c>
      <c r="E1525" t="inlineStr">
        <is>
          <t>BRÄCKE</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54741-2025</t>
        </is>
      </c>
      <c r="B1526" s="1" t="n">
        <v>45966.57350694444</v>
      </c>
      <c r="C1526" s="1" t="n">
        <v>45997</v>
      </c>
      <c r="D1526" t="inlineStr">
        <is>
          <t>JÄMTLANDS LÄN</t>
        </is>
      </c>
      <c r="E1526" t="inlineStr">
        <is>
          <t>BRÄCKE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45971-2025</t>
        </is>
      </c>
      <c r="B1527" s="1" t="n">
        <v>45924.36534722222</v>
      </c>
      <c r="C1527" s="1" t="n">
        <v>45997</v>
      </c>
      <c r="D1527" t="inlineStr">
        <is>
          <t>JÄMTLANDS LÄN</t>
        </is>
      </c>
      <c r="E1527" t="inlineStr">
        <is>
          <t>BRÄCKE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58826-2025</t>
        </is>
      </c>
      <c r="B1528" s="1" t="n">
        <v>45987.346875</v>
      </c>
      <c r="C1528" s="1" t="n">
        <v>45997</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50669-2025</t>
        </is>
      </c>
      <c r="B1529" s="1" t="n">
        <v>45945.70633101852</v>
      </c>
      <c r="C1529" s="1" t="n">
        <v>45997</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28937-2025</t>
        </is>
      </c>
      <c r="B1530" s="1" t="n">
        <v>45820.69825231482</v>
      </c>
      <c r="C1530" s="1" t="n">
        <v>45997</v>
      </c>
      <c r="D1530" t="inlineStr">
        <is>
          <t>JÄMTLANDS LÄN</t>
        </is>
      </c>
      <c r="E1530" t="inlineStr">
        <is>
          <t>BRÄCKE</t>
        </is>
      </c>
      <c r="F1530" t="inlineStr">
        <is>
          <t>SCA</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28656-2025</t>
        </is>
      </c>
      <c r="B1531" s="1" t="n">
        <v>45819.65671296296</v>
      </c>
      <c r="C1531" s="1" t="n">
        <v>45997</v>
      </c>
      <c r="D1531" t="inlineStr">
        <is>
          <t>JÄMTLANDS LÄN</t>
        </is>
      </c>
      <c r="E1531" t="inlineStr">
        <is>
          <t>BRÄCKE</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45740-2025</t>
        </is>
      </c>
      <c r="B1532" s="1" t="n">
        <v>45923.46938657408</v>
      </c>
      <c r="C1532" s="1" t="n">
        <v>45997</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29021-2025</t>
        </is>
      </c>
      <c r="B1533" s="1" t="n">
        <v>45821.42736111111</v>
      </c>
      <c r="C1533" s="1" t="n">
        <v>45997</v>
      </c>
      <c r="D1533" t="inlineStr">
        <is>
          <t>JÄMTLANDS LÄN</t>
        </is>
      </c>
      <c r="E1533" t="inlineStr">
        <is>
          <t>BRÄCKE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54372-2025</t>
        </is>
      </c>
      <c r="B1534" s="1" t="n">
        <v>45965.41297453704</v>
      </c>
      <c r="C1534" s="1" t="n">
        <v>45997</v>
      </c>
      <c r="D1534" t="inlineStr">
        <is>
          <t>JÄMTLANDS LÄN</t>
        </is>
      </c>
      <c r="E1534" t="inlineStr">
        <is>
          <t>BRÄCKE</t>
        </is>
      </c>
      <c r="F1534" t="inlineStr">
        <is>
          <t>Övriga Aktiebolag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29124-2025</t>
        </is>
      </c>
      <c r="B1535" s="1" t="n">
        <v>45821.59456018519</v>
      </c>
      <c r="C1535" s="1" t="n">
        <v>45997</v>
      </c>
      <c r="D1535" t="inlineStr">
        <is>
          <t>JÄMTLANDS LÄN</t>
        </is>
      </c>
      <c r="E1535" t="inlineStr">
        <is>
          <t>BRÄCKE</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55028-2025</t>
        </is>
      </c>
      <c r="B1536" s="1" t="n">
        <v>45967.63650462963</v>
      </c>
      <c r="C1536" s="1" t="n">
        <v>45997</v>
      </c>
      <c r="D1536" t="inlineStr">
        <is>
          <t>JÄMTLANDS LÄN</t>
        </is>
      </c>
      <c r="E1536" t="inlineStr">
        <is>
          <t>BRÄCKE</t>
        </is>
      </c>
      <c r="F1536" t="inlineStr">
        <is>
          <t>SCA</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46625-2025</t>
        </is>
      </c>
      <c r="B1537" s="1" t="n">
        <v>45926.44857638889</v>
      </c>
      <c r="C1537" s="1" t="n">
        <v>45997</v>
      </c>
      <c r="D1537" t="inlineStr">
        <is>
          <t>JÄMTLANDS LÄN</t>
        </is>
      </c>
      <c r="E1537" t="inlineStr">
        <is>
          <t>BRÄCKE</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29038-2025</t>
        </is>
      </c>
      <c r="B1538" s="1" t="n">
        <v>45821.44832175926</v>
      </c>
      <c r="C1538" s="1" t="n">
        <v>45997</v>
      </c>
      <c r="D1538" t="inlineStr">
        <is>
          <t>JÄMTLANDS LÄN</t>
        </is>
      </c>
      <c r="E1538" t="inlineStr">
        <is>
          <t>BRÄCKE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28972-2025</t>
        </is>
      </c>
      <c r="B1539" s="1" t="n">
        <v>45821.34505787037</v>
      </c>
      <c r="C1539" s="1" t="n">
        <v>45997</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51452-2025</t>
        </is>
      </c>
      <c r="B1540" s="1" t="n">
        <v>45950.59430555555</v>
      </c>
      <c r="C1540" s="1" t="n">
        <v>45997</v>
      </c>
      <c r="D1540" t="inlineStr">
        <is>
          <t>JÄMTLANDS LÄN</t>
        </is>
      </c>
      <c r="E1540" t="inlineStr">
        <is>
          <t>BRÄCKE</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54885-2025</t>
        </is>
      </c>
      <c r="B1541" s="1" t="n">
        <v>45967.34465277778</v>
      </c>
      <c r="C1541" s="1" t="n">
        <v>45997</v>
      </c>
      <c r="D1541" t="inlineStr">
        <is>
          <t>JÄMTLANDS LÄN</t>
        </is>
      </c>
      <c r="E1541" t="inlineStr">
        <is>
          <t>BRÄCKE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54886-2025</t>
        </is>
      </c>
      <c r="B1542" s="1" t="n">
        <v>45967.34481481482</v>
      </c>
      <c r="C1542" s="1" t="n">
        <v>45997</v>
      </c>
      <c r="D1542" t="inlineStr">
        <is>
          <t>JÄMTLANDS LÄN</t>
        </is>
      </c>
      <c r="E1542" t="inlineStr">
        <is>
          <t>BRÄCKE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54888-2025</t>
        </is>
      </c>
      <c r="B1543" s="1" t="n">
        <v>45967.34487268519</v>
      </c>
      <c r="C1543" s="1" t="n">
        <v>45997</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59323-2025</t>
        </is>
      </c>
      <c r="B1544" s="1" t="n">
        <v>45989.34443287037</v>
      </c>
      <c r="C1544" s="1" t="n">
        <v>45997</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46623-2025</t>
        </is>
      </c>
      <c r="B1545" s="1" t="n">
        <v>45926.44829861111</v>
      </c>
      <c r="C1545" s="1" t="n">
        <v>45997</v>
      </c>
      <c r="D1545" t="inlineStr">
        <is>
          <t>JÄMTLANDS LÄN</t>
        </is>
      </c>
      <c r="E1545" t="inlineStr">
        <is>
          <t>BRÄCKE</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46624-2025</t>
        </is>
      </c>
      <c r="B1546" s="1" t="n">
        <v>45926.44844907407</v>
      </c>
      <c r="C1546" s="1" t="n">
        <v>45997</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29431-2025</t>
        </is>
      </c>
      <c r="B1547" s="1" t="n">
        <v>45824.65053240741</v>
      </c>
      <c r="C1547" s="1" t="n">
        <v>45997</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46216-2025</t>
        </is>
      </c>
      <c r="B1548" s="1" t="n">
        <v>45924.84655092593</v>
      </c>
      <c r="C1548" s="1" t="n">
        <v>45997</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29091-2025</t>
        </is>
      </c>
      <c r="B1549" s="1" t="n">
        <v>45821.55241898148</v>
      </c>
      <c r="C1549" s="1" t="n">
        <v>45997</v>
      </c>
      <c r="D1549" t="inlineStr">
        <is>
          <t>JÄMTLANDS LÄN</t>
        </is>
      </c>
      <c r="E1549" t="inlineStr">
        <is>
          <t>BRÄCKE</t>
        </is>
      </c>
      <c r="F1549" t="inlineStr">
        <is>
          <t>SCA</t>
        </is>
      </c>
      <c r="G1549" t="n">
        <v>13.8</v>
      </c>
      <c r="H1549" t="n">
        <v>0</v>
      </c>
      <c r="I1549" t="n">
        <v>0</v>
      </c>
      <c r="J1549" t="n">
        <v>0</v>
      </c>
      <c r="K1549" t="n">
        <v>0</v>
      </c>
      <c r="L1549" t="n">
        <v>0</v>
      </c>
      <c r="M1549" t="n">
        <v>0</v>
      </c>
      <c r="N1549" t="n">
        <v>0</v>
      </c>
      <c r="O1549" t="n">
        <v>0</v>
      </c>
      <c r="P1549" t="n">
        <v>0</v>
      </c>
      <c r="Q1549" t="n">
        <v>0</v>
      </c>
      <c r="R1549" s="2" t="inlineStr"/>
    </row>
    <row r="1550" ht="15" customHeight="1">
      <c r="A1550" t="inlineStr">
        <is>
          <t>A 29909-2025</t>
        </is>
      </c>
      <c r="B1550" s="1" t="n">
        <v>45826.40671296296</v>
      </c>
      <c r="C1550" s="1" t="n">
        <v>45997</v>
      </c>
      <c r="D1550" t="inlineStr">
        <is>
          <t>JÄMTLANDS LÄN</t>
        </is>
      </c>
      <c r="E1550" t="inlineStr">
        <is>
          <t>BRÄCKE</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29763-2025</t>
        </is>
      </c>
      <c r="B1551" s="1" t="n">
        <v>45825.61837962963</v>
      </c>
      <c r="C1551" s="1" t="n">
        <v>45997</v>
      </c>
      <c r="D1551" t="inlineStr">
        <is>
          <t>JÄMTLANDS LÄN</t>
        </is>
      </c>
      <c r="E1551" t="inlineStr">
        <is>
          <t>BRÄCKE</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46217-2025</t>
        </is>
      </c>
      <c r="B1552" s="1" t="n">
        <v>45924.8475925926</v>
      </c>
      <c r="C1552" s="1" t="n">
        <v>45997</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30014-2025</t>
        </is>
      </c>
      <c r="B1553" s="1" t="n">
        <v>45826.55246527777</v>
      </c>
      <c r="C1553" s="1" t="n">
        <v>45997</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30016-2025</t>
        </is>
      </c>
      <c r="B1554" s="1" t="n">
        <v>45826.55288194444</v>
      </c>
      <c r="C1554" s="1" t="n">
        <v>45997</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29996-2025</t>
        </is>
      </c>
      <c r="B1555" s="1" t="n">
        <v>45826.51090277778</v>
      </c>
      <c r="C1555" s="1" t="n">
        <v>45997</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51204-2025</t>
        </is>
      </c>
      <c r="B1556" s="1" t="n">
        <v>45947.63607638889</v>
      </c>
      <c r="C1556" s="1" t="n">
        <v>45997</v>
      </c>
      <c r="D1556" t="inlineStr">
        <is>
          <t>JÄMTLANDS LÄN</t>
        </is>
      </c>
      <c r="E1556" t="inlineStr">
        <is>
          <t>BRÄCKE</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51205-2025</t>
        </is>
      </c>
      <c r="B1557" s="1" t="n">
        <v>45947.63615740741</v>
      </c>
      <c r="C1557" s="1" t="n">
        <v>45997</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29534-2025</t>
        </is>
      </c>
      <c r="B1558" s="1" t="n">
        <v>45825.34476851852</v>
      </c>
      <c r="C1558" s="1" t="n">
        <v>45997</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59544-2025</t>
        </is>
      </c>
      <c r="B1559" s="1" t="n">
        <v>45990.34483796296</v>
      </c>
      <c r="C1559" s="1" t="n">
        <v>45997</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59545-2025</t>
        </is>
      </c>
      <c r="B1560" s="1" t="n">
        <v>45990.34488425926</v>
      </c>
      <c r="C1560" s="1" t="n">
        <v>45997</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59547-2025</t>
        </is>
      </c>
      <c r="B1561" s="1" t="n">
        <v>45990.34509259259</v>
      </c>
      <c r="C1561" s="1" t="n">
        <v>45997</v>
      </c>
      <c r="D1561" t="inlineStr">
        <is>
          <t>JÄMTLANDS LÄN</t>
        </is>
      </c>
      <c r="E1561" t="inlineStr">
        <is>
          <t>BRÄCKE</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46686-2025</t>
        </is>
      </c>
      <c r="B1562" s="1" t="n">
        <v>45926.55258101852</v>
      </c>
      <c r="C1562" s="1" t="n">
        <v>45997</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55149-2025</t>
        </is>
      </c>
      <c r="B1563" s="1" t="n">
        <v>45968.44840277778</v>
      </c>
      <c r="C1563" s="1" t="n">
        <v>45997</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55138-2025</t>
        </is>
      </c>
      <c r="B1564" s="1" t="n">
        <v>45968.42784722222</v>
      </c>
      <c r="C1564" s="1" t="n">
        <v>45997</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54887-2025</t>
        </is>
      </c>
      <c r="B1565" s="1" t="n">
        <v>45967.34484953704</v>
      </c>
      <c r="C1565" s="1" t="n">
        <v>45997</v>
      </c>
      <c r="D1565" t="inlineStr">
        <is>
          <t>JÄMTLANDS LÄN</t>
        </is>
      </c>
      <c r="E1565" t="inlineStr">
        <is>
          <t>BRÄCKE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46218-2025</t>
        </is>
      </c>
      <c r="B1566" s="1" t="n">
        <v>45924.851875</v>
      </c>
      <c r="C1566" s="1" t="n">
        <v>45997</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30310-2025</t>
        </is>
      </c>
      <c r="B1567" s="1" t="n">
        <v>45827.48996527777</v>
      </c>
      <c r="C1567" s="1" t="n">
        <v>45997</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30317-2025</t>
        </is>
      </c>
      <c r="B1568" s="1" t="n">
        <v>45827.49087962963</v>
      </c>
      <c r="C1568" s="1" t="n">
        <v>45997</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30393-2025</t>
        </is>
      </c>
      <c r="B1569" s="1" t="n">
        <v>45827.57416666667</v>
      </c>
      <c r="C1569" s="1" t="n">
        <v>45997</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59543-2025</t>
        </is>
      </c>
      <c r="B1570" s="1" t="n">
        <v>45990.34466435185</v>
      </c>
      <c r="C1570" s="1" t="n">
        <v>45997</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59542-2025</t>
        </is>
      </c>
      <c r="B1571" s="1" t="n">
        <v>45990.34454861111</v>
      </c>
      <c r="C1571" s="1" t="n">
        <v>45997</v>
      </c>
      <c r="D1571" t="inlineStr">
        <is>
          <t>JÄMTLANDS LÄN</t>
        </is>
      </c>
      <c r="E1571" t="inlineStr">
        <is>
          <t>BRÄCKE</t>
        </is>
      </c>
      <c r="F1571" t="inlineStr">
        <is>
          <t>SCA</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54904-2025</t>
        </is>
      </c>
      <c r="B1572" s="1" t="n">
        <v>45967.36640046296</v>
      </c>
      <c r="C1572" s="1" t="n">
        <v>45997</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30424-2025</t>
        </is>
      </c>
      <c r="B1573" s="1" t="n">
        <v>45827.61495370371</v>
      </c>
      <c r="C1573" s="1" t="n">
        <v>45997</v>
      </c>
      <c r="D1573" t="inlineStr">
        <is>
          <t>JÄMTLANDS LÄN</t>
        </is>
      </c>
      <c r="E1573" t="inlineStr">
        <is>
          <t>BRÄCKE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30391-2025</t>
        </is>
      </c>
      <c r="B1574" s="1" t="n">
        <v>45827.57387731481</v>
      </c>
      <c r="C1574" s="1" t="n">
        <v>45997</v>
      </c>
      <c r="D1574" t="inlineStr">
        <is>
          <t>JÄMTLANDS LÄN</t>
        </is>
      </c>
      <c r="E1574" t="inlineStr">
        <is>
          <t>BRÄCKE</t>
        </is>
      </c>
      <c r="F1574" t="inlineStr">
        <is>
          <t>SCA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30425-2025</t>
        </is>
      </c>
      <c r="B1575" s="1" t="n">
        <v>45827.61511574074</v>
      </c>
      <c r="C1575" s="1" t="n">
        <v>45997</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55069-2025</t>
        </is>
      </c>
      <c r="B1576" s="1" t="n">
        <v>45967.72344907407</v>
      </c>
      <c r="C1576" s="1" t="n">
        <v>45997</v>
      </c>
      <c r="D1576" t="inlineStr">
        <is>
          <t>JÄMTLANDS LÄN</t>
        </is>
      </c>
      <c r="E1576" t="inlineStr">
        <is>
          <t>BRÄCKE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30392-2025</t>
        </is>
      </c>
      <c r="B1577" s="1" t="n">
        <v>45827.5740162037</v>
      </c>
      <c r="C1577" s="1" t="n">
        <v>45997</v>
      </c>
      <c r="D1577" t="inlineStr">
        <is>
          <t>JÄMTLANDS LÄN</t>
        </is>
      </c>
      <c r="E1577" t="inlineStr">
        <is>
          <t>BRÄCKE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47319-2025</t>
        </is>
      </c>
      <c r="B1578" s="1" t="n">
        <v>45930.55253472222</v>
      </c>
      <c r="C1578" s="1" t="n">
        <v>45997</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30313-2025</t>
        </is>
      </c>
      <c r="B1579" s="1" t="n">
        <v>45827.49033564814</v>
      </c>
      <c r="C1579" s="1" t="n">
        <v>45997</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51619-2025</t>
        </is>
      </c>
      <c r="B1580" s="1" t="n">
        <v>45951.41025462963</v>
      </c>
      <c r="C1580" s="1" t="n">
        <v>45997</v>
      </c>
      <c r="D1580" t="inlineStr">
        <is>
          <t>JÄMTLANDS LÄN</t>
        </is>
      </c>
      <c r="E1580" t="inlineStr">
        <is>
          <t>BRÄCKE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51625-2025</t>
        </is>
      </c>
      <c r="B1581" s="1" t="n">
        <v>45951.41704861111</v>
      </c>
      <c r="C1581" s="1" t="n">
        <v>45997</v>
      </c>
      <c r="D1581" t="inlineStr">
        <is>
          <t>JÄMTLANDS LÄN</t>
        </is>
      </c>
      <c r="E1581" t="inlineStr">
        <is>
          <t>BRÄCKE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30732-2025</t>
        </is>
      </c>
      <c r="B1582" s="1" t="n">
        <v>45831.57324074074</v>
      </c>
      <c r="C1582" s="1" t="n">
        <v>45997</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30619-2025</t>
        </is>
      </c>
      <c r="B1583" s="1" t="n">
        <v>45831.46922453704</v>
      </c>
      <c r="C1583" s="1" t="n">
        <v>45997</v>
      </c>
      <c r="D1583" t="inlineStr">
        <is>
          <t>JÄMTLANDS LÄN</t>
        </is>
      </c>
      <c r="E1583" t="inlineStr">
        <is>
          <t>BRÄCKE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51612-2025</t>
        </is>
      </c>
      <c r="B1584" s="1" t="n">
        <v>45951.39751157408</v>
      </c>
      <c r="C1584" s="1" t="n">
        <v>45997</v>
      </c>
      <c r="D1584" t="inlineStr">
        <is>
          <t>JÄMTLANDS LÄN</t>
        </is>
      </c>
      <c r="E1584" t="inlineStr">
        <is>
          <t>BRÄCKE</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51616-2025</t>
        </is>
      </c>
      <c r="B1585" s="1" t="n">
        <v>45951.40637731482</v>
      </c>
      <c r="C1585" s="1" t="n">
        <v>45997</v>
      </c>
      <c r="D1585" t="inlineStr">
        <is>
          <t>JÄMTLANDS LÄN</t>
        </is>
      </c>
      <c r="E1585" t="inlineStr">
        <is>
          <t>BRÄCKE</t>
        </is>
      </c>
      <c r="G1585" t="n">
        <v>18.9</v>
      </c>
      <c r="H1585" t="n">
        <v>0</v>
      </c>
      <c r="I1585" t="n">
        <v>0</v>
      </c>
      <c r="J1585" t="n">
        <v>0</v>
      </c>
      <c r="K1585" t="n">
        <v>0</v>
      </c>
      <c r="L1585" t="n">
        <v>0</v>
      </c>
      <c r="M1585" t="n">
        <v>0</v>
      </c>
      <c r="N1585" t="n">
        <v>0</v>
      </c>
      <c r="O1585" t="n">
        <v>0</v>
      </c>
      <c r="P1585" t="n">
        <v>0</v>
      </c>
      <c r="Q1585" t="n">
        <v>0</v>
      </c>
      <c r="R1585" s="2" t="inlineStr"/>
    </row>
    <row r="1586" ht="15" customHeight="1">
      <c r="A1586" t="inlineStr">
        <is>
          <t>A 60295-2025</t>
        </is>
      </c>
      <c r="B1586" s="1" t="n">
        <v>45994.65680555555</v>
      </c>
      <c r="C1586" s="1" t="n">
        <v>45997</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31138-2025</t>
        </is>
      </c>
      <c r="B1587" s="1" t="n">
        <v>45832.63618055556</v>
      </c>
      <c r="C1587" s="1" t="n">
        <v>45997</v>
      </c>
      <c r="D1587" t="inlineStr">
        <is>
          <t>JÄMTLANDS LÄN</t>
        </is>
      </c>
      <c r="E1587" t="inlineStr">
        <is>
          <t>BRÄCKE</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60321-2025</t>
        </is>
      </c>
      <c r="B1588" s="1" t="n">
        <v>45994.71998842592</v>
      </c>
      <c r="C1588" s="1" t="n">
        <v>45997</v>
      </c>
      <c r="D1588" t="inlineStr">
        <is>
          <t>JÄMTLANDS LÄN</t>
        </is>
      </c>
      <c r="E1588" t="inlineStr">
        <is>
          <t>BRÄCKE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60052-2025</t>
        </is>
      </c>
      <c r="B1589" s="1" t="n">
        <v>45993.63590277778</v>
      </c>
      <c r="C1589" s="1" t="n">
        <v>45997</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30714-2025</t>
        </is>
      </c>
      <c r="B1590" s="1" t="n">
        <v>45831.55284722222</v>
      </c>
      <c r="C1590" s="1" t="n">
        <v>45997</v>
      </c>
      <c r="D1590" t="inlineStr">
        <is>
          <t>JÄMTLANDS LÄN</t>
        </is>
      </c>
      <c r="E1590" t="inlineStr">
        <is>
          <t>BRÄCKE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31059-2025</t>
        </is>
      </c>
      <c r="B1591" s="1" t="n">
        <v>45832.5734837963</v>
      </c>
      <c r="C1591" s="1" t="n">
        <v>45997</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51858-2025</t>
        </is>
      </c>
      <c r="B1592" s="1" t="n">
        <v>45952.36511574074</v>
      </c>
      <c r="C1592" s="1" t="n">
        <v>45997</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51964-2025</t>
        </is>
      </c>
      <c r="B1593" s="1" t="n">
        <v>45952.55321759259</v>
      </c>
      <c r="C1593" s="1" t="n">
        <v>45997</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51965-2025</t>
        </is>
      </c>
      <c r="B1594" s="1" t="n">
        <v>45952.55327546296</v>
      </c>
      <c r="C1594" s="1" t="n">
        <v>45997</v>
      </c>
      <c r="D1594" t="inlineStr">
        <is>
          <t>JÄMTLANDS LÄN</t>
        </is>
      </c>
      <c r="E1594" t="inlineStr">
        <is>
          <t>BRÄCKE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51620-2025</t>
        </is>
      </c>
      <c r="B1595" s="1" t="n">
        <v>45951.4128125</v>
      </c>
      <c r="C1595" s="1" t="n">
        <v>45997</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51623-2025</t>
        </is>
      </c>
      <c r="B1596" s="1" t="n">
        <v>45951.41578703704</v>
      </c>
      <c r="C1596" s="1" t="n">
        <v>45997</v>
      </c>
      <c r="D1596" t="inlineStr">
        <is>
          <t>JÄMTLANDS LÄN</t>
        </is>
      </c>
      <c r="E1596" t="inlineStr">
        <is>
          <t>BRÄCKE</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51614-2025</t>
        </is>
      </c>
      <c r="B1597" s="1" t="n">
        <v>45951.40204861111</v>
      </c>
      <c r="C1597" s="1" t="n">
        <v>45997</v>
      </c>
      <c r="D1597" t="inlineStr">
        <is>
          <t>JÄMTLANDS LÄN</t>
        </is>
      </c>
      <c r="E1597" t="inlineStr">
        <is>
          <t>BRÄCKE</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60053-2025</t>
        </is>
      </c>
      <c r="B1598" s="1" t="n">
        <v>45993.63614583333</v>
      </c>
      <c r="C1598" s="1" t="n">
        <v>45997</v>
      </c>
      <c r="D1598" t="inlineStr">
        <is>
          <t>JÄMTLANDS LÄN</t>
        </is>
      </c>
      <c r="E1598" t="inlineStr">
        <is>
          <t>BRÄCKE</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60221-2025</t>
        </is>
      </c>
      <c r="B1599" s="1" t="n">
        <v>45994.54357638889</v>
      </c>
      <c r="C1599" s="1" t="n">
        <v>45997</v>
      </c>
      <c r="D1599" t="inlineStr">
        <is>
          <t>JÄMTLANDS LÄN</t>
        </is>
      </c>
      <c r="E1599" t="inlineStr">
        <is>
          <t>BRÄCKE</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31668-2025</t>
        </is>
      </c>
      <c r="B1600" s="1" t="n">
        <v>45834.36533564814</v>
      </c>
      <c r="C1600" s="1" t="n">
        <v>45997</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31806-2025</t>
        </is>
      </c>
      <c r="B1601" s="1" t="n">
        <v>45834.55449074074</v>
      </c>
      <c r="C1601" s="1" t="n">
        <v>45997</v>
      </c>
      <c r="D1601" t="inlineStr">
        <is>
          <t>JÄMTLANDS LÄN</t>
        </is>
      </c>
      <c r="E1601" t="inlineStr">
        <is>
          <t>BRÄCKE</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31425-2025</t>
        </is>
      </c>
      <c r="B1602" s="1" t="n">
        <v>45833.49023148148</v>
      </c>
      <c r="C1602" s="1" t="n">
        <v>45997</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60132-2025</t>
        </is>
      </c>
      <c r="B1603" s="1" t="n">
        <v>45994.34591435185</v>
      </c>
      <c r="C1603" s="1" t="n">
        <v>45997</v>
      </c>
      <c r="D1603" t="inlineStr">
        <is>
          <t>JÄMTLANDS LÄN</t>
        </is>
      </c>
      <c r="E1603" t="inlineStr">
        <is>
          <t>BRÄCKE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31482-2025</t>
        </is>
      </c>
      <c r="B1604" s="1" t="n">
        <v>45833.57390046296</v>
      </c>
      <c r="C1604" s="1" t="n">
        <v>45997</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60248-2025</t>
        </is>
      </c>
      <c r="B1605" s="1" t="n">
        <v>45994.59428240741</v>
      </c>
      <c r="C1605" s="1" t="n">
        <v>45997</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31794-2025</t>
        </is>
      </c>
      <c r="B1606" s="1" t="n">
        <v>45834.54390046297</v>
      </c>
      <c r="C1606" s="1" t="n">
        <v>45997</v>
      </c>
      <c r="D1606" t="inlineStr">
        <is>
          <t>JÄMTLANDS LÄN</t>
        </is>
      </c>
      <c r="E1606" t="inlineStr">
        <is>
          <t>BRÄCKE</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31819-2025</t>
        </is>
      </c>
      <c r="B1607" s="1" t="n">
        <v>45834.57891203704</v>
      </c>
      <c r="C1607" s="1" t="n">
        <v>45997</v>
      </c>
      <c r="D1607" t="inlineStr">
        <is>
          <t>JÄMTLANDS LÄN</t>
        </is>
      </c>
      <c r="E1607" t="inlineStr">
        <is>
          <t>BRÄCKE</t>
        </is>
      </c>
      <c r="F1607" t="inlineStr">
        <is>
          <t>Övriga Aktiebolag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31832-2025</t>
        </is>
      </c>
      <c r="B1608" s="1" t="n">
        <v>45834.59207175926</v>
      </c>
      <c r="C1608" s="1" t="n">
        <v>45997</v>
      </c>
      <c r="D1608" t="inlineStr">
        <is>
          <t>JÄMTLANDS LÄN</t>
        </is>
      </c>
      <c r="E1608" t="inlineStr">
        <is>
          <t>BRÄCKE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51777-2025</t>
        </is>
      </c>
      <c r="B1609" s="1" t="n">
        <v>45951.65680555555</v>
      </c>
      <c r="C1609" s="1" t="n">
        <v>45997</v>
      </c>
      <c r="D1609" t="inlineStr">
        <is>
          <t>JÄMTLANDS LÄN</t>
        </is>
      </c>
      <c r="E1609" t="inlineStr">
        <is>
          <t>BRÄCKE</t>
        </is>
      </c>
      <c r="F1609" t="inlineStr">
        <is>
          <t>SCA</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31274-2025</t>
        </is>
      </c>
      <c r="B1610" s="1" t="n">
        <v>45833.34435185185</v>
      </c>
      <c r="C1610" s="1" t="n">
        <v>45997</v>
      </c>
      <c r="D1610" t="inlineStr">
        <is>
          <t>JÄMTLANDS LÄN</t>
        </is>
      </c>
      <c r="E1610" t="inlineStr">
        <is>
          <t>BRÄCKE</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58972-2025</t>
        </is>
      </c>
      <c r="B1611" s="1" t="n">
        <v>45987</v>
      </c>
      <c r="C1611" s="1" t="n">
        <v>45997</v>
      </c>
      <c r="D1611" t="inlineStr">
        <is>
          <t>JÄMTLANDS LÄN</t>
        </is>
      </c>
      <c r="E1611" t="inlineStr">
        <is>
          <t>BRÄCKE</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59976-2025</t>
        </is>
      </c>
      <c r="B1612" s="1" t="n">
        <v>45993.51091435185</v>
      </c>
      <c r="C1612" s="1" t="n">
        <v>45997</v>
      </c>
      <c r="D1612" t="inlineStr">
        <is>
          <t>JÄMTLANDS LÄN</t>
        </is>
      </c>
      <c r="E1612" t="inlineStr">
        <is>
          <t>BRÄCKE</t>
        </is>
      </c>
      <c r="F1612" t="inlineStr">
        <is>
          <t>SCA</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51574-2025</t>
        </is>
      </c>
      <c r="B1613" s="1" t="n">
        <v>45951.34423611111</v>
      </c>
      <c r="C1613" s="1" t="n">
        <v>45997</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31379-2025</t>
        </is>
      </c>
      <c r="B1614" s="1" t="n">
        <v>45833.44856481482</v>
      </c>
      <c r="C1614" s="1" t="n">
        <v>45997</v>
      </c>
      <c r="D1614" t="inlineStr">
        <is>
          <t>JÄMTLANDS LÄN</t>
        </is>
      </c>
      <c r="E1614" t="inlineStr">
        <is>
          <t>BRÄCKE</t>
        </is>
      </c>
      <c r="F1614" t="inlineStr">
        <is>
          <t>SCA</t>
        </is>
      </c>
      <c r="G1614" t="n">
        <v>10.2</v>
      </c>
      <c r="H1614" t="n">
        <v>0</v>
      </c>
      <c r="I1614" t="n">
        <v>0</v>
      </c>
      <c r="J1614" t="n">
        <v>0</v>
      </c>
      <c r="K1614" t="n">
        <v>0</v>
      </c>
      <c r="L1614" t="n">
        <v>0</v>
      </c>
      <c r="M1614" t="n">
        <v>0</v>
      </c>
      <c r="N1614" t="n">
        <v>0</v>
      </c>
      <c r="O1614" t="n">
        <v>0</v>
      </c>
      <c r="P1614" t="n">
        <v>0</v>
      </c>
      <c r="Q1614" t="n">
        <v>0</v>
      </c>
      <c r="R1614" s="2" t="inlineStr"/>
    </row>
    <row r="1615" ht="15" customHeight="1">
      <c r="A1615" t="inlineStr">
        <is>
          <t>A 51839-2025</t>
        </is>
      </c>
      <c r="B1615" s="1" t="n">
        <v>45952.34472222222</v>
      </c>
      <c r="C1615" s="1" t="n">
        <v>45997</v>
      </c>
      <c r="D1615" t="inlineStr">
        <is>
          <t>JÄMTLANDS LÄN</t>
        </is>
      </c>
      <c r="E1615" t="inlineStr">
        <is>
          <t>BRÄCKE</t>
        </is>
      </c>
      <c r="F1615" t="inlineStr">
        <is>
          <t>SCA</t>
        </is>
      </c>
      <c r="G1615" t="n">
        <v>17.5</v>
      </c>
      <c r="H1615" t="n">
        <v>0</v>
      </c>
      <c r="I1615" t="n">
        <v>0</v>
      </c>
      <c r="J1615" t="n">
        <v>0</v>
      </c>
      <c r="K1615" t="n">
        <v>0</v>
      </c>
      <c r="L1615" t="n">
        <v>0</v>
      </c>
      <c r="M1615" t="n">
        <v>0</v>
      </c>
      <c r="N1615" t="n">
        <v>0</v>
      </c>
      <c r="O1615" t="n">
        <v>0</v>
      </c>
      <c r="P1615" t="n">
        <v>0</v>
      </c>
      <c r="Q1615" t="n">
        <v>0</v>
      </c>
      <c r="R1615" s="2" t="inlineStr"/>
    </row>
    <row r="1616" ht="15" customHeight="1">
      <c r="A1616" t="inlineStr">
        <is>
          <t>A 31728-2025</t>
        </is>
      </c>
      <c r="B1616" s="1" t="n">
        <v>45834.46925925926</v>
      </c>
      <c r="C1616" s="1" t="n">
        <v>45997</v>
      </c>
      <c r="D1616" t="inlineStr">
        <is>
          <t>JÄMTLANDS LÄN</t>
        </is>
      </c>
      <c r="E1616" t="inlineStr">
        <is>
          <t>BRÄCKE</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52342-2025</t>
        </is>
      </c>
      <c r="B1617" s="1" t="n">
        <v>45953.71928240741</v>
      </c>
      <c r="C1617" s="1" t="n">
        <v>45997</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52343-2025</t>
        </is>
      </c>
      <c r="B1618" s="1" t="n">
        <v>45953.71953703704</v>
      </c>
      <c r="C1618" s="1" t="n">
        <v>45997</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52345-2025</t>
        </is>
      </c>
      <c r="B1619" s="1" t="n">
        <v>45953.71998842592</v>
      </c>
      <c r="C1619" s="1" t="n">
        <v>45997</v>
      </c>
      <c r="D1619" t="inlineStr">
        <is>
          <t>JÄMTLANDS LÄN</t>
        </is>
      </c>
      <c r="E1619" t="inlineStr">
        <is>
          <t>BRÄCKE</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52346-2025</t>
        </is>
      </c>
      <c r="B1620" s="1" t="n">
        <v>45953</v>
      </c>
      <c r="C1620" s="1" t="n">
        <v>45997</v>
      </c>
      <c r="D1620" t="inlineStr">
        <is>
          <t>JÄMTLANDS LÄN</t>
        </is>
      </c>
      <c r="E1620" t="inlineStr">
        <is>
          <t>BRÄCKE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52347-2025</t>
        </is>
      </c>
      <c r="B1621" s="1" t="n">
        <v>45953.72041666666</v>
      </c>
      <c r="C1621" s="1" t="n">
        <v>45997</v>
      </c>
      <c r="D1621" t="inlineStr">
        <is>
          <t>JÄMTLANDS LÄN</t>
        </is>
      </c>
      <c r="E1621" t="inlineStr">
        <is>
          <t>BRÄCKE</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31696-2025</t>
        </is>
      </c>
      <c r="B1622" s="1" t="n">
        <v>45834.40726851852</v>
      </c>
      <c r="C1622" s="1" t="n">
        <v>45997</v>
      </c>
      <c r="D1622" t="inlineStr">
        <is>
          <t>JÄMTLANDS LÄN</t>
        </is>
      </c>
      <c r="E1622" t="inlineStr">
        <is>
          <t>BRÄCKE</t>
        </is>
      </c>
      <c r="F1622" t="inlineStr">
        <is>
          <t>SCA</t>
        </is>
      </c>
      <c r="G1622" t="n">
        <v>15.8</v>
      </c>
      <c r="H1622" t="n">
        <v>0</v>
      </c>
      <c r="I1622" t="n">
        <v>0</v>
      </c>
      <c r="J1622" t="n">
        <v>0</v>
      </c>
      <c r="K1622" t="n">
        <v>0</v>
      </c>
      <c r="L1622" t="n">
        <v>0</v>
      </c>
      <c r="M1622" t="n">
        <v>0</v>
      </c>
      <c r="N1622" t="n">
        <v>0</v>
      </c>
      <c r="O1622" t="n">
        <v>0</v>
      </c>
      <c r="P1622" t="n">
        <v>0</v>
      </c>
      <c r="Q1622" t="n">
        <v>0</v>
      </c>
      <c r="R1622" s="2" t="inlineStr"/>
    </row>
    <row r="1623" ht="15" customHeight="1">
      <c r="A1623" t="inlineStr">
        <is>
          <t>A 31749-2025</t>
        </is>
      </c>
      <c r="B1623" s="1" t="n">
        <v>45834.48164351852</v>
      </c>
      <c r="C1623" s="1" t="n">
        <v>45997</v>
      </c>
      <c r="D1623" t="inlineStr">
        <is>
          <t>JÄMTLANDS LÄN</t>
        </is>
      </c>
      <c r="E1623" t="inlineStr">
        <is>
          <t>BRÄCKE</t>
        </is>
      </c>
      <c r="F1623" t="inlineStr">
        <is>
          <t>Övriga Aktiebolag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52202-2025</t>
        </is>
      </c>
      <c r="B1624" s="1" t="n">
        <v>45953.40715277778</v>
      </c>
      <c r="C1624" s="1" t="n">
        <v>45997</v>
      </c>
      <c r="D1624" t="inlineStr">
        <is>
          <t>JÄMTLANDS LÄN</t>
        </is>
      </c>
      <c r="E1624" t="inlineStr">
        <is>
          <t>BRÄCKE</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32149-2025</t>
        </is>
      </c>
      <c r="B1625" s="1" t="n">
        <v>45835.53086805555</v>
      </c>
      <c r="C1625" s="1" t="n">
        <v>45997</v>
      </c>
      <c r="D1625" t="inlineStr">
        <is>
          <t>JÄMTLANDS LÄN</t>
        </is>
      </c>
      <c r="E1625" t="inlineStr">
        <is>
          <t>BRÄCKE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31962-2025</t>
        </is>
      </c>
      <c r="B1626" s="1" t="n">
        <v>45835.34466435185</v>
      </c>
      <c r="C1626" s="1" t="n">
        <v>45997</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45216</v>
      </c>
      <c r="C1627" s="1" t="n">
        <v>45997</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60353-2025</t>
        </is>
      </c>
      <c r="B1628" s="1" t="n">
        <v>45995.30998842593</v>
      </c>
      <c r="C1628" s="1" t="n">
        <v>45997</v>
      </c>
      <c r="D1628" t="inlineStr">
        <is>
          <t>JÄMTLANDS LÄN</t>
        </is>
      </c>
      <c r="E1628" t="inlineStr">
        <is>
          <t>BRÄCKE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60377-2025</t>
        </is>
      </c>
      <c r="B1629" s="1" t="n">
        <v>45995.36479166667</v>
      </c>
      <c r="C1629" s="1" t="n">
        <v>45997</v>
      </c>
      <c r="D1629" t="inlineStr">
        <is>
          <t>JÄMTLANDS LÄN</t>
        </is>
      </c>
      <c r="E1629" t="inlineStr">
        <is>
          <t>BRÄCKE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52468-2025</t>
        </is>
      </c>
      <c r="B1630" s="1" t="n">
        <v>45954.44833333333</v>
      </c>
      <c r="C1630" s="1" t="n">
        <v>45997</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60432-2025</t>
        </is>
      </c>
      <c r="B1631" s="1" t="n">
        <v>45995.47159722223</v>
      </c>
      <c r="C1631" s="1" t="n">
        <v>45997</v>
      </c>
      <c r="D1631" t="inlineStr">
        <is>
          <t>JÄMTLANDS LÄN</t>
        </is>
      </c>
      <c r="E1631" t="inlineStr">
        <is>
          <t>BRÄCKE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60355-2025</t>
        </is>
      </c>
      <c r="B1632" s="1" t="n">
        <v>45995.31350694445</v>
      </c>
      <c r="C1632" s="1" t="n">
        <v>45997</v>
      </c>
      <c r="D1632" t="inlineStr">
        <is>
          <t>JÄMTLANDS LÄN</t>
        </is>
      </c>
      <c r="E1632" t="inlineStr">
        <is>
          <t>BRÄCKE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52157-2025</t>
        </is>
      </c>
      <c r="B1633" s="1" t="n">
        <v>45953.3558912037</v>
      </c>
      <c r="C1633" s="1" t="n">
        <v>45997</v>
      </c>
      <c r="D1633" t="inlineStr">
        <is>
          <t>JÄMTLANDS LÄN</t>
        </is>
      </c>
      <c r="E1633" t="inlineStr">
        <is>
          <t>BRÄCKE</t>
        </is>
      </c>
      <c r="F1633" t="inlineStr">
        <is>
          <t>SCA</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32659-2025</t>
        </is>
      </c>
      <c r="B1634" s="1" t="n">
        <v>45838.67873842592</v>
      </c>
      <c r="C1634" s="1" t="n">
        <v>45997</v>
      </c>
      <c r="D1634" t="inlineStr">
        <is>
          <t>JÄMTLANDS LÄN</t>
        </is>
      </c>
      <c r="E1634" t="inlineStr">
        <is>
          <t>BRÄCKE</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32146-2025</t>
        </is>
      </c>
      <c r="B1635" s="1" t="n">
        <v>45835.52730324074</v>
      </c>
      <c r="C1635" s="1" t="n">
        <v>45997</v>
      </c>
      <c r="D1635" t="inlineStr">
        <is>
          <t>JÄMTLANDS LÄN</t>
        </is>
      </c>
      <c r="E1635" t="inlineStr">
        <is>
          <t>BRÄCKE</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32596-2025</t>
        </is>
      </c>
      <c r="B1636" s="1" t="n">
        <v>45838.61584490741</v>
      </c>
      <c r="C1636" s="1" t="n">
        <v>45997</v>
      </c>
      <c r="D1636" t="inlineStr">
        <is>
          <t>JÄMTLANDS LÄN</t>
        </is>
      </c>
      <c r="E1636" t="inlineStr">
        <is>
          <t>BRÄCKE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32272-2025</t>
        </is>
      </c>
      <c r="B1637" s="1" t="n">
        <v>45835.6568287037</v>
      </c>
      <c r="C1637" s="1" t="n">
        <v>45997</v>
      </c>
      <c r="D1637" t="inlineStr">
        <is>
          <t>JÄMTLANDS LÄN</t>
        </is>
      </c>
      <c r="E1637" t="inlineStr">
        <is>
          <t>BRÄCKE</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52344-2025</t>
        </is>
      </c>
      <c r="B1638" s="1" t="n">
        <v>45953.71978009259</v>
      </c>
      <c r="C1638" s="1" t="n">
        <v>45997</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32443-2025</t>
        </is>
      </c>
      <c r="B1639" s="1" t="n">
        <v>45838.38613425926</v>
      </c>
      <c r="C1639" s="1" t="n">
        <v>45997</v>
      </c>
      <c r="D1639" t="inlineStr">
        <is>
          <t>JÄMTLANDS LÄN</t>
        </is>
      </c>
      <c r="E1639" t="inlineStr">
        <is>
          <t>BRÄCKE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50515-2023</t>
        </is>
      </c>
      <c r="B1640" s="1" t="n">
        <v>45216</v>
      </c>
      <c r="C1640" s="1" t="n">
        <v>45997</v>
      </c>
      <c r="D1640" t="inlineStr">
        <is>
          <t>JÄMTLANDS LÄN</t>
        </is>
      </c>
      <c r="E1640" t="inlineStr">
        <is>
          <t>BRÄCKE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60660-2025</t>
        </is>
      </c>
      <c r="B1641" s="1" t="n">
        <v>45996.48990740741</v>
      </c>
      <c r="C1641" s="1" t="n">
        <v>45997</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32281-2025</t>
        </is>
      </c>
      <c r="B1642" s="1" t="n">
        <v>45835.67778935185</v>
      </c>
      <c r="C1642" s="1" t="n">
        <v>45997</v>
      </c>
      <c r="D1642" t="inlineStr">
        <is>
          <t>JÄMTLANDS LÄN</t>
        </is>
      </c>
      <c r="E1642" t="inlineStr">
        <is>
          <t>BRÄCKE</t>
        </is>
      </c>
      <c r="F1642" t="inlineStr">
        <is>
          <t>SCA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32851-2025</t>
        </is>
      </c>
      <c r="B1643" s="1" t="n">
        <v>45839.57388888889</v>
      </c>
      <c r="C1643" s="1" t="n">
        <v>45997</v>
      </c>
      <c r="D1643" t="inlineStr">
        <is>
          <t>JÄMTLANDS LÄN</t>
        </is>
      </c>
      <c r="E1643" t="inlineStr">
        <is>
          <t>BRÄCKE</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32697-2025</t>
        </is>
      </c>
      <c r="B1644" s="1" t="n">
        <v>45839.34427083333</v>
      </c>
      <c r="C1644" s="1" t="n">
        <v>45997</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33275-2025</t>
        </is>
      </c>
      <c r="B1645" s="1" t="n">
        <v>45840.69829861111</v>
      </c>
      <c r="C1645" s="1" t="n">
        <v>45997</v>
      </c>
      <c r="D1645" t="inlineStr">
        <is>
          <t>JÄMTLANDS LÄN</t>
        </is>
      </c>
      <c r="E1645" t="inlineStr">
        <is>
          <t>BRÄCKE</t>
        </is>
      </c>
      <c r="F1645" t="inlineStr">
        <is>
          <t>SCA</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33133-2025</t>
        </is>
      </c>
      <c r="B1646" s="1" t="n">
        <v>45840.5050462963</v>
      </c>
      <c r="C1646" s="1" t="n">
        <v>45997</v>
      </c>
      <c r="D1646" t="inlineStr">
        <is>
          <t>JÄMTLANDS LÄN</t>
        </is>
      </c>
      <c r="E1646" t="inlineStr">
        <is>
          <t>BRÄCKE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32913-2025</t>
        </is>
      </c>
      <c r="B1647" s="1" t="n">
        <v>45839.63605324074</v>
      </c>
      <c r="C1647" s="1" t="n">
        <v>45997</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33956-2025</t>
        </is>
      </c>
      <c r="B1648" s="1" t="n">
        <v>45842.67746527777</v>
      </c>
      <c r="C1648" s="1" t="n">
        <v>45997</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3840-2024</t>
        </is>
      </c>
      <c r="B1649" s="1" t="n">
        <v>45321.94605324074</v>
      </c>
      <c r="C1649" s="1" t="n">
        <v>45997</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41450-2024</t>
        </is>
      </c>
      <c r="B1650" s="1" t="n">
        <v>45560.40653935185</v>
      </c>
      <c r="C1650" s="1" t="n">
        <v>45997</v>
      </c>
      <c r="D1650" t="inlineStr">
        <is>
          <t>JÄMTLANDS LÄN</t>
        </is>
      </c>
      <c r="E1650" t="inlineStr">
        <is>
          <t>BRÄCKE</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33854-2025</t>
        </is>
      </c>
      <c r="B1651" s="1" t="n">
        <v>45842.51112268519</v>
      </c>
      <c r="C1651" s="1" t="n">
        <v>45997</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33648-2025</t>
        </is>
      </c>
      <c r="B1652" s="1" t="n">
        <v>45841.65681712963</v>
      </c>
      <c r="C1652" s="1" t="n">
        <v>45997</v>
      </c>
      <c r="D1652" t="inlineStr">
        <is>
          <t>JÄMTLANDS LÄN</t>
        </is>
      </c>
      <c r="E1652" t="inlineStr">
        <is>
          <t>BRÄCKE</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33868-2025</t>
        </is>
      </c>
      <c r="B1653" s="1" t="n">
        <v>45842.53967592592</v>
      </c>
      <c r="C1653" s="1" t="n">
        <v>45997</v>
      </c>
      <c r="D1653" t="inlineStr">
        <is>
          <t>JÄMTLANDS LÄN</t>
        </is>
      </c>
      <c r="E1653" t="inlineStr">
        <is>
          <t>BRÄCKE</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33900-2025</t>
        </is>
      </c>
      <c r="B1654" s="1" t="n">
        <v>45842.59454861111</v>
      </c>
      <c r="C1654" s="1" t="n">
        <v>45997</v>
      </c>
      <c r="D1654" t="inlineStr">
        <is>
          <t>JÄMTLANDS LÄN</t>
        </is>
      </c>
      <c r="E1654" t="inlineStr">
        <is>
          <t>BRÄCKE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33937-2025</t>
        </is>
      </c>
      <c r="B1655" s="1" t="n">
        <v>45842.63650462963</v>
      </c>
      <c r="C1655" s="1" t="n">
        <v>45997</v>
      </c>
      <c r="D1655" t="inlineStr">
        <is>
          <t>JÄMTLANDS LÄN</t>
        </is>
      </c>
      <c r="E1655" t="inlineStr">
        <is>
          <t>BRÄCKE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33902-2025</t>
        </is>
      </c>
      <c r="B1656" s="1" t="n">
        <v>45842.59513888889</v>
      </c>
      <c r="C1656" s="1" t="n">
        <v>45997</v>
      </c>
      <c r="D1656" t="inlineStr">
        <is>
          <t>JÄMTLANDS LÄN</t>
        </is>
      </c>
      <c r="E1656" t="inlineStr">
        <is>
          <t>BRÄCKE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33776-2025</t>
        </is>
      </c>
      <c r="B1657" s="1" t="n">
        <v>45842.39412037037</v>
      </c>
      <c r="C1657" s="1" t="n">
        <v>45997</v>
      </c>
      <c r="D1657" t="inlineStr">
        <is>
          <t>JÄMTLANDS LÄN</t>
        </is>
      </c>
      <c r="E1657" t="inlineStr">
        <is>
          <t>BRÄCKE</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33112-2024</t>
        </is>
      </c>
      <c r="B1658" s="1" t="n">
        <v>45517.92994212963</v>
      </c>
      <c r="C1658" s="1" t="n">
        <v>45997</v>
      </c>
      <c r="D1658" t="inlineStr">
        <is>
          <t>JÄMTLANDS LÄN</t>
        </is>
      </c>
      <c r="E1658" t="inlineStr">
        <is>
          <t>BRÄCKE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33796-2025</t>
        </is>
      </c>
      <c r="B1659" s="1" t="n">
        <v>45842.43670138889</v>
      </c>
      <c r="C1659" s="1" t="n">
        <v>45997</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14474-2025</t>
        </is>
      </c>
      <c r="B1660" s="1" t="n">
        <v>45741.57782407408</v>
      </c>
      <c r="C1660" s="1" t="n">
        <v>45997</v>
      </c>
      <c r="D1660" t="inlineStr">
        <is>
          <t>JÄMTLANDS LÄN</t>
        </is>
      </c>
      <c r="E1660" t="inlineStr">
        <is>
          <t>BRÄCKE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49399-2024</t>
        </is>
      </c>
      <c r="B1661" s="1" t="n">
        <v>45595.67138888889</v>
      </c>
      <c r="C1661" s="1" t="n">
        <v>45997</v>
      </c>
      <c r="D1661" t="inlineStr">
        <is>
          <t>JÄMTLANDS LÄN</t>
        </is>
      </c>
      <c r="E1661" t="inlineStr">
        <is>
          <t>BRÄCKE</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49400-2024</t>
        </is>
      </c>
      <c r="B1662" s="1" t="n">
        <v>45595.67152777778</v>
      </c>
      <c r="C1662" s="1" t="n">
        <v>45997</v>
      </c>
      <c r="D1662" t="inlineStr">
        <is>
          <t>JÄMTLANDS LÄN</t>
        </is>
      </c>
      <c r="E1662" t="inlineStr">
        <is>
          <t>BRÄCKE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33873-2025</t>
        </is>
      </c>
      <c r="B1663" s="1" t="n">
        <v>45842.54912037037</v>
      </c>
      <c r="C1663" s="1" t="n">
        <v>45997</v>
      </c>
      <c r="D1663" t="inlineStr">
        <is>
          <t>JÄMTLANDS LÄN</t>
        </is>
      </c>
      <c r="E1663" t="inlineStr">
        <is>
          <t>BRÄCKE</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34189-2025</t>
        </is>
      </c>
      <c r="B1664" s="1" t="n">
        <v>45845.61555555555</v>
      </c>
      <c r="C1664" s="1" t="n">
        <v>45997</v>
      </c>
      <c r="D1664" t="inlineStr">
        <is>
          <t>JÄMTLANDS LÄN</t>
        </is>
      </c>
      <c r="E1664" t="inlineStr">
        <is>
          <t>BRÄCKE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34338-2025</t>
        </is>
      </c>
      <c r="B1665" s="1" t="n">
        <v>45846.45711805556</v>
      </c>
      <c r="C1665" s="1" t="n">
        <v>45997</v>
      </c>
      <c r="D1665" t="inlineStr">
        <is>
          <t>JÄMTLANDS LÄN</t>
        </is>
      </c>
      <c r="E1665" t="inlineStr">
        <is>
          <t>BRÄCKE</t>
        </is>
      </c>
      <c r="G1665" t="n">
        <v>13.3</v>
      </c>
      <c r="H1665" t="n">
        <v>0</v>
      </c>
      <c r="I1665" t="n">
        <v>0</v>
      </c>
      <c r="J1665" t="n">
        <v>0</v>
      </c>
      <c r="K1665" t="n">
        <v>0</v>
      </c>
      <c r="L1665" t="n">
        <v>0</v>
      </c>
      <c r="M1665" t="n">
        <v>0</v>
      </c>
      <c r="N1665" t="n">
        <v>0</v>
      </c>
      <c r="O1665" t="n">
        <v>0</v>
      </c>
      <c r="P1665" t="n">
        <v>0</v>
      </c>
      <c r="Q1665" t="n">
        <v>0</v>
      </c>
      <c r="R1665" s="2" t="inlineStr"/>
    </row>
    <row r="1666" ht="15" customHeight="1">
      <c r="A1666" t="inlineStr">
        <is>
          <t>A 45722-2024</t>
        </is>
      </c>
      <c r="B1666" s="1" t="n">
        <v>45579.59447916667</v>
      </c>
      <c r="C1666" s="1" t="n">
        <v>45997</v>
      </c>
      <c r="D1666" t="inlineStr">
        <is>
          <t>JÄMTLANDS LÄN</t>
        </is>
      </c>
      <c r="E1666" t="inlineStr">
        <is>
          <t>BRÄCKE</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53113-2022</t>
        </is>
      </c>
      <c r="B1667" s="1" t="n">
        <v>44873</v>
      </c>
      <c r="C1667" s="1" t="n">
        <v>45997</v>
      </c>
      <c r="D1667" t="inlineStr">
        <is>
          <t>JÄMTLANDS LÄN</t>
        </is>
      </c>
      <c r="E1667" t="inlineStr">
        <is>
          <t>BRÄCKE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8780-2025</t>
        </is>
      </c>
      <c r="B1668" s="1" t="n">
        <v>45712.615625</v>
      </c>
      <c r="C1668" s="1" t="n">
        <v>45997</v>
      </c>
      <c r="D1668" t="inlineStr">
        <is>
          <t>JÄMTLANDS LÄN</t>
        </is>
      </c>
      <c r="E1668" t="inlineStr">
        <is>
          <t>BRÄCKE</t>
        </is>
      </c>
      <c r="F1668" t="inlineStr">
        <is>
          <t>SCA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34294-2025</t>
        </is>
      </c>
      <c r="B1669" s="1" t="n">
        <v>45846.34422453704</v>
      </c>
      <c r="C1669" s="1" t="n">
        <v>45997</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56732-2022</t>
        </is>
      </c>
      <c r="B1670" s="1" t="n">
        <v>44893.94966435185</v>
      </c>
      <c r="C1670" s="1" t="n">
        <v>45997</v>
      </c>
      <c r="D1670" t="inlineStr">
        <is>
          <t>JÄMTLANDS LÄN</t>
        </is>
      </c>
      <c r="E1670" t="inlineStr">
        <is>
          <t>BRÄCKE</t>
        </is>
      </c>
      <c r="F1670" t="inlineStr">
        <is>
          <t>SCA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34322-2025</t>
        </is>
      </c>
      <c r="B1671" s="1" t="n">
        <v>45846.42747685185</v>
      </c>
      <c r="C1671" s="1" t="n">
        <v>45997</v>
      </c>
      <c r="D1671" t="inlineStr">
        <is>
          <t>JÄMTLANDS LÄN</t>
        </is>
      </c>
      <c r="E1671" t="inlineStr">
        <is>
          <t>BRÄCKE</t>
        </is>
      </c>
      <c r="F1671" t="inlineStr">
        <is>
          <t>SCA</t>
        </is>
      </c>
      <c r="G1671" t="n">
        <v>32.6</v>
      </c>
      <c r="H1671" t="n">
        <v>0</v>
      </c>
      <c r="I1671" t="n">
        <v>0</v>
      </c>
      <c r="J1671" t="n">
        <v>0</v>
      </c>
      <c r="K1671" t="n">
        <v>0</v>
      </c>
      <c r="L1671" t="n">
        <v>0</v>
      </c>
      <c r="M1671" t="n">
        <v>0</v>
      </c>
      <c r="N1671" t="n">
        <v>0</v>
      </c>
      <c r="O1671" t="n">
        <v>0</v>
      </c>
      <c r="P1671" t="n">
        <v>0</v>
      </c>
      <c r="Q1671" t="n">
        <v>0</v>
      </c>
      <c r="R1671" s="2" t="inlineStr"/>
    </row>
    <row r="1672" ht="15" customHeight="1">
      <c r="A1672" t="inlineStr">
        <is>
          <t>A 11331-2024</t>
        </is>
      </c>
      <c r="B1672" s="1" t="n">
        <v>45372.04696759259</v>
      </c>
      <c r="C1672" s="1" t="n">
        <v>45997</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34087-2025</t>
        </is>
      </c>
      <c r="B1673" s="1" t="n">
        <v>45845.46913194445</v>
      </c>
      <c r="C1673" s="1" t="n">
        <v>45997</v>
      </c>
      <c r="D1673" t="inlineStr">
        <is>
          <t>JÄMTLANDS LÄN</t>
        </is>
      </c>
      <c r="E1673" t="inlineStr">
        <is>
          <t>BRÄCKE</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34155-2025</t>
        </is>
      </c>
      <c r="B1674" s="1" t="n">
        <v>45845.57334490741</v>
      </c>
      <c r="C1674" s="1" t="n">
        <v>45997</v>
      </c>
      <c r="D1674" t="inlineStr">
        <is>
          <t>JÄMTLANDS LÄN</t>
        </is>
      </c>
      <c r="E1674" t="inlineStr">
        <is>
          <t>BRÄCKE</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18036-2025</t>
        </is>
      </c>
      <c r="B1675" s="1" t="n">
        <v>45761.45518518519</v>
      </c>
      <c r="C1675" s="1" t="n">
        <v>45997</v>
      </c>
      <c r="D1675" t="inlineStr">
        <is>
          <t>JÄMTLANDS LÄN</t>
        </is>
      </c>
      <c r="E1675" t="inlineStr">
        <is>
          <t>BRÄCKE</t>
        </is>
      </c>
      <c r="G1675" t="n">
        <v>19.5</v>
      </c>
      <c r="H1675" t="n">
        <v>0</v>
      </c>
      <c r="I1675" t="n">
        <v>0</v>
      </c>
      <c r="J1675" t="n">
        <v>0</v>
      </c>
      <c r="K1675" t="n">
        <v>0</v>
      </c>
      <c r="L1675" t="n">
        <v>0</v>
      </c>
      <c r="M1675" t="n">
        <v>0</v>
      </c>
      <c r="N1675" t="n">
        <v>0</v>
      </c>
      <c r="O1675" t="n">
        <v>0</v>
      </c>
      <c r="P1675" t="n">
        <v>0</v>
      </c>
      <c r="Q1675" t="n">
        <v>0</v>
      </c>
      <c r="R1675" s="2" t="inlineStr"/>
    </row>
    <row r="1676" ht="15" customHeight="1">
      <c r="A1676" t="inlineStr">
        <is>
          <t>A 34773-2025</t>
        </is>
      </c>
      <c r="B1676" s="1" t="n">
        <v>45848.65672453704</v>
      </c>
      <c r="C1676" s="1" t="n">
        <v>45997</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34746-2025</t>
        </is>
      </c>
      <c r="B1677" s="1" t="n">
        <v>45848.61505787037</v>
      </c>
      <c r="C1677" s="1" t="n">
        <v>45997</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34786-2025</t>
        </is>
      </c>
      <c r="B1678" s="1" t="n">
        <v>45848.67784722222</v>
      </c>
      <c r="C1678" s="1" t="n">
        <v>45997</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34518-2025</t>
        </is>
      </c>
      <c r="B1679" s="1" t="n">
        <v>45847.46910879629</v>
      </c>
      <c r="C1679" s="1" t="n">
        <v>45997</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34460-2025</t>
        </is>
      </c>
      <c r="B1680" s="1" t="n">
        <v>45847.34458333333</v>
      </c>
      <c r="C1680" s="1" t="n">
        <v>45997</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34613-2025</t>
        </is>
      </c>
      <c r="B1681" s="1" t="n">
        <v>45847.67751157407</v>
      </c>
      <c r="C1681" s="1" t="n">
        <v>45997</v>
      </c>
      <c r="D1681" t="inlineStr">
        <is>
          <t>JÄMTLANDS LÄN</t>
        </is>
      </c>
      <c r="E1681" t="inlineStr">
        <is>
          <t>BRÄCKE</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34614-2025</t>
        </is>
      </c>
      <c r="B1682" s="1" t="n">
        <v>45847.67768518518</v>
      </c>
      <c r="C1682" s="1" t="n">
        <v>45997</v>
      </c>
      <c r="D1682" t="inlineStr">
        <is>
          <t>JÄMTLANDS LÄN</t>
        </is>
      </c>
      <c r="E1682" t="inlineStr">
        <is>
          <t>BRÄCKE</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34783-2025</t>
        </is>
      </c>
      <c r="B1683" s="1" t="n">
        <v>45848.67740740741</v>
      </c>
      <c r="C1683" s="1" t="n">
        <v>45997</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18984-2022</t>
        </is>
      </c>
      <c r="B1684" s="1" t="n">
        <v>44690</v>
      </c>
      <c r="C1684" s="1" t="n">
        <v>45997</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6399-2021</t>
        </is>
      </c>
      <c r="B1685" s="1" t="n">
        <v>44232</v>
      </c>
      <c r="C1685" s="1" t="n">
        <v>45997</v>
      </c>
      <c r="D1685" t="inlineStr">
        <is>
          <t>JÄMTLANDS LÄN</t>
        </is>
      </c>
      <c r="E1685" t="inlineStr">
        <is>
          <t>BRÄCKE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34648-2025</t>
        </is>
      </c>
      <c r="B1686" s="1" t="n">
        <v>45848.34487268519</v>
      </c>
      <c r="C1686" s="1" t="n">
        <v>45997</v>
      </c>
      <c r="D1686" t="inlineStr">
        <is>
          <t>JÄMTLANDS LÄN</t>
        </is>
      </c>
      <c r="E1686" t="inlineStr">
        <is>
          <t>BRÄCKE</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34680-2025</t>
        </is>
      </c>
      <c r="B1687" s="1" t="n">
        <v>45848.42799768518</v>
      </c>
      <c r="C1687" s="1" t="n">
        <v>45997</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56895-2021</t>
        </is>
      </c>
      <c r="B1688" s="1" t="n">
        <v>44481.92086805555</v>
      </c>
      <c r="C1688" s="1" t="n">
        <v>45997</v>
      </c>
      <c r="D1688" t="inlineStr">
        <is>
          <t>JÄMTLANDS LÄN</t>
        </is>
      </c>
      <c r="E1688" t="inlineStr">
        <is>
          <t>BRÄCKE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34469-2025</t>
        </is>
      </c>
      <c r="B1689" s="1" t="n">
        <v>45847.34608796296</v>
      </c>
      <c r="C1689" s="1" t="n">
        <v>45997</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34912-2025</t>
        </is>
      </c>
      <c r="B1690" s="1" t="n">
        <v>45849.5378587963</v>
      </c>
      <c r="C1690" s="1" t="n">
        <v>45997</v>
      </c>
      <c r="D1690" t="inlineStr">
        <is>
          <t>JÄMTLANDS LÄN</t>
        </is>
      </c>
      <c r="E1690" t="inlineStr">
        <is>
          <t>BRÄCKE</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34983-2025</t>
        </is>
      </c>
      <c r="B1691" s="1" t="n">
        <v>45849.71234953704</v>
      </c>
      <c r="C1691" s="1" t="n">
        <v>45997</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22980-2024</t>
        </is>
      </c>
      <c r="B1692" s="1" t="n">
        <v>45449.90008101852</v>
      </c>
      <c r="C1692" s="1" t="n">
        <v>45997</v>
      </c>
      <c r="D1692" t="inlineStr">
        <is>
          <t>JÄMTLANDS LÄN</t>
        </is>
      </c>
      <c r="E1692" t="inlineStr">
        <is>
          <t>BRÄCKE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3020-2023</t>
        </is>
      </c>
      <c r="B1693" s="1" t="n">
        <v>44945.9396412037</v>
      </c>
      <c r="C1693" s="1" t="n">
        <v>45997</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18982-2025</t>
        </is>
      </c>
      <c r="B1694" s="1" t="n">
        <v>45764.55288194444</v>
      </c>
      <c r="C1694" s="1" t="n">
        <v>45997</v>
      </c>
      <c r="D1694" t="inlineStr">
        <is>
          <t>JÄMTLANDS LÄN</t>
        </is>
      </c>
      <c r="E1694" t="inlineStr">
        <is>
          <t>BRÄCKE</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3032-2023</t>
        </is>
      </c>
      <c r="B1695" s="1" t="n">
        <v>44945.9412962963</v>
      </c>
      <c r="C1695" s="1" t="n">
        <v>45997</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48900-2023</t>
        </is>
      </c>
      <c r="B1696" s="1" t="n">
        <v>45209</v>
      </c>
      <c r="C1696" s="1" t="n">
        <v>45997</v>
      </c>
      <c r="D1696" t="inlineStr">
        <is>
          <t>JÄMTLANDS LÄN</t>
        </is>
      </c>
      <c r="E1696" t="inlineStr">
        <is>
          <t>BRÄCKE</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37960-2024</t>
        </is>
      </c>
      <c r="B1697" s="1" t="n">
        <v>45544.53925925926</v>
      </c>
      <c r="C1697" s="1" t="n">
        <v>45997</v>
      </c>
      <c r="D1697" t="inlineStr">
        <is>
          <t>JÄMTLANDS LÄN</t>
        </is>
      </c>
      <c r="E1697" t="inlineStr">
        <is>
          <t>BRÄCKE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31566-2024</t>
        </is>
      </c>
      <c r="B1698" s="1" t="n">
        <v>45505.96675925926</v>
      </c>
      <c r="C1698" s="1" t="n">
        <v>45997</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34807-2024</t>
        </is>
      </c>
      <c r="B1699" s="1" t="n">
        <v>45526.69046296296</v>
      </c>
      <c r="C1699" s="1" t="n">
        <v>45997</v>
      </c>
      <c r="D1699" t="inlineStr">
        <is>
          <t>JÄMTLANDS LÄN</t>
        </is>
      </c>
      <c r="E1699" t="inlineStr">
        <is>
          <t>BRÄCKE</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34828-2025</t>
        </is>
      </c>
      <c r="B1700" s="1" t="n">
        <v>45849.38579861111</v>
      </c>
      <c r="C1700" s="1" t="n">
        <v>45997</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30874-2024</t>
        </is>
      </c>
      <c r="B1701" s="1" t="n">
        <v>45498.3091087963</v>
      </c>
      <c r="C1701" s="1" t="n">
        <v>45997</v>
      </c>
      <c r="D1701" t="inlineStr">
        <is>
          <t>JÄMTLANDS LÄN</t>
        </is>
      </c>
      <c r="E1701" t="inlineStr">
        <is>
          <t>BRÄCKE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35060-2025</t>
        </is>
      </c>
      <c r="B1702" s="1" t="n">
        <v>45852.42747685185</v>
      </c>
      <c r="C1702" s="1" t="n">
        <v>45997</v>
      </c>
      <c r="D1702" t="inlineStr">
        <is>
          <t>JÄMTLANDS LÄN</t>
        </is>
      </c>
      <c r="E1702" t="inlineStr">
        <is>
          <t>BRÄCKE</t>
        </is>
      </c>
      <c r="F1702" t="inlineStr">
        <is>
          <t>SCA</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68968-2020</t>
        </is>
      </c>
      <c r="B1703" s="1" t="n">
        <v>44187</v>
      </c>
      <c r="C1703" s="1" t="n">
        <v>45997</v>
      </c>
      <c r="D1703" t="inlineStr">
        <is>
          <t>JÄMTLANDS LÄN</t>
        </is>
      </c>
      <c r="E1703" t="inlineStr">
        <is>
          <t>BRÄCKE</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35229-2025</t>
        </is>
      </c>
      <c r="B1704" s="1" t="n">
        <v>45853.59420138889</v>
      </c>
      <c r="C1704" s="1" t="n">
        <v>45997</v>
      </c>
      <c r="D1704" t="inlineStr">
        <is>
          <t>JÄMTLANDS LÄN</t>
        </is>
      </c>
      <c r="E1704" t="inlineStr">
        <is>
          <t>BRÄCKE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35325-2025</t>
        </is>
      </c>
      <c r="B1705" s="1" t="n">
        <v>45854.52606481482</v>
      </c>
      <c r="C1705" s="1" t="n">
        <v>45997</v>
      </c>
      <c r="D1705" t="inlineStr">
        <is>
          <t>JÄMTLANDS LÄN</t>
        </is>
      </c>
      <c r="E1705" t="inlineStr">
        <is>
          <t>BRÄCKE</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55662-2023</t>
        </is>
      </c>
      <c r="B1706" s="1" t="n">
        <v>45238.96730324074</v>
      </c>
      <c r="C1706" s="1" t="n">
        <v>45997</v>
      </c>
      <c r="D1706" t="inlineStr">
        <is>
          <t>JÄMTLANDS LÄN</t>
        </is>
      </c>
      <c r="E1706" t="inlineStr">
        <is>
          <t>BRÄCKE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35324-2025</t>
        </is>
      </c>
      <c r="B1707" s="1" t="n">
        <v>45854.51079861111</v>
      </c>
      <c r="C1707" s="1" t="n">
        <v>45997</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35326-2025</t>
        </is>
      </c>
      <c r="B1708" s="1" t="n">
        <v>45854.52724537037</v>
      </c>
      <c r="C1708" s="1" t="n">
        <v>45997</v>
      </c>
      <c r="D1708" t="inlineStr">
        <is>
          <t>JÄMTLANDS LÄN</t>
        </is>
      </c>
      <c r="E1708" t="inlineStr">
        <is>
          <t>BRÄCKE</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35327-2025</t>
        </is>
      </c>
      <c r="B1709" s="1" t="n">
        <v>45854.5283449074</v>
      </c>
      <c r="C1709" s="1" t="n">
        <v>45997</v>
      </c>
      <c r="D1709" t="inlineStr">
        <is>
          <t>JÄMTLANDS LÄN</t>
        </is>
      </c>
      <c r="E1709" t="inlineStr">
        <is>
          <t>BRÄCKE</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29107-2025</t>
        </is>
      </c>
      <c r="B1710" s="1" t="n">
        <v>45821.58030092593</v>
      </c>
      <c r="C1710" s="1" t="n">
        <v>45997</v>
      </c>
      <c r="D1710" t="inlineStr">
        <is>
          <t>JÄMTLANDS LÄN</t>
        </is>
      </c>
      <c r="E1710" t="inlineStr">
        <is>
          <t>BRÄCKE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29835-2022</t>
        </is>
      </c>
      <c r="B1711" s="1" t="n">
        <v>44755.94592592592</v>
      </c>
      <c r="C1711" s="1" t="n">
        <v>45997</v>
      </c>
      <c r="D1711" t="inlineStr">
        <is>
          <t>JÄMTLANDS LÄN</t>
        </is>
      </c>
      <c r="E1711" t="inlineStr">
        <is>
          <t>BRÄCKE</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61362-2024</t>
        </is>
      </c>
      <c r="B1712" s="1" t="n">
        <v>45646.3857175926</v>
      </c>
      <c r="C1712" s="1" t="n">
        <v>45997</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37238-2023</t>
        </is>
      </c>
      <c r="B1713" s="1" t="n">
        <v>45155.95366898148</v>
      </c>
      <c r="C1713" s="1" t="n">
        <v>45997</v>
      </c>
      <c r="D1713" t="inlineStr">
        <is>
          <t>JÄMTLANDS LÄN</t>
        </is>
      </c>
      <c r="E1713" t="inlineStr">
        <is>
          <t>BRÄCKE</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35331-2025</t>
        </is>
      </c>
      <c r="B1714" s="1" t="n">
        <v>45854.57344907407</v>
      </c>
      <c r="C1714" s="1" t="n">
        <v>45997</v>
      </c>
      <c r="D1714" t="inlineStr">
        <is>
          <t>JÄMTLANDS LÄN</t>
        </is>
      </c>
      <c r="E1714" t="inlineStr">
        <is>
          <t>BRÄCKE</t>
        </is>
      </c>
      <c r="F1714" t="inlineStr">
        <is>
          <t>SCA</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40410-2023</t>
        </is>
      </c>
      <c r="B1715" s="1" t="n">
        <v>45169</v>
      </c>
      <c r="C1715" s="1" t="n">
        <v>45997</v>
      </c>
      <c r="D1715" t="inlineStr">
        <is>
          <t>JÄMTLANDS LÄN</t>
        </is>
      </c>
      <c r="E1715" t="inlineStr">
        <is>
          <t>BRÄCKE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51161-2023</t>
        </is>
      </c>
      <c r="B1716" s="1" t="n">
        <v>45219.38019675926</v>
      </c>
      <c r="C1716" s="1" t="n">
        <v>45997</v>
      </c>
      <c r="D1716" t="inlineStr">
        <is>
          <t>JÄMTLANDS LÄN</t>
        </is>
      </c>
      <c r="E1716" t="inlineStr">
        <is>
          <t>BRÄCKE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22985-2023</t>
        </is>
      </c>
      <c r="B1717" s="1" t="n">
        <v>45072</v>
      </c>
      <c r="C1717" s="1" t="n">
        <v>45997</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18645-2024</t>
        </is>
      </c>
      <c r="B1718" s="1" t="n">
        <v>45425.96738425926</v>
      </c>
      <c r="C1718" s="1" t="n">
        <v>45997</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44082-2024</t>
        </is>
      </c>
      <c r="B1719" s="1" t="n">
        <v>45572.61549768518</v>
      </c>
      <c r="C1719" s="1" t="n">
        <v>45997</v>
      </c>
      <c r="D1719" t="inlineStr">
        <is>
          <t>JÄMTLANDS LÄN</t>
        </is>
      </c>
      <c r="E1719" t="inlineStr">
        <is>
          <t>BRÄCKE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15944-2025</t>
        </is>
      </c>
      <c r="B1720" s="1" t="n">
        <v>45749.48545138889</v>
      </c>
      <c r="C1720" s="1" t="n">
        <v>45997</v>
      </c>
      <c r="D1720" t="inlineStr">
        <is>
          <t>JÄMTLANDS LÄN</t>
        </is>
      </c>
      <c r="E1720" t="inlineStr">
        <is>
          <t>BRÄCKE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35445-2025</t>
        </is>
      </c>
      <c r="B1721" s="1" t="n">
        <v>45855.53196759259</v>
      </c>
      <c r="C1721" s="1" t="n">
        <v>45997</v>
      </c>
      <c r="D1721" t="inlineStr">
        <is>
          <t>JÄMTLANDS LÄN</t>
        </is>
      </c>
      <c r="E1721" t="inlineStr">
        <is>
          <t>BRÄCKE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2829-2021</t>
        </is>
      </c>
      <c r="B1722" s="1" t="n">
        <v>44215</v>
      </c>
      <c r="C1722" s="1" t="n">
        <v>45997</v>
      </c>
      <c r="D1722" t="inlineStr">
        <is>
          <t>JÄMTLANDS LÄN</t>
        </is>
      </c>
      <c r="E1722" t="inlineStr">
        <is>
          <t>BRÄCKE</t>
        </is>
      </c>
      <c r="F1722" t="inlineStr">
        <is>
          <t>SCA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49709-2024</t>
        </is>
      </c>
      <c r="B1723" s="1" t="n">
        <v>45596.69858796296</v>
      </c>
      <c r="C1723" s="1" t="n">
        <v>45997</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51167-2023</t>
        </is>
      </c>
      <c r="B1724" s="1" t="n">
        <v>45219.38388888889</v>
      </c>
      <c r="C1724" s="1" t="n">
        <v>45997</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4121-2025</t>
        </is>
      </c>
      <c r="B1725" s="1" t="n">
        <v>45685.26607638889</v>
      </c>
      <c r="C1725" s="1" t="n">
        <v>45997</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43551-2023</t>
        </is>
      </c>
      <c r="B1726" s="1" t="n">
        <v>45181</v>
      </c>
      <c r="C1726" s="1" t="n">
        <v>45997</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31843-2022</t>
        </is>
      </c>
      <c r="B1727" s="1" t="n">
        <v>44776.94121527778</v>
      </c>
      <c r="C1727" s="1" t="n">
        <v>45997</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31853-2022</t>
        </is>
      </c>
      <c r="B1728" s="1" t="n">
        <v>44776</v>
      </c>
      <c r="C1728" s="1" t="n">
        <v>45997</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45010-2023</t>
        </is>
      </c>
      <c r="B1729" s="1" t="n">
        <v>45190.96116898148</v>
      </c>
      <c r="C1729" s="1" t="n">
        <v>45997</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45013-2023</t>
        </is>
      </c>
      <c r="B1730" s="1" t="n">
        <v>45190.96158564815</v>
      </c>
      <c r="C1730" s="1" t="n">
        <v>45997</v>
      </c>
      <c r="D1730" t="inlineStr">
        <is>
          <t>JÄMTLANDS LÄN</t>
        </is>
      </c>
      <c r="E1730" t="inlineStr">
        <is>
          <t>BRÄCKE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57590-2024</t>
        </is>
      </c>
      <c r="B1731" s="1" t="n">
        <v>45630.49729166667</v>
      </c>
      <c r="C1731" s="1" t="n">
        <v>45997</v>
      </c>
      <c r="D1731" t="inlineStr">
        <is>
          <t>JÄMTLANDS LÄN</t>
        </is>
      </c>
      <c r="E1731" t="inlineStr">
        <is>
          <t>BRÄCKE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45997</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55997-2024</t>
        </is>
      </c>
      <c r="B1733" s="1" t="n">
        <v>45623.6984837963</v>
      </c>
      <c r="C1733" s="1" t="n">
        <v>45997</v>
      </c>
      <c r="D1733" t="inlineStr">
        <is>
          <t>JÄMTLANDS LÄN</t>
        </is>
      </c>
      <c r="E1733" t="inlineStr">
        <is>
          <t>BRÄCKE</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41311-2024</t>
        </is>
      </c>
      <c r="B1734" s="1" t="n">
        <v>45559.63569444444</v>
      </c>
      <c r="C1734" s="1" t="n">
        <v>45997</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41315-2024</t>
        </is>
      </c>
      <c r="B1735" s="1" t="n">
        <v>45559.63628472222</v>
      </c>
      <c r="C1735" s="1" t="n">
        <v>45997</v>
      </c>
      <c r="D1735" t="inlineStr">
        <is>
          <t>JÄMTLANDS LÄN</t>
        </is>
      </c>
      <c r="E1735" t="inlineStr">
        <is>
          <t>BRÄCKE</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20157-2025</t>
        </is>
      </c>
      <c r="B1736" s="1" t="n">
        <v>45772.56060185185</v>
      </c>
      <c r="C1736" s="1" t="n">
        <v>45997</v>
      </c>
      <c r="D1736" t="inlineStr">
        <is>
          <t>JÄMTLANDS LÄN</t>
        </is>
      </c>
      <c r="E1736" t="inlineStr">
        <is>
          <t>BRÄCKE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31567-2024</t>
        </is>
      </c>
      <c r="B1737" s="1" t="n">
        <v>45505.96689814814</v>
      </c>
      <c r="C1737" s="1" t="n">
        <v>45997</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4893-2025</t>
        </is>
      </c>
      <c r="B1738" s="1" t="n">
        <v>45688.67871527778</v>
      </c>
      <c r="C1738" s="1" t="n">
        <v>45997</v>
      </c>
      <c r="D1738" t="inlineStr">
        <is>
          <t>JÄMTLANDS LÄN</t>
        </is>
      </c>
      <c r="E1738" t="inlineStr">
        <is>
          <t>BRÄCKE</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9387-2025</t>
        </is>
      </c>
      <c r="B1739" s="1" t="n">
        <v>45715.34461805555</v>
      </c>
      <c r="C1739" s="1" t="n">
        <v>45997</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14868-2021</t>
        </is>
      </c>
      <c r="B1740" s="1" t="n">
        <v>44280</v>
      </c>
      <c r="C1740" s="1" t="n">
        <v>45997</v>
      </c>
      <c r="D1740" t="inlineStr">
        <is>
          <t>JÄMTLANDS LÄN</t>
        </is>
      </c>
      <c r="E1740" t="inlineStr">
        <is>
          <t>BRÄCKE</t>
        </is>
      </c>
      <c r="F1740" t="inlineStr">
        <is>
          <t>SCA</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45974-2024</t>
        </is>
      </c>
      <c r="B1741" s="1" t="n">
        <v>45580.59408564815</v>
      </c>
      <c r="C1741" s="1" t="n">
        <v>45997</v>
      </c>
      <c r="D1741" t="inlineStr">
        <is>
          <t>JÄMTLANDS LÄN</t>
        </is>
      </c>
      <c r="E1741" t="inlineStr">
        <is>
          <t>BRÄCKE</t>
        </is>
      </c>
      <c r="F1741" t="inlineStr">
        <is>
          <t>Naturvårdsverket</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18982-2022</t>
        </is>
      </c>
      <c r="B1742" s="1" t="n">
        <v>44690.92626157407</v>
      </c>
      <c r="C1742" s="1" t="n">
        <v>45997</v>
      </c>
      <c r="D1742" t="inlineStr">
        <is>
          <t>JÄMTLANDS LÄN</t>
        </is>
      </c>
      <c r="E1742" t="inlineStr">
        <is>
          <t>BRÄCKE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52227-2024</t>
        </is>
      </c>
      <c r="B1743" s="1" t="n">
        <v>45608.60768518518</v>
      </c>
      <c r="C1743" s="1" t="n">
        <v>45997</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29751-2023</t>
        </is>
      </c>
      <c r="B1744" s="1" t="n">
        <v>45107</v>
      </c>
      <c r="C1744" s="1" t="n">
        <v>45997</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42480-2024</t>
        </is>
      </c>
      <c r="B1745" s="1" t="n">
        <v>45565.49185185185</v>
      </c>
      <c r="C1745" s="1" t="n">
        <v>45997</v>
      </c>
      <c r="D1745" t="inlineStr">
        <is>
          <t>JÄMTLANDS LÄN</t>
        </is>
      </c>
      <c r="E1745" t="inlineStr">
        <is>
          <t>BRÄCKE</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53260-2024</t>
        </is>
      </c>
      <c r="B1746" s="1" t="n">
        <v>45614</v>
      </c>
      <c r="C1746" s="1" t="n">
        <v>45997</v>
      </c>
      <c r="D1746" t="inlineStr">
        <is>
          <t>JÄMTLANDS LÄN</t>
        </is>
      </c>
      <c r="E1746" t="inlineStr">
        <is>
          <t>BRÄCKE</t>
        </is>
      </c>
      <c r="F1746" t="inlineStr">
        <is>
          <t>SCA</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56429-2024</t>
        </is>
      </c>
      <c r="B1747" s="1" t="n">
        <v>45625.40149305556</v>
      </c>
      <c r="C1747" s="1" t="n">
        <v>45997</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56432-2024</t>
        </is>
      </c>
      <c r="B1748" s="1" t="n">
        <v>45625.40679398148</v>
      </c>
      <c r="C1748" s="1" t="n">
        <v>45997</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48816-2022</t>
        </is>
      </c>
      <c r="B1749" s="1" t="n">
        <v>44859</v>
      </c>
      <c r="C1749" s="1" t="n">
        <v>45997</v>
      </c>
      <c r="D1749" t="inlineStr">
        <is>
          <t>JÄMTLANDS LÄN</t>
        </is>
      </c>
      <c r="E1749" t="inlineStr">
        <is>
          <t>BRÄCKE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20624-2023</t>
        </is>
      </c>
      <c r="B1750" s="1" t="n">
        <v>45057.94346064814</v>
      </c>
      <c r="C1750" s="1" t="n">
        <v>45997</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24214-2023</t>
        </is>
      </c>
      <c r="B1751" s="1" t="n">
        <v>45079.5752199074</v>
      </c>
      <c r="C1751" s="1" t="n">
        <v>45997</v>
      </c>
      <c r="D1751" t="inlineStr">
        <is>
          <t>JÄMTLANDS LÄN</t>
        </is>
      </c>
      <c r="E1751" t="inlineStr">
        <is>
          <t>BRÄCKE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24026-2024</t>
        </is>
      </c>
      <c r="B1752" s="1" t="n">
        <v>45456.45159722222</v>
      </c>
      <c r="C1752" s="1" t="n">
        <v>45997</v>
      </c>
      <c r="D1752" t="inlineStr">
        <is>
          <t>JÄMTLANDS LÄN</t>
        </is>
      </c>
      <c r="E1752" t="inlineStr">
        <is>
          <t>BRÄCKE</t>
        </is>
      </c>
      <c r="F1752" t="inlineStr">
        <is>
          <t>Övriga Aktiebolag</t>
        </is>
      </c>
      <c r="G1752" t="n">
        <v>23.7</v>
      </c>
      <c r="H1752" t="n">
        <v>0</v>
      </c>
      <c r="I1752" t="n">
        <v>0</v>
      </c>
      <c r="J1752" t="n">
        <v>0</v>
      </c>
      <c r="K1752" t="n">
        <v>0</v>
      </c>
      <c r="L1752" t="n">
        <v>0</v>
      </c>
      <c r="M1752" t="n">
        <v>0</v>
      </c>
      <c r="N1752" t="n">
        <v>0</v>
      </c>
      <c r="O1752" t="n">
        <v>0</v>
      </c>
      <c r="P1752" t="n">
        <v>0</v>
      </c>
      <c r="Q1752" t="n">
        <v>0</v>
      </c>
      <c r="R1752" s="2" t="inlineStr"/>
    </row>
    <row r="1753" ht="15" customHeight="1">
      <c r="A1753" t="inlineStr">
        <is>
          <t>A 54035-2021</t>
        </is>
      </c>
      <c r="B1753" s="1" t="n">
        <v>44470</v>
      </c>
      <c r="C1753" s="1" t="n">
        <v>45997</v>
      </c>
      <c r="D1753" t="inlineStr">
        <is>
          <t>JÄMTLANDS LÄN</t>
        </is>
      </c>
      <c r="E1753" t="inlineStr">
        <is>
          <t>BRÄCKE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35501-2022</t>
        </is>
      </c>
      <c r="B1754" s="1" t="n">
        <v>44798.94827546296</v>
      </c>
      <c r="C1754" s="1" t="n">
        <v>45997</v>
      </c>
      <c r="D1754" t="inlineStr">
        <is>
          <t>JÄMTLANDS LÄN</t>
        </is>
      </c>
      <c r="E1754" t="inlineStr">
        <is>
          <t>BRÄCKE</t>
        </is>
      </c>
      <c r="F1754" t="inlineStr">
        <is>
          <t>SCA</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23444-2022</t>
        </is>
      </c>
      <c r="B1755" s="1" t="n">
        <v>44720.94118055556</v>
      </c>
      <c r="C1755" s="1" t="n">
        <v>45997</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57088-2024</t>
        </is>
      </c>
      <c r="B1756" s="1" t="n">
        <v>45629.35652777777</v>
      </c>
      <c r="C1756" s="1" t="n">
        <v>45997</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17568-2023</t>
        </is>
      </c>
      <c r="B1757" s="1" t="n">
        <v>45036</v>
      </c>
      <c r="C1757" s="1" t="n">
        <v>45997</v>
      </c>
      <c r="D1757" t="inlineStr">
        <is>
          <t>JÄMTLANDS LÄN</t>
        </is>
      </c>
      <c r="E1757" t="inlineStr">
        <is>
          <t>BRÄCKE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48284-2021</t>
        </is>
      </c>
      <c r="B1758" s="1" t="n">
        <v>44449.75931712963</v>
      </c>
      <c r="C1758" s="1" t="n">
        <v>45997</v>
      </c>
      <c r="D1758" t="inlineStr">
        <is>
          <t>JÄMTLANDS LÄN</t>
        </is>
      </c>
      <c r="E1758" t="inlineStr">
        <is>
          <t>BRÄCKE</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1127-2025</t>
        </is>
      </c>
      <c r="B1759" s="1" t="n">
        <v>45666.67756944444</v>
      </c>
      <c r="C1759" s="1" t="n">
        <v>45997</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39509-2023</t>
        </is>
      </c>
      <c r="B1760" s="1" t="n">
        <v>45166.95824074074</v>
      </c>
      <c r="C1760" s="1" t="n">
        <v>45997</v>
      </c>
      <c r="D1760" t="inlineStr">
        <is>
          <t>JÄMTLANDS LÄN</t>
        </is>
      </c>
      <c r="E1760" t="inlineStr">
        <is>
          <t>BRÄCKE</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49189-2024</t>
        </is>
      </c>
      <c r="B1761" s="1" t="n">
        <v>45595.34502314815</v>
      </c>
      <c r="C1761" s="1" t="n">
        <v>45997</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172-2025</t>
        </is>
      </c>
      <c r="B1762" s="1" t="n">
        <v>45659.6565625</v>
      </c>
      <c r="C1762" s="1" t="n">
        <v>45997</v>
      </c>
      <c r="D1762" t="inlineStr">
        <is>
          <t>JÄMTLANDS LÄN</t>
        </is>
      </c>
      <c r="E1762" t="inlineStr">
        <is>
          <t>BRÄCKE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40693-2024</t>
        </is>
      </c>
      <c r="B1763" s="1" t="n">
        <v>45558.40670138889</v>
      </c>
      <c r="C1763" s="1" t="n">
        <v>45997</v>
      </c>
      <c r="D1763" t="inlineStr">
        <is>
          <t>JÄMTLANDS LÄN</t>
        </is>
      </c>
      <c r="E1763" t="inlineStr">
        <is>
          <t>BRÄCKE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45265.95765046297</v>
      </c>
      <c r="C1764" s="1" t="n">
        <v>45997</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52610-2024</t>
        </is>
      </c>
      <c r="B1765" s="1" t="n">
        <v>45609.78957175926</v>
      </c>
      <c r="C1765" s="1" t="n">
        <v>45997</v>
      </c>
      <c r="D1765" t="inlineStr">
        <is>
          <t>JÄMTLANDS LÄN</t>
        </is>
      </c>
      <c r="E1765" t="inlineStr">
        <is>
          <t>BRÄCKE</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26437-2022</t>
        </is>
      </c>
      <c r="B1766" s="1" t="n">
        <v>44736.93912037037</v>
      </c>
      <c r="C1766" s="1" t="n">
        <v>45997</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13033-2023</t>
        </is>
      </c>
      <c r="B1767" s="1" t="n">
        <v>45001</v>
      </c>
      <c r="C1767" s="1" t="n">
        <v>45997</v>
      </c>
      <c r="D1767" t="inlineStr">
        <is>
          <t>JÄMTLANDS LÄN</t>
        </is>
      </c>
      <c r="E1767" t="inlineStr">
        <is>
          <t>BRÄCKE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21366-2021</t>
        </is>
      </c>
      <c r="B1768" s="1" t="n">
        <v>44320</v>
      </c>
      <c r="C1768" s="1" t="n">
        <v>45997</v>
      </c>
      <c r="D1768" t="inlineStr">
        <is>
          <t>JÄMTLANDS LÄN</t>
        </is>
      </c>
      <c r="E1768" t="inlineStr">
        <is>
          <t>BRÄCKE</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61079-2024</t>
        </is>
      </c>
      <c r="B1769" s="1" t="n">
        <v>45645.51072916666</v>
      </c>
      <c r="C1769" s="1" t="n">
        <v>45997</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5052-2024</t>
        </is>
      </c>
      <c r="B1770" s="1" t="n">
        <v>45329.93077546296</v>
      </c>
      <c r="C1770" s="1" t="n">
        <v>45997</v>
      </c>
      <c r="D1770" t="inlineStr">
        <is>
          <t>JÄMTLANDS LÄN</t>
        </is>
      </c>
      <c r="E1770" t="inlineStr">
        <is>
          <t>BRÄCKE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5053-2024</t>
        </is>
      </c>
      <c r="B1771" s="1" t="n">
        <v>45329.93084490741</v>
      </c>
      <c r="C1771" s="1" t="n">
        <v>45997</v>
      </c>
      <c r="D1771" t="inlineStr">
        <is>
          <t>JÄMTLANDS LÄN</t>
        </is>
      </c>
      <c r="E1771" t="inlineStr">
        <is>
          <t>BRÄCKE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2179-2025</t>
        </is>
      </c>
      <c r="B1772" s="1" t="n">
        <v>45673.34421296296</v>
      </c>
      <c r="C1772" s="1" t="n">
        <v>45997</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2197-2025</t>
        </is>
      </c>
      <c r="B1773" s="1" t="n">
        <v>45673.38782407407</v>
      </c>
      <c r="C1773" s="1" t="n">
        <v>45997</v>
      </c>
      <c r="D1773" t="inlineStr">
        <is>
          <t>JÄMTLANDS LÄN</t>
        </is>
      </c>
      <c r="E1773" t="inlineStr">
        <is>
          <t>BRÄCKE</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2581-2025</t>
        </is>
      </c>
      <c r="B1774" s="1" t="n">
        <v>45674.67771990741</v>
      </c>
      <c r="C1774" s="1" t="n">
        <v>45997</v>
      </c>
      <c r="D1774" t="inlineStr">
        <is>
          <t>JÄMTLANDS LÄN</t>
        </is>
      </c>
      <c r="E1774" t="inlineStr">
        <is>
          <t>BRÄCKE</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3787-2025</t>
        </is>
      </c>
      <c r="B1775" s="1" t="n">
        <v>45681.6362037037</v>
      </c>
      <c r="C1775" s="1" t="n">
        <v>45997</v>
      </c>
      <c r="D1775" t="inlineStr">
        <is>
          <t>JÄMTLANDS LÄN</t>
        </is>
      </c>
      <c r="E1775" t="inlineStr">
        <is>
          <t>BRÄCKE</t>
        </is>
      </c>
      <c r="F1775" t="inlineStr">
        <is>
          <t>SCA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35896-2023</t>
        </is>
      </c>
      <c r="B1776" s="1" t="n">
        <v>45148</v>
      </c>
      <c r="C1776" s="1" t="n">
        <v>45997</v>
      </c>
      <c r="D1776" t="inlineStr">
        <is>
          <t>JÄMTLANDS LÄN</t>
        </is>
      </c>
      <c r="E1776" t="inlineStr">
        <is>
          <t>BRÄCKE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40430-2023</t>
        </is>
      </c>
      <c r="B1777" s="1" t="n">
        <v>45169</v>
      </c>
      <c r="C1777" s="1" t="n">
        <v>45997</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9996-2025</t>
        </is>
      </c>
      <c r="B1778" s="1" t="n">
        <v>45719.44133101852</v>
      </c>
      <c r="C1778" s="1" t="n">
        <v>45997</v>
      </c>
      <c r="D1778" t="inlineStr">
        <is>
          <t>JÄMTLANDS LÄN</t>
        </is>
      </c>
      <c r="E1778" t="inlineStr">
        <is>
          <t>BRÄCKE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36209-2023</t>
        </is>
      </c>
      <c r="B1779" s="1" t="n">
        <v>45149</v>
      </c>
      <c r="C1779" s="1" t="n">
        <v>45997</v>
      </c>
      <c r="D1779" t="inlineStr">
        <is>
          <t>JÄMTLANDS LÄN</t>
        </is>
      </c>
      <c r="E1779" t="inlineStr">
        <is>
          <t>BRÄCKE</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62102-2024</t>
        </is>
      </c>
      <c r="B1780" s="1" t="n">
        <v>45656.51145833333</v>
      </c>
      <c r="C1780" s="1" t="n">
        <v>45997</v>
      </c>
      <c r="D1780" t="inlineStr">
        <is>
          <t>JÄMTLANDS LÄN</t>
        </is>
      </c>
      <c r="E1780" t="inlineStr">
        <is>
          <t>BRÄCKE</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29572-2024</t>
        </is>
      </c>
      <c r="B1781" s="1" t="n">
        <v>45484.55929398148</v>
      </c>
      <c r="C1781" s="1" t="n">
        <v>45997</v>
      </c>
      <c r="D1781" t="inlineStr">
        <is>
          <t>JÄMTLANDS LÄN</t>
        </is>
      </c>
      <c r="E1781" t="inlineStr">
        <is>
          <t>BRÄCKE</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44403-2023</t>
        </is>
      </c>
      <c r="B1782" s="1" t="n">
        <v>45188.94601851852</v>
      </c>
      <c r="C1782" s="1" t="n">
        <v>45997</v>
      </c>
      <c r="D1782" t="inlineStr">
        <is>
          <t>JÄMTLANDS LÄN</t>
        </is>
      </c>
      <c r="E1782" t="inlineStr">
        <is>
          <t>BRÄCKE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1080-2025</t>
        </is>
      </c>
      <c r="B1783" s="1" t="n">
        <v>45666.61513888889</v>
      </c>
      <c r="C1783" s="1" t="n">
        <v>45997</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48440-2024</t>
        </is>
      </c>
      <c r="B1784" s="1" t="n">
        <v>45590.67774305555</v>
      </c>
      <c r="C1784" s="1" t="n">
        <v>45997</v>
      </c>
      <c r="D1784" t="inlineStr">
        <is>
          <t>JÄMTLANDS LÄN</t>
        </is>
      </c>
      <c r="E1784" t="inlineStr">
        <is>
          <t>BRÄCKE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30479-2022</t>
        </is>
      </c>
      <c r="B1785" s="1" t="n">
        <v>44761.94013888889</v>
      </c>
      <c r="C1785" s="1" t="n">
        <v>45997</v>
      </c>
      <c r="D1785" t="inlineStr">
        <is>
          <t>JÄMTLANDS LÄN</t>
        </is>
      </c>
      <c r="E1785" t="inlineStr">
        <is>
          <t>BRÄCKE</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37957-2021</t>
        </is>
      </c>
      <c r="B1786" s="1" t="n">
        <v>44403</v>
      </c>
      <c r="C1786" s="1" t="n">
        <v>45997</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31467-2023</t>
        </is>
      </c>
      <c r="B1787" s="1" t="n">
        <v>45104</v>
      </c>
      <c r="C1787" s="1" t="n">
        <v>45997</v>
      </c>
      <c r="D1787" t="inlineStr">
        <is>
          <t>JÄMTLANDS LÄN</t>
        </is>
      </c>
      <c r="E1787" t="inlineStr">
        <is>
          <t>BRÄCKE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31471-2023</t>
        </is>
      </c>
      <c r="B1788" s="1" t="n">
        <v>45104</v>
      </c>
      <c r="C1788" s="1" t="n">
        <v>45997</v>
      </c>
      <c r="D1788" t="inlineStr">
        <is>
          <t>JÄMTLANDS LÄN</t>
        </is>
      </c>
      <c r="E1788" t="inlineStr">
        <is>
          <t>BRÄCKE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10769-2025</t>
        </is>
      </c>
      <c r="B1789" s="1" t="n">
        <v>45722.4690625</v>
      </c>
      <c r="C1789" s="1" t="n">
        <v>45997</v>
      </c>
      <c r="D1789" t="inlineStr">
        <is>
          <t>JÄMTLANDS LÄN</t>
        </is>
      </c>
      <c r="E1789" t="inlineStr">
        <is>
          <t>BRÄCKE</t>
        </is>
      </c>
      <c r="F1789" t="inlineStr">
        <is>
          <t>SCA</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17209-2023</t>
        </is>
      </c>
      <c r="B1790" s="1" t="n">
        <v>45034</v>
      </c>
      <c r="C1790" s="1" t="n">
        <v>45997</v>
      </c>
      <c r="D1790" t="inlineStr">
        <is>
          <t>JÄMTLANDS LÄN</t>
        </is>
      </c>
      <c r="E1790" t="inlineStr">
        <is>
          <t>BRÄCKE</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6788-2025</t>
        </is>
      </c>
      <c r="B1791" s="1" t="n">
        <v>45700.65692129629</v>
      </c>
      <c r="C1791" s="1" t="n">
        <v>45997</v>
      </c>
      <c r="D1791" t="inlineStr">
        <is>
          <t>JÄMTLANDS LÄN</t>
        </is>
      </c>
      <c r="E1791" t="inlineStr">
        <is>
          <t>BRÄCKE</t>
        </is>
      </c>
      <c r="F1791" t="inlineStr">
        <is>
          <t>SCA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32471-2021</t>
        </is>
      </c>
      <c r="B1792" s="1" t="n">
        <v>44371</v>
      </c>
      <c r="C1792" s="1" t="n">
        <v>45997</v>
      </c>
      <c r="D1792" t="inlineStr">
        <is>
          <t>JÄMTLANDS LÄN</t>
        </is>
      </c>
      <c r="E1792" t="inlineStr">
        <is>
          <t>BRÄCKE</t>
        </is>
      </c>
      <c r="F1792" t="inlineStr">
        <is>
          <t>SCA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61973-2024</t>
        </is>
      </c>
      <c r="B1793" s="1" t="n">
        <v>45653.61484953704</v>
      </c>
      <c r="C1793" s="1" t="n">
        <v>45997</v>
      </c>
      <c r="D1793" t="inlineStr">
        <is>
          <t>JÄMTLANDS LÄN</t>
        </is>
      </c>
      <c r="E1793" t="inlineStr">
        <is>
          <t>BRÄCKE</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57412-2023</t>
        </is>
      </c>
      <c r="B1794" s="1" t="n">
        <v>45245</v>
      </c>
      <c r="C1794" s="1" t="n">
        <v>45997</v>
      </c>
      <c r="D1794" t="inlineStr">
        <is>
          <t>JÄMTLANDS LÄN</t>
        </is>
      </c>
      <c r="E1794" t="inlineStr">
        <is>
          <t>BRÄCKE</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57419-2023</t>
        </is>
      </c>
      <c r="B1795" s="1" t="n">
        <v>45245.96983796296</v>
      </c>
      <c r="C1795" s="1" t="n">
        <v>45997</v>
      </c>
      <c r="D1795" t="inlineStr">
        <is>
          <t>JÄMTLANDS LÄN</t>
        </is>
      </c>
      <c r="E1795" t="inlineStr">
        <is>
          <t>BRÄCKE</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35244-2021</t>
        </is>
      </c>
      <c r="B1796" s="1" t="n">
        <v>44384.58844907407</v>
      </c>
      <c r="C1796" s="1" t="n">
        <v>45997</v>
      </c>
      <c r="D1796" t="inlineStr">
        <is>
          <t>JÄMTLANDS LÄN</t>
        </is>
      </c>
      <c r="E1796" t="inlineStr">
        <is>
          <t>BRÄCKE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41401-2023</t>
        </is>
      </c>
      <c r="B1797" s="1" t="n">
        <v>45174</v>
      </c>
      <c r="C1797" s="1" t="n">
        <v>45997</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22001-2024</t>
        </is>
      </c>
      <c r="B1798" s="1" t="n">
        <v>45443.56649305556</v>
      </c>
      <c r="C1798" s="1" t="n">
        <v>45997</v>
      </c>
      <c r="D1798" t="inlineStr">
        <is>
          <t>JÄMTLANDS LÄN</t>
        </is>
      </c>
      <c r="E1798" t="inlineStr">
        <is>
          <t>BRÄCKE</t>
        </is>
      </c>
      <c r="F1798" t="inlineStr">
        <is>
          <t>Övriga Aktiebolag</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14601-2025</t>
        </is>
      </c>
      <c r="B1799" s="1" t="n">
        <v>45742.36497685185</v>
      </c>
      <c r="C1799" s="1" t="n">
        <v>45997</v>
      </c>
      <c r="D1799" t="inlineStr">
        <is>
          <t>JÄMTLANDS LÄN</t>
        </is>
      </c>
      <c r="E1799" t="inlineStr">
        <is>
          <t>BRÄCKE</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22121-2024</t>
        </is>
      </c>
      <c r="B1800" s="1" t="n">
        <v>45443.95271990741</v>
      </c>
      <c r="C1800" s="1" t="n">
        <v>45997</v>
      </c>
      <c r="D1800" t="inlineStr">
        <is>
          <t>JÄMTLANDS LÄN</t>
        </is>
      </c>
      <c r="E1800" t="inlineStr">
        <is>
          <t>BRÄCKE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59008-2024</t>
        </is>
      </c>
      <c r="B1801" s="1" t="n">
        <v>45636.65724537037</v>
      </c>
      <c r="C1801" s="1" t="n">
        <v>45997</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16634-2025</t>
        </is>
      </c>
      <c r="B1802" s="1" t="n">
        <v>45754.3653125</v>
      </c>
      <c r="C1802" s="1" t="n">
        <v>45997</v>
      </c>
      <c r="D1802" t="inlineStr">
        <is>
          <t>JÄMTLANDS LÄN</t>
        </is>
      </c>
      <c r="E1802" t="inlineStr">
        <is>
          <t>BRÄCKE</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60654-2024</t>
        </is>
      </c>
      <c r="B1803" s="1" t="n">
        <v>45644</v>
      </c>
      <c r="C1803" s="1" t="n">
        <v>45997</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34873-2021</t>
        </is>
      </c>
      <c r="B1804" s="1" t="n">
        <v>44382</v>
      </c>
      <c r="C1804" s="1" t="n">
        <v>45997</v>
      </c>
      <c r="D1804" t="inlineStr">
        <is>
          <t>JÄMTLANDS LÄN</t>
        </is>
      </c>
      <c r="E1804" t="inlineStr">
        <is>
          <t>BRÄCKE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25056-2023</t>
        </is>
      </c>
      <c r="B1805" s="1" t="n">
        <v>45085.94633101852</v>
      </c>
      <c r="C1805" s="1" t="n">
        <v>45997</v>
      </c>
      <c r="D1805" t="inlineStr">
        <is>
          <t>JÄMTLANDS LÄN</t>
        </is>
      </c>
      <c r="E1805" t="inlineStr">
        <is>
          <t>BRÄCKE</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41175-2023</t>
        </is>
      </c>
      <c r="B1806" s="1" t="n">
        <v>45170</v>
      </c>
      <c r="C1806" s="1" t="n">
        <v>45997</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15779-2025</t>
        </is>
      </c>
      <c r="B1807" s="1" t="n">
        <v>45748.60634259259</v>
      </c>
      <c r="C1807" s="1" t="n">
        <v>45997</v>
      </c>
      <c r="D1807" t="inlineStr">
        <is>
          <t>JÄMTLANDS LÄN</t>
        </is>
      </c>
      <c r="E1807" t="inlineStr">
        <is>
          <t>BRÄCKE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35564-2021</t>
        </is>
      </c>
      <c r="B1808" s="1" t="n">
        <v>44385.93597222222</v>
      </c>
      <c r="C1808" s="1" t="n">
        <v>45997</v>
      </c>
      <c r="D1808" t="inlineStr">
        <is>
          <t>JÄMTLANDS LÄN</t>
        </is>
      </c>
      <c r="E1808" t="inlineStr">
        <is>
          <t>BRÄCKE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12452-2025</t>
        </is>
      </c>
      <c r="B1809" s="1" t="n">
        <v>45730.51483796296</v>
      </c>
      <c r="C1809" s="1" t="n">
        <v>45997</v>
      </c>
      <c r="D1809" t="inlineStr">
        <is>
          <t>JÄMTLANDS LÄN</t>
        </is>
      </c>
      <c r="E1809" t="inlineStr">
        <is>
          <t>BRÄCKE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41722-2023</t>
        </is>
      </c>
      <c r="B1810" s="1" t="n">
        <v>45176.4012037037</v>
      </c>
      <c r="C1810" s="1" t="n">
        <v>45997</v>
      </c>
      <c r="D1810" t="inlineStr">
        <is>
          <t>JÄMTLANDS LÄN</t>
        </is>
      </c>
      <c r="E1810" t="inlineStr">
        <is>
          <t>BRÄCKE</t>
        </is>
      </c>
      <c r="G1810" t="n">
        <v>21.3</v>
      </c>
      <c r="H1810" t="n">
        <v>0</v>
      </c>
      <c r="I1810" t="n">
        <v>0</v>
      </c>
      <c r="J1810" t="n">
        <v>0</v>
      </c>
      <c r="K1810" t="n">
        <v>0</v>
      </c>
      <c r="L1810" t="n">
        <v>0</v>
      </c>
      <c r="M1810" t="n">
        <v>0</v>
      </c>
      <c r="N1810" t="n">
        <v>0</v>
      </c>
      <c r="O1810" t="n">
        <v>0</v>
      </c>
      <c r="P1810" t="n">
        <v>0</v>
      </c>
      <c r="Q1810" t="n">
        <v>0</v>
      </c>
      <c r="R1810" s="2" t="inlineStr"/>
    </row>
    <row r="1811" ht="15" customHeight="1">
      <c r="A1811" t="inlineStr">
        <is>
          <t>A 21637-2021</t>
        </is>
      </c>
      <c r="B1811" s="1" t="n">
        <v>44321</v>
      </c>
      <c r="C1811" s="1" t="n">
        <v>45997</v>
      </c>
      <c r="D1811" t="inlineStr">
        <is>
          <t>JÄMTLANDS LÄN</t>
        </is>
      </c>
      <c r="E1811" t="inlineStr">
        <is>
          <t>BRÄCKE</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45997</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52023-2022</t>
        </is>
      </c>
      <c r="B1813" s="1" t="n">
        <v>44872.95675925926</v>
      </c>
      <c r="C1813" s="1" t="n">
        <v>45997</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3697-2025</t>
        </is>
      </c>
      <c r="B1814" s="1" t="n">
        <v>45681.46973379629</v>
      </c>
      <c r="C1814" s="1" t="n">
        <v>45997</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3862-2025</t>
        </is>
      </c>
      <c r="B1815" s="1" t="n">
        <v>45684.31023148148</v>
      </c>
      <c r="C1815" s="1" t="n">
        <v>45997</v>
      </c>
      <c r="D1815" t="inlineStr">
        <is>
          <t>JÄMTLANDS LÄN</t>
        </is>
      </c>
      <c r="E1815" t="inlineStr">
        <is>
          <t>BRÄCKE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34410-2021</t>
        </is>
      </c>
      <c r="B1816" s="1" t="n">
        <v>44379.94194444444</v>
      </c>
      <c r="C1816" s="1" t="n">
        <v>45997</v>
      </c>
      <c r="D1816" t="inlineStr">
        <is>
          <t>JÄMTLANDS LÄN</t>
        </is>
      </c>
      <c r="E1816" t="inlineStr">
        <is>
          <t>BRÄCKE</t>
        </is>
      </c>
      <c r="F1816" t="inlineStr">
        <is>
          <t>SCA</t>
        </is>
      </c>
      <c r="G1816" t="n">
        <v>1.7</v>
      </c>
      <c r="H1816" t="n">
        <v>0</v>
      </c>
      <c r="I1816" t="n">
        <v>0</v>
      </c>
      <c r="J1816" t="n">
        <v>0</v>
      </c>
      <c r="K1816" t="n">
        <v>0</v>
      </c>
      <c r="L1816" t="n">
        <v>0</v>
      </c>
      <c r="M1816" t="n">
        <v>0</v>
      </c>
      <c r="N1816" t="n">
        <v>0</v>
      </c>
      <c r="O1816" t="n">
        <v>0</v>
      </c>
      <c r="P1816" t="n">
        <v>0</v>
      </c>
      <c r="Q1816" t="n">
        <v>0</v>
      </c>
      <c r="R1816" s="2" t="inlineStr"/>
    </row>
    <row r="1817">
      <c r="A1817" t="inlineStr">
        <is>
          <t>A 45342-2023</t>
        </is>
      </c>
      <c r="B1817" s="1" t="n">
        <v>45191.93817129629</v>
      </c>
      <c r="C1817" s="1" t="n">
        <v>45997</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2025-12-06T10:31:09Z</dcterms:created>
  <dcterms:modified xmlns:dcterms="http://purl.org/dc/terms/" xmlns:xsi="http://www.w3.org/2001/XMLSchema-instance" xsi:type="dcterms:W3CDTF">2025-12-06T10:31:11Z</dcterms:modified>
</cp:coreProperties>
</file>