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46042</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46042</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46042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46042</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46042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46042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46042</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46042</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46042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46042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46042</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46042</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46042</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46042</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46042</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46042</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46042</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46042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46042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46042</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46042</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46042</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46042</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46042</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46042</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31469-2024</t>
        </is>
      </c>
      <c r="B34" s="1" t="n">
        <v>45505</v>
      </c>
      <c r="C34" s="1" t="n">
        <v>46042</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61483-2024</t>
        </is>
      </c>
      <c r="B35" s="1" t="n">
        <v>45646.52915509259</v>
      </c>
      <c r="C35" s="1" t="n">
        <v>46042</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46042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46042</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46042</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46042</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46042</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46042</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46042</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46042</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46042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46042</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46042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46042</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46042</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46042</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46042</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46042</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49372-2024</t>
        </is>
      </c>
      <c r="B53" s="1" t="n">
        <v>45595.64168981482</v>
      </c>
      <c r="C53" s="1" t="n">
        <v>46042</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46042</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46042</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38525-2025</t>
        </is>
      </c>
      <c r="B56" s="1" t="n">
        <v>45884.40674768519</v>
      </c>
      <c r="C56" s="1" t="n">
        <v>46042</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61173-2025</t>
        </is>
      </c>
      <c r="B57" s="1" t="n">
        <v>46000</v>
      </c>
      <c r="C57" s="1" t="n">
        <v>46042</v>
      </c>
      <c r="D57" t="inlineStr">
        <is>
          <t>JÄMTLANDS LÄN</t>
        </is>
      </c>
      <c r="E57" t="inlineStr">
        <is>
          <t>BRÄCKE</t>
        </is>
      </c>
      <c r="G57" t="n">
        <v>16.5</v>
      </c>
      <c r="H57" t="n">
        <v>2</v>
      </c>
      <c r="I57" t="n">
        <v>0</v>
      </c>
      <c r="J57" t="n">
        <v>6</v>
      </c>
      <c r="K57" t="n">
        <v>2</v>
      </c>
      <c r="L57" t="n">
        <v>0</v>
      </c>
      <c r="M57" t="n">
        <v>0</v>
      </c>
      <c r="N57" t="n">
        <v>0</v>
      </c>
      <c r="O57" t="n">
        <v>8</v>
      </c>
      <c r="P57" t="n">
        <v>2</v>
      </c>
      <c r="Q57" t="n">
        <v>8</v>
      </c>
      <c r="R57" s="2" t="inlineStr">
        <is>
          <t>Doftticka
Sprickporing
Blågrå svartspik
Garnlav
Kolflarnlav
Lunglav
Tretåig hackspett
Vedflamlav</t>
        </is>
      </c>
      <c r="S57">
        <f>HYPERLINK("https://klasma.github.io/Logging_2305/artfynd/A 61173-2025 artfynd.xlsx", "A 61173-2025")</f>
        <v/>
      </c>
      <c r="T57">
        <f>HYPERLINK("https://klasma.github.io/Logging_2305/kartor/A 61173-2025 karta.png", "A 61173-2025")</f>
        <v/>
      </c>
      <c r="V57">
        <f>HYPERLINK("https://klasma.github.io/Logging_2305/klagomål/A 61173-2025 FSC-klagomål.docx", "A 61173-2025")</f>
        <v/>
      </c>
      <c r="W57">
        <f>HYPERLINK("https://klasma.github.io/Logging_2305/klagomålsmail/A 61173-2025 FSC-klagomål mail.docx", "A 61173-2025")</f>
        <v/>
      </c>
      <c r="X57">
        <f>HYPERLINK("https://klasma.github.io/Logging_2305/tillsyn/A 61173-2025 tillsynsbegäran.docx", "A 61173-2025")</f>
        <v/>
      </c>
      <c r="Y57">
        <f>HYPERLINK("https://klasma.github.io/Logging_2305/tillsynsmail/A 61173-2025 tillsynsbegäran mail.docx", "A 61173-2025")</f>
        <v/>
      </c>
      <c r="Z57">
        <f>HYPERLINK("https://klasma.github.io/Logging_2305/fåglar/A 61173-2025 prioriterade fågelarter.docx", "A 61173-2025")</f>
        <v/>
      </c>
    </row>
    <row r="58" ht="15" customHeight="1">
      <c r="A58" t="inlineStr">
        <is>
          <t>A 55271-2025</t>
        </is>
      </c>
      <c r="B58" s="1" t="n">
        <v>45968.67741898148</v>
      </c>
      <c r="C58" s="1" t="n">
        <v>46042</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58903-2024</t>
        </is>
      </c>
      <c r="B59" s="1" t="n">
        <v>45636.4775</v>
      </c>
      <c r="C59" s="1" t="n">
        <v>46042</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51037-2023</t>
        </is>
      </c>
      <c r="B60" s="1" t="n">
        <v>45218</v>
      </c>
      <c r="C60" s="1" t="n">
        <v>46042</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46042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46042</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46042</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62113-2023</t>
        </is>
      </c>
      <c r="B64" s="1" t="n">
        <v>45266</v>
      </c>
      <c r="C64" s="1" t="n">
        <v>46042</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41199-2025</t>
        </is>
      </c>
      <c r="B65" s="1" t="n">
        <v>45898.57366898148</v>
      </c>
      <c r="C65" s="1" t="n">
        <v>46042</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34300-2025</t>
        </is>
      </c>
      <c r="B66" s="1" t="n">
        <v>45846.34518518519</v>
      </c>
      <c r="C66" s="1" t="n">
        <v>46042</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26956-2024</t>
        </is>
      </c>
      <c r="B67" s="1" t="n">
        <v>45470.97053240741</v>
      </c>
      <c r="C67" s="1" t="n">
        <v>46042</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34540-2025</t>
        </is>
      </c>
      <c r="B68" s="1" t="n">
        <v>45847.53170138889</v>
      </c>
      <c r="C68" s="1" t="n">
        <v>46042</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44514-2024</t>
        </is>
      </c>
      <c r="B69" s="1" t="n">
        <v>45574.42746527777</v>
      </c>
      <c r="C69" s="1" t="n">
        <v>46042</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61433-2025</t>
        </is>
      </c>
      <c r="B70" s="1" t="n">
        <v>46001.55944444444</v>
      </c>
      <c r="C70" s="1" t="n">
        <v>46042</v>
      </c>
      <c r="D70" t="inlineStr">
        <is>
          <t>JÄMTLANDS LÄN</t>
        </is>
      </c>
      <c r="E70" t="inlineStr">
        <is>
          <t>BRÄCKE</t>
        </is>
      </c>
      <c r="G70" t="n">
        <v>12.5</v>
      </c>
      <c r="H70" t="n">
        <v>3</v>
      </c>
      <c r="I70" t="n">
        <v>2</v>
      </c>
      <c r="J70" t="n">
        <v>4</v>
      </c>
      <c r="K70" t="n">
        <v>0</v>
      </c>
      <c r="L70" t="n">
        <v>0</v>
      </c>
      <c r="M70" t="n">
        <v>0</v>
      </c>
      <c r="N70" t="n">
        <v>0</v>
      </c>
      <c r="O70" t="n">
        <v>4</v>
      </c>
      <c r="P70" t="n">
        <v>0</v>
      </c>
      <c r="Q70" t="n">
        <v>7</v>
      </c>
      <c r="R70" s="2" t="inlineStr">
        <is>
          <t>Garnlav
Lunglav
Spillkråka
Tretåig hackspett
Luddlav
Stuplav
Revlummer</t>
        </is>
      </c>
      <c r="S70">
        <f>HYPERLINK("https://klasma.github.io/Logging_2305/artfynd/A 61433-2025 artfynd.xlsx", "A 61433-2025")</f>
        <v/>
      </c>
      <c r="T70">
        <f>HYPERLINK("https://klasma.github.io/Logging_2305/kartor/A 61433-2025 karta.png", "A 61433-2025")</f>
        <v/>
      </c>
      <c r="V70">
        <f>HYPERLINK("https://klasma.github.io/Logging_2305/klagomål/A 61433-2025 FSC-klagomål.docx", "A 61433-2025")</f>
        <v/>
      </c>
      <c r="W70">
        <f>HYPERLINK("https://klasma.github.io/Logging_2305/klagomålsmail/A 61433-2025 FSC-klagomål mail.docx", "A 61433-2025")</f>
        <v/>
      </c>
      <c r="X70">
        <f>HYPERLINK("https://klasma.github.io/Logging_2305/tillsyn/A 61433-2025 tillsynsbegäran.docx", "A 61433-2025")</f>
        <v/>
      </c>
      <c r="Y70">
        <f>HYPERLINK("https://klasma.github.io/Logging_2305/tillsynsmail/A 61433-2025 tillsynsbegäran mail.docx", "A 61433-2025")</f>
        <v/>
      </c>
      <c r="Z70">
        <f>HYPERLINK("https://klasma.github.io/Logging_2305/fåglar/A 61433-2025 prioriterade fågelarter.docx", "A 61433-2025")</f>
        <v/>
      </c>
    </row>
    <row r="71" ht="15" customHeight="1">
      <c r="A71" t="inlineStr">
        <is>
          <t>A 45109-2024</t>
        </is>
      </c>
      <c r="B71" s="1" t="n">
        <v>45575.59435185185</v>
      </c>
      <c r="C71" s="1" t="n">
        <v>46042</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62925-2025</t>
        </is>
      </c>
      <c r="B72" s="1" t="n">
        <v>46009.38592592593</v>
      </c>
      <c r="C72" s="1" t="n">
        <v>46042</v>
      </c>
      <c r="D72" t="inlineStr">
        <is>
          <t>JÄMTLANDS LÄN</t>
        </is>
      </c>
      <c r="E72" t="inlineStr">
        <is>
          <t>BRÄCKE</t>
        </is>
      </c>
      <c r="F72" t="inlineStr">
        <is>
          <t>SCA</t>
        </is>
      </c>
      <c r="G72" t="n">
        <v>3.8</v>
      </c>
      <c r="H72" t="n">
        <v>1</v>
      </c>
      <c r="I72" t="n">
        <v>1</v>
      </c>
      <c r="J72" t="n">
        <v>6</v>
      </c>
      <c r="K72" t="n">
        <v>0</v>
      </c>
      <c r="L72" t="n">
        <v>0</v>
      </c>
      <c r="M72" t="n">
        <v>0</v>
      </c>
      <c r="N72" t="n">
        <v>0</v>
      </c>
      <c r="O72" t="n">
        <v>6</v>
      </c>
      <c r="P72" t="n">
        <v>0</v>
      </c>
      <c r="Q72" t="n">
        <v>7</v>
      </c>
      <c r="R72" s="2" t="inlineStr">
        <is>
          <t>Garnlav
Harticka
Kolflarnlav
Talltita
Vedflamlav
Vitgrynig nållav
Dropptaggsvamp</t>
        </is>
      </c>
      <c r="S72">
        <f>HYPERLINK("https://klasma.github.io/Logging_2305/artfynd/A 62925-2025 artfynd.xlsx", "A 62925-2025")</f>
        <v/>
      </c>
      <c r="T72">
        <f>HYPERLINK("https://klasma.github.io/Logging_2305/kartor/A 62925-2025 karta.png", "A 62925-2025")</f>
        <v/>
      </c>
      <c r="V72">
        <f>HYPERLINK("https://klasma.github.io/Logging_2305/klagomål/A 62925-2025 FSC-klagomål.docx", "A 62925-2025")</f>
        <v/>
      </c>
      <c r="W72">
        <f>HYPERLINK("https://klasma.github.io/Logging_2305/klagomålsmail/A 62925-2025 FSC-klagomål mail.docx", "A 62925-2025")</f>
        <v/>
      </c>
      <c r="X72">
        <f>HYPERLINK("https://klasma.github.io/Logging_2305/tillsyn/A 62925-2025 tillsynsbegäran.docx", "A 62925-2025")</f>
        <v/>
      </c>
      <c r="Y72">
        <f>HYPERLINK("https://klasma.github.io/Logging_2305/tillsynsmail/A 62925-2025 tillsynsbegäran mail.docx", "A 62925-2025")</f>
        <v/>
      </c>
      <c r="Z72">
        <f>HYPERLINK("https://klasma.github.io/Logging_2305/fåglar/A 62925-2025 prioriterade fågelarter.docx", "A 62925-2025")</f>
        <v/>
      </c>
    </row>
    <row r="73" ht="15" customHeight="1">
      <c r="A73" t="inlineStr">
        <is>
          <t>A 18898-2025</t>
        </is>
      </c>
      <c r="B73" s="1" t="n">
        <v>45764.44885416667</v>
      </c>
      <c r="C73" s="1" t="n">
        <v>46042</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21452-2025</t>
        </is>
      </c>
      <c r="B74" s="1" t="n">
        <v>45782.55300925926</v>
      </c>
      <c r="C74" s="1" t="n">
        <v>46042</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52152-2024</t>
        </is>
      </c>
      <c r="B75" s="1" t="n">
        <v>45608.52387731482</v>
      </c>
      <c r="C75" s="1" t="n">
        <v>46042</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46042</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29141-2025</t>
        </is>
      </c>
      <c r="B77" s="1" t="n">
        <v>45821.61508101852</v>
      </c>
      <c r="C77" s="1" t="n">
        <v>46042</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46042</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46042</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40376-2024</t>
        </is>
      </c>
      <c r="B80" s="1" t="n">
        <v>45555.4065162037</v>
      </c>
      <c r="C80" s="1" t="n">
        <v>46042</v>
      </c>
      <c r="D80" t="inlineStr">
        <is>
          <t>JÄMTLANDS LÄN</t>
        </is>
      </c>
      <c r="E80" t="inlineStr">
        <is>
          <t>BRÄCKE</t>
        </is>
      </c>
      <c r="F80" t="inlineStr">
        <is>
          <t>Naturvårdsverket</t>
        </is>
      </c>
      <c r="G80" t="n">
        <v>2.9</v>
      </c>
      <c r="H80" t="n">
        <v>0</v>
      </c>
      <c r="I80" t="n">
        <v>1</v>
      </c>
      <c r="J80" t="n">
        <v>5</v>
      </c>
      <c r="K80" t="n">
        <v>0</v>
      </c>
      <c r="L80" t="n">
        <v>0</v>
      </c>
      <c r="M80" t="n">
        <v>0</v>
      </c>
      <c r="N80" t="n">
        <v>0</v>
      </c>
      <c r="O80" t="n">
        <v>5</v>
      </c>
      <c r="P80" t="n">
        <v>0</v>
      </c>
      <c r="Q80" t="n">
        <v>6</v>
      </c>
      <c r="R80" s="2" t="inlineStr">
        <is>
          <t>Dvärgbägarlav
Kolflarnlav
Mörk kolflarnlav
Vedflamlav
Vedskivlav
Dropptaggsvamp</t>
        </is>
      </c>
      <c r="S80">
        <f>HYPERLINK("https://klasma.github.io/Logging_2305/artfynd/A 40376-2024 artfynd.xlsx", "A 40376-2024")</f>
        <v/>
      </c>
      <c r="T80">
        <f>HYPERLINK("https://klasma.github.io/Logging_2305/kartor/A 40376-2024 karta.png", "A 40376-2024")</f>
        <v/>
      </c>
      <c r="U80">
        <f>HYPERLINK("https://klasma.github.io/Logging_2305/knärot/A 40376-2024 karta knärot.png", "A 40376-2024")</f>
        <v/>
      </c>
      <c r="V80">
        <f>HYPERLINK("https://klasma.github.io/Logging_2305/klagomål/A 40376-2024 FSC-klagomål.docx", "A 40376-2024")</f>
        <v/>
      </c>
      <c r="W80">
        <f>HYPERLINK("https://klasma.github.io/Logging_2305/klagomålsmail/A 40376-2024 FSC-klagomål mail.docx", "A 40376-2024")</f>
        <v/>
      </c>
      <c r="X80">
        <f>HYPERLINK("https://klasma.github.io/Logging_2305/tillsyn/A 40376-2024 tillsynsbegäran.docx", "A 40376-2024")</f>
        <v/>
      </c>
      <c r="Y80">
        <f>HYPERLINK("https://klasma.github.io/Logging_2305/tillsynsmail/A 40376-2024 tillsynsbegäran mail.docx", "A 40376-2024")</f>
        <v/>
      </c>
    </row>
    <row r="81" ht="15" customHeight="1">
      <c r="A81" t="inlineStr">
        <is>
          <t>A 43989-2023</t>
        </is>
      </c>
      <c r="B81" s="1" t="n">
        <v>45187</v>
      </c>
      <c r="C81" s="1" t="n">
        <v>46042</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46042</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13548-2024</t>
        </is>
      </c>
      <c r="B83" s="1" t="n">
        <v>45387.95348379629</v>
      </c>
      <c r="C83" s="1" t="n">
        <v>46042</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29272-2024</t>
        </is>
      </c>
      <c r="B84" s="1" t="n">
        <v>45482</v>
      </c>
      <c r="C84" s="1" t="n">
        <v>46042</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22143-2025</t>
        </is>
      </c>
      <c r="B85" s="1" t="n">
        <v>45785.55251157407</v>
      </c>
      <c r="C85" s="1" t="n">
        <v>46042</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29464-2024</t>
        </is>
      </c>
      <c r="B86" s="1" t="n">
        <v>45483.97010416666</v>
      </c>
      <c r="C86" s="1" t="n">
        <v>46042</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48779-2023</t>
        </is>
      </c>
      <c r="B87" s="1" t="n">
        <v>45208.9496875</v>
      </c>
      <c r="C87" s="1" t="n">
        <v>46042</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35419-2024</t>
        </is>
      </c>
      <c r="B88" s="1" t="n">
        <v>45531.40895833333</v>
      </c>
      <c r="C88" s="1" t="n">
        <v>46042</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59719-2024</t>
        </is>
      </c>
      <c r="B89" s="1" t="n">
        <v>45639.47033564815</v>
      </c>
      <c r="C89" s="1" t="n">
        <v>46042</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53280-2022</t>
        </is>
      </c>
      <c r="B90" s="1" t="n">
        <v>44876</v>
      </c>
      <c r="C90" s="1" t="n">
        <v>46042</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38527-2025</t>
        </is>
      </c>
      <c r="B91" s="1" t="n">
        <v>45884.40715277778</v>
      </c>
      <c r="C91" s="1" t="n">
        <v>46042</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18634-2025</t>
        </is>
      </c>
      <c r="B92" s="1" t="n">
        <v>45763.55266203704</v>
      </c>
      <c r="C92" s="1" t="n">
        <v>46042</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44217-2025</t>
        </is>
      </c>
      <c r="B93" s="1" t="n">
        <v>45915.6362037037</v>
      </c>
      <c r="C93" s="1" t="n">
        <v>46042</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30620-2025</t>
        </is>
      </c>
      <c r="B94" s="1" t="n">
        <v>45831.46936342592</v>
      </c>
      <c r="C94" s="1" t="n">
        <v>46042</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46042</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46042</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46042</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46042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46042</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46042</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46042</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46042</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46042</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46042</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23246-2025</t>
        </is>
      </c>
      <c r="B105" s="1" t="n">
        <v>45791.51086805556</v>
      </c>
      <c r="C105" s="1" t="n">
        <v>46042</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Garnlav
Lunglav
Ullticka
Vedtrappmossa
Bårdlav</t>
        </is>
      </c>
      <c r="S105">
        <f>HYPERLINK("https://klasma.github.io/Logging_2305/artfynd/A 23246-2025 artfynd.xlsx", "A 23246-2025")</f>
        <v/>
      </c>
      <c r="T105">
        <f>HYPERLINK("https://klasma.github.io/Logging_2305/kartor/A 23246-2025 karta.png", "A 23246-2025")</f>
        <v/>
      </c>
      <c r="V105">
        <f>HYPERLINK("https://klasma.github.io/Logging_2305/klagomål/A 23246-2025 FSC-klagomål.docx", "A 23246-2025")</f>
        <v/>
      </c>
      <c r="W105">
        <f>HYPERLINK("https://klasma.github.io/Logging_2305/klagomålsmail/A 23246-2025 FSC-klagomål mail.docx", "A 23246-2025")</f>
        <v/>
      </c>
      <c r="X105">
        <f>HYPERLINK("https://klasma.github.io/Logging_2305/tillsyn/A 23246-2025 tillsynsbegäran.docx", "A 23246-2025")</f>
        <v/>
      </c>
      <c r="Y105">
        <f>HYPERLINK("https://klasma.github.io/Logging_2305/tillsynsmail/A 23246-2025 tillsynsbegäran mail.docx", "A 23246-2025")</f>
        <v/>
      </c>
    </row>
    <row r="106" ht="15" customHeight="1">
      <c r="A106" t="inlineStr">
        <is>
          <t>A 36820-2021</t>
        </is>
      </c>
      <c r="B106" s="1" t="n">
        <v>44392</v>
      </c>
      <c r="C106" s="1" t="n">
        <v>46042</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46042</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46042</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46042</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46042</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46649-2022</t>
        </is>
      </c>
      <c r="B111" s="1" t="n">
        <v>44849</v>
      </c>
      <c r="C111" s="1" t="n">
        <v>46042</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14978-2025</t>
        </is>
      </c>
      <c r="B112" s="1" t="n">
        <v>45743.59503472222</v>
      </c>
      <c r="C112" s="1" t="n">
        <v>46042</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46042</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12863-2024</t>
        </is>
      </c>
      <c r="B114" s="1" t="n">
        <v>45384.94145833333</v>
      </c>
      <c r="C114" s="1" t="n">
        <v>46042</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43461-2025</t>
        </is>
      </c>
      <c r="B115" s="1" t="n">
        <v>45911.46922453704</v>
      </c>
      <c r="C115" s="1" t="n">
        <v>46042</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48431-2023</t>
        </is>
      </c>
      <c r="B116" s="1" t="n">
        <v>45205</v>
      </c>
      <c r="C116" s="1" t="n">
        <v>46042</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57076-2024</t>
        </is>
      </c>
      <c r="B117" s="1" t="n">
        <v>45629.35486111111</v>
      </c>
      <c r="C117" s="1" t="n">
        <v>46042</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34529-2025</t>
        </is>
      </c>
      <c r="B118" s="1" t="n">
        <v>45847.48991898148</v>
      </c>
      <c r="C118" s="1" t="n">
        <v>46042</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49375-2024</t>
        </is>
      </c>
      <c r="B119" s="1" t="n">
        <v>45595.64222222222</v>
      </c>
      <c r="C119" s="1" t="n">
        <v>46042</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45420-2022</t>
        </is>
      </c>
      <c r="B120" s="1" t="n">
        <v>44844</v>
      </c>
      <c r="C120" s="1" t="n">
        <v>46042</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10543-2022</t>
        </is>
      </c>
      <c r="B121" s="1" t="n">
        <v>44623</v>
      </c>
      <c r="C121" s="1" t="n">
        <v>46042</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28553-2024</t>
        </is>
      </c>
      <c r="B122" s="1" t="n">
        <v>45478</v>
      </c>
      <c r="C122" s="1" t="n">
        <v>46042</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47172-2023</t>
        </is>
      </c>
      <c r="B123" s="1" t="n">
        <v>45201</v>
      </c>
      <c r="C123" s="1" t="n">
        <v>46042</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43620-2023</t>
        </is>
      </c>
      <c r="B124" s="1" t="n">
        <v>45184</v>
      </c>
      <c r="C124" s="1" t="n">
        <v>46042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46042</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2338-2026</t>
        </is>
      </c>
      <c r="B126" s="1" t="n">
        <v>46036.61542824074</v>
      </c>
      <c r="C126" s="1" t="n">
        <v>46042</v>
      </c>
      <c r="D126" t="inlineStr">
        <is>
          <t>JÄMTLANDS LÄN</t>
        </is>
      </c>
      <c r="E126" t="inlineStr">
        <is>
          <t>BRÄCKE</t>
        </is>
      </c>
      <c r="F126" t="inlineStr">
        <is>
          <t>SCA</t>
        </is>
      </c>
      <c r="G126" t="n">
        <v>11.8</v>
      </c>
      <c r="H126" t="n">
        <v>4</v>
      </c>
      <c r="I126" t="n">
        <v>0</v>
      </c>
      <c r="J126" t="n">
        <v>3</v>
      </c>
      <c r="K126" t="n">
        <v>0</v>
      </c>
      <c r="L126" t="n">
        <v>0</v>
      </c>
      <c r="M126" t="n">
        <v>0</v>
      </c>
      <c r="N126" t="n">
        <v>0</v>
      </c>
      <c r="O126" t="n">
        <v>3</v>
      </c>
      <c r="P126" t="n">
        <v>0</v>
      </c>
      <c r="Q126" t="n">
        <v>4</v>
      </c>
      <c r="R126" s="2" t="inlineStr">
        <is>
          <t>Spillkråka
Talltita
Tretåig hackspett
Lavskrika</t>
        </is>
      </c>
      <c r="S126">
        <f>HYPERLINK("https://klasma.github.io/Logging_2305/artfynd/A 2338-2026 artfynd.xlsx", "A 2338-2026")</f>
        <v/>
      </c>
      <c r="T126">
        <f>HYPERLINK("https://klasma.github.io/Logging_2305/kartor/A 2338-2026 karta.png", "A 2338-2026")</f>
        <v/>
      </c>
      <c r="V126">
        <f>HYPERLINK("https://klasma.github.io/Logging_2305/klagomål/A 2338-2026 FSC-klagomål.docx", "A 2338-2026")</f>
        <v/>
      </c>
      <c r="W126">
        <f>HYPERLINK("https://klasma.github.io/Logging_2305/klagomålsmail/A 2338-2026 FSC-klagomål mail.docx", "A 2338-2026")</f>
        <v/>
      </c>
      <c r="X126">
        <f>HYPERLINK("https://klasma.github.io/Logging_2305/tillsyn/A 2338-2026 tillsynsbegäran.docx", "A 2338-2026")</f>
        <v/>
      </c>
      <c r="Y126">
        <f>HYPERLINK("https://klasma.github.io/Logging_2305/tillsynsmail/A 2338-2026 tillsynsbegäran mail.docx", "A 2338-2026")</f>
        <v/>
      </c>
      <c r="Z126">
        <f>HYPERLINK("https://klasma.github.io/Logging_2305/fåglar/A 2338-2026 prioriterade fågelarter.docx", "A 2338-2026")</f>
        <v/>
      </c>
    </row>
    <row r="127" ht="15" customHeight="1">
      <c r="A127" t="inlineStr">
        <is>
          <t>A 30881-2025</t>
        </is>
      </c>
      <c r="B127" s="1" t="n">
        <v>45832.34538194445</v>
      </c>
      <c r="C127" s="1" t="n">
        <v>46042</v>
      </c>
      <c r="D127" t="inlineStr">
        <is>
          <t>JÄMTLANDS LÄN</t>
        </is>
      </c>
      <c r="E127" t="inlineStr">
        <is>
          <t>BRÄCKE</t>
        </is>
      </c>
      <c r="F127" t="inlineStr">
        <is>
          <t>SCA</t>
        </is>
      </c>
      <c r="G127" t="n">
        <v>3.3</v>
      </c>
      <c r="H127" t="n">
        <v>2</v>
      </c>
      <c r="I127" t="n">
        <v>0</v>
      </c>
      <c r="J127" t="n">
        <v>2</v>
      </c>
      <c r="K127" t="n">
        <v>2</v>
      </c>
      <c r="L127" t="n">
        <v>0</v>
      </c>
      <c r="M127" t="n">
        <v>0</v>
      </c>
      <c r="N127" t="n">
        <v>0</v>
      </c>
      <c r="O127" t="n">
        <v>4</v>
      </c>
      <c r="P127" t="n">
        <v>2</v>
      </c>
      <c r="Q127" t="n">
        <v>4</v>
      </c>
      <c r="R127" s="2" t="inlineStr">
        <is>
          <t>Knärot
Lappticka
Rosenticka
Talltita</t>
        </is>
      </c>
      <c r="S127">
        <f>HYPERLINK("https://klasma.github.io/Logging_2305/artfynd/A 30881-2025 artfynd.xlsx", "A 30881-2025")</f>
        <v/>
      </c>
      <c r="T127">
        <f>HYPERLINK("https://klasma.github.io/Logging_2305/kartor/A 30881-2025 karta.png", "A 30881-2025")</f>
        <v/>
      </c>
      <c r="U127">
        <f>HYPERLINK("https://klasma.github.io/Logging_2305/knärot/A 30881-2025 karta knärot.png", "A 30881-2025")</f>
        <v/>
      </c>
      <c r="V127">
        <f>HYPERLINK("https://klasma.github.io/Logging_2305/klagomål/A 30881-2025 FSC-klagomål.docx", "A 30881-2025")</f>
        <v/>
      </c>
      <c r="W127">
        <f>HYPERLINK("https://klasma.github.io/Logging_2305/klagomålsmail/A 30881-2025 FSC-klagomål mail.docx", "A 30881-2025")</f>
        <v/>
      </c>
      <c r="X127">
        <f>HYPERLINK("https://klasma.github.io/Logging_2305/tillsyn/A 30881-2025 tillsynsbegäran.docx", "A 30881-2025")</f>
        <v/>
      </c>
      <c r="Y127">
        <f>HYPERLINK("https://klasma.github.io/Logging_2305/tillsynsmail/A 30881-2025 tillsynsbegäran mail.docx", "A 30881-2025")</f>
        <v/>
      </c>
      <c r="Z127">
        <f>HYPERLINK("https://klasma.github.io/Logging_2305/fåglar/A 30881-2025 prioriterade fågelarter.docx", "A 30881-2025")</f>
        <v/>
      </c>
    </row>
    <row r="128" ht="15" customHeight="1">
      <c r="A128" t="inlineStr">
        <is>
          <t>A 42105-2024</t>
        </is>
      </c>
      <c r="B128" s="1" t="n">
        <v>45562.3650462963</v>
      </c>
      <c r="C128" s="1" t="n">
        <v>46042</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57079-2023</t>
        </is>
      </c>
      <c r="B129" s="1" t="n">
        <v>45244</v>
      </c>
      <c r="C129" s="1" t="n">
        <v>46042</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47499-2023</t>
        </is>
      </c>
      <c r="B130" s="1" t="n">
        <v>45202</v>
      </c>
      <c r="C130" s="1" t="n">
        <v>46042</v>
      </c>
      <c r="D130" t="inlineStr">
        <is>
          <t>JÄMTLANDS LÄN</t>
        </is>
      </c>
      <c r="E130" t="inlineStr">
        <is>
          <t>BRÄCKE</t>
        </is>
      </c>
      <c r="F130" t="inlineStr">
        <is>
          <t>SCA</t>
        </is>
      </c>
      <c r="G130" t="n">
        <v>8.1</v>
      </c>
      <c r="H130" t="n">
        <v>2</v>
      </c>
      <c r="I130" t="n">
        <v>2</v>
      </c>
      <c r="J130" t="n">
        <v>2</v>
      </c>
      <c r="K130" t="n">
        <v>0</v>
      </c>
      <c r="L130" t="n">
        <v>0</v>
      </c>
      <c r="M130" t="n">
        <v>0</v>
      </c>
      <c r="N130" t="n">
        <v>0</v>
      </c>
      <c r="O130" t="n">
        <v>2</v>
      </c>
      <c r="P130" t="n">
        <v>0</v>
      </c>
      <c r="Q130" t="n">
        <v>4</v>
      </c>
      <c r="R130" s="2" t="inlineStr">
        <is>
          <t>Garnlav
Lunglav
Korallrot
Lappranunkel</t>
        </is>
      </c>
      <c r="S130">
        <f>HYPERLINK("https://klasma.github.io/Logging_2305/artfynd/A 47499-2023 artfynd.xlsx", "A 47499-2023")</f>
        <v/>
      </c>
      <c r="T130">
        <f>HYPERLINK("https://klasma.github.io/Logging_2305/kartor/A 47499-2023 karta.png", "A 47499-2023")</f>
        <v/>
      </c>
      <c r="V130">
        <f>HYPERLINK("https://klasma.github.io/Logging_2305/klagomål/A 47499-2023 FSC-klagomål.docx", "A 47499-2023")</f>
        <v/>
      </c>
      <c r="W130">
        <f>HYPERLINK("https://klasma.github.io/Logging_2305/klagomålsmail/A 47499-2023 FSC-klagomål mail.docx", "A 47499-2023")</f>
        <v/>
      </c>
      <c r="X130">
        <f>HYPERLINK("https://klasma.github.io/Logging_2305/tillsyn/A 47499-2023 tillsynsbegäran.docx", "A 47499-2023")</f>
        <v/>
      </c>
      <c r="Y130">
        <f>HYPERLINK("https://klasma.github.io/Logging_2305/tillsynsmail/A 47499-2023 tillsynsbegäran mail.docx", "A 47499-2023")</f>
        <v/>
      </c>
    </row>
    <row r="131" ht="15" customHeight="1">
      <c r="A131" t="inlineStr">
        <is>
          <t>A 48479-2023</t>
        </is>
      </c>
      <c r="B131" s="1" t="n">
        <v>45206</v>
      </c>
      <c r="C131" s="1" t="n">
        <v>46042</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32654-2024</t>
        </is>
      </c>
      <c r="B132" s="1" t="n">
        <v>45513.96465277778</v>
      </c>
      <c r="C132" s="1" t="n">
        <v>46042</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46042</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46042</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46042</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46042</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46042</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46042</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46042</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24635-2025</t>
        </is>
      </c>
      <c r="B140" s="1" t="n">
        <v>45798.61513888889</v>
      </c>
      <c r="C140" s="1" t="n">
        <v>46042</v>
      </c>
      <c r="D140" t="inlineStr">
        <is>
          <t>JÄMTLANDS LÄN</t>
        </is>
      </c>
      <c r="E140" t="inlineStr">
        <is>
          <t>BRÄCKE</t>
        </is>
      </c>
      <c r="G140" t="n">
        <v>3.2</v>
      </c>
      <c r="H140" t="n">
        <v>1</v>
      </c>
      <c r="I140" t="n">
        <v>0</v>
      </c>
      <c r="J140" t="n">
        <v>3</v>
      </c>
      <c r="K140" t="n">
        <v>0</v>
      </c>
      <c r="L140" t="n">
        <v>0</v>
      </c>
      <c r="M140" t="n">
        <v>0</v>
      </c>
      <c r="N140" t="n">
        <v>0</v>
      </c>
      <c r="O140" t="n">
        <v>3</v>
      </c>
      <c r="P140" t="n">
        <v>0</v>
      </c>
      <c r="Q140" t="n">
        <v>3</v>
      </c>
      <c r="R140" s="2" t="inlineStr">
        <is>
          <t>Lunglav
Tretåig hackspett
Ullticka</t>
        </is>
      </c>
      <c r="S140">
        <f>HYPERLINK("https://klasma.github.io/Logging_2305/artfynd/A 24635-2025 artfynd.xlsx", "A 24635-2025")</f>
        <v/>
      </c>
      <c r="T140">
        <f>HYPERLINK("https://klasma.github.io/Logging_2305/kartor/A 24635-2025 karta.png", "A 24635-2025")</f>
        <v/>
      </c>
      <c r="V140">
        <f>HYPERLINK("https://klasma.github.io/Logging_2305/klagomål/A 24635-2025 FSC-klagomål.docx", "A 24635-2025")</f>
        <v/>
      </c>
      <c r="W140">
        <f>HYPERLINK("https://klasma.github.io/Logging_2305/klagomålsmail/A 24635-2025 FSC-klagomål mail.docx", "A 24635-2025")</f>
        <v/>
      </c>
      <c r="X140">
        <f>HYPERLINK("https://klasma.github.io/Logging_2305/tillsyn/A 24635-2025 tillsynsbegäran.docx", "A 24635-2025")</f>
        <v/>
      </c>
      <c r="Y140">
        <f>HYPERLINK("https://klasma.github.io/Logging_2305/tillsynsmail/A 24635-2025 tillsynsbegäran mail.docx", "A 24635-2025")</f>
        <v/>
      </c>
      <c r="Z140">
        <f>HYPERLINK("https://klasma.github.io/Logging_2305/fåglar/A 24635-2025 prioriterade fågelarter.docx", "A 24635-2025")</f>
        <v/>
      </c>
    </row>
    <row r="141" ht="15" customHeight="1">
      <c r="A141" t="inlineStr">
        <is>
          <t>A 48067-2023</t>
        </is>
      </c>
      <c r="B141" s="1" t="n">
        <v>45204</v>
      </c>
      <c r="C141" s="1" t="n">
        <v>46042</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16959-2025</t>
        </is>
      </c>
      <c r="B142" s="1" t="n">
        <v>45755.44854166666</v>
      </c>
      <c r="C142" s="1" t="n">
        <v>46042</v>
      </c>
      <c r="D142" t="inlineStr">
        <is>
          <t>JÄMTLANDS LÄN</t>
        </is>
      </c>
      <c r="E142" t="inlineStr">
        <is>
          <t>BRÄCKE</t>
        </is>
      </c>
      <c r="F142" t="inlineStr">
        <is>
          <t>SCA</t>
        </is>
      </c>
      <c r="G142" t="n">
        <v>4.6</v>
      </c>
      <c r="H142" t="n">
        <v>3</v>
      </c>
      <c r="I142" t="n">
        <v>0</v>
      </c>
      <c r="J142" t="n">
        <v>1</v>
      </c>
      <c r="K142" t="n">
        <v>1</v>
      </c>
      <c r="L142" t="n">
        <v>0</v>
      </c>
      <c r="M142" t="n">
        <v>0</v>
      </c>
      <c r="N142" t="n">
        <v>0</v>
      </c>
      <c r="O142" t="n">
        <v>2</v>
      </c>
      <c r="P142" t="n">
        <v>1</v>
      </c>
      <c r="Q142" t="n">
        <v>3</v>
      </c>
      <c r="R142" s="2" t="inlineStr">
        <is>
          <t>Knärot
Talltita
Kungsfågel</t>
        </is>
      </c>
      <c r="S142">
        <f>HYPERLINK("https://klasma.github.io/Logging_2305/artfynd/A 16959-2025 artfynd.xlsx", "A 16959-2025")</f>
        <v/>
      </c>
      <c r="T142">
        <f>HYPERLINK("https://klasma.github.io/Logging_2305/kartor/A 16959-2025 karta.png", "A 16959-2025")</f>
        <v/>
      </c>
      <c r="U142">
        <f>HYPERLINK("https://klasma.github.io/Logging_2305/knärot/A 16959-2025 karta knärot.png", "A 16959-2025")</f>
        <v/>
      </c>
      <c r="V142">
        <f>HYPERLINK("https://klasma.github.io/Logging_2305/klagomål/A 16959-2025 FSC-klagomål.docx", "A 16959-2025")</f>
        <v/>
      </c>
      <c r="W142">
        <f>HYPERLINK("https://klasma.github.io/Logging_2305/klagomålsmail/A 16959-2025 FSC-klagomål mail.docx", "A 16959-2025")</f>
        <v/>
      </c>
      <c r="X142">
        <f>HYPERLINK("https://klasma.github.io/Logging_2305/tillsyn/A 16959-2025 tillsynsbegäran.docx", "A 16959-2025")</f>
        <v/>
      </c>
      <c r="Y142">
        <f>HYPERLINK("https://klasma.github.io/Logging_2305/tillsynsmail/A 16959-2025 tillsynsbegäran mail.docx", "A 16959-2025")</f>
        <v/>
      </c>
      <c r="Z142">
        <f>HYPERLINK("https://klasma.github.io/Logging_2305/fåglar/A 16959-2025 prioriterade fågelarter.docx", "A 16959-2025")</f>
        <v/>
      </c>
    </row>
    <row r="143" ht="15" customHeight="1">
      <c r="A143" t="inlineStr">
        <is>
          <t>A 57105-2024</t>
        </is>
      </c>
      <c r="B143" s="1" t="n">
        <v>45629.35895833333</v>
      </c>
      <c r="C143" s="1" t="n">
        <v>46042</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29689-2024</t>
        </is>
      </c>
      <c r="B144" s="1" t="n">
        <v>45484.94427083333</v>
      </c>
      <c r="C144" s="1" t="n">
        <v>46042</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30486-2024</t>
        </is>
      </c>
      <c r="B145" s="1" t="n">
        <v>45491.95018518518</v>
      </c>
      <c r="C145" s="1" t="n">
        <v>46042</v>
      </c>
      <c r="D145" t="inlineStr">
        <is>
          <t>JÄMTLANDS LÄN</t>
        </is>
      </c>
      <c r="E145" t="inlineStr">
        <is>
          <t>BRÄCKE</t>
        </is>
      </c>
      <c r="F145" t="inlineStr">
        <is>
          <t>SCA</t>
        </is>
      </c>
      <c r="G145" t="n">
        <v>3.8</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30486-2024 artfynd.xlsx", "A 30486-2024")</f>
        <v/>
      </c>
      <c r="T145">
        <f>HYPERLINK("https://klasma.github.io/Logging_2305/kartor/A 30486-2024 karta.png", "A 30486-2024")</f>
        <v/>
      </c>
      <c r="V145">
        <f>HYPERLINK("https://klasma.github.io/Logging_2305/klagomål/A 30486-2024 FSC-klagomål.docx", "A 30486-2024")</f>
        <v/>
      </c>
      <c r="W145">
        <f>HYPERLINK("https://klasma.github.io/Logging_2305/klagomålsmail/A 30486-2024 FSC-klagomål mail.docx", "A 30486-2024")</f>
        <v/>
      </c>
      <c r="X145">
        <f>HYPERLINK("https://klasma.github.io/Logging_2305/tillsyn/A 30486-2024 tillsynsbegäran.docx", "A 30486-2024")</f>
        <v/>
      </c>
      <c r="Y145">
        <f>HYPERLINK("https://klasma.github.io/Logging_2305/tillsynsmail/A 30486-2024 tillsynsbegäran mail.docx", "A 30486-2024")</f>
        <v/>
      </c>
      <c r="Z145">
        <f>HYPERLINK("https://klasma.github.io/Logging_2305/fåglar/A 30486-2024 prioriterade fågelarter.docx", "A 30486-2024")</f>
        <v/>
      </c>
    </row>
    <row r="146" ht="15" customHeight="1">
      <c r="A146" t="inlineStr">
        <is>
          <t>A 41648-2023</t>
        </is>
      </c>
      <c r="B146" s="1" t="n">
        <v>45175</v>
      </c>
      <c r="C146" s="1" t="n">
        <v>46042</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30112-2025</t>
        </is>
      </c>
      <c r="B147" s="1" t="n">
        <v>45826.71938657408</v>
      </c>
      <c r="C147" s="1" t="n">
        <v>46042</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50516-2023</t>
        </is>
      </c>
      <c r="B148" s="1" t="n">
        <v>45216</v>
      </c>
      <c r="C148" s="1" t="n">
        <v>46042</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33678-2025</t>
        </is>
      </c>
      <c r="B149" s="1" t="n">
        <v>45841.67853009259</v>
      </c>
      <c r="C149" s="1" t="n">
        <v>46042</v>
      </c>
      <c r="D149" t="inlineStr">
        <is>
          <t>JÄMTLANDS LÄN</t>
        </is>
      </c>
      <c r="E149" t="inlineStr">
        <is>
          <t>BRÄCKE</t>
        </is>
      </c>
      <c r="F149" t="inlineStr">
        <is>
          <t>SCA</t>
        </is>
      </c>
      <c r="G149" t="n">
        <v>6.1</v>
      </c>
      <c r="H149" t="n">
        <v>0</v>
      </c>
      <c r="I149" t="n">
        <v>2</v>
      </c>
      <c r="J149" t="n">
        <v>1</v>
      </c>
      <c r="K149" t="n">
        <v>0</v>
      </c>
      <c r="L149" t="n">
        <v>0</v>
      </c>
      <c r="M149" t="n">
        <v>0</v>
      </c>
      <c r="N149" t="n">
        <v>0</v>
      </c>
      <c r="O149" t="n">
        <v>1</v>
      </c>
      <c r="P149" t="n">
        <v>0</v>
      </c>
      <c r="Q149" t="n">
        <v>3</v>
      </c>
      <c r="R149" s="2" t="inlineStr">
        <is>
          <t>Kolflarnlav
Dropptaggsvamp
Skarp dropptaggsvamp</t>
        </is>
      </c>
      <c r="S149">
        <f>HYPERLINK("https://klasma.github.io/Logging_2305/artfynd/A 33678-2025 artfynd.xlsx", "A 33678-2025")</f>
        <v/>
      </c>
      <c r="T149">
        <f>HYPERLINK("https://klasma.github.io/Logging_2305/kartor/A 33678-2025 karta.png", "A 33678-2025")</f>
        <v/>
      </c>
      <c r="V149">
        <f>HYPERLINK("https://klasma.github.io/Logging_2305/klagomål/A 33678-2025 FSC-klagomål.docx", "A 33678-2025")</f>
        <v/>
      </c>
      <c r="W149">
        <f>HYPERLINK("https://klasma.github.io/Logging_2305/klagomålsmail/A 33678-2025 FSC-klagomål mail.docx", "A 33678-2025")</f>
        <v/>
      </c>
      <c r="X149">
        <f>HYPERLINK("https://klasma.github.io/Logging_2305/tillsyn/A 33678-2025 tillsynsbegäran.docx", "A 33678-2025")</f>
        <v/>
      </c>
      <c r="Y149">
        <f>HYPERLINK("https://klasma.github.io/Logging_2305/tillsynsmail/A 33678-2025 tillsynsbegäran mail.docx", "A 33678-2025")</f>
        <v/>
      </c>
    </row>
    <row r="150" ht="15" customHeight="1">
      <c r="A150" t="inlineStr">
        <is>
          <t>A 47038-2025</t>
        </is>
      </c>
      <c r="B150" s="1" t="n">
        <v>45929.59473379629</v>
      </c>
      <c r="C150" s="1" t="n">
        <v>46042</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47073-2025</t>
        </is>
      </c>
      <c r="B151" s="1" t="n">
        <v>45929.63668981481</v>
      </c>
      <c r="C151" s="1" t="n">
        <v>46042</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25717-2024</t>
        </is>
      </c>
      <c r="B152" s="1" t="n">
        <v>45463.94459490741</v>
      </c>
      <c r="C152" s="1" t="n">
        <v>46042</v>
      </c>
      <c r="D152" t="inlineStr">
        <is>
          <t>JÄMTLANDS LÄN</t>
        </is>
      </c>
      <c r="E152" t="inlineStr">
        <is>
          <t>BRÄCKE</t>
        </is>
      </c>
      <c r="G152" t="n">
        <v>2.9</v>
      </c>
      <c r="H152" t="n">
        <v>1</v>
      </c>
      <c r="I152" t="n">
        <v>1</v>
      </c>
      <c r="J152" t="n">
        <v>1</v>
      </c>
      <c r="K152" t="n">
        <v>1</v>
      </c>
      <c r="L152" t="n">
        <v>0</v>
      </c>
      <c r="M152" t="n">
        <v>0</v>
      </c>
      <c r="N152" t="n">
        <v>0</v>
      </c>
      <c r="O152" t="n">
        <v>2</v>
      </c>
      <c r="P152" t="n">
        <v>1</v>
      </c>
      <c r="Q152" t="n">
        <v>3</v>
      </c>
      <c r="R152" s="2" t="inlineStr">
        <is>
          <t>Knärot
Lunglav
Skinnlav</t>
        </is>
      </c>
      <c r="S152">
        <f>HYPERLINK("https://klasma.github.io/Logging_2305/artfynd/A 25717-2024 artfynd.xlsx", "A 25717-2024")</f>
        <v/>
      </c>
      <c r="T152">
        <f>HYPERLINK("https://klasma.github.io/Logging_2305/kartor/A 25717-2024 karta.png", "A 25717-2024")</f>
        <v/>
      </c>
      <c r="U152">
        <f>HYPERLINK("https://klasma.github.io/Logging_2305/knärot/A 25717-2024 karta knärot.png", "A 25717-2024")</f>
        <v/>
      </c>
      <c r="V152">
        <f>HYPERLINK("https://klasma.github.io/Logging_2305/klagomål/A 25717-2024 FSC-klagomål.docx", "A 25717-2024")</f>
        <v/>
      </c>
      <c r="W152">
        <f>HYPERLINK("https://klasma.github.io/Logging_2305/klagomålsmail/A 25717-2024 FSC-klagomål mail.docx", "A 25717-2024")</f>
        <v/>
      </c>
      <c r="X152">
        <f>HYPERLINK("https://klasma.github.io/Logging_2305/tillsyn/A 25717-2024 tillsynsbegäran.docx", "A 25717-2024")</f>
        <v/>
      </c>
      <c r="Y152">
        <f>HYPERLINK("https://klasma.github.io/Logging_2305/tillsynsmail/A 25717-2024 tillsynsbegäran mail.docx", "A 25717-2024")</f>
        <v/>
      </c>
    </row>
    <row r="153" ht="15" customHeight="1">
      <c r="A153" t="inlineStr">
        <is>
          <t>A 4180-2022</t>
        </is>
      </c>
      <c r="B153" s="1" t="n">
        <v>44588</v>
      </c>
      <c r="C153" s="1" t="n">
        <v>46042</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49293-2025</t>
        </is>
      </c>
      <c r="B154" s="1" t="n">
        <v>45938.53223379629</v>
      </c>
      <c r="C154" s="1" t="n">
        <v>46042</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35907-2025</t>
        </is>
      </c>
      <c r="B155" s="1" t="n">
        <v>45862.5109837963</v>
      </c>
      <c r="C155" s="1" t="n">
        <v>46042</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49624-2025</t>
        </is>
      </c>
      <c r="B156" s="1" t="n">
        <v>45939.59447916667</v>
      </c>
      <c r="C156" s="1" t="n">
        <v>46042</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11002-2022</t>
        </is>
      </c>
      <c r="B157" s="1" t="n">
        <v>44628</v>
      </c>
      <c r="C157" s="1" t="n">
        <v>46042</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103-2025</t>
        </is>
      </c>
      <c r="B158" s="1" t="n">
        <v>45659</v>
      </c>
      <c r="C158" s="1" t="n">
        <v>46042</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2298-2025</t>
        </is>
      </c>
      <c r="B159" s="1" t="n">
        <v>45673.595</v>
      </c>
      <c r="C159" s="1" t="n">
        <v>46042</v>
      </c>
      <c r="D159" t="inlineStr">
        <is>
          <t>JÄMTLANDS LÄN</t>
        </is>
      </c>
      <c r="E159" t="inlineStr">
        <is>
          <t>BRÄCKE</t>
        </is>
      </c>
      <c r="F159" t="inlineStr">
        <is>
          <t>SCA</t>
        </is>
      </c>
      <c r="G159" t="n">
        <v>8.300000000000001</v>
      </c>
      <c r="H159" t="n">
        <v>0</v>
      </c>
      <c r="I159" t="n">
        <v>0</v>
      </c>
      <c r="J159" t="n">
        <v>2</v>
      </c>
      <c r="K159" t="n">
        <v>1</v>
      </c>
      <c r="L159" t="n">
        <v>0</v>
      </c>
      <c r="M159" t="n">
        <v>0</v>
      </c>
      <c r="N159" t="n">
        <v>0</v>
      </c>
      <c r="O159" t="n">
        <v>3</v>
      </c>
      <c r="P159" t="n">
        <v>1</v>
      </c>
      <c r="Q159" t="n">
        <v>3</v>
      </c>
      <c r="R159" s="2" t="inlineStr">
        <is>
          <t>Rynkskinn
Granticka
Vaddporing</t>
        </is>
      </c>
      <c r="S159">
        <f>HYPERLINK("https://klasma.github.io/Logging_2305/artfynd/A 2298-2025 artfynd.xlsx", "A 2298-2025")</f>
        <v/>
      </c>
      <c r="T159">
        <f>HYPERLINK("https://klasma.github.io/Logging_2305/kartor/A 2298-2025 karta.png", "A 2298-2025")</f>
        <v/>
      </c>
      <c r="V159">
        <f>HYPERLINK("https://klasma.github.io/Logging_2305/klagomål/A 2298-2025 FSC-klagomål.docx", "A 2298-2025")</f>
        <v/>
      </c>
      <c r="W159">
        <f>HYPERLINK("https://klasma.github.io/Logging_2305/klagomålsmail/A 2298-2025 FSC-klagomål mail.docx", "A 2298-2025")</f>
        <v/>
      </c>
      <c r="X159">
        <f>HYPERLINK("https://klasma.github.io/Logging_2305/tillsyn/A 2298-2025 tillsynsbegäran.docx", "A 2298-2025")</f>
        <v/>
      </c>
      <c r="Y159">
        <f>HYPERLINK("https://klasma.github.io/Logging_2305/tillsynsmail/A 2298-2025 tillsynsbegäran mail.docx", "A 2298-2025")</f>
        <v/>
      </c>
    </row>
    <row r="160" ht="15" customHeight="1">
      <c r="A160" t="inlineStr">
        <is>
          <t>A 37707-2025</t>
        </is>
      </c>
      <c r="B160" s="1" t="n">
        <v>45880.59423611111</v>
      </c>
      <c r="C160" s="1" t="n">
        <v>46042</v>
      </c>
      <c r="D160" t="inlineStr">
        <is>
          <t>JÄMTLANDS LÄN</t>
        </is>
      </c>
      <c r="E160" t="inlineStr">
        <is>
          <t>BRÄCKE</t>
        </is>
      </c>
      <c r="G160" t="n">
        <v>6.6</v>
      </c>
      <c r="H160" t="n">
        <v>0</v>
      </c>
      <c r="I160" t="n">
        <v>0</v>
      </c>
      <c r="J160" t="n">
        <v>3</v>
      </c>
      <c r="K160" t="n">
        <v>0</v>
      </c>
      <c r="L160" t="n">
        <v>0</v>
      </c>
      <c r="M160" t="n">
        <v>0</v>
      </c>
      <c r="N160" t="n">
        <v>0</v>
      </c>
      <c r="O160" t="n">
        <v>3</v>
      </c>
      <c r="P160" t="n">
        <v>0</v>
      </c>
      <c r="Q160" t="n">
        <v>3</v>
      </c>
      <c r="R160" s="2" t="inlineStr">
        <is>
          <t>Dvärgbägarlav
Mörk kolflarnlav
Vedflamlav</t>
        </is>
      </c>
      <c r="S160">
        <f>HYPERLINK("https://klasma.github.io/Logging_2305/artfynd/A 37707-2025 artfynd.xlsx", "A 37707-2025")</f>
        <v/>
      </c>
      <c r="T160">
        <f>HYPERLINK("https://klasma.github.io/Logging_2305/kartor/A 37707-2025 karta.png", "A 37707-2025")</f>
        <v/>
      </c>
      <c r="V160">
        <f>HYPERLINK("https://klasma.github.io/Logging_2305/klagomål/A 37707-2025 FSC-klagomål.docx", "A 37707-2025")</f>
        <v/>
      </c>
      <c r="W160">
        <f>HYPERLINK("https://klasma.github.io/Logging_2305/klagomålsmail/A 37707-2025 FSC-klagomål mail.docx", "A 37707-2025")</f>
        <v/>
      </c>
      <c r="X160">
        <f>HYPERLINK("https://klasma.github.io/Logging_2305/tillsyn/A 37707-2025 tillsynsbegäran.docx", "A 37707-2025")</f>
        <v/>
      </c>
      <c r="Y160">
        <f>HYPERLINK("https://klasma.github.io/Logging_2305/tillsynsmail/A 37707-2025 tillsynsbegäran mail.docx", "A 37707-2025")</f>
        <v/>
      </c>
    </row>
    <row r="161" ht="15" customHeight="1">
      <c r="A161" t="inlineStr">
        <is>
          <t>A 29455-2024</t>
        </is>
      </c>
      <c r="B161" s="1" t="n">
        <v>45483</v>
      </c>
      <c r="C161" s="1" t="n">
        <v>46042</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53261-2025</t>
        </is>
      </c>
      <c r="B162" s="1" t="n">
        <v>45958.67787037037</v>
      </c>
      <c r="C162" s="1" t="n">
        <v>46042</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60610-2024</t>
        </is>
      </c>
      <c r="B163" s="1" t="n">
        <v>45644.38570601852</v>
      </c>
      <c r="C163" s="1" t="n">
        <v>46042</v>
      </c>
      <c r="D163" t="inlineStr">
        <is>
          <t>JÄMTLANDS LÄN</t>
        </is>
      </c>
      <c r="E163" t="inlineStr">
        <is>
          <t>BRÄCKE</t>
        </is>
      </c>
      <c r="F163" t="inlineStr">
        <is>
          <t>SCA</t>
        </is>
      </c>
      <c r="G163" t="n">
        <v>1.1</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HYPERLINK("https://klasma.github.io/Logging_2305/artfynd/A 60610-2024 artfynd.xlsx", "A 60610-2024")</f>
        <v/>
      </c>
      <c r="T163">
        <f>HYPERLINK("https://klasma.github.io/Logging_2305/kartor/A 60610-2024 karta.png", "A 60610-2024")</f>
        <v/>
      </c>
      <c r="V163">
        <f>HYPERLINK("https://klasma.github.io/Logging_2305/klagomål/A 60610-2024 FSC-klagomål.docx", "A 60610-2024")</f>
        <v/>
      </c>
      <c r="W163">
        <f>HYPERLINK("https://klasma.github.io/Logging_2305/klagomålsmail/A 60610-2024 FSC-klagomål mail.docx", "A 60610-2024")</f>
        <v/>
      </c>
      <c r="X163">
        <f>HYPERLINK("https://klasma.github.io/Logging_2305/tillsyn/A 60610-2024 tillsynsbegäran.docx", "A 60610-2024")</f>
        <v/>
      </c>
      <c r="Y163">
        <f>HYPERLINK("https://klasma.github.io/Logging_2305/tillsynsmail/A 60610-2024 tillsynsbegäran mail.docx", "A 60610-2024")</f>
        <v/>
      </c>
    </row>
    <row r="164" ht="15" customHeight="1">
      <c r="A164" t="inlineStr">
        <is>
          <t>A 57617-2025</t>
        </is>
      </c>
      <c r="B164" s="1" t="n">
        <v>45981.34484953704</v>
      </c>
      <c r="C164" s="1" t="n">
        <v>46042</v>
      </c>
      <c r="D164" t="inlineStr">
        <is>
          <t>JÄMTLANDS LÄN</t>
        </is>
      </c>
      <c r="E164" t="inlineStr">
        <is>
          <t>BRÄCKE</t>
        </is>
      </c>
      <c r="F164" t="inlineStr">
        <is>
          <t>SCA</t>
        </is>
      </c>
      <c r="G164" t="n">
        <v>7.9</v>
      </c>
      <c r="H164" t="n">
        <v>1</v>
      </c>
      <c r="I164" t="n">
        <v>2</v>
      </c>
      <c r="J164" t="n">
        <v>0</v>
      </c>
      <c r="K164" t="n">
        <v>1</v>
      </c>
      <c r="L164" t="n">
        <v>0</v>
      </c>
      <c r="M164" t="n">
        <v>0</v>
      </c>
      <c r="N164" t="n">
        <v>0</v>
      </c>
      <c r="O164" t="n">
        <v>1</v>
      </c>
      <c r="P164" t="n">
        <v>1</v>
      </c>
      <c r="Q164" t="n">
        <v>3</v>
      </c>
      <c r="R164" s="2" t="inlineStr">
        <is>
          <t>Knärot
Svavelriska
Trådticka</t>
        </is>
      </c>
      <c r="S164">
        <f>HYPERLINK("https://klasma.github.io/Logging_2305/artfynd/A 57617-2025 artfynd.xlsx", "A 57617-2025")</f>
        <v/>
      </c>
      <c r="T164">
        <f>HYPERLINK("https://klasma.github.io/Logging_2305/kartor/A 57617-2025 karta.png", "A 57617-2025")</f>
        <v/>
      </c>
      <c r="U164">
        <f>HYPERLINK("https://klasma.github.io/Logging_2305/knärot/A 57617-2025 karta knärot.png", "A 57617-2025")</f>
        <v/>
      </c>
      <c r="V164">
        <f>HYPERLINK("https://klasma.github.io/Logging_2305/klagomål/A 57617-2025 FSC-klagomål.docx", "A 57617-2025")</f>
        <v/>
      </c>
      <c r="W164">
        <f>HYPERLINK("https://klasma.github.io/Logging_2305/klagomålsmail/A 57617-2025 FSC-klagomål mail.docx", "A 57617-2025")</f>
        <v/>
      </c>
      <c r="X164">
        <f>HYPERLINK("https://klasma.github.io/Logging_2305/tillsyn/A 57617-2025 tillsynsbegäran.docx", "A 57617-2025")</f>
        <v/>
      </c>
      <c r="Y164">
        <f>HYPERLINK("https://klasma.github.io/Logging_2305/tillsynsmail/A 57617-2025 tillsynsbegäran mail.docx", "A 57617-2025")</f>
        <v/>
      </c>
    </row>
    <row r="165" ht="15" customHeight="1">
      <c r="A165" t="inlineStr">
        <is>
          <t>A 58422-2025</t>
        </is>
      </c>
      <c r="B165" s="1" t="n">
        <v>45985.59431712963</v>
      </c>
      <c r="C165" s="1" t="n">
        <v>46042</v>
      </c>
      <c r="D165" t="inlineStr">
        <is>
          <t>JÄMTLANDS LÄN</t>
        </is>
      </c>
      <c r="E165" t="inlineStr">
        <is>
          <t>BRÄCKE</t>
        </is>
      </c>
      <c r="F165" t="inlineStr">
        <is>
          <t>SCA</t>
        </is>
      </c>
      <c r="G165" t="n">
        <v>11</v>
      </c>
      <c r="H165" t="n">
        <v>1</v>
      </c>
      <c r="I165" t="n">
        <v>1</v>
      </c>
      <c r="J165" t="n">
        <v>1</v>
      </c>
      <c r="K165" t="n">
        <v>1</v>
      </c>
      <c r="L165" t="n">
        <v>0</v>
      </c>
      <c r="M165" t="n">
        <v>0</v>
      </c>
      <c r="N165" t="n">
        <v>0</v>
      </c>
      <c r="O165" t="n">
        <v>2</v>
      </c>
      <c r="P165" t="n">
        <v>1</v>
      </c>
      <c r="Q165" t="n">
        <v>3</v>
      </c>
      <c r="R165" s="2" t="inlineStr">
        <is>
          <t>Doftticka
Lunglav
Dropptaggsvamp</t>
        </is>
      </c>
      <c r="S165">
        <f>HYPERLINK("https://klasma.github.io/Logging_2305/artfynd/A 58422-2025 artfynd.xlsx", "A 58422-2025")</f>
        <v/>
      </c>
      <c r="T165">
        <f>HYPERLINK("https://klasma.github.io/Logging_2305/kartor/A 58422-2025 karta.png", "A 58422-2025")</f>
        <v/>
      </c>
      <c r="V165">
        <f>HYPERLINK("https://klasma.github.io/Logging_2305/klagomål/A 58422-2025 FSC-klagomål.docx", "A 58422-2025")</f>
        <v/>
      </c>
      <c r="W165">
        <f>HYPERLINK("https://klasma.github.io/Logging_2305/klagomålsmail/A 58422-2025 FSC-klagomål mail.docx", "A 58422-2025")</f>
        <v/>
      </c>
      <c r="X165">
        <f>HYPERLINK("https://klasma.github.io/Logging_2305/tillsyn/A 58422-2025 tillsynsbegäran.docx", "A 58422-2025")</f>
        <v/>
      </c>
      <c r="Y165">
        <f>HYPERLINK("https://klasma.github.io/Logging_2305/tillsynsmail/A 58422-2025 tillsynsbegäran mail.docx", "A 58422-2025")</f>
        <v/>
      </c>
    </row>
    <row r="166" ht="15" customHeight="1">
      <c r="A166" t="inlineStr">
        <is>
          <t>A 58584-2021</t>
        </is>
      </c>
      <c r="B166" s="1" t="n">
        <v>44488</v>
      </c>
      <c r="C166" s="1" t="n">
        <v>46042</v>
      </c>
      <c r="D166" t="inlineStr">
        <is>
          <t>JÄMTLANDS LÄN</t>
        </is>
      </c>
      <c r="E166" t="inlineStr">
        <is>
          <t>BRÄCKE</t>
        </is>
      </c>
      <c r="G166" t="n">
        <v>32</v>
      </c>
      <c r="H166" t="n">
        <v>0</v>
      </c>
      <c r="I166" t="n">
        <v>1</v>
      </c>
      <c r="J166" t="n">
        <v>2</v>
      </c>
      <c r="K166" t="n">
        <v>0</v>
      </c>
      <c r="L166" t="n">
        <v>0</v>
      </c>
      <c r="M166" t="n">
        <v>0</v>
      </c>
      <c r="N166" t="n">
        <v>0</v>
      </c>
      <c r="O166" t="n">
        <v>2</v>
      </c>
      <c r="P166" t="n">
        <v>0</v>
      </c>
      <c r="Q166" t="n">
        <v>3</v>
      </c>
      <c r="R166" s="2" t="inlineStr">
        <is>
          <t>Garnlav
Lunglav
Bårdlav</t>
        </is>
      </c>
      <c r="S166">
        <f>HYPERLINK("https://klasma.github.io/Logging_2305/artfynd/A 58584-2021 artfynd.xlsx", "A 58584-2021")</f>
        <v/>
      </c>
      <c r="T166">
        <f>HYPERLINK("https://klasma.github.io/Logging_2305/kartor/A 58584-2021 karta.png", "A 58584-2021")</f>
        <v/>
      </c>
      <c r="U166">
        <f>HYPERLINK("https://klasma.github.io/Logging_2305/knärot/A 58584-2021 karta knärot.png", "A 58584-2021")</f>
        <v/>
      </c>
      <c r="V166">
        <f>HYPERLINK("https://klasma.github.io/Logging_2305/klagomål/A 58584-2021 FSC-klagomål.docx", "A 58584-2021")</f>
        <v/>
      </c>
      <c r="W166">
        <f>HYPERLINK("https://klasma.github.io/Logging_2305/klagomålsmail/A 58584-2021 FSC-klagomål mail.docx", "A 58584-2021")</f>
        <v/>
      </c>
      <c r="X166">
        <f>HYPERLINK("https://klasma.github.io/Logging_2305/tillsyn/A 58584-2021 tillsynsbegäran.docx", "A 58584-2021")</f>
        <v/>
      </c>
      <c r="Y166">
        <f>HYPERLINK("https://klasma.github.io/Logging_2305/tillsynsmail/A 58584-2021 tillsynsbegäran mail.docx", "A 58584-2021")</f>
        <v/>
      </c>
    </row>
    <row r="167" ht="15" customHeight="1">
      <c r="A167" t="inlineStr">
        <is>
          <t>A 26009-2024</t>
        </is>
      </c>
      <c r="B167" s="1" t="n">
        <v>45467</v>
      </c>
      <c r="C167" s="1" t="n">
        <v>46042</v>
      </c>
      <c r="D167" t="inlineStr">
        <is>
          <t>JÄMTLANDS LÄN</t>
        </is>
      </c>
      <c r="E167" t="inlineStr">
        <is>
          <t>BRÄCKE</t>
        </is>
      </c>
      <c r="F167" t="inlineStr">
        <is>
          <t>SCA</t>
        </is>
      </c>
      <c r="G167" t="n">
        <v>8.5</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26009-2024 artfynd.xlsx", "A 26009-2024")</f>
        <v/>
      </c>
      <c r="T167">
        <f>HYPERLINK("https://klasma.github.io/Logging_2305/kartor/A 26009-2024 karta.png", "A 26009-2024")</f>
        <v/>
      </c>
      <c r="V167">
        <f>HYPERLINK("https://klasma.github.io/Logging_2305/klagomål/A 26009-2024 FSC-klagomål.docx", "A 26009-2024")</f>
        <v/>
      </c>
      <c r="W167">
        <f>HYPERLINK("https://klasma.github.io/Logging_2305/klagomålsmail/A 26009-2024 FSC-klagomål mail.docx", "A 26009-2024")</f>
        <v/>
      </c>
      <c r="X167">
        <f>HYPERLINK("https://klasma.github.io/Logging_2305/tillsyn/A 26009-2024 tillsynsbegäran.docx", "A 26009-2024")</f>
        <v/>
      </c>
      <c r="Y167">
        <f>HYPERLINK("https://klasma.github.io/Logging_2305/tillsynsmail/A 26009-2024 tillsynsbegäran mail.docx", "A 26009-2024")</f>
        <v/>
      </c>
      <c r="Z167">
        <f>HYPERLINK("https://klasma.github.io/Logging_2305/fåglar/A 26009-2024 prioriterade fågelarter.docx", "A 26009-2024")</f>
        <v/>
      </c>
    </row>
    <row r="168" ht="15" customHeight="1">
      <c r="A168" t="inlineStr">
        <is>
          <t>A 50616-2024</t>
        </is>
      </c>
      <c r="B168" s="1" t="n">
        <v>45601.63574074074</v>
      </c>
      <c r="C168" s="1" t="n">
        <v>46042</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46042</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46042</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46042</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46042</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46042</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46042</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22546-2025</t>
        </is>
      </c>
      <c r="B175" s="1" t="n">
        <v>45788.46329861111</v>
      </c>
      <c r="C175" s="1" t="n">
        <v>46042</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23300-2025</t>
        </is>
      </c>
      <c r="B176" s="1" t="n">
        <v>45791.5946875</v>
      </c>
      <c r="C176" s="1" t="n">
        <v>46042</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23854-2025</t>
        </is>
      </c>
      <c r="B177" s="1" t="n">
        <v>45793.65658564815</v>
      </c>
      <c r="C177" s="1" t="n">
        <v>46042</v>
      </c>
      <c r="D177" t="inlineStr">
        <is>
          <t>JÄMTLANDS LÄN</t>
        </is>
      </c>
      <c r="E177" t="inlineStr">
        <is>
          <t>BRÄCKE</t>
        </is>
      </c>
      <c r="F177" t="inlineStr">
        <is>
          <t>SCA</t>
        </is>
      </c>
      <c r="G177" t="n">
        <v>4.5</v>
      </c>
      <c r="H177" t="n">
        <v>1</v>
      </c>
      <c r="I177" t="n">
        <v>1</v>
      </c>
      <c r="J177" t="n">
        <v>1</v>
      </c>
      <c r="K177" t="n">
        <v>0</v>
      </c>
      <c r="L177" t="n">
        <v>0</v>
      </c>
      <c r="M177" t="n">
        <v>0</v>
      </c>
      <c r="N177" t="n">
        <v>0</v>
      </c>
      <c r="O177" t="n">
        <v>1</v>
      </c>
      <c r="P177" t="n">
        <v>0</v>
      </c>
      <c r="Q177" t="n">
        <v>3</v>
      </c>
      <c r="R177" s="2" t="inlineStr">
        <is>
          <t>Garnlav
Skuggblåslav
Tjäder</t>
        </is>
      </c>
      <c r="S177">
        <f>HYPERLINK("https://klasma.github.io/Logging_2305/artfynd/A 23854-2025 artfynd.xlsx", "A 23854-2025")</f>
        <v/>
      </c>
      <c r="T177">
        <f>HYPERLINK("https://klasma.github.io/Logging_2305/kartor/A 23854-2025 karta.png", "A 23854-2025")</f>
        <v/>
      </c>
      <c r="V177">
        <f>HYPERLINK("https://klasma.github.io/Logging_2305/klagomål/A 23854-2025 FSC-klagomål.docx", "A 23854-2025")</f>
        <v/>
      </c>
      <c r="W177">
        <f>HYPERLINK("https://klasma.github.io/Logging_2305/klagomålsmail/A 23854-2025 FSC-klagomål mail.docx", "A 23854-2025")</f>
        <v/>
      </c>
      <c r="X177">
        <f>HYPERLINK("https://klasma.github.io/Logging_2305/tillsyn/A 23854-2025 tillsynsbegäran.docx", "A 23854-2025")</f>
        <v/>
      </c>
      <c r="Y177">
        <f>HYPERLINK("https://klasma.github.io/Logging_2305/tillsynsmail/A 23854-2025 tillsynsbegäran mail.docx", "A 23854-2025")</f>
        <v/>
      </c>
      <c r="Z177">
        <f>HYPERLINK("https://klasma.github.io/Logging_2305/fåglar/A 23854-2025 prioriterade fågelarter.docx", "A 23854-2025")</f>
        <v/>
      </c>
    </row>
    <row r="178" ht="15" customHeight="1">
      <c r="A178" t="inlineStr">
        <is>
          <t>A 23687-2025</t>
        </is>
      </c>
      <c r="B178" s="1" t="n">
        <v>45793.34428240741</v>
      </c>
      <c r="C178" s="1" t="n">
        <v>46042</v>
      </c>
      <c r="D178" t="inlineStr">
        <is>
          <t>JÄMTLANDS LÄN</t>
        </is>
      </c>
      <c r="E178" t="inlineStr">
        <is>
          <t>BRÄCKE</t>
        </is>
      </c>
      <c r="F178" t="inlineStr">
        <is>
          <t>SCA</t>
        </is>
      </c>
      <c r="G178" t="n">
        <v>5.5</v>
      </c>
      <c r="H178" t="n">
        <v>0</v>
      </c>
      <c r="I178" t="n">
        <v>2</v>
      </c>
      <c r="J178" t="n">
        <v>1</v>
      </c>
      <c r="K178" t="n">
        <v>0</v>
      </c>
      <c r="L178" t="n">
        <v>0</v>
      </c>
      <c r="M178" t="n">
        <v>0</v>
      </c>
      <c r="N178" t="n">
        <v>0</v>
      </c>
      <c r="O178" t="n">
        <v>1</v>
      </c>
      <c r="P178" t="n">
        <v>0</v>
      </c>
      <c r="Q178" t="n">
        <v>3</v>
      </c>
      <c r="R178" s="2" t="inlineStr">
        <is>
          <t>Lunglav
Skinnlav
Stuplav</t>
        </is>
      </c>
      <c r="S178">
        <f>HYPERLINK("https://klasma.github.io/Logging_2305/artfynd/A 23687-2025 artfynd.xlsx", "A 23687-2025")</f>
        <v/>
      </c>
      <c r="T178">
        <f>HYPERLINK("https://klasma.github.io/Logging_2305/kartor/A 23687-2025 karta.png", "A 23687-2025")</f>
        <v/>
      </c>
      <c r="V178">
        <f>HYPERLINK("https://klasma.github.io/Logging_2305/klagomål/A 23687-2025 FSC-klagomål.docx", "A 23687-2025")</f>
        <v/>
      </c>
      <c r="W178">
        <f>HYPERLINK("https://klasma.github.io/Logging_2305/klagomålsmail/A 23687-2025 FSC-klagomål mail.docx", "A 23687-2025")</f>
        <v/>
      </c>
      <c r="X178">
        <f>HYPERLINK("https://klasma.github.io/Logging_2305/tillsyn/A 23687-2025 tillsynsbegäran.docx", "A 23687-2025")</f>
        <v/>
      </c>
      <c r="Y178">
        <f>HYPERLINK("https://klasma.github.io/Logging_2305/tillsynsmail/A 23687-2025 tillsynsbegäran mail.docx", "A 23687-2025")</f>
        <v/>
      </c>
    </row>
    <row r="179" ht="15" customHeight="1">
      <c r="A179" t="inlineStr">
        <is>
          <t>A 23592-2025</t>
        </is>
      </c>
      <c r="B179" s="1" t="n">
        <v>45792.63644675926</v>
      </c>
      <c r="C179" s="1" t="n">
        <v>46042</v>
      </c>
      <c r="D179" t="inlineStr">
        <is>
          <t>JÄMTLANDS LÄN</t>
        </is>
      </c>
      <c r="E179" t="inlineStr">
        <is>
          <t>BRÄCKE</t>
        </is>
      </c>
      <c r="F179" t="inlineStr">
        <is>
          <t>SCA</t>
        </is>
      </c>
      <c r="G179" t="n">
        <v>3.6</v>
      </c>
      <c r="H179" t="n">
        <v>1</v>
      </c>
      <c r="I179" t="n">
        <v>0</v>
      </c>
      <c r="J179" t="n">
        <v>2</v>
      </c>
      <c r="K179" t="n">
        <v>1</v>
      </c>
      <c r="L179" t="n">
        <v>0</v>
      </c>
      <c r="M179" t="n">
        <v>0</v>
      </c>
      <c r="N179" t="n">
        <v>0</v>
      </c>
      <c r="O179" t="n">
        <v>3</v>
      </c>
      <c r="P179" t="n">
        <v>1</v>
      </c>
      <c r="Q179" t="n">
        <v>3</v>
      </c>
      <c r="R179" s="2" t="inlineStr">
        <is>
          <t>Knärot
Lunglav
Rosenticka</t>
        </is>
      </c>
      <c r="S179">
        <f>HYPERLINK("https://klasma.github.io/Logging_2305/artfynd/A 23592-2025 artfynd.xlsx", "A 23592-2025")</f>
        <v/>
      </c>
      <c r="T179">
        <f>HYPERLINK("https://klasma.github.io/Logging_2305/kartor/A 23592-2025 karta.png", "A 23592-2025")</f>
        <v/>
      </c>
      <c r="U179">
        <f>HYPERLINK("https://klasma.github.io/Logging_2305/knärot/A 23592-2025 karta knärot.png", "A 23592-2025")</f>
        <v/>
      </c>
      <c r="V179">
        <f>HYPERLINK("https://klasma.github.io/Logging_2305/klagomål/A 23592-2025 FSC-klagomål.docx", "A 23592-2025")</f>
        <v/>
      </c>
      <c r="W179">
        <f>HYPERLINK("https://klasma.github.io/Logging_2305/klagomålsmail/A 23592-2025 FSC-klagomål mail.docx", "A 23592-2025")</f>
        <v/>
      </c>
      <c r="X179">
        <f>HYPERLINK("https://klasma.github.io/Logging_2305/tillsyn/A 23592-2025 tillsynsbegäran.docx", "A 23592-2025")</f>
        <v/>
      </c>
      <c r="Y179">
        <f>HYPERLINK("https://klasma.github.io/Logging_2305/tillsynsmail/A 23592-2025 tillsynsbegäran mail.docx", "A 23592-2025")</f>
        <v/>
      </c>
    </row>
    <row r="180" ht="15" customHeight="1">
      <c r="A180" t="inlineStr">
        <is>
          <t>A 30607-2022</t>
        </is>
      </c>
      <c r="B180" s="1" t="n">
        <v>44762</v>
      </c>
      <c r="C180" s="1" t="n">
        <v>46042</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46042</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46042</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46042</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46042</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46042</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46042</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46042</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46042</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24747-2025</t>
        </is>
      </c>
      <c r="B189" s="1" t="n">
        <v>45799.34675925926</v>
      </c>
      <c r="C189" s="1" t="n">
        <v>46042</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54051-2023</t>
        </is>
      </c>
      <c r="B190" s="1" t="n">
        <v>45231</v>
      </c>
      <c r="C190" s="1" t="n">
        <v>46042</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26178-2025</t>
        </is>
      </c>
      <c r="B191" s="1" t="n">
        <v>45805.46917824074</v>
      </c>
      <c r="C191" s="1" t="n">
        <v>46042</v>
      </c>
      <c r="D191" t="inlineStr">
        <is>
          <t>JÄMTLANDS LÄN</t>
        </is>
      </c>
      <c r="E191" t="inlineStr">
        <is>
          <t>BRÄCKE</t>
        </is>
      </c>
      <c r="G191" t="n">
        <v>6.9</v>
      </c>
      <c r="H191" t="n">
        <v>1</v>
      </c>
      <c r="I191" t="n">
        <v>1</v>
      </c>
      <c r="J191" t="n">
        <v>0</v>
      </c>
      <c r="K191" t="n">
        <v>0</v>
      </c>
      <c r="L191" t="n">
        <v>0</v>
      </c>
      <c r="M191" t="n">
        <v>0</v>
      </c>
      <c r="N191" t="n">
        <v>0</v>
      </c>
      <c r="O191" t="n">
        <v>0</v>
      </c>
      <c r="P191" t="n">
        <v>0</v>
      </c>
      <c r="Q191" t="n">
        <v>2</v>
      </c>
      <c r="R191" s="2" t="inlineStr">
        <is>
          <t>Vårärt
Blåsippa</t>
        </is>
      </c>
      <c r="S191">
        <f>HYPERLINK("https://klasma.github.io/Logging_2305/artfynd/A 26178-2025 artfynd.xlsx", "A 26178-2025")</f>
        <v/>
      </c>
      <c r="T191">
        <f>HYPERLINK("https://klasma.github.io/Logging_2305/kartor/A 26178-2025 karta.png", "A 26178-2025")</f>
        <v/>
      </c>
      <c r="V191">
        <f>HYPERLINK("https://klasma.github.io/Logging_2305/klagomål/A 26178-2025 FSC-klagomål.docx", "A 26178-2025")</f>
        <v/>
      </c>
      <c r="W191">
        <f>HYPERLINK("https://klasma.github.io/Logging_2305/klagomålsmail/A 26178-2025 FSC-klagomål mail.docx", "A 26178-2025")</f>
        <v/>
      </c>
      <c r="X191">
        <f>HYPERLINK("https://klasma.github.io/Logging_2305/tillsyn/A 26178-2025 tillsynsbegäran.docx", "A 26178-2025")</f>
        <v/>
      </c>
      <c r="Y191">
        <f>HYPERLINK("https://klasma.github.io/Logging_2305/tillsynsmail/A 26178-2025 tillsynsbegäran mail.docx", "A 26178-2025")</f>
        <v/>
      </c>
    </row>
    <row r="192" ht="15" customHeight="1">
      <c r="A192" t="inlineStr">
        <is>
          <t>A 27062-2025</t>
        </is>
      </c>
      <c r="B192" s="1" t="n">
        <v>45811.63614583333</v>
      </c>
      <c r="C192" s="1" t="n">
        <v>46042</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15146-2024</t>
        </is>
      </c>
      <c r="B193" s="1" t="n">
        <v>45399.94361111111</v>
      </c>
      <c r="C193" s="1" t="n">
        <v>46042</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41178-2025</t>
        </is>
      </c>
      <c r="B194" s="1" t="n">
        <v>45898.55261574074</v>
      </c>
      <c r="C194" s="1" t="n">
        <v>46042</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27279-2025</t>
        </is>
      </c>
      <c r="B195" s="1" t="n">
        <v>45812.53172453704</v>
      </c>
      <c r="C195" s="1" t="n">
        <v>46042</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27279-2025 artfynd.xlsx", "A 27279-2025")</f>
        <v/>
      </c>
      <c r="T195">
        <f>HYPERLINK("https://klasma.github.io/Logging_2305/kartor/A 27279-2025 karta.png", "A 27279-2025")</f>
        <v/>
      </c>
      <c r="V195">
        <f>HYPERLINK("https://klasma.github.io/Logging_2305/klagomål/A 27279-2025 FSC-klagomål.docx", "A 27279-2025")</f>
        <v/>
      </c>
      <c r="W195">
        <f>HYPERLINK("https://klasma.github.io/Logging_2305/klagomålsmail/A 27279-2025 FSC-klagomål mail.docx", "A 27279-2025")</f>
        <v/>
      </c>
      <c r="X195">
        <f>HYPERLINK("https://klasma.github.io/Logging_2305/tillsyn/A 27279-2025 tillsynsbegäran.docx", "A 27279-2025")</f>
        <v/>
      </c>
      <c r="Y195">
        <f>HYPERLINK("https://klasma.github.io/Logging_2305/tillsynsmail/A 27279-2025 tillsynsbegäran mail.docx", "A 27279-2025")</f>
        <v/>
      </c>
    </row>
    <row r="196" ht="15" customHeight="1">
      <c r="A196" t="inlineStr">
        <is>
          <t>A 8248-2024</t>
        </is>
      </c>
      <c r="B196" s="1" t="n">
        <v>45351</v>
      </c>
      <c r="C196" s="1" t="n">
        <v>46042</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8248-2024 artfynd.xlsx", "A 8248-2024")</f>
        <v/>
      </c>
      <c r="T196">
        <f>HYPERLINK("https://klasma.github.io/Logging_2305/kartor/A 8248-2024 karta.png", "A 8248-2024")</f>
        <v/>
      </c>
      <c r="V196">
        <f>HYPERLINK("https://klasma.github.io/Logging_2305/klagomål/A 8248-2024 FSC-klagomål.docx", "A 8248-2024")</f>
        <v/>
      </c>
      <c r="W196">
        <f>HYPERLINK("https://klasma.github.io/Logging_2305/klagomålsmail/A 8248-2024 FSC-klagomål mail.docx", "A 8248-2024")</f>
        <v/>
      </c>
      <c r="X196">
        <f>HYPERLINK("https://klasma.github.io/Logging_2305/tillsyn/A 8248-2024 tillsynsbegäran.docx", "A 8248-2024")</f>
        <v/>
      </c>
      <c r="Y196">
        <f>HYPERLINK("https://klasma.github.io/Logging_2305/tillsynsmail/A 8248-2024 tillsynsbegäran mail.docx", "A 8248-2024")</f>
        <v/>
      </c>
    </row>
    <row r="197" ht="15" customHeight="1">
      <c r="A197" t="inlineStr">
        <is>
          <t>A 29119-2025</t>
        </is>
      </c>
      <c r="B197" s="1" t="n">
        <v>45821.59407407408</v>
      </c>
      <c r="C197" s="1" t="n">
        <v>46042</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22706-2025</t>
        </is>
      </c>
      <c r="B198" s="1" t="n">
        <v>45789.55290509259</v>
      </c>
      <c r="C198" s="1" t="n">
        <v>46042</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Kolflarnlav
Stiftgelélav</t>
        </is>
      </c>
      <c r="S198">
        <f>HYPERLINK("https://klasma.github.io/Logging_2305/artfynd/A 22706-2025 artfynd.xlsx", "A 22706-2025")</f>
        <v/>
      </c>
      <c r="T198">
        <f>HYPERLINK("https://klasma.github.io/Logging_2305/kartor/A 22706-2025 karta.png", "A 22706-2025")</f>
        <v/>
      </c>
      <c r="V198">
        <f>HYPERLINK("https://klasma.github.io/Logging_2305/klagomål/A 22706-2025 FSC-klagomål.docx", "A 22706-2025")</f>
        <v/>
      </c>
      <c r="W198">
        <f>HYPERLINK("https://klasma.github.io/Logging_2305/klagomålsmail/A 22706-2025 FSC-klagomål mail.docx", "A 22706-2025")</f>
        <v/>
      </c>
      <c r="X198">
        <f>HYPERLINK("https://klasma.github.io/Logging_2305/tillsyn/A 22706-2025 tillsynsbegäran.docx", "A 22706-2025")</f>
        <v/>
      </c>
      <c r="Y198">
        <f>HYPERLINK("https://klasma.github.io/Logging_2305/tillsynsmail/A 22706-2025 tillsynsbegäran mail.docx", "A 22706-2025")</f>
        <v/>
      </c>
    </row>
    <row r="199" ht="15" customHeight="1">
      <c r="A199" t="inlineStr">
        <is>
          <t>A 42807-2025</t>
        </is>
      </c>
      <c r="B199" s="1" t="n">
        <v>45908.55247685185</v>
      </c>
      <c r="C199" s="1" t="n">
        <v>46042</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43178-2025</t>
        </is>
      </c>
      <c r="B200" s="1" t="n">
        <v>45910.40681712963</v>
      </c>
      <c r="C200" s="1" t="n">
        <v>46042</v>
      </c>
      <c r="D200" t="inlineStr">
        <is>
          <t>JÄMTLANDS LÄN</t>
        </is>
      </c>
      <c r="E200" t="inlineStr">
        <is>
          <t>BRÄCKE</t>
        </is>
      </c>
      <c r="F200" t="inlineStr">
        <is>
          <t>SCA</t>
        </is>
      </c>
      <c r="G200" t="n">
        <v>4.6</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43178-2025 artfynd.xlsx", "A 43178-2025")</f>
        <v/>
      </c>
      <c r="T200">
        <f>HYPERLINK("https://klasma.github.io/Logging_2305/kartor/A 43178-2025 karta.png", "A 43178-2025")</f>
        <v/>
      </c>
      <c r="V200">
        <f>HYPERLINK("https://klasma.github.io/Logging_2305/klagomål/A 43178-2025 FSC-klagomål.docx", "A 43178-2025")</f>
        <v/>
      </c>
      <c r="W200">
        <f>HYPERLINK("https://klasma.github.io/Logging_2305/klagomålsmail/A 43178-2025 FSC-klagomål mail.docx", "A 43178-2025")</f>
        <v/>
      </c>
      <c r="X200">
        <f>HYPERLINK("https://klasma.github.io/Logging_2305/tillsyn/A 43178-2025 tillsynsbegäran.docx", "A 43178-2025")</f>
        <v/>
      </c>
      <c r="Y200">
        <f>HYPERLINK("https://klasma.github.io/Logging_2305/tillsynsmail/A 43178-2025 tillsynsbegäran mail.docx", "A 43178-2025")</f>
        <v/>
      </c>
    </row>
    <row r="201" ht="15" customHeight="1">
      <c r="A201" t="inlineStr">
        <is>
          <t>A 35216-2025</t>
        </is>
      </c>
      <c r="B201" s="1" t="n">
        <v>45853.49005787037</v>
      </c>
      <c r="C201" s="1" t="n">
        <v>46042</v>
      </c>
      <c r="D201" t="inlineStr">
        <is>
          <t>JÄMTLANDS LÄN</t>
        </is>
      </c>
      <c r="E201" t="inlineStr">
        <is>
          <t>BRÄCKE</t>
        </is>
      </c>
      <c r="F201" t="inlineStr">
        <is>
          <t>SCA</t>
        </is>
      </c>
      <c r="G201" t="n">
        <v>1.5</v>
      </c>
      <c r="H201" t="n">
        <v>2</v>
      </c>
      <c r="I201" t="n">
        <v>0</v>
      </c>
      <c r="J201" t="n">
        <v>1</v>
      </c>
      <c r="K201" t="n">
        <v>1</v>
      </c>
      <c r="L201" t="n">
        <v>0</v>
      </c>
      <c r="M201" t="n">
        <v>0</v>
      </c>
      <c r="N201" t="n">
        <v>0</v>
      </c>
      <c r="O201" t="n">
        <v>2</v>
      </c>
      <c r="P201" t="n">
        <v>1</v>
      </c>
      <c r="Q201" t="n">
        <v>2</v>
      </c>
      <c r="R201" s="2" t="inlineStr">
        <is>
          <t>Knärot
Talltita</t>
        </is>
      </c>
      <c r="S201">
        <f>HYPERLINK("https://klasma.github.io/Logging_2305/artfynd/A 35216-2025 artfynd.xlsx", "A 35216-2025")</f>
        <v/>
      </c>
      <c r="T201">
        <f>HYPERLINK("https://klasma.github.io/Logging_2305/kartor/A 35216-2025 karta.png", "A 35216-2025")</f>
        <v/>
      </c>
      <c r="U201">
        <f>HYPERLINK("https://klasma.github.io/Logging_2305/knärot/A 35216-2025 karta knärot.png", "A 35216-2025")</f>
        <v/>
      </c>
      <c r="V201">
        <f>HYPERLINK("https://klasma.github.io/Logging_2305/klagomål/A 35216-2025 FSC-klagomål.docx", "A 35216-2025")</f>
        <v/>
      </c>
      <c r="W201">
        <f>HYPERLINK("https://klasma.github.io/Logging_2305/klagomålsmail/A 35216-2025 FSC-klagomål mail.docx", "A 35216-2025")</f>
        <v/>
      </c>
      <c r="X201">
        <f>HYPERLINK("https://klasma.github.io/Logging_2305/tillsyn/A 35216-2025 tillsynsbegäran.docx", "A 35216-2025")</f>
        <v/>
      </c>
      <c r="Y201">
        <f>HYPERLINK("https://klasma.github.io/Logging_2305/tillsynsmail/A 35216-2025 tillsynsbegäran mail.docx", "A 35216-2025")</f>
        <v/>
      </c>
      <c r="Z201">
        <f>HYPERLINK("https://klasma.github.io/Logging_2305/fåglar/A 35216-2025 prioriterade fågelarter.docx", "A 35216-2025")</f>
        <v/>
      </c>
    </row>
    <row r="202" ht="15" customHeight="1">
      <c r="A202" t="inlineStr">
        <is>
          <t>A 45795-2025</t>
        </is>
      </c>
      <c r="B202" s="1" t="n">
        <v>45923.57403935185</v>
      </c>
      <c r="C202" s="1" t="n">
        <v>46042</v>
      </c>
      <c r="D202" t="inlineStr">
        <is>
          <t>JÄMTLANDS LÄN</t>
        </is>
      </c>
      <c r="E202" t="inlineStr">
        <is>
          <t>BRÄCKE</t>
        </is>
      </c>
      <c r="F202" t="inlineStr">
        <is>
          <t>SCA</t>
        </is>
      </c>
      <c r="G202" t="n">
        <v>10.9</v>
      </c>
      <c r="H202" t="n">
        <v>0</v>
      </c>
      <c r="I202" t="n">
        <v>1</v>
      </c>
      <c r="J202" t="n">
        <v>1</v>
      </c>
      <c r="K202" t="n">
        <v>0</v>
      </c>
      <c r="L202" t="n">
        <v>0</v>
      </c>
      <c r="M202" t="n">
        <v>0</v>
      </c>
      <c r="N202" t="n">
        <v>0</v>
      </c>
      <c r="O202" t="n">
        <v>1</v>
      </c>
      <c r="P202" t="n">
        <v>0</v>
      </c>
      <c r="Q202" t="n">
        <v>2</v>
      </c>
      <c r="R202" s="2" t="inlineStr">
        <is>
          <t>Lunglav
Skinnlav</t>
        </is>
      </c>
      <c r="S202">
        <f>HYPERLINK("https://klasma.github.io/Logging_2305/artfynd/A 45795-2025 artfynd.xlsx", "A 45795-2025")</f>
        <v/>
      </c>
      <c r="T202">
        <f>HYPERLINK("https://klasma.github.io/Logging_2305/kartor/A 45795-2025 karta.png", "A 45795-2025")</f>
        <v/>
      </c>
      <c r="V202">
        <f>HYPERLINK("https://klasma.github.io/Logging_2305/klagomål/A 45795-2025 FSC-klagomål.docx", "A 45795-2025")</f>
        <v/>
      </c>
      <c r="W202">
        <f>HYPERLINK("https://klasma.github.io/Logging_2305/klagomålsmail/A 45795-2025 FSC-klagomål mail.docx", "A 45795-2025")</f>
        <v/>
      </c>
      <c r="X202">
        <f>HYPERLINK("https://klasma.github.io/Logging_2305/tillsyn/A 45795-2025 tillsynsbegäran.docx", "A 45795-2025")</f>
        <v/>
      </c>
      <c r="Y202">
        <f>HYPERLINK("https://klasma.github.io/Logging_2305/tillsynsmail/A 45795-2025 tillsynsbegäran mail.docx", "A 45795-2025")</f>
        <v/>
      </c>
    </row>
    <row r="203" ht="15" customHeight="1">
      <c r="A203" t="inlineStr">
        <is>
          <t>A 32566-2025</t>
        </is>
      </c>
      <c r="B203" s="1" t="n">
        <v>45838.57354166666</v>
      </c>
      <c r="C203" s="1" t="n">
        <v>46042</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22382-2024</t>
        </is>
      </c>
      <c r="B204" s="1" t="n">
        <v>45446</v>
      </c>
      <c r="C204" s="1" t="n">
        <v>46042</v>
      </c>
      <c r="D204" t="inlineStr">
        <is>
          <t>JÄMTLANDS LÄN</t>
        </is>
      </c>
      <c r="E204" t="inlineStr">
        <is>
          <t>BRÄCKE</t>
        </is>
      </c>
      <c r="G204" t="n">
        <v>5.2</v>
      </c>
      <c r="H204" t="n">
        <v>1</v>
      </c>
      <c r="I204" t="n">
        <v>0</v>
      </c>
      <c r="J204" t="n">
        <v>1</v>
      </c>
      <c r="K204" t="n">
        <v>1</v>
      </c>
      <c r="L204" t="n">
        <v>0</v>
      </c>
      <c r="M204" t="n">
        <v>0</v>
      </c>
      <c r="N204" t="n">
        <v>0</v>
      </c>
      <c r="O204" t="n">
        <v>2</v>
      </c>
      <c r="P204" t="n">
        <v>1</v>
      </c>
      <c r="Q204" t="n">
        <v>2</v>
      </c>
      <c r="R204" s="2" t="inlineStr">
        <is>
          <t>Knärot
Garnlav</t>
        </is>
      </c>
      <c r="S204">
        <f>HYPERLINK("https://klasma.github.io/Logging_2305/artfynd/A 22382-2024 artfynd.xlsx", "A 22382-2024")</f>
        <v/>
      </c>
      <c r="T204">
        <f>HYPERLINK("https://klasma.github.io/Logging_2305/kartor/A 22382-2024 karta.png", "A 22382-2024")</f>
        <v/>
      </c>
      <c r="U204">
        <f>HYPERLINK("https://klasma.github.io/Logging_2305/knärot/A 22382-2024 karta knärot.png", "A 22382-2024")</f>
        <v/>
      </c>
      <c r="V204">
        <f>HYPERLINK("https://klasma.github.io/Logging_2305/klagomål/A 22382-2024 FSC-klagomål.docx", "A 22382-2024")</f>
        <v/>
      </c>
      <c r="W204">
        <f>HYPERLINK("https://klasma.github.io/Logging_2305/klagomålsmail/A 22382-2024 FSC-klagomål mail.docx", "A 22382-2024")</f>
        <v/>
      </c>
      <c r="X204">
        <f>HYPERLINK("https://klasma.github.io/Logging_2305/tillsyn/A 22382-2024 tillsynsbegäran.docx", "A 22382-2024")</f>
        <v/>
      </c>
      <c r="Y204">
        <f>HYPERLINK("https://klasma.github.io/Logging_2305/tillsynsmail/A 22382-2024 tillsynsbegäran mail.docx", "A 22382-2024")</f>
        <v/>
      </c>
    </row>
    <row r="205" ht="15" customHeight="1">
      <c r="A205" t="inlineStr">
        <is>
          <t>A 34615-2025</t>
        </is>
      </c>
      <c r="B205" s="1" t="n">
        <v>45847.6778125</v>
      </c>
      <c r="C205" s="1" t="n">
        <v>46042</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34541-2025</t>
        </is>
      </c>
      <c r="B206" s="1" t="n">
        <v>45847.53196759259</v>
      </c>
      <c r="C206" s="1" t="n">
        <v>46042</v>
      </c>
      <c r="D206" t="inlineStr">
        <is>
          <t>JÄMTLANDS LÄN</t>
        </is>
      </c>
      <c r="E206" t="inlineStr">
        <is>
          <t>BRÄCKE</t>
        </is>
      </c>
      <c r="G206" t="n">
        <v>3.8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34541-2025 artfynd.xlsx", "A 34541-2025")</f>
        <v/>
      </c>
      <c r="T206">
        <f>HYPERLINK("https://klasma.github.io/Logging_2305/kartor/A 34541-2025 karta.png", "A 34541-2025")</f>
        <v/>
      </c>
      <c r="V206">
        <f>HYPERLINK("https://klasma.github.io/Logging_2305/klagomål/A 34541-2025 FSC-klagomål.docx", "A 34541-2025")</f>
        <v/>
      </c>
      <c r="W206">
        <f>HYPERLINK("https://klasma.github.io/Logging_2305/klagomålsmail/A 34541-2025 FSC-klagomål mail.docx", "A 34541-2025")</f>
        <v/>
      </c>
      <c r="X206">
        <f>HYPERLINK("https://klasma.github.io/Logging_2305/tillsyn/A 34541-2025 tillsynsbegäran.docx", "A 34541-2025")</f>
        <v/>
      </c>
      <c r="Y206">
        <f>HYPERLINK("https://klasma.github.io/Logging_2305/tillsynsmail/A 34541-2025 tillsynsbegäran mail.docx", "A 34541-2025")</f>
        <v/>
      </c>
    </row>
    <row r="207" ht="15" customHeight="1">
      <c r="A207" t="inlineStr">
        <is>
          <t>A 35209-2025</t>
        </is>
      </c>
      <c r="B207" s="1" t="n">
        <v>45853.44827546296</v>
      </c>
      <c r="C207" s="1" t="n">
        <v>46042</v>
      </c>
      <c r="D207" t="inlineStr">
        <is>
          <t>JÄMTLANDS LÄN</t>
        </is>
      </c>
      <c r="E207" t="inlineStr">
        <is>
          <t>BRÄCKE</t>
        </is>
      </c>
      <c r="F207" t="inlineStr">
        <is>
          <t>SCA</t>
        </is>
      </c>
      <c r="G207" t="n">
        <v>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35209-2025 artfynd.xlsx", "A 35209-2025")</f>
        <v/>
      </c>
      <c r="T207">
        <f>HYPERLINK("https://klasma.github.io/Logging_2305/kartor/A 35209-2025 karta.png", "A 35209-2025")</f>
        <v/>
      </c>
      <c r="V207">
        <f>HYPERLINK("https://klasma.github.io/Logging_2305/klagomål/A 35209-2025 FSC-klagomål.docx", "A 35209-2025")</f>
        <v/>
      </c>
      <c r="W207">
        <f>HYPERLINK("https://klasma.github.io/Logging_2305/klagomålsmail/A 35209-2025 FSC-klagomål mail.docx", "A 35209-2025")</f>
        <v/>
      </c>
      <c r="X207">
        <f>HYPERLINK("https://klasma.github.io/Logging_2305/tillsyn/A 35209-2025 tillsynsbegäran.docx", "A 35209-2025")</f>
        <v/>
      </c>
      <c r="Y207">
        <f>HYPERLINK("https://klasma.github.io/Logging_2305/tillsynsmail/A 35209-2025 tillsynsbegäran mail.docx", "A 35209-2025")</f>
        <v/>
      </c>
    </row>
    <row r="208" ht="15" customHeight="1">
      <c r="A208" t="inlineStr">
        <is>
          <t>A 35117-2025</t>
        </is>
      </c>
      <c r="B208" s="1" t="n">
        <v>45852.59416666667</v>
      </c>
      <c r="C208" s="1" t="n">
        <v>46042</v>
      </c>
      <c r="D208" t="inlineStr">
        <is>
          <t>JÄMTLANDS LÄN</t>
        </is>
      </c>
      <c r="E208" t="inlineStr">
        <is>
          <t>BRÄCKE</t>
        </is>
      </c>
      <c r="F208" t="inlineStr">
        <is>
          <t>SCA</t>
        </is>
      </c>
      <c r="G208" t="n">
        <v>11.1</v>
      </c>
      <c r="H208" t="n">
        <v>0</v>
      </c>
      <c r="I208" t="n">
        <v>0</v>
      </c>
      <c r="J208" t="n">
        <v>2</v>
      </c>
      <c r="K208" t="n">
        <v>0</v>
      </c>
      <c r="L208" t="n">
        <v>0</v>
      </c>
      <c r="M208" t="n">
        <v>0</v>
      </c>
      <c r="N208" t="n">
        <v>0</v>
      </c>
      <c r="O208" t="n">
        <v>2</v>
      </c>
      <c r="P208" t="n">
        <v>0</v>
      </c>
      <c r="Q208" t="n">
        <v>2</v>
      </c>
      <c r="R208" s="2" t="inlineStr">
        <is>
          <t>Dvärgbägarlav
Nordtagging</t>
        </is>
      </c>
      <c r="S208">
        <f>HYPERLINK("https://klasma.github.io/Logging_2305/artfynd/A 35117-2025 artfynd.xlsx", "A 35117-2025")</f>
        <v/>
      </c>
      <c r="T208">
        <f>HYPERLINK("https://klasma.github.io/Logging_2305/kartor/A 35117-2025 karta.png", "A 35117-2025")</f>
        <v/>
      </c>
      <c r="V208">
        <f>HYPERLINK("https://klasma.github.io/Logging_2305/klagomål/A 35117-2025 FSC-klagomål.docx", "A 35117-2025")</f>
        <v/>
      </c>
      <c r="W208">
        <f>HYPERLINK("https://klasma.github.io/Logging_2305/klagomålsmail/A 35117-2025 FSC-klagomål mail.docx", "A 35117-2025")</f>
        <v/>
      </c>
      <c r="X208">
        <f>HYPERLINK("https://klasma.github.io/Logging_2305/tillsyn/A 35117-2025 tillsynsbegäran.docx", "A 35117-2025")</f>
        <v/>
      </c>
      <c r="Y208">
        <f>HYPERLINK("https://klasma.github.io/Logging_2305/tillsynsmail/A 35117-2025 tillsynsbegäran mail.docx", "A 35117-2025")</f>
        <v/>
      </c>
    </row>
    <row r="209" ht="15" customHeight="1">
      <c r="A209" t="inlineStr">
        <is>
          <t>A 36456-2021</t>
        </is>
      </c>
      <c r="B209" s="1" t="n">
        <v>44390</v>
      </c>
      <c r="C209" s="1" t="n">
        <v>46042</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45012-2023</t>
        </is>
      </c>
      <c r="B210" s="1" t="n">
        <v>45190</v>
      </c>
      <c r="C210" s="1" t="n">
        <v>46042</v>
      </c>
      <c r="D210" t="inlineStr">
        <is>
          <t>JÄMTLANDS LÄN</t>
        </is>
      </c>
      <c r="E210" t="inlineStr">
        <is>
          <t>BRÄCKE</t>
        </is>
      </c>
      <c r="G210" t="n">
        <v>2.6</v>
      </c>
      <c r="H210" t="n">
        <v>0</v>
      </c>
      <c r="I210" t="n">
        <v>1</v>
      </c>
      <c r="J210" t="n">
        <v>1</v>
      </c>
      <c r="K210" t="n">
        <v>0</v>
      </c>
      <c r="L210" t="n">
        <v>0</v>
      </c>
      <c r="M210" t="n">
        <v>0</v>
      </c>
      <c r="N210" t="n">
        <v>0</v>
      </c>
      <c r="O210" t="n">
        <v>1</v>
      </c>
      <c r="P210" t="n">
        <v>0</v>
      </c>
      <c r="Q210" t="n">
        <v>2</v>
      </c>
      <c r="R210" s="2" t="inlineStr">
        <is>
          <t>Dvärgbägarlav
Skinnlav</t>
        </is>
      </c>
      <c r="S210">
        <f>HYPERLINK("https://klasma.github.io/Logging_2305/artfynd/A 45012-2023 artfynd.xlsx", "A 45012-2023")</f>
        <v/>
      </c>
      <c r="T210">
        <f>HYPERLINK("https://klasma.github.io/Logging_2305/kartor/A 45012-2023 karta.png", "A 45012-2023")</f>
        <v/>
      </c>
      <c r="V210">
        <f>HYPERLINK("https://klasma.github.io/Logging_2305/klagomål/A 45012-2023 FSC-klagomål.docx", "A 45012-2023")</f>
        <v/>
      </c>
      <c r="W210">
        <f>HYPERLINK("https://klasma.github.io/Logging_2305/klagomålsmail/A 45012-2023 FSC-klagomål mail.docx", "A 45012-2023")</f>
        <v/>
      </c>
      <c r="X210">
        <f>HYPERLINK("https://klasma.github.io/Logging_2305/tillsyn/A 45012-2023 tillsynsbegäran.docx", "A 45012-2023")</f>
        <v/>
      </c>
      <c r="Y210">
        <f>HYPERLINK("https://klasma.github.io/Logging_2305/tillsynsmail/A 45012-2023 tillsynsbegäran mail.docx", "A 45012-2023")</f>
        <v/>
      </c>
    </row>
    <row r="211" ht="15" customHeight="1">
      <c r="A211" t="inlineStr">
        <is>
          <t>A 11787-2025</t>
        </is>
      </c>
      <c r="B211" s="1" t="n">
        <v>45727.72017361111</v>
      </c>
      <c r="C211" s="1" t="n">
        <v>46042</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50485-2025</t>
        </is>
      </c>
      <c r="B212" s="1" t="n">
        <v>45945.38582175926</v>
      </c>
      <c r="C212" s="1" t="n">
        <v>46042</v>
      </c>
      <c r="D212" t="inlineStr">
        <is>
          <t>JÄMTLANDS LÄN</t>
        </is>
      </c>
      <c r="E212" t="inlineStr">
        <is>
          <t>BRÄCKE</t>
        </is>
      </c>
      <c r="F212" t="inlineStr">
        <is>
          <t>SCA</t>
        </is>
      </c>
      <c r="G212" t="n">
        <v>2.1</v>
      </c>
      <c r="H212" t="n">
        <v>0</v>
      </c>
      <c r="I212" t="n">
        <v>0</v>
      </c>
      <c r="J212" t="n">
        <v>2</v>
      </c>
      <c r="K212" t="n">
        <v>0</v>
      </c>
      <c r="L212" t="n">
        <v>0</v>
      </c>
      <c r="M212" t="n">
        <v>0</v>
      </c>
      <c r="N212" t="n">
        <v>0</v>
      </c>
      <c r="O212" t="n">
        <v>2</v>
      </c>
      <c r="P212" t="n">
        <v>0</v>
      </c>
      <c r="Q212" t="n">
        <v>2</v>
      </c>
      <c r="R212" s="2" t="inlineStr">
        <is>
          <t>Granticka
Gränsticka</t>
        </is>
      </c>
      <c r="S212">
        <f>HYPERLINK("https://klasma.github.io/Logging_2305/artfynd/A 50485-2025 artfynd.xlsx", "A 50485-2025")</f>
        <v/>
      </c>
      <c r="T212">
        <f>HYPERLINK("https://klasma.github.io/Logging_2305/kartor/A 50485-2025 karta.png", "A 50485-2025")</f>
        <v/>
      </c>
      <c r="V212">
        <f>HYPERLINK("https://klasma.github.io/Logging_2305/klagomål/A 50485-2025 FSC-klagomål.docx", "A 50485-2025")</f>
        <v/>
      </c>
      <c r="W212">
        <f>HYPERLINK("https://klasma.github.io/Logging_2305/klagomålsmail/A 50485-2025 FSC-klagomål mail.docx", "A 50485-2025")</f>
        <v/>
      </c>
      <c r="X212">
        <f>HYPERLINK("https://klasma.github.io/Logging_2305/tillsyn/A 50485-2025 tillsynsbegäran.docx", "A 50485-2025")</f>
        <v/>
      </c>
      <c r="Y212">
        <f>HYPERLINK("https://klasma.github.io/Logging_2305/tillsynsmail/A 50485-2025 tillsynsbegäran mail.docx", "A 50485-2025")</f>
        <v/>
      </c>
    </row>
    <row r="213" ht="15" customHeight="1">
      <c r="A213" t="inlineStr">
        <is>
          <t>A 6903-2024</t>
        </is>
      </c>
      <c r="B213" s="1" t="n">
        <v>45342</v>
      </c>
      <c r="C213" s="1" t="n">
        <v>46042</v>
      </c>
      <c r="D213" t="inlineStr">
        <is>
          <t>JÄMTLANDS LÄN</t>
        </is>
      </c>
      <c r="E213" t="inlineStr">
        <is>
          <t>BRÄCKE</t>
        </is>
      </c>
      <c r="F213" t="inlineStr">
        <is>
          <t>SCA</t>
        </is>
      </c>
      <c r="G213" t="n">
        <v>5.9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6903-2024 artfynd.xlsx", "A 6903-2024")</f>
        <v/>
      </c>
      <c r="T213">
        <f>HYPERLINK("https://klasma.github.io/Logging_2305/kartor/A 6903-2024 karta.png", "A 6903-2024")</f>
        <v/>
      </c>
      <c r="U213">
        <f>HYPERLINK("https://klasma.github.io/Logging_2305/knärot/A 6903-2024 karta knärot.png", "A 6903-2024")</f>
        <v/>
      </c>
      <c r="V213">
        <f>HYPERLINK("https://klasma.github.io/Logging_2305/klagomål/A 6903-2024 FSC-klagomål.docx", "A 6903-2024")</f>
        <v/>
      </c>
      <c r="W213">
        <f>HYPERLINK("https://klasma.github.io/Logging_2305/klagomålsmail/A 6903-2024 FSC-klagomål mail.docx", "A 6903-2024")</f>
        <v/>
      </c>
      <c r="X213">
        <f>HYPERLINK("https://klasma.github.io/Logging_2305/tillsyn/A 6903-2024 tillsynsbegäran.docx", "A 6903-2024")</f>
        <v/>
      </c>
      <c r="Y213">
        <f>HYPERLINK("https://klasma.github.io/Logging_2305/tillsynsmail/A 6903-2024 tillsynsbegäran mail.docx", "A 6903-2024")</f>
        <v/>
      </c>
    </row>
    <row r="214" ht="15" customHeight="1">
      <c r="A214" t="inlineStr">
        <is>
          <t>A 6906-2024</t>
        </is>
      </c>
      <c r="B214" s="1" t="n">
        <v>45342</v>
      </c>
      <c r="C214" s="1" t="n">
        <v>46042</v>
      </c>
      <c r="D214" t="inlineStr">
        <is>
          <t>JÄMTLANDS LÄN</t>
        </is>
      </c>
      <c r="E214" t="inlineStr">
        <is>
          <t>BRÄCKE</t>
        </is>
      </c>
      <c r="F214" t="inlineStr">
        <is>
          <t>SCA</t>
        </is>
      </c>
      <c r="G214" t="n">
        <v>4.1</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6906-2024 artfynd.xlsx", "A 6906-2024")</f>
        <v/>
      </c>
      <c r="T214">
        <f>HYPERLINK("https://klasma.github.io/Logging_2305/kartor/A 6906-2024 karta.png", "A 6906-2024")</f>
        <v/>
      </c>
      <c r="U214">
        <f>HYPERLINK("https://klasma.github.io/Logging_2305/knärot/A 6906-2024 karta knärot.png", "A 6906-2024")</f>
        <v/>
      </c>
      <c r="V214">
        <f>HYPERLINK("https://klasma.github.io/Logging_2305/klagomål/A 6906-2024 FSC-klagomål.docx", "A 6906-2024")</f>
        <v/>
      </c>
      <c r="W214">
        <f>HYPERLINK("https://klasma.github.io/Logging_2305/klagomålsmail/A 6906-2024 FSC-klagomål mail.docx", "A 6906-2024")</f>
        <v/>
      </c>
      <c r="X214">
        <f>HYPERLINK("https://klasma.github.io/Logging_2305/tillsyn/A 6906-2024 tillsynsbegäran.docx", "A 6906-2024")</f>
        <v/>
      </c>
      <c r="Y214">
        <f>HYPERLINK("https://klasma.github.io/Logging_2305/tillsynsmail/A 6906-2024 tillsynsbegäran mail.docx", "A 6906-2024")</f>
        <v/>
      </c>
    </row>
    <row r="215" ht="15" customHeight="1">
      <c r="A215" t="inlineStr">
        <is>
          <t>A 39172-2021</t>
        </is>
      </c>
      <c r="B215" s="1" t="n">
        <v>44412</v>
      </c>
      <c r="C215" s="1" t="n">
        <v>46042</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12588-2024</t>
        </is>
      </c>
      <c r="B216" s="1" t="n">
        <v>45379.93667824074</v>
      </c>
      <c r="C216" s="1" t="n">
        <v>46042</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61165-2025</t>
        </is>
      </c>
      <c r="B217" s="1" t="n">
        <v>46000.56600694444</v>
      </c>
      <c r="C217" s="1" t="n">
        <v>46042</v>
      </c>
      <c r="D217" t="inlineStr">
        <is>
          <t>JÄMTLANDS LÄN</t>
        </is>
      </c>
      <c r="E217" t="inlineStr">
        <is>
          <t>BRÄCKE</t>
        </is>
      </c>
      <c r="G217" t="n">
        <v>5.3</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61165-2025 artfynd.xlsx", "A 61165-2025")</f>
        <v/>
      </c>
      <c r="T217">
        <f>HYPERLINK("https://klasma.github.io/Logging_2305/kartor/A 61165-2025 karta.png", "A 61165-2025")</f>
        <v/>
      </c>
      <c r="U217">
        <f>HYPERLINK("https://klasma.github.io/Logging_2305/knärot/A 61165-2025 karta knärot.png", "A 61165-2025")</f>
        <v/>
      </c>
      <c r="V217">
        <f>HYPERLINK("https://klasma.github.io/Logging_2305/klagomål/A 61165-2025 FSC-klagomål.docx", "A 61165-2025")</f>
        <v/>
      </c>
      <c r="W217">
        <f>HYPERLINK("https://klasma.github.io/Logging_2305/klagomålsmail/A 61165-2025 FSC-klagomål mail.docx", "A 61165-2025")</f>
        <v/>
      </c>
      <c r="X217">
        <f>HYPERLINK("https://klasma.github.io/Logging_2305/tillsyn/A 61165-2025 tillsynsbegäran.docx", "A 61165-2025")</f>
        <v/>
      </c>
      <c r="Y217">
        <f>HYPERLINK("https://klasma.github.io/Logging_2305/tillsynsmail/A 61165-2025 tillsynsbegäran mail.docx", "A 61165-2025")</f>
        <v/>
      </c>
    </row>
    <row r="218" ht="15" customHeight="1">
      <c r="A218" t="inlineStr">
        <is>
          <t>A 19916-2025</t>
        </is>
      </c>
      <c r="B218" s="1" t="n">
        <v>45771.61515046296</v>
      </c>
      <c r="C218" s="1" t="n">
        <v>46042</v>
      </c>
      <c r="D218" t="inlineStr">
        <is>
          <t>JÄMTLANDS LÄN</t>
        </is>
      </c>
      <c r="E218" t="inlineStr">
        <is>
          <t>BRÄCKE</t>
        </is>
      </c>
      <c r="F218" t="inlineStr">
        <is>
          <t>SCA</t>
        </is>
      </c>
      <c r="G218" t="n">
        <v>7.5</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19916-2025 artfynd.xlsx", "A 19916-2025")</f>
        <v/>
      </c>
      <c r="T218">
        <f>HYPERLINK("https://klasma.github.io/Logging_2305/kartor/A 19916-2025 karta.png", "A 19916-2025")</f>
        <v/>
      </c>
      <c r="U218">
        <f>HYPERLINK("https://klasma.github.io/Logging_2305/knärot/A 19916-2025 karta knärot.png", "A 19916-2025")</f>
        <v/>
      </c>
      <c r="V218">
        <f>HYPERLINK("https://klasma.github.io/Logging_2305/klagomål/A 19916-2025 FSC-klagomål.docx", "A 19916-2025")</f>
        <v/>
      </c>
      <c r="W218">
        <f>HYPERLINK("https://klasma.github.io/Logging_2305/klagomålsmail/A 19916-2025 FSC-klagomål mail.docx", "A 19916-2025")</f>
        <v/>
      </c>
      <c r="X218">
        <f>HYPERLINK("https://klasma.github.io/Logging_2305/tillsyn/A 19916-2025 tillsynsbegäran.docx", "A 19916-2025")</f>
        <v/>
      </c>
      <c r="Y218">
        <f>HYPERLINK("https://klasma.github.io/Logging_2305/tillsynsmail/A 19916-2025 tillsynsbegäran mail.docx", "A 19916-2025")</f>
        <v/>
      </c>
    </row>
    <row r="219" ht="15" customHeight="1">
      <c r="A219" t="inlineStr">
        <is>
          <t>A 30988-2024</t>
        </is>
      </c>
      <c r="B219" s="1" t="n">
        <v>45499.54738425926</v>
      </c>
      <c r="C219" s="1" t="n">
        <v>46042</v>
      </c>
      <c r="D219" t="inlineStr">
        <is>
          <t>JÄMTLANDS LÄN</t>
        </is>
      </c>
      <c r="E219" t="inlineStr">
        <is>
          <t>BRÄCKE</t>
        </is>
      </c>
      <c r="F219" t="inlineStr">
        <is>
          <t>Sveaskog</t>
        </is>
      </c>
      <c r="G219" t="n">
        <v>4.8</v>
      </c>
      <c r="H219" t="n">
        <v>1</v>
      </c>
      <c r="I219" t="n">
        <v>1</v>
      </c>
      <c r="J219" t="n">
        <v>1</v>
      </c>
      <c r="K219" t="n">
        <v>0</v>
      </c>
      <c r="L219" t="n">
        <v>0</v>
      </c>
      <c r="M219" t="n">
        <v>0</v>
      </c>
      <c r="N219" t="n">
        <v>0</v>
      </c>
      <c r="O219" t="n">
        <v>1</v>
      </c>
      <c r="P219" t="n">
        <v>0</v>
      </c>
      <c r="Q219" t="n">
        <v>2</v>
      </c>
      <c r="R219" s="2" t="inlineStr">
        <is>
          <t>Lunglav
Tvåblad</t>
        </is>
      </c>
      <c r="S219">
        <f>HYPERLINK("https://klasma.github.io/Logging_2305/artfynd/A 30988-2024 artfynd.xlsx", "A 30988-2024")</f>
        <v/>
      </c>
      <c r="T219">
        <f>HYPERLINK("https://klasma.github.io/Logging_2305/kartor/A 30988-2024 karta.png", "A 30988-2024")</f>
        <v/>
      </c>
      <c r="V219">
        <f>HYPERLINK("https://klasma.github.io/Logging_2305/klagomål/A 30988-2024 FSC-klagomål.docx", "A 30988-2024")</f>
        <v/>
      </c>
      <c r="W219">
        <f>HYPERLINK("https://klasma.github.io/Logging_2305/klagomålsmail/A 30988-2024 FSC-klagomål mail.docx", "A 30988-2024")</f>
        <v/>
      </c>
      <c r="X219">
        <f>HYPERLINK("https://klasma.github.io/Logging_2305/tillsyn/A 30988-2024 tillsynsbegäran.docx", "A 30988-2024")</f>
        <v/>
      </c>
      <c r="Y219">
        <f>HYPERLINK("https://klasma.github.io/Logging_2305/tillsynsmail/A 30988-2024 tillsynsbegäran mail.docx", "A 30988-2024")</f>
        <v/>
      </c>
    </row>
    <row r="220" ht="15" customHeight="1">
      <c r="A220" t="inlineStr">
        <is>
          <t>A 50328-2022</t>
        </is>
      </c>
      <c r="B220" s="1" t="n">
        <v>44865</v>
      </c>
      <c r="C220" s="1" t="n">
        <v>46042</v>
      </c>
      <c r="D220" t="inlineStr">
        <is>
          <t>JÄMTLANDS LÄN</t>
        </is>
      </c>
      <c r="E220" t="inlineStr">
        <is>
          <t>BRÄCKE</t>
        </is>
      </c>
      <c r="F220" t="inlineStr">
        <is>
          <t>SCA</t>
        </is>
      </c>
      <c r="G220" t="n">
        <v>1.6</v>
      </c>
      <c r="H220" t="n">
        <v>0</v>
      </c>
      <c r="I220" t="n">
        <v>0</v>
      </c>
      <c r="J220" t="n">
        <v>2</v>
      </c>
      <c r="K220" t="n">
        <v>0</v>
      </c>
      <c r="L220" t="n">
        <v>0</v>
      </c>
      <c r="M220" t="n">
        <v>0</v>
      </c>
      <c r="N220" t="n">
        <v>0</v>
      </c>
      <c r="O220" t="n">
        <v>2</v>
      </c>
      <c r="P220" t="n">
        <v>0</v>
      </c>
      <c r="Q220" t="n">
        <v>2</v>
      </c>
      <c r="R220" s="2" t="inlineStr">
        <is>
          <t>Ullticka
Vitgrynig nållav</t>
        </is>
      </c>
      <c r="S220">
        <f>HYPERLINK("https://klasma.github.io/Logging_2305/artfynd/A 50328-2022 artfynd.xlsx", "A 50328-2022")</f>
        <v/>
      </c>
      <c r="T220">
        <f>HYPERLINK("https://klasma.github.io/Logging_2305/kartor/A 50328-2022 karta.png", "A 50328-2022")</f>
        <v/>
      </c>
      <c r="V220">
        <f>HYPERLINK("https://klasma.github.io/Logging_2305/klagomål/A 50328-2022 FSC-klagomål.docx", "A 50328-2022")</f>
        <v/>
      </c>
      <c r="W220">
        <f>HYPERLINK("https://klasma.github.io/Logging_2305/klagomålsmail/A 50328-2022 FSC-klagomål mail.docx", "A 50328-2022")</f>
        <v/>
      </c>
      <c r="X220">
        <f>HYPERLINK("https://klasma.github.io/Logging_2305/tillsyn/A 50328-2022 tillsynsbegäran.docx", "A 50328-2022")</f>
        <v/>
      </c>
      <c r="Y220">
        <f>HYPERLINK("https://klasma.github.io/Logging_2305/tillsynsmail/A 50328-2022 tillsynsbegäran mail.docx", "A 50328-2022")</f>
        <v/>
      </c>
    </row>
    <row r="221" ht="15" customHeight="1">
      <c r="A221" t="inlineStr">
        <is>
          <t>A 57329-2025</t>
        </is>
      </c>
      <c r="B221" s="1" t="n">
        <v>45980.34434027778</v>
      </c>
      <c r="C221" s="1" t="n">
        <v>46042</v>
      </c>
      <c r="D221" t="inlineStr">
        <is>
          <t>JÄMTLANDS LÄN</t>
        </is>
      </c>
      <c r="E221" t="inlineStr">
        <is>
          <t>BRÄCKE</t>
        </is>
      </c>
      <c r="F221" t="inlineStr">
        <is>
          <t>SCA</t>
        </is>
      </c>
      <c r="G221" t="n">
        <v>1.2</v>
      </c>
      <c r="H221" t="n">
        <v>2</v>
      </c>
      <c r="I221" t="n">
        <v>0</v>
      </c>
      <c r="J221" t="n">
        <v>2</v>
      </c>
      <c r="K221" t="n">
        <v>0</v>
      </c>
      <c r="L221" t="n">
        <v>0</v>
      </c>
      <c r="M221" t="n">
        <v>0</v>
      </c>
      <c r="N221" t="n">
        <v>0</v>
      </c>
      <c r="O221" t="n">
        <v>2</v>
      </c>
      <c r="P221" t="n">
        <v>0</v>
      </c>
      <c r="Q221" t="n">
        <v>2</v>
      </c>
      <c r="R221" s="2" t="inlineStr">
        <is>
          <t>Talltita
Tretåig hackspett</t>
        </is>
      </c>
      <c r="S221">
        <f>HYPERLINK("https://klasma.github.io/Logging_2305/artfynd/A 57329-2025 artfynd.xlsx", "A 57329-2025")</f>
        <v/>
      </c>
      <c r="T221">
        <f>HYPERLINK("https://klasma.github.io/Logging_2305/kartor/A 57329-2025 karta.png", "A 57329-2025")</f>
        <v/>
      </c>
      <c r="V221">
        <f>HYPERLINK("https://klasma.github.io/Logging_2305/klagomål/A 57329-2025 FSC-klagomål.docx", "A 57329-2025")</f>
        <v/>
      </c>
      <c r="W221">
        <f>HYPERLINK("https://klasma.github.io/Logging_2305/klagomålsmail/A 57329-2025 FSC-klagomål mail.docx", "A 57329-2025")</f>
        <v/>
      </c>
      <c r="X221">
        <f>HYPERLINK("https://klasma.github.io/Logging_2305/tillsyn/A 57329-2025 tillsynsbegäran.docx", "A 57329-2025")</f>
        <v/>
      </c>
      <c r="Y221">
        <f>HYPERLINK("https://klasma.github.io/Logging_2305/tillsynsmail/A 57329-2025 tillsynsbegäran mail.docx", "A 57329-2025")</f>
        <v/>
      </c>
      <c r="Z221">
        <f>HYPERLINK("https://klasma.github.io/Logging_2305/fåglar/A 57329-2025 prioriterade fågelarter.docx", "A 57329-2025")</f>
        <v/>
      </c>
    </row>
    <row r="222" ht="15" customHeight="1">
      <c r="A222" t="inlineStr">
        <is>
          <t>A 48772-2024</t>
        </is>
      </c>
      <c r="B222" s="1" t="n">
        <v>45593.61495370371</v>
      </c>
      <c r="C222" s="1" t="n">
        <v>46042</v>
      </c>
      <c r="D222" t="inlineStr">
        <is>
          <t>JÄMTLANDS LÄN</t>
        </is>
      </c>
      <c r="E222" t="inlineStr">
        <is>
          <t>BRÄCKE</t>
        </is>
      </c>
      <c r="F222" t="inlineStr">
        <is>
          <t>SCA</t>
        </is>
      </c>
      <c r="G222" t="n">
        <v>2.7</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48772-2024 artfynd.xlsx", "A 48772-2024")</f>
        <v/>
      </c>
      <c r="T222">
        <f>HYPERLINK("https://klasma.github.io/Logging_2305/kartor/A 48772-2024 karta.png", "A 48772-2024")</f>
        <v/>
      </c>
      <c r="V222">
        <f>HYPERLINK("https://klasma.github.io/Logging_2305/klagomål/A 48772-2024 FSC-klagomål.docx", "A 48772-2024")</f>
        <v/>
      </c>
      <c r="W222">
        <f>HYPERLINK("https://klasma.github.io/Logging_2305/klagomålsmail/A 48772-2024 FSC-klagomål mail.docx", "A 48772-2024")</f>
        <v/>
      </c>
      <c r="X222">
        <f>HYPERLINK("https://klasma.github.io/Logging_2305/tillsyn/A 48772-2024 tillsynsbegäran.docx", "A 48772-2024")</f>
        <v/>
      </c>
      <c r="Y222">
        <f>HYPERLINK("https://klasma.github.io/Logging_2305/tillsynsmail/A 48772-2024 tillsynsbegäran mail.docx", "A 48772-2024")</f>
        <v/>
      </c>
    </row>
    <row r="223" ht="15" customHeight="1">
      <c r="A223" t="inlineStr">
        <is>
          <t>A 17992-2025</t>
        </is>
      </c>
      <c r="B223" s="1" t="n">
        <v>45761.40657407408</v>
      </c>
      <c r="C223" s="1" t="n">
        <v>46042</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40401-2023</t>
        </is>
      </c>
      <c r="B224" s="1" t="n">
        <v>45169</v>
      </c>
      <c r="C224" s="1" t="n">
        <v>46042</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954-2026</t>
        </is>
      </c>
      <c r="B225" s="1" t="n">
        <v>46030.54424768518</v>
      </c>
      <c r="C225" s="1" t="n">
        <v>46042</v>
      </c>
      <c r="D225" t="inlineStr">
        <is>
          <t>JÄMTLANDS LÄN</t>
        </is>
      </c>
      <c r="E225" t="inlineStr">
        <is>
          <t>BRÄCKE</t>
        </is>
      </c>
      <c r="G225" t="n">
        <v>11.1</v>
      </c>
      <c r="H225" t="n">
        <v>0</v>
      </c>
      <c r="I225" t="n">
        <v>1</v>
      </c>
      <c r="J225" t="n">
        <v>1</v>
      </c>
      <c r="K225" t="n">
        <v>0</v>
      </c>
      <c r="L225" t="n">
        <v>0</v>
      </c>
      <c r="M225" t="n">
        <v>0</v>
      </c>
      <c r="N225" t="n">
        <v>0</v>
      </c>
      <c r="O225" t="n">
        <v>1</v>
      </c>
      <c r="P225" t="n">
        <v>0</v>
      </c>
      <c r="Q225" t="n">
        <v>2</v>
      </c>
      <c r="R225" s="2" t="inlineStr">
        <is>
          <t>Kolflarnlav
Rödgul trumpetsvamp</t>
        </is>
      </c>
      <c r="S225">
        <f>HYPERLINK("https://klasma.github.io/Logging_2305/artfynd/A 954-2026 artfynd.xlsx", "A 954-2026")</f>
        <v/>
      </c>
      <c r="T225">
        <f>HYPERLINK("https://klasma.github.io/Logging_2305/kartor/A 954-2026 karta.png", "A 954-2026")</f>
        <v/>
      </c>
      <c r="V225">
        <f>HYPERLINK("https://klasma.github.io/Logging_2305/klagomål/A 954-2026 FSC-klagomål.docx", "A 954-2026")</f>
        <v/>
      </c>
      <c r="W225">
        <f>HYPERLINK("https://klasma.github.io/Logging_2305/klagomålsmail/A 954-2026 FSC-klagomål mail.docx", "A 954-2026")</f>
        <v/>
      </c>
      <c r="X225">
        <f>HYPERLINK("https://klasma.github.io/Logging_2305/tillsyn/A 954-2026 tillsynsbegäran.docx", "A 954-2026")</f>
        <v/>
      </c>
      <c r="Y225">
        <f>HYPERLINK("https://klasma.github.io/Logging_2305/tillsynsmail/A 954-2026 tillsynsbegäran mail.docx", "A 954-2026")</f>
        <v/>
      </c>
    </row>
    <row r="226" ht="15" customHeight="1">
      <c r="A226" t="inlineStr">
        <is>
          <t>A 10105-2025</t>
        </is>
      </c>
      <c r="B226" s="1" t="n">
        <v>45719.58310185185</v>
      </c>
      <c r="C226" s="1" t="n">
        <v>46042</v>
      </c>
      <c r="D226" t="inlineStr">
        <is>
          <t>JÄMTLANDS LÄN</t>
        </is>
      </c>
      <c r="E226" t="inlineStr">
        <is>
          <t>BRÄCKE</t>
        </is>
      </c>
      <c r="G226" t="n">
        <v>0.6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10105-2025 artfynd.xlsx", "A 10105-2025")</f>
        <v/>
      </c>
      <c r="T226">
        <f>HYPERLINK("https://klasma.github.io/Logging_2305/kartor/A 10105-2025 karta.png", "A 10105-2025")</f>
        <v/>
      </c>
      <c r="V226">
        <f>HYPERLINK("https://klasma.github.io/Logging_2305/klagomål/A 10105-2025 FSC-klagomål.docx", "A 10105-2025")</f>
        <v/>
      </c>
      <c r="W226">
        <f>HYPERLINK("https://klasma.github.io/Logging_2305/klagomålsmail/A 10105-2025 FSC-klagomål mail.docx", "A 10105-2025")</f>
        <v/>
      </c>
      <c r="X226">
        <f>HYPERLINK("https://klasma.github.io/Logging_2305/tillsyn/A 10105-2025 tillsynsbegäran.docx", "A 10105-2025")</f>
        <v/>
      </c>
      <c r="Y226">
        <f>HYPERLINK("https://klasma.github.io/Logging_2305/tillsynsmail/A 10105-2025 tillsynsbegäran mail.docx", "A 10105-2025")</f>
        <v/>
      </c>
    </row>
    <row r="227" ht="15" customHeight="1">
      <c r="A227" t="inlineStr">
        <is>
          <t>A 50497-2023</t>
        </is>
      </c>
      <c r="B227" s="1" t="n">
        <v>45216</v>
      </c>
      <c r="C227" s="1" t="n">
        <v>46042</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59324-2021</t>
        </is>
      </c>
      <c r="B228" s="1" t="n">
        <v>44490</v>
      </c>
      <c r="C228" s="1" t="n">
        <v>46042</v>
      </c>
      <c r="D228" t="inlineStr">
        <is>
          <t>JÄMTLANDS LÄN</t>
        </is>
      </c>
      <c r="E228" t="inlineStr">
        <is>
          <t>BRÄCKE</t>
        </is>
      </c>
      <c r="F228" t="inlineStr">
        <is>
          <t>SCA</t>
        </is>
      </c>
      <c r="G228" t="n">
        <v>8.6</v>
      </c>
      <c r="H228" t="n">
        <v>0</v>
      </c>
      <c r="I228" t="n">
        <v>0</v>
      </c>
      <c r="J228" t="n">
        <v>2</v>
      </c>
      <c r="K228" t="n">
        <v>0</v>
      </c>
      <c r="L228" t="n">
        <v>0</v>
      </c>
      <c r="M228" t="n">
        <v>0</v>
      </c>
      <c r="N228" t="n">
        <v>0</v>
      </c>
      <c r="O228" t="n">
        <v>2</v>
      </c>
      <c r="P228" t="n">
        <v>0</v>
      </c>
      <c r="Q228" t="n">
        <v>2</v>
      </c>
      <c r="R228" s="2" t="inlineStr">
        <is>
          <t>Ullticka
Veckticka</t>
        </is>
      </c>
      <c r="S228">
        <f>HYPERLINK("https://klasma.github.io/Logging_2305/artfynd/A 59324-2021 artfynd.xlsx", "A 59324-2021")</f>
        <v/>
      </c>
      <c r="T228">
        <f>HYPERLINK("https://klasma.github.io/Logging_2305/kartor/A 59324-2021 karta.png", "A 59324-2021")</f>
        <v/>
      </c>
      <c r="V228">
        <f>HYPERLINK("https://klasma.github.io/Logging_2305/klagomål/A 59324-2021 FSC-klagomål.docx", "A 59324-2021")</f>
        <v/>
      </c>
      <c r="W228">
        <f>HYPERLINK("https://klasma.github.io/Logging_2305/klagomålsmail/A 59324-2021 FSC-klagomål mail.docx", "A 59324-2021")</f>
        <v/>
      </c>
      <c r="X228">
        <f>HYPERLINK("https://klasma.github.io/Logging_2305/tillsyn/A 59324-2021 tillsynsbegäran.docx", "A 59324-2021")</f>
        <v/>
      </c>
      <c r="Y228">
        <f>HYPERLINK("https://klasma.github.io/Logging_2305/tillsynsmail/A 59324-2021 tillsynsbegäran mail.docx", "A 59324-2021")</f>
        <v/>
      </c>
    </row>
    <row r="229" ht="15" customHeight="1">
      <c r="A229" t="inlineStr">
        <is>
          <t>A 60320-2025</t>
        </is>
      </c>
      <c r="B229" s="1" t="n">
        <v>45994.71947916667</v>
      </c>
      <c r="C229" s="1" t="n">
        <v>46042</v>
      </c>
      <c r="D229" t="inlineStr">
        <is>
          <t>JÄMTLANDS LÄN</t>
        </is>
      </c>
      <c r="E229" t="inlineStr">
        <is>
          <t>BRÄCKE</t>
        </is>
      </c>
      <c r="F229" t="inlineStr">
        <is>
          <t>SCA</t>
        </is>
      </c>
      <c r="G229" t="n">
        <v>3.2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60320-2025 artfynd.xlsx", "A 60320-2025")</f>
        <v/>
      </c>
      <c r="T229">
        <f>HYPERLINK("https://klasma.github.io/Logging_2305/kartor/A 60320-2025 karta.png", "A 60320-2025")</f>
        <v/>
      </c>
      <c r="V229">
        <f>HYPERLINK("https://klasma.github.io/Logging_2305/klagomål/A 60320-2025 FSC-klagomål.docx", "A 60320-2025")</f>
        <v/>
      </c>
      <c r="W229">
        <f>HYPERLINK("https://klasma.github.io/Logging_2305/klagomålsmail/A 60320-2025 FSC-klagomål mail.docx", "A 60320-2025")</f>
        <v/>
      </c>
      <c r="X229">
        <f>HYPERLINK("https://klasma.github.io/Logging_2305/tillsyn/A 60320-2025 tillsynsbegäran.docx", "A 60320-2025")</f>
        <v/>
      </c>
      <c r="Y229">
        <f>HYPERLINK("https://klasma.github.io/Logging_2305/tillsynsmail/A 60320-2025 tillsynsbegäran mail.docx", "A 60320-2025")</f>
        <v/>
      </c>
    </row>
    <row r="230" ht="15" customHeight="1">
      <c r="A230" t="inlineStr">
        <is>
          <t>A 47295-2023</t>
        </is>
      </c>
      <c r="B230" s="1" t="n">
        <v>45196</v>
      </c>
      <c r="C230" s="1" t="n">
        <v>46042</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2838-2026</t>
        </is>
      </c>
      <c r="B231" s="1" t="n">
        <v>46038.46408564815</v>
      </c>
      <c r="C231" s="1" t="n">
        <v>46042</v>
      </c>
      <c r="D231" t="inlineStr">
        <is>
          <t>JÄMTLANDS LÄN</t>
        </is>
      </c>
      <c r="E231" t="inlineStr">
        <is>
          <t>BRÄCKE</t>
        </is>
      </c>
      <c r="G231" t="n">
        <v>0.6</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2838-2026 artfynd.xlsx", "A 2838-2026")</f>
        <v/>
      </c>
      <c r="T231">
        <f>HYPERLINK("https://klasma.github.io/Logging_2305/kartor/A 2838-2026 karta.png", "A 2838-2026")</f>
        <v/>
      </c>
      <c r="U231">
        <f>HYPERLINK("https://klasma.github.io/Logging_2305/knärot/A 2838-2026 karta knärot.png", "A 2838-2026")</f>
        <v/>
      </c>
      <c r="V231">
        <f>HYPERLINK("https://klasma.github.io/Logging_2305/klagomål/A 2838-2026 FSC-klagomål.docx", "A 2838-2026")</f>
        <v/>
      </c>
      <c r="W231">
        <f>HYPERLINK("https://klasma.github.io/Logging_2305/klagomålsmail/A 2838-2026 FSC-klagomål mail.docx", "A 2838-2026")</f>
        <v/>
      </c>
      <c r="X231">
        <f>HYPERLINK("https://klasma.github.io/Logging_2305/tillsyn/A 2838-2026 tillsynsbegäran.docx", "A 2838-2026")</f>
        <v/>
      </c>
      <c r="Y231">
        <f>HYPERLINK("https://klasma.github.io/Logging_2305/tillsynsmail/A 2838-2026 tillsynsbegäran mail.docx", "A 2838-2026")</f>
        <v/>
      </c>
    </row>
    <row r="232" ht="15" customHeight="1">
      <c r="A232" t="inlineStr">
        <is>
          <t>A 30990-2024</t>
        </is>
      </c>
      <c r="B232" s="1" t="n">
        <v>45499.54975694444</v>
      </c>
      <c r="C232" s="1" t="n">
        <v>46042</v>
      </c>
      <c r="D232" t="inlineStr">
        <is>
          <t>JÄMTLANDS LÄN</t>
        </is>
      </c>
      <c r="E232" t="inlineStr">
        <is>
          <t>BRÄCKE</t>
        </is>
      </c>
      <c r="F232" t="inlineStr">
        <is>
          <t>Sveaskog</t>
        </is>
      </c>
      <c r="G232" t="n">
        <v>4.9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30990-2024 artfynd.xlsx", "A 30990-2024")</f>
        <v/>
      </c>
      <c r="T232">
        <f>HYPERLINK("https://klasma.github.io/Logging_2305/kartor/A 30990-2024 karta.png", "A 30990-2024")</f>
        <v/>
      </c>
      <c r="U232">
        <f>HYPERLINK("https://klasma.github.io/Logging_2305/knärot/A 30990-2024 karta knärot.png", "A 30990-2024")</f>
        <v/>
      </c>
      <c r="V232">
        <f>HYPERLINK("https://klasma.github.io/Logging_2305/klagomål/A 30990-2024 FSC-klagomål.docx", "A 30990-2024")</f>
        <v/>
      </c>
      <c r="W232">
        <f>HYPERLINK("https://klasma.github.io/Logging_2305/klagomålsmail/A 30990-2024 FSC-klagomål mail.docx", "A 30990-2024")</f>
        <v/>
      </c>
      <c r="X232">
        <f>HYPERLINK("https://klasma.github.io/Logging_2305/tillsyn/A 30990-2024 tillsynsbegäran.docx", "A 30990-2024")</f>
        <v/>
      </c>
      <c r="Y232">
        <f>HYPERLINK("https://klasma.github.io/Logging_2305/tillsynsmail/A 30990-2024 tillsynsbegäran mail.docx", "A 30990-2024")</f>
        <v/>
      </c>
    </row>
    <row r="233" ht="15" customHeight="1">
      <c r="A233" t="inlineStr">
        <is>
          <t>A 51822-2023</t>
        </is>
      </c>
      <c r="B233" s="1" t="n">
        <v>45222</v>
      </c>
      <c r="C233" s="1" t="n">
        <v>46042</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29672-2024</t>
        </is>
      </c>
      <c r="B234" s="1" t="n">
        <v>45484.94189814815</v>
      </c>
      <c r="C234" s="1" t="n">
        <v>46042</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3029-2023</t>
        </is>
      </c>
      <c r="B235" s="1" t="n">
        <v>44945</v>
      </c>
      <c r="C235" s="1" t="n">
        <v>46042</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47498-2023</t>
        </is>
      </c>
      <c r="B236" s="1" t="n">
        <v>45202</v>
      </c>
      <c r="C236" s="1" t="n">
        <v>46042</v>
      </c>
      <c r="D236" t="inlineStr">
        <is>
          <t>JÄMTLANDS LÄN</t>
        </is>
      </c>
      <c r="E236" t="inlineStr">
        <is>
          <t>BRÄCKE</t>
        </is>
      </c>
      <c r="F236" t="inlineStr">
        <is>
          <t>SCA</t>
        </is>
      </c>
      <c r="G236" t="n">
        <v>6.1</v>
      </c>
      <c r="H236" t="n">
        <v>1</v>
      </c>
      <c r="I236" t="n">
        <v>1</v>
      </c>
      <c r="J236" t="n">
        <v>0</v>
      </c>
      <c r="K236" t="n">
        <v>1</v>
      </c>
      <c r="L236" t="n">
        <v>0</v>
      </c>
      <c r="M236" t="n">
        <v>0</v>
      </c>
      <c r="N236" t="n">
        <v>0</v>
      </c>
      <c r="O236" t="n">
        <v>1</v>
      </c>
      <c r="P236" t="n">
        <v>1</v>
      </c>
      <c r="Q236" t="n">
        <v>2</v>
      </c>
      <c r="R236" s="2" t="inlineStr">
        <is>
          <t>Bandnate
Guckusko</t>
        </is>
      </c>
      <c r="S236">
        <f>HYPERLINK("https://klasma.github.io/Logging_2305/artfynd/A 47498-2023 artfynd.xlsx", "A 47498-2023")</f>
        <v/>
      </c>
      <c r="T236">
        <f>HYPERLINK("https://klasma.github.io/Logging_2305/kartor/A 47498-2023 karta.png", "A 47498-2023")</f>
        <v/>
      </c>
      <c r="V236">
        <f>HYPERLINK("https://klasma.github.io/Logging_2305/klagomål/A 47498-2023 FSC-klagomål.docx", "A 47498-2023")</f>
        <v/>
      </c>
      <c r="W236">
        <f>HYPERLINK("https://klasma.github.io/Logging_2305/klagomålsmail/A 47498-2023 FSC-klagomål mail.docx", "A 47498-2023")</f>
        <v/>
      </c>
      <c r="X236">
        <f>HYPERLINK("https://klasma.github.io/Logging_2305/tillsyn/A 47498-2023 tillsynsbegäran.docx", "A 47498-2023")</f>
        <v/>
      </c>
      <c r="Y236">
        <f>HYPERLINK("https://klasma.github.io/Logging_2305/tillsynsmail/A 47498-2023 tillsynsbegäran mail.docx", "A 47498-2023")</f>
        <v/>
      </c>
    </row>
    <row r="237" ht="15" customHeight="1">
      <c r="A237" t="inlineStr">
        <is>
          <t>A 3913-2022</t>
        </is>
      </c>
      <c r="B237" s="1" t="n">
        <v>44587</v>
      </c>
      <c r="C237" s="1" t="n">
        <v>46042</v>
      </c>
      <c r="D237" t="inlineStr">
        <is>
          <t>JÄMTLANDS LÄN</t>
        </is>
      </c>
      <c r="E237" t="inlineStr">
        <is>
          <t>BRÄCKE</t>
        </is>
      </c>
      <c r="G237" t="n">
        <v>0.9</v>
      </c>
      <c r="H237" t="n">
        <v>1</v>
      </c>
      <c r="I237" t="n">
        <v>1</v>
      </c>
      <c r="J237" t="n">
        <v>1</v>
      </c>
      <c r="K237" t="n">
        <v>0</v>
      </c>
      <c r="L237" t="n">
        <v>0</v>
      </c>
      <c r="M237" t="n">
        <v>0</v>
      </c>
      <c r="N237" t="n">
        <v>0</v>
      </c>
      <c r="O237" t="n">
        <v>1</v>
      </c>
      <c r="P237" t="n">
        <v>0</v>
      </c>
      <c r="Q237" t="n">
        <v>2</v>
      </c>
      <c r="R237" s="2" t="inlineStr">
        <is>
          <t>Skogsfru
Ögonpyrola</t>
        </is>
      </c>
      <c r="S237">
        <f>HYPERLINK("https://klasma.github.io/Logging_2305/artfynd/A 3913-2022 artfynd.xlsx", "A 3913-2022")</f>
        <v/>
      </c>
      <c r="T237">
        <f>HYPERLINK("https://klasma.github.io/Logging_2305/kartor/A 3913-2022 karta.png", "A 3913-2022")</f>
        <v/>
      </c>
      <c r="U237">
        <f>HYPERLINK("https://klasma.github.io/Logging_2305/knärot/A 3913-2022 karta knärot.png", "A 3913-2022")</f>
        <v/>
      </c>
      <c r="V237">
        <f>HYPERLINK("https://klasma.github.io/Logging_2305/klagomål/A 3913-2022 FSC-klagomål.docx", "A 3913-2022")</f>
        <v/>
      </c>
      <c r="W237">
        <f>HYPERLINK("https://klasma.github.io/Logging_2305/klagomålsmail/A 3913-2022 FSC-klagomål mail.docx", "A 3913-2022")</f>
        <v/>
      </c>
      <c r="X237">
        <f>HYPERLINK("https://klasma.github.io/Logging_2305/tillsyn/A 3913-2022 tillsynsbegäran.docx", "A 3913-2022")</f>
        <v/>
      </c>
      <c r="Y237">
        <f>HYPERLINK("https://klasma.github.io/Logging_2305/tillsynsmail/A 3913-2022 tillsynsbegäran mail.docx", "A 3913-2022")</f>
        <v/>
      </c>
    </row>
    <row r="238" ht="15" customHeight="1">
      <c r="A238" t="inlineStr">
        <is>
          <t>A 43141-2022</t>
        </is>
      </c>
      <c r="B238" s="1" t="n">
        <v>44833</v>
      </c>
      <c r="C238" s="1" t="n">
        <v>46042</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17489-2025</t>
        </is>
      </c>
      <c r="B239" s="1" t="n">
        <v>45757.51074074074</v>
      </c>
      <c r="C239" s="1" t="n">
        <v>46042</v>
      </c>
      <c r="D239" t="inlineStr">
        <is>
          <t>JÄMTLANDS LÄN</t>
        </is>
      </c>
      <c r="E239" t="inlineStr">
        <is>
          <t>BRÄCKE</t>
        </is>
      </c>
      <c r="F239" t="inlineStr">
        <is>
          <t>SCA</t>
        </is>
      </c>
      <c r="G239" t="n">
        <v>4.6</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17489-2025 artfynd.xlsx", "A 17489-2025")</f>
        <v/>
      </c>
      <c r="T239">
        <f>HYPERLINK("https://klasma.github.io/Logging_2305/kartor/A 17489-2025 karta.png", "A 17489-2025")</f>
        <v/>
      </c>
      <c r="V239">
        <f>HYPERLINK("https://klasma.github.io/Logging_2305/klagomål/A 17489-2025 FSC-klagomål.docx", "A 17489-2025")</f>
        <v/>
      </c>
      <c r="W239">
        <f>HYPERLINK("https://klasma.github.io/Logging_2305/klagomålsmail/A 17489-2025 FSC-klagomål mail.docx", "A 17489-2025")</f>
        <v/>
      </c>
      <c r="X239">
        <f>HYPERLINK("https://klasma.github.io/Logging_2305/tillsyn/A 17489-2025 tillsynsbegäran.docx", "A 17489-2025")</f>
        <v/>
      </c>
      <c r="Y239">
        <f>HYPERLINK("https://klasma.github.io/Logging_2305/tillsynsmail/A 17489-2025 tillsynsbegäran mail.docx", "A 17489-2025")</f>
        <v/>
      </c>
    </row>
    <row r="240" ht="15" customHeight="1">
      <c r="A240" t="inlineStr">
        <is>
          <t>A 49328-2023</t>
        </is>
      </c>
      <c r="B240" s="1" t="n">
        <v>45210</v>
      </c>
      <c r="C240" s="1" t="n">
        <v>46042</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Rosenticka
Ullticka</t>
        </is>
      </c>
      <c r="S240">
        <f>HYPERLINK("https://klasma.github.io/Logging_2305/artfynd/A 49328-2023 artfynd.xlsx", "A 49328-2023")</f>
        <v/>
      </c>
      <c r="T240">
        <f>HYPERLINK("https://klasma.github.io/Logging_2305/kartor/A 49328-2023 karta.png", "A 49328-2023")</f>
        <v/>
      </c>
      <c r="V240">
        <f>HYPERLINK("https://klasma.github.io/Logging_2305/klagomål/A 49328-2023 FSC-klagomål.docx", "A 49328-2023")</f>
        <v/>
      </c>
      <c r="W240">
        <f>HYPERLINK("https://klasma.github.io/Logging_2305/klagomålsmail/A 49328-2023 FSC-klagomål mail.docx", "A 49328-2023")</f>
        <v/>
      </c>
      <c r="X240">
        <f>HYPERLINK("https://klasma.github.io/Logging_2305/tillsyn/A 49328-2023 tillsynsbegäran.docx", "A 49328-2023")</f>
        <v/>
      </c>
      <c r="Y240">
        <f>HYPERLINK("https://klasma.github.io/Logging_2305/tillsynsmail/A 49328-2023 tillsynsbegäran mail.docx", "A 49328-2023")</f>
        <v/>
      </c>
    </row>
    <row r="241" ht="15" customHeight="1">
      <c r="A241" t="inlineStr">
        <is>
          <t>A 55343-2023</t>
        </is>
      </c>
      <c r="B241" s="1" t="n">
        <v>45237</v>
      </c>
      <c r="C241" s="1" t="n">
        <v>46042</v>
      </c>
      <c r="D241" t="inlineStr">
        <is>
          <t>JÄMTLANDS LÄN</t>
        </is>
      </c>
      <c r="E241" t="inlineStr">
        <is>
          <t>BRÄCKE</t>
        </is>
      </c>
      <c r="F241" t="inlineStr">
        <is>
          <t>Kyrkan</t>
        </is>
      </c>
      <c r="G241" t="n">
        <v>12</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55343-2023 artfynd.xlsx", "A 55343-2023")</f>
        <v/>
      </c>
      <c r="T241">
        <f>HYPERLINK("https://klasma.github.io/Logging_2305/kartor/A 55343-2023 karta.png", "A 55343-2023")</f>
        <v/>
      </c>
      <c r="V241">
        <f>HYPERLINK("https://klasma.github.io/Logging_2305/klagomål/A 55343-2023 FSC-klagomål.docx", "A 55343-2023")</f>
        <v/>
      </c>
      <c r="W241">
        <f>HYPERLINK("https://klasma.github.io/Logging_2305/klagomålsmail/A 55343-2023 FSC-klagomål mail.docx", "A 55343-2023")</f>
        <v/>
      </c>
      <c r="X241">
        <f>HYPERLINK("https://klasma.github.io/Logging_2305/tillsyn/A 55343-2023 tillsynsbegäran.docx", "A 55343-2023")</f>
        <v/>
      </c>
      <c r="Y241">
        <f>HYPERLINK("https://klasma.github.io/Logging_2305/tillsynsmail/A 55343-2023 tillsynsbegäran mail.docx", "A 55343-2023")</f>
        <v/>
      </c>
    </row>
    <row r="242" ht="15" customHeight="1">
      <c r="A242" t="inlineStr">
        <is>
          <t>A 2467-2025</t>
        </is>
      </c>
      <c r="B242" s="1" t="n">
        <v>45674.46979166667</v>
      </c>
      <c r="C242" s="1" t="n">
        <v>46042</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21408-2025</t>
        </is>
      </c>
      <c r="B243" s="1" t="n">
        <v>45782.4906712963</v>
      </c>
      <c r="C243" s="1" t="n">
        <v>46042</v>
      </c>
      <c r="D243" t="inlineStr">
        <is>
          <t>JÄMTLANDS LÄN</t>
        </is>
      </c>
      <c r="E243" t="inlineStr">
        <is>
          <t>BRÄCKE</t>
        </is>
      </c>
      <c r="F243" t="inlineStr">
        <is>
          <t>SCA</t>
        </is>
      </c>
      <c r="G243" t="n">
        <v>1.2</v>
      </c>
      <c r="H243" t="n">
        <v>1</v>
      </c>
      <c r="I243" t="n">
        <v>1</v>
      </c>
      <c r="J243" t="n">
        <v>0</v>
      </c>
      <c r="K243" t="n">
        <v>0</v>
      </c>
      <c r="L243" t="n">
        <v>0</v>
      </c>
      <c r="M243" t="n">
        <v>0</v>
      </c>
      <c r="N243" t="n">
        <v>0</v>
      </c>
      <c r="O243" t="n">
        <v>0</v>
      </c>
      <c r="P243" t="n">
        <v>0</v>
      </c>
      <c r="Q243" t="n">
        <v>2</v>
      </c>
      <c r="R243" s="2" t="inlineStr">
        <is>
          <t>Underviol
Blåsippa</t>
        </is>
      </c>
      <c r="S243">
        <f>HYPERLINK("https://klasma.github.io/Logging_2305/artfynd/A 21408-2025 artfynd.xlsx", "A 21408-2025")</f>
        <v/>
      </c>
      <c r="T243">
        <f>HYPERLINK("https://klasma.github.io/Logging_2305/kartor/A 21408-2025 karta.png", "A 21408-2025")</f>
        <v/>
      </c>
      <c r="V243">
        <f>HYPERLINK("https://klasma.github.io/Logging_2305/klagomål/A 21408-2025 FSC-klagomål.docx", "A 21408-2025")</f>
        <v/>
      </c>
      <c r="W243">
        <f>HYPERLINK("https://klasma.github.io/Logging_2305/klagomålsmail/A 21408-2025 FSC-klagomål mail.docx", "A 21408-2025")</f>
        <v/>
      </c>
      <c r="X243">
        <f>HYPERLINK("https://klasma.github.io/Logging_2305/tillsyn/A 21408-2025 tillsynsbegäran.docx", "A 21408-2025")</f>
        <v/>
      </c>
      <c r="Y243">
        <f>HYPERLINK("https://klasma.github.io/Logging_2305/tillsynsmail/A 21408-2025 tillsynsbegäran mail.docx", "A 21408-2025")</f>
        <v/>
      </c>
    </row>
    <row r="244" ht="15" customHeight="1">
      <c r="A244" t="inlineStr">
        <is>
          <t>A 5858-2025</t>
        </is>
      </c>
      <c r="B244" s="1" t="n">
        <v>45695.34447916667</v>
      </c>
      <c r="C244" s="1" t="n">
        <v>46042</v>
      </c>
      <c r="D244" t="inlineStr">
        <is>
          <t>JÄMTLANDS LÄN</t>
        </is>
      </c>
      <c r="E244" t="inlineStr">
        <is>
          <t>BRÄCKE</t>
        </is>
      </c>
      <c r="G244" t="n">
        <v>2.7</v>
      </c>
      <c r="H244" t="n">
        <v>1</v>
      </c>
      <c r="I244" t="n">
        <v>0</v>
      </c>
      <c r="J244" t="n">
        <v>0</v>
      </c>
      <c r="K244" t="n">
        <v>0</v>
      </c>
      <c r="L244" t="n">
        <v>2</v>
      </c>
      <c r="M244" t="n">
        <v>0</v>
      </c>
      <c r="N244" t="n">
        <v>0</v>
      </c>
      <c r="O244" t="n">
        <v>2</v>
      </c>
      <c r="P244" t="n">
        <v>2</v>
      </c>
      <c r="Q244" t="n">
        <v>2</v>
      </c>
      <c r="R244" s="2" t="inlineStr">
        <is>
          <t>Bredgentiana
Fältgentiana</t>
        </is>
      </c>
      <c r="S244">
        <f>HYPERLINK("https://klasma.github.io/Logging_2305/artfynd/A 5858-2025 artfynd.xlsx", "A 5858-2025")</f>
        <v/>
      </c>
      <c r="T244">
        <f>HYPERLINK("https://klasma.github.io/Logging_2305/kartor/A 5858-2025 karta.png", "A 5858-2025")</f>
        <v/>
      </c>
      <c r="V244">
        <f>HYPERLINK("https://klasma.github.io/Logging_2305/klagomål/A 5858-2025 FSC-klagomål.docx", "A 5858-2025")</f>
        <v/>
      </c>
      <c r="W244">
        <f>HYPERLINK("https://klasma.github.io/Logging_2305/klagomålsmail/A 5858-2025 FSC-klagomål mail.docx", "A 5858-2025")</f>
        <v/>
      </c>
      <c r="X244">
        <f>HYPERLINK("https://klasma.github.io/Logging_2305/tillsyn/A 5858-2025 tillsynsbegäran.docx", "A 5858-2025")</f>
        <v/>
      </c>
      <c r="Y244">
        <f>HYPERLINK("https://klasma.github.io/Logging_2305/tillsynsmail/A 5858-2025 tillsynsbegäran mail.docx", "A 5858-2025")</f>
        <v/>
      </c>
    </row>
    <row r="245" ht="15" customHeight="1">
      <c r="A245" t="inlineStr">
        <is>
          <t>A 69154-2021</t>
        </is>
      </c>
      <c r="B245" s="1" t="n">
        <v>44530</v>
      </c>
      <c r="C245" s="1" t="n">
        <v>46042</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46042</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46042</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46042</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17588-2024</t>
        </is>
      </c>
      <c r="B249" s="1" t="n">
        <v>45415.94054398148</v>
      </c>
      <c r="C249" s="1" t="n">
        <v>46042</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31479-2024</t>
        </is>
      </c>
      <c r="B250" s="1" t="n">
        <v>45505.95263888889</v>
      </c>
      <c r="C250" s="1" t="n">
        <v>46042</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58777-2023</t>
        </is>
      </c>
      <c r="B251" s="1" t="n">
        <v>45251.96747685185</v>
      </c>
      <c r="C251" s="1" t="n">
        <v>46042</v>
      </c>
      <c r="D251" t="inlineStr">
        <is>
          <t>JÄMTLANDS LÄN</t>
        </is>
      </c>
      <c r="E251" t="inlineStr">
        <is>
          <t>BRÄCKE</t>
        </is>
      </c>
      <c r="F251" t="inlineStr">
        <is>
          <t>SCA</t>
        </is>
      </c>
      <c r="G251" t="n">
        <v>1.1</v>
      </c>
      <c r="H251" t="n">
        <v>0</v>
      </c>
      <c r="I251" t="n">
        <v>0</v>
      </c>
      <c r="J251" t="n">
        <v>1</v>
      </c>
      <c r="K251" t="n">
        <v>0</v>
      </c>
      <c r="L251" t="n">
        <v>0</v>
      </c>
      <c r="M251" t="n">
        <v>0</v>
      </c>
      <c r="N251" t="n">
        <v>0</v>
      </c>
      <c r="O251" t="n">
        <v>1</v>
      </c>
      <c r="P251" t="n">
        <v>0</v>
      </c>
      <c r="Q251" t="n">
        <v>1</v>
      </c>
      <c r="R251" s="2" t="inlineStr">
        <is>
          <t>Igelkott</t>
        </is>
      </c>
      <c r="S251">
        <f>HYPERLINK("https://klasma.github.io/Logging_2305/artfynd/A 58777-2023 artfynd.xlsx", "A 58777-2023")</f>
        <v/>
      </c>
      <c r="T251">
        <f>HYPERLINK("https://klasma.github.io/Logging_2305/kartor/A 58777-2023 karta.png", "A 58777-2023")</f>
        <v/>
      </c>
      <c r="V251">
        <f>HYPERLINK("https://klasma.github.io/Logging_2305/klagomål/A 58777-2023 FSC-klagomål.docx", "A 58777-2023")</f>
        <v/>
      </c>
      <c r="W251">
        <f>HYPERLINK("https://klasma.github.io/Logging_2305/klagomålsmail/A 58777-2023 FSC-klagomål mail.docx", "A 58777-2023")</f>
        <v/>
      </c>
      <c r="X251">
        <f>HYPERLINK("https://klasma.github.io/Logging_2305/tillsyn/A 58777-2023 tillsynsbegäran.docx", "A 58777-2023")</f>
        <v/>
      </c>
      <c r="Y251">
        <f>HYPERLINK("https://klasma.github.io/Logging_2305/tillsynsmail/A 58777-2023 tillsynsbegäran mail.docx", "A 58777-2023")</f>
        <v/>
      </c>
    </row>
    <row r="252" ht="15" customHeight="1">
      <c r="A252" t="inlineStr">
        <is>
          <t>A 62079-2022</t>
        </is>
      </c>
      <c r="B252" s="1" t="n">
        <v>44918</v>
      </c>
      <c r="C252" s="1" t="n">
        <v>46042</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2063-2024</t>
        </is>
      </c>
      <c r="B253" s="1" t="n">
        <v>45308</v>
      </c>
      <c r="C253" s="1" t="n">
        <v>46042</v>
      </c>
      <c r="D253" t="inlineStr">
        <is>
          <t>JÄMTLANDS LÄN</t>
        </is>
      </c>
      <c r="E253" t="inlineStr">
        <is>
          <t>BRÄCKE</t>
        </is>
      </c>
      <c r="F253" t="inlineStr">
        <is>
          <t>SCA</t>
        </is>
      </c>
      <c r="G253" t="n">
        <v>5.7</v>
      </c>
      <c r="H253" t="n">
        <v>0</v>
      </c>
      <c r="I253" t="n">
        <v>0</v>
      </c>
      <c r="J253" t="n">
        <v>0</v>
      </c>
      <c r="K253" t="n">
        <v>1</v>
      </c>
      <c r="L253" t="n">
        <v>0</v>
      </c>
      <c r="M253" t="n">
        <v>0</v>
      </c>
      <c r="N253" t="n">
        <v>0</v>
      </c>
      <c r="O253" t="n">
        <v>1</v>
      </c>
      <c r="P253" t="n">
        <v>1</v>
      </c>
      <c r="Q253" t="n">
        <v>1</v>
      </c>
      <c r="R253" s="2" t="inlineStr">
        <is>
          <t>Gräddporing</t>
        </is>
      </c>
      <c r="S253">
        <f>HYPERLINK("https://klasma.github.io/Logging_2305/artfynd/A 2063-2024 artfynd.xlsx", "A 2063-2024")</f>
        <v/>
      </c>
      <c r="T253">
        <f>HYPERLINK("https://klasma.github.io/Logging_2305/kartor/A 2063-2024 karta.png", "A 2063-2024")</f>
        <v/>
      </c>
      <c r="V253">
        <f>HYPERLINK("https://klasma.github.io/Logging_2305/klagomål/A 2063-2024 FSC-klagomål.docx", "A 2063-2024")</f>
        <v/>
      </c>
      <c r="W253">
        <f>HYPERLINK("https://klasma.github.io/Logging_2305/klagomålsmail/A 2063-2024 FSC-klagomål mail.docx", "A 2063-2024")</f>
        <v/>
      </c>
      <c r="X253">
        <f>HYPERLINK("https://klasma.github.io/Logging_2305/tillsyn/A 2063-2024 tillsynsbegäran.docx", "A 2063-2024")</f>
        <v/>
      </c>
      <c r="Y253">
        <f>HYPERLINK("https://klasma.github.io/Logging_2305/tillsynsmail/A 2063-2024 tillsynsbegäran mail.docx", "A 2063-2024")</f>
        <v/>
      </c>
    </row>
    <row r="254" ht="15" customHeight="1">
      <c r="A254" t="inlineStr">
        <is>
          <t>A 29546-2024</t>
        </is>
      </c>
      <c r="B254" s="1" t="n">
        <v>45484.50435185185</v>
      </c>
      <c r="C254" s="1" t="n">
        <v>46042</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24094-2025</t>
        </is>
      </c>
      <c r="B255" s="1" t="n">
        <v>45796.57335648148</v>
      </c>
      <c r="C255" s="1" t="n">
        <v>46042</v>
      </c>
      <c r="D255" t="inlineStr">
        <is>
          <t>JÄMTLANDS LÄN</t>
        </is>
      </c>
      <c r="E255" t="inlineStr">
        <is>
          <t>BRÄCKE</t>
        </is>
      </c>
      <c r="F255" t="inlineStr">
        <is>
          <t>SCA</t>
        </is>
      </c>
      <c r="G255" t="n">
        <v>4.1</v>
      </c>
      <c r="H255" t="n">
        <v>0</v>
      </c>
      <c r="I255" t="n">
        <v>0</v>
      </c>
      <c r="J255" t="n">
        <v>1</v>
      </c>
      <c r="K255" t="n">
        <v>0</v>
      </c>
      <c r="L255" t="n">
        <v>0</v>
      </c>
      <c r="M255" t="n">
        <v>0</v>
      </c>
      <c r="N255" t="n">
        <v>0</v>
      </c>
      <c r="O255" t="n">
        <v>1</v>
      </c>
      <c r="P255" t="n">
        <v>0</v>
      </c>
      <c r="Q255" t="n">
        <v>1</v>
      </c>
      <c r="R255" s="2" t="inlineStr">
        <is>
          <t>Vedskivlav</t>
        </is>
      </c>
      <c r="S255">
        <f>HYPERLINK("https://klasma.github.io/Logging_2305/artfynd/A 24094-2025 artfynd.xlsx", "A 24094-2025")</f>
        <v/>
      </c>
      <c r="T255">
        <f>HYPERLINK("https://klasma.github.io/Logging_2305/kartor/A 24094-2025 karta.png", "A 24094-2025")</f>
        <v/>
      </c>
      <c r="V255">
        <f>HYPERLINK("https://klasma.github.io/Logging_2305/klagomål/A 24094-2025 FSC-klagomål.docx", "A 24094-2025")</f>
        <v/>
      </c>
      <c r="W255">
        <f>HYPERLINK("https://klasma.github.io/Logging_2305/klagomålsmail/A 24094-2025 FSC-klagomål mail.docx", "A 24094-2025")</f>
        <v/>
      </c>
      <c r="X255">
        <f>HYPERLINK("https://klasma.github.io/Logging_2305/tillsyn/A 24094-2025 tillsynsbegäran.docx", "A 24094-2025")</f>
        <v/>
      </c>
      <c r="Y255">
        <f>HYPERLINK("https://klasma.github.io/Logging_2305/tillsynsmail/A 24094-2025 tillsynsbegäran mail.docx", "A 24094-2025")</f>
        <v/>
      </c>
    </row>
    <row r="256" ht="15" customHeight="1">
      <c r="A256" t="inlineStr">
        <is>
          <t>A 36312-2024</t>
        </is>
      </c>
      <c r="B256" s="1" t="n">
        <v>45534.63096064814</v>
      </c>
      <c r="C256" s="1" t="n">
        <v>46042</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24851-2025</t>
        </is>
      </c>
      <c r="B257" s="1" t="n">
        <v>45799.46967592592</v>
      </c>
      <c r="C257" s="1" t="n">
        <v>46042</v>
      </c>
      <c r="D257" t="inlineStr">
        <is>
          <t>JÄMTLANDS LÄN</t>
        </is>
      </c>
      <c r="E257" t="inlineStr">
        <is>
          <t>BRÄCKE</t>
        </is>
      </c>
      <c r="F257" t="inlineStr">
        <is>
          <t>SCA</t>
        </is>
      </c>
      <c r="G257" t="n">
        <v>4.1</v>
      </c>
      <c r="H257" t="n">
        <v>1</v>
      </c>
      <c r="I257" t="n">
        <v>0</v>
      </c>
      <c r="J257" t="n">
        <v>0</v>
      </c>
      <c r="K257" t="n">
        <v>0</v>
      </c>
      <c r="L257" t="n">
        <v>1</v>
      </c>
      <c r="M257" t="n">
        <v>0</v>
      </c>
      <c r="N257" t="n">
        <v>0</v>
      </c>
      <c r="O257" t="n">
        <v>1</v>
      </c>
      <c r="P257" t="n">
        <v>1</v>
      </c>
      <c r="Q257" t="n">
        <v>1</v>
      </c>
      <c r="R257" s="2" t="inlineStr">
        <is>
          <t>Violett guldvinge</t>
        </is>
      </c>
      <c r="S257">
        <f>HYPERLINK("https://klasma.github.io/Logging_2305/artfynd/A 24851-2025 artfynd.xlsx", "A 24851-2025")</f>
        <v/>
      </c>
      <c r="T257">
        <f>HYPERLINK("https://klasma.github.io/Logging_2305/kartor/A 24851-2025 karta.png", "A 24851-2025")</f>
        <v/>
      </c>
      <c r="V257">
        <f>HYPERLINK("https://klasma.github.io/Logging_2305/klagomål/A 24851-2025 FSC-klagomål.docx", "A 24851-2025")</f>
        <v/>
      </c>
      <c r="W257">
        <f>HYPERLINK("https://klasma.github.io/Logging_2305/klagomålsmail/A 24851-2025 FSC-klagomål mail.docx", "A 24851-2025")</f>
        <v/>
      </c>
      <c r="X257">
        <f>HYPERLINK("https://klasma.github.io/Logging_2305/tillsyn/A 24851-2025 tillsynsbegäran.docx", "A 24851-2025")</f>
        <v/>
      </c>
      <c r="Y257">
        <f>HYPERLINK("https://klasma.github.io/Logging_2305/tillsynsmail/A 24851-2025 tillsynsbegäran mail.docx", "A 24851-2025")</f>
        <v/>
      </c>
    </row>
    <row r="258" ht="15" customHeight="1">
      <c r="A258" t="inlineStr">
        <is>
          <t>A 25718-2025</t>
        </is>
      </c>
      <c r="B258" s="1" t="n">
        <v>45803.69876157407</v>
      </c>
      <c r="C258" s="1" t="n">
        <v>46042</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39085-2025</t>
        </is>
      </c>
      <c r="B259" s="1" t="n">
        <v>45888</v>
      </c>
      <c r="C259" s="1" t="n">
        <v>46042</v>
      </c>
      <c r="D259" t="inlineStr">
        <is>
          <t>JÄMTLANDS LÄN</t>
        </is>
      </c>
      <c r="E259" t="inlineStr">
        <is>
          <t>BRÄCKE</t>
        </is>
      </c>
      <c r="F259" t="inlineStr">
        <is>
          <t>SCA</t>
        </is>
      </c>
      <c r="G259" t="n">
        <v>3.3</v>
      </c>
      <c r="H259" t="n">
        <v>0</v>
      </c>
      <c r="I259" t="n">
        <v>0</v>
      </c>
      <c r="J259" t="n">
        <v>1</v>
      </c>
      <c r="K259" t="n">
        <v>0</v>
      </c>
      <c r="L259" t="n">
        <v>0</v>
      </c>
      <c r="M259" t="n">
        <v>0</v>
      </c>
      <c r="N259" t="n">
        <v>0</v>
      </c>
      <c r="O259" t="n">
        <v>1</v>
      </c>
      <c r="P259" t="n">
        <v>0</v>
      </c>
      <c r="Q259" t="n">
        <v>1</v>
      </c>
      <c r="R259" s="2" t="inlineStr">
        <is>
          <t>Lunglav</t>
        </is>
      </c>
      <c r="S259">
        <f>HYPERLINK("https://klasma.github.io/Logging_2305/artfynd/A 39085-2025 artfynd.xlsx", "A 39085-2025")</f>
        <v/>
      </c>
      <c r="T259">
        <f>HYPERLINK("https://klasma.github.io/Logging_2305/kartor/A 39085-2025 karta.png", "A 39085-2025")</f>
        <v/>
      </c>
      <c r="V259">
        <f>HYPERLINK("https://klasma.github.io/Logging_2305/klagomål/A 39085-2025 FSC-klagomål.docx", "A 39085-2025")</f>
        <v/>
      </c>
      <c r="W259">
        <f>HYPERLINK("https://klasma.github.io/Logging_2305/klagomålsmail/A 39085-2025 FSC-klagomål mail.docx", "A 39085-2025")</f>
        <v/>
      </c>
      <c r="X259">
        <f>HYPERLINK("https://klasma.github.io/Logging_2305/tillsyn/A 39085-2025 tillsynsbegäran.docx", "A 39085-2025")</f>
        <v/>
      </c>
      <c r="Y259">
        <f>HYPERLINK("https://klasma.github.io/Logging_2305/tillsynsmail/A 39085-2025 tillsynsbegäran mail.docx", "A 39085-2025")</f>
        <v/>
      </c>
    </row>
    <row r="260" ht="15" customHeight="1">
      <c r="A260" t="inlineStr">
        <is>
          <t>A 55931-2023</t>
        </is>
      </c>
      <c r="B260" s="1" t="n">
        <v>45239</v>
      </c>
      <c r="C260" s="1" t="n">
        <v>46042</v>
      </c>
      <c r="D260" t="inlineStr">
        <is>
          <t>JÄMTLANDS LÄN</t>
        </is>
      </c>
      <c r="E260" t="inlineStr">
        <is>
          <t>BRÄCKE</t>
        </is>
      </c>
      <c r="F260" t="inlineStr">
        <is>
          <t>Kyrkan</t>
        </is>
      </c>
      <c r="G260" t="n">
        <v>1.2</v>
      </c>
      <c r="H260" t="n">
        <v>0</v>
      </c>
      <c r="I260" t="n">
        <v>0</v>
      </c>
      <c r="J260" t="n">
        <v>1</v>
      </c>
      <c r="K260" t="n">
        <v>0</v>
      </c>
      <c r="L260" t="n">
        <v>0</v>
      </c>
      <c r="M260" t="n">
        <v>0</v>
      </c>
      <c r="N260" t="n">
        <v>0</v>
      </c>
      <c r="O260" t="n">
        <v>1</v>
      </c>
      <c r="P260" t="n">
        <v>0</v>
      </c>
      <c r="Q260" t="n">
        <v>1</v>
      </c>
      <c r="R260" s="2" t="inlineStr">
        <is>
          <t>Harticka</t>
        </is>
      </c>
      <c r="S260">
        <f>HYPERLINK("https://klasma.github.io/Logging_2305/artfynd/A 55931-2023 artfynd.xlsx", "A 55931-2023")</f>
        <v/>
      </c>
      <c r="T260">
        <f>HYPERLINK("https://klasma.github.io/Logging_2305/kartor/A 55931-2023 karta.png", "A 55931-2023")</f>
        <v/>
      </c>
      <c r="V260">
        <f>HYPERLINK("https://klasma.github.io/Logging_2305/klagomål/A 55931-2023 FSC-klagomål.docx", "A 55931-2023")</f>
        <v/>
      </c>
      <c r="W260">
        <f>HYPERLINK("https://klasma.github.io/Logging_2305/klagomålsmail/A 55931-2023 FSC-klagomål mail.docx", "A 55931-2023")</f>
        <v/>
      </c>
      <c r="X260">
        <f>HYPERLINK("https://klasma.github.io/Logging_2305/tillsyn/A 55931-2023 tillsynsbegäran.docx", "A 55931-2023")</f>
        <v/>
      </c>
      <c r="Y260">
        <f>HYPERLINK("https://klasma.github.io/Logging_2305/tillsynsmail/A 55931-2023 tillsynsbegäran mail.docx", "A 55931-2023")</f>
        <v/>
      </c>
    </row>
    <row r="261" ht="15" customHeight="1">
      <c r="A261" t="inlineStr">
        <is>
          <t>A 10736-2025</t>
        </is>
      </c>
      <c r="B261" s="1" t="n">
        <v>45722.40664351852</v>
      </c>
      <c r="C261" s="1" t="n">
        <v>46042</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40835-2025</t>
        </is>
      </c>
      <c r="B262" s="1" t="n">
        <v>45897.5114699074</v>
      </c>
      <c r="C262" s="1" t="n">
        <v>46042</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40842-2025</t>
        </is>
      </c>
      <c r="B263" s="1" t="n">
        <v>45897.53200231482</v>
      </c>
      <c r="C263" s="1" t="n">
        <v>46042</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40792-2025</t>
        </is>
      </c>
      <c r="B264" s="1" t="n">
        <v>45897.44855324074</v>
      </c>
      <c r="C264" s="1" t="n">
        <v>46042</v>
      </c>
      <c r="D264" t="inlineStr">
        <is>
          <t>JÄMTLANDS LÄN</t>
        </is>
      </c>
      <c r="E264" t="inlineStr">
        <is>
          <t>BRÄCKE</t>
        </is>
      </c>
      <c r="F264" t="inlineStr">
        <is>
          <t>SCA</t>
        </is>
      </c>
      <c r="G264" t="n">
        <v>1.7</v>
      </c>
      <c r="H264" t="n">
        <v>0</v>
      </c>
      <c r="I264" t="n">
        <v>0</v>
      </c>
      <c r="J264" t="n">
        <v>1</v>
      </c>
      <c r="K264" t="n">
        <v>0</v>
      </c>
      <c r="L264" t="n">
        <v>0</v>
      </c>
      <c r="M264" t="n">
        <v>0</v>
      </c>
      <c r="N264" t="n">
        <v>0</v>
      </c>
      <c r="O264" t="n">
        <v>1</v>
      </c>
      <c r="P264" t="n">
        <v>0</v>
      </c>
      <c r="Q264" t="n">
        <v>1</v>
      </c>
      <c r="R264" s="2" t="inlineStr">
        <is>
          <t>Lunglav</t>
        </is>
      </c>
      <c r="S264">
        <f>HYPERLINK("https://klasma.github.io/Logging_2305/artfynd/A 40792-2025 artfynd.xlsx", "A 40792-2025")</f>
        <v/>
      </c>
      <c r="T264">
        <f>HYPERLINK("https://klasma.github.io/Logging_2305/kartor/A 40792-2025 karta.png", "A 40792-2025")</f>
        <v/>
      </c>
      <c r="V264">
        <f>HYPERLINK("https://klasma.github.io/Logging_2305/klagomål/A 40792-2025 FSC-klagomål.docx", "A 40792-2025")</f>
        <v/>
      </c>
      <c r="W264">
        <f>HYPERLINK("https://klasma.github.io/Logging_2305/klagomålsmail/A 40792-2025 FSC-klagomål mail.docx", "A 40792-2025")</f>
        <v/>
      </c>
      <c r="X264">
        <f>HYPERLINK("https://klasma.github.io/Logging_2305/tillsyn/A 40792-2025 tillsynsbegäran.docx", "A 40792-2025")</f>
        <v/>
      </c>
      <c r="Y264">
        <f>HYPERLINK("https://klasma.github.io/Logging_2305/tillsynsmail/A 40792-2025 tillsynsbegäran mail.docx", "A 40792-2025")</f>
        <v/>
      </c>
    </row>
    <row r="265" ht="15" customHeight="1">
      <c r="A265" t="inlineStr">
        <is>
          <t>A 40914-2025</t>
        </is>
      </c>
      <c r="B265" s="1" t="n">
        <v>45897.61741898148</v>
      </c>
      <c r="C265" s="1" t="n">
        <v>46042</v>
      </c>
      <c r="D265" t="inlineStr">
        <is>
          <t>JÄMTLANDS LÄN</t>
        </is>
      </c>
      <c r="E265" t="inlineStr">
        <is>
          <t>BRÄCKE</t>
        </is>
      </c>
      <c r="F265" t="inlineStr">
        <is>
          <t>SCA</t>
        </is>
      </c>
      <c r="G265" t="n">
        <v>2.1</v>
      </c>
      <c r="H265" t="n">
        <v>0</v>
      </c>
      <c r="I265" t="n">
        <v>0</v>
      </c>
      <c r="J265" t="n">
        <v>1</v>
      </c>
      <c r="K265" t="n">
        <v>0</v>
      </c>
      <c r="L265" t="n">
        <v>0</v>
      </c>
      <c r="M265" t="n">
        <v>0</v>
      </c>
      <c r="N265" t="n">
        <v>0</v>
      </c>
      <c r="O265" t="n">
        <v>1</v>
      </c>
      <c r="P265" t="n">
        <v>0</v>
      </c>
      <c r="Q265" t="n">
        <v>1</v>
      </c>
      <c r="R265" s="2" t="inlineStr">
        <is>
          <t>Lunglav</t>
        </is>
      </c>
      <c r="S265">
        <f>HYPERLINK("https://klasma.github.io/Logging_2305/artfynd/A 40914-2025 artfynd.xlsx", "A 40914-2025")</f>
        <v/>
      </c>
      <c r="T265">
        <f>HYPERLINK("https://klasma.github.io/Logging_2305/kartor/A 40914-2025 karta.png", "A 40914-2025")</f>
        <v/>
      </c>
      <c r="V265">
        <f>HYPERLINK("https://klasma.github.io/Logging_2305/klagomål/A 40914-2025 FSC-klagomål.docx", "A 40914-2025")</f>
        <v/>
      </c>
      <c r="W265">
        <f>HYPERLINK("https://klasma.github.io/Logging_2305/klagomålsmail/A 40914-2025 FSC-klagomål mail.docx", "A 40914-2025")</f>
        <v/>
      </c>
      <c r="X265">
        <f>HYPERLINK("https://klasma.github.io/Logging_2305/tillsyn/A 40914-2025 tillsynsbegäran.docx", "A 40914-2025")</f>
        <v/>
      </c>
      <c r="Y265">
        <f>HYPERLINK("https://klasma.github.io/Logging_2305/tillsynsmail/A 40914-2025 tillsynsbegäran mail.docx", "A 40914-2025")</f>
        <v/>
      </c>
    </row>
    <row r="266" ht="15" customHeight="1">
      <c r="A266" t="inlineStr">
        <is>
          <t>A 27061-2025</t>
        </is>
      </c>
      <c r="B266" s="1" t="n">
        <v>45811.6360300926</v>
      </c>
      <c r="C266" s="1" t="n">
        <v>46042</v>
      </c>
      <c r="D266" t="inlineStr">
        <is>
          <t>JÄMTLANDS LÄN</t>
        </is>
      </c>
      <c r="E266" t="inlineStr">
        <is>
          <t>BRÄCKE</t>
        </is>
      </c>
      <c r="F266" t="inlineStr">
        <is>
          <t>SCA</t>
        </is>
      </c>
      <c r="G266" t="n">
        <v>18.9</v>
      </c>
      <c r="H266" t="n">
        <v>0</v>
      </c>
      <c r="I266" t="n">
        <v>0</v>
      </c>
      <c r="J266" t="n">
        <v>1</v>
      </c>
      <c r="K266" t="n">
        <v>0</v>
      </c>
      <c r="L266" t="n">
        <v>0</v>
      </c>
      <c r="M266" t="n">
        <v>0</v>
      </c>
      <c r="N266" t="n">
        <v>0</v>
      </c>
      <c r="O266" t="n">
        <v>1</v>
      </c>
      <c r="P266" t="n">
        <v>0</v>
      </c>
      <c r="Q266" t="n">
        <v>1</v>
      </c>
      <c r="R266" s="2" t="inlineStr">
        <is>
          <t>Lunglav</t>
        </is>
      </c>
      <c r="S266">
        <f>HYPERLINK("https://klasma.github.io/Logging_2305/artfynd/A 27061-2025 artfynd.xlsx", "A 27061-2025")</f>
        <v/>
      </c>
      <c r="T266">
        <f>HYPERLINK("https://klasma.github.io/Logging_2305/kartor/A 27061-2025 karta.png", "A 27061-2025")</f>
        <v/>
      </c>
      <c r="V266">
        <f>HYPERLINK("https://klasma.github.io/Logging_2305/klagomål/A 27061-2025 FSC-klagomål.docx", "A 27061-2025")</f>
        <v/>
      </c>
      <c r="W266">
        <f>HYPERLINK("https://klasma.github.io/Logging_2305/klagomålsmail/A 27061-2025 FSC-klagomål mail.docx", "A 27061-2025")</f>
        <v/>
      </c>
      <c r="X266">
        <f>HYPERLINK("https://klasma.github.io/Logging_2305/tillsyn/A 27061-2025 tillsynsbegäran.docx", "A 27061-2025")</f>
        <v/>
      </c>
      <c r="Y266">
        <f>HYPERLINK("https://klasma.github.io/Logging_2305/tillsynsmail/A 27061-2025 tillsynsbegäran mail.docx", "A 27061-2025")</f>
        <v/>
      </c>
    </row>
    <row r="267" ht="15" customHeight="1">
      <c r="A267" t="inlineStr">
        <is>
          <t>A 53832-2024</t>
        </is>
      </c>
      <c r="B267" s="1" t="n">
        <v>45615</v>
      </c>
      <c r="C267" s="1" t="n">
        <v>46042</v>
      </c>
      <c r="D267" t="inlineStr">
        <is>
          <t>JÄMTLANDS LÄN</t>
        </is>
      </c>
      <c r="E267" t="inlineStr">
        <is>
          <t>BRÄCKE</t>
        </is>
      </c>
      <c r="F267" t="inlineStr">
        <is>
          <t>SCA</t>
        </is>
      </c>
      <c r="G267" t="n">
        <v>4</v>
      </c>
      <c r="H267" t="n">
        <v>0</v>
      </c>
      <c r="I267" t="n">
        <v>1</v>
      </c>
      <c r="J267" t="n">
        <v>0</v>
      </c>
      <c r="K267" t="n">
        <v>0</v>
      </c>
      <c r="L267" t="n">
        <v>0</v>
      </c>
      <c r="M267" t="n">
        <v>0</v>
      </c>
      <c r="N267" t="n">
        <v>0</v>
      </c>
      <c r="O267" t="n">
        <v>0</v>
      </c>
      <c r="P267" t="n">
        <v>0</v>
      </c>
      <c r="Q267" t="n">
        <v>1</v>
      </c>
      <c r="R267" s="2" t="inlineStr">
        <is>
          <t>Dropptaggsvamp</t>
        </is>
      </c>
      <c r="S267">
        <f>HYPERLINK("https://klasma.github.io/Logging_2305/artfynd/A 53832-2024 artfynd.xlsx", "A 53832-2024")</f>
        <v/>
      </c>
      <c r="T267">
        <f>HYPERLINK("https://klasma.github.io/Logging_2305/kartor/A 53832-2024 karta.png", "A 53832-2024")</f>
        <v/>
      </c>
      <c r="V267">
        <f>HYPERLINK("https://klasma.github.io/Logging_2305/klagomål/A 53832-2024 FSC-klagomål.docx", "A 53832-2024")</f>
        <v/>
      </c>
      <c r="W267">
        <f>HYPERLINK("https://klasma.github.io/Logging_2305/klagomålsmail/A 53832-2024 FSC-klagomål mail.docx", "A 53832-2024")</f>
        <v/>
      </c>
      <c r="X267">
        <f>HYPERLINK("https://klasma.github.io/Logging_2305/tillsyn/A 53832-2024 tillsynsbegäran.docx", "A 53832-2024")</f>
        <v/>
      </c>
      <c r="Y267">
        <f>HYPERLINK("https://klasma.github.io/Logging_2305/tillsynsmail/A 53832-2024 tillsynsbegäran mail.docx", "A 53832-2024")</f>
        <v/>
      </c>
    </row>
    <row r="268" ht="15" customHeight="1">
      <c r="A268" t="inlineStr">
        <is>
          <t>A 15076-2022</t>
        </is>
      </c>
      <c r="B268" s="1" t="n">
        <v>44657</v>
      </c>
      <c r="C268" s="1" t="n">
        <v>46042</v>
      </c>
      <c r="D268" t="inlineStr">
        <is>
          <t>JÄMTLANDS LÄN</t>
        </is>
      </c>
      <c r="E268" t="inlineStr">
        <is>
          <t>BRÄCKE</t>
        </is>
      </c>
      <c r="G268" t="n">
        <v>24.7</v>
      </c>
      <c r="H268" t="n">
        <v>0</v>
      </c>
      <c r="I268" t="n">
        <v>0</v>
      </c>
      <c r="J268" t="n">
        <v>1</v>
      </c>
      <c r="K268" t="n">
        <v>0</v>
      </c>
      <c r="L268" t="n">
        <v>0</v>
      </c>
      <c r="M268" t="n">
        <v>0</v>
      </c>
      <c r="N268" t="n">
        <v>0</v>
      </c>
      <c r="O268" t="n">
        <v>1</v>
      </c>
      <c r="P268" t="n">
        <v>0</v>
      </c>
      <c r="Q268" t="n">
        <v>1</v>
      </c>
      <c r="R268" s="2" t="inlineStr">
        <is>
          <t>Skrovellav</t>
        </is>
      </c>
      <c r="S268">
        <f>HYPERLINK("https://klasma.github.io/Logging_2305/artfynd/A 15076-2022 artfynd.xlsx", "A 15076-2022")</f>
        <v/>
      </c>
      <c r="T268">
        <f>HYPERLINK("https://klasma.github.io/Logging_2305/kartor/A 15076-2022 karta.png", "A 15076-2022")</f>
        <v/>
      </c>
      <c r="V268">
        <f>HYPERLINK("https://klasma.github.io/Logging_2305/klagomål/A 15076-2022 FSC-klagomål.docx", "A 15076-2022")</f>
        <v/>
      </c>
      <c r="W268">
        <f>HYPERLINK("https://klasma.github.io/Logging_2305/klagomålsmail/A 15076-2022 FSC-klagomål mail.docx", "A 15076-2022")</f>
        <v/>
      </c>
      <c r="X268">
        <f>HYPERLINK("https://klasma.github.io/Logging_2305/tillsyn/A 15076-2022 tillsynsbegäran.docx", "A 15076-2022")</f>
        <v/>
      </c>
      <c r="Y268">
        <f>HYPERLINK("https://klasma.github.io/Logging_2305/tillsynsmail/A 15076-2022 tillsynsbegäran mail.docx", "A 15076-2022")</f>
        <v/>
      </c>
    </row>
    <row r="269" ht="15" customHeight="1">
      <c r="A269" t="inlineStr">
        <is>
          <t>A 41059-2025</t>
        </is>
      </c>
      <c r="B269" s="1" t="n">
        <v>45898.40703703704</v>
      </c>
      <c r="C269" s="1" t="n">
        <v>46042</v>
      </c>
      <c r="D269" t="inlineStr">
        <is>
          <t>JÄMTLANDS LÄN</t>
        </is>
      </c>
      <c r="E269" t="inlineStr">
        <is>
          <t>BRÄCKE</t>
        </is>
      </c>
      <c r="F269" t="inlineStr">
        <is>
          <t>SCA</t>
        </is>
      </c>
      <c r="G269" t="n">
        <v>8.9</v>
      </c>
      <c r="H269" t="n">
        <v>0</v>
      </c>
      <c r="I269" t="n">
        <v>0</v>
      </c>
      <c r="J269" t="n">
        <v>1</v>
      </c>
      <c r="K269" t="n">
        <v>0</v>
      </c>
      <c r="L269" t="n">
        <v>0</v>
      </c>
      <c r="M269" t="n">
        <v>0</v>
      </c>
      <c r="N269" t="n">
        <v>0</v>
      </c>
      <c r="O269" t="n">
        <v>1</v>
      </c>
      <c r="P269" t="n">
        <v>0</v>
      </c>
      <c r="Q269" t="n">
        <v>1</v>
      </c>
      <c r="R269" s="2" t="inlineStr">
        <is>
          <t>Lunglav</t>
        </is>
      </c>
      <c r="S269">
        <f>HYPERLINK("https://klasma.github.io/Logging_2305/artfynd/A 41059-2025 artfynd.xlsx", "A 41059-2025")</f>
        <v/>
      </c>
      <c r="T269">
        <f>HYPERLINK("https://klasma.github.io/Logging_2305/kartor/A 41059-2025 karta.png", "A 41059-2025")</f>
        <v/>
      </c>
      <c r="V269">
        <f>HYPERLINK("https://klasma.github.io/Logging_2305/klagomål/A 41059-2025 FSC-klagomål.docx", "A 41059-2025")</f>
        <v/>
      </c>
      <c r="W269">
        <f>HYPERLINK("https://klasma.github.io/Logging_2305/klagomålsmail/A 41059-2025 FSC-klagomål mail.docx", "A 41059-2025")</f>
        <v/>
      </c>
      <c r="X269">
        <f>HYPERLINK("https://klasma.github.io/Logging_2305/tillsyn/A 41059-2025 tillsynsbegäran.docx", "A 41059-2025")</f>
        <v/>
      </c>
      <c r="Y269">
        <f>HYPERLINK("https://klasma.github.io/Logging_2305/tillsynsmail/A 41059-2025 tillsynsbegäran mail.docx", "A 41059-2025")</f>
        <v/>
      </c>
    </row>
    <row r="270" ht="15" customHeight="1">
      <c r="A270" t="inlineStr">
        <is>
          <t>A 19431-2021</t>
        </is>
      </c>
      <c r="B270" s="1" t="n">
        <v>44309</v>
      </c>
      <c r="C270" s="1" t="n">
        <v>46042</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12525-2025</t>
        </is>
      </c>
      <c r="B271" s="1" t="n">
        <v>45730.67770833334</v>
      </c>
      <c r="C271" s="1" t="n">
        <v>46042</v>
      </c>
      <c r="D271" t="inlineStr">
        <is>
          <t>JÄMTLANDS LÄN</t>
        </is>
      </c>
      <c r="E271" t="inlineStr">
        <is>
          <t>BRÄCKE</t>
        </is>
      </c>
      <c r="F271" t="inlineStr">
        <is>
          <t>SCA</t>
        </is>
      </c>
      <c r="G271" t="n">
        <v>3.5</v>
      </c>
      <c r="H271" t="n">
        <v>1</v>
      </c>
      <c r="I271" t="n">
        <v>0</v>
      </c>
      <c r="J271" t="n">
        <v>0</v>
      </c>
      <c r="K271" t="n">
        <v>0</v>
      </c>
      <c r="L271" t="n">
        <v>0</v>
      </c>
      <c r="M271" t="n">
        <v>0</v>
      </c>
      <c r="N271" t="n">
        <v>0</v>
      </c>
      <c r="O271" t="n">
        <v>0</v>
      </c>
      <c r="P271" t="n">
        <v>0</v>
      </c>
      <c r="Q271" t="n">
        <v>1</v>
      </c>
      <c r="R271" s="2" t="inlineStr">
        <is>
          <t>Fläcknycklar</t>
        </is>
      </c>
      <c r="S271">
        <f>HYPERLINK("https://klasma.github.io/Logging_2305/artfynd/A 12525-2025 artfynd.xlsx", "A 12525-2025")</f>
        <v/>
      </c>
      <c r="T271">
        <f>HYPERLINK("https://klasma.github.io/Logging_2305/kartor/A 12525-2025 karta.png", "A 12525-2025")</f>
        <v/>
      </c>
      <c r="V271">
        <f>HYPERLINK("https://klasma.github.io/Logging_2305/klagomål/A 12525-2025 FSC-klagomål.docx", "A 12525-2025")</f>
        <v/>
      </c>
      <c r="W271">
        <f>HYPERLINK("https://klasma.github.io/Logging_2305/klagomålsmail/A 12525-2025 FSC-klagomål mail.docx", "A 12525-2025")</f>
        <v/>
      </c>
      <c r="X271">
        <f>HYPERLINK("https://klasma.github.io/Logging_2305/tillsyn/A 12525-2025 tillsynsbegäran.docx", "A 12525-2025")</f>
        <v/>
      </c>
      <c r="Y271">
        <f>HYPERLINK("https://klasma.github.io/Logging_2305/tillsynsmail/A 12525-2025 tillsynsbegäran mail.docx", "A 12525-2025")</f>
        <v/>
      </c>
    </row>
    <row r="272" ht="15" customHeight="1">
      <c r="A272" t="inlineStr">
        <is>
          <t>A 27860-2025</t>
        </is>
      </c>
      <c r="B272" s="1" t="n">
        <v>45817.41630787037</v>
      </c>
      <c r="C272" s="1" t="n">
        <v>46042</v>
      </c>
      <c r="D272" t="inlineStr">
        <is>
          <t>JÄMTLANDS LÄN</t>
        </is>
      </c>
      <c r="E272" t="inlineStr">
        <is>
          <t>BRÄCKE</t>
        </is>
      </c>
      <c r="G272" t="n">
        <v>7.9</v>
      </c>
      <c r="H272" t="n">
        <v>0</v>
      </c>
      <c r="I272" t="n">
        <v>0</v>
      </c>
      <c r="J272" t="n">
        <v>1</v>
      </c>
      <c r="K272" t="n">
        <v>0</v>
      </c>
      <c r="L272" t="n">
        <v>0</v>
      </c>
      <c r="M272" t="n">
        <v>0</v>
      </c>
      <c r="N272" t="n">
        <v>0</v>
      </c>
      <c r="O272" t="n">
        <v>1</v>
      </c>
      <c r="P272" t="n">
        <v>0</v>
      </c>
      <c r="Q272" t="n">
        <v>1</v>
      </c>
      <c r="R272" s="2" t="inlineStr">
        <is>
          <t>Blanksvart spiklav</t>
        </is>
      </c>
      <c r="S272">
        <f>HYPERLINK("https://klasma.github.io/Logging_2305/artfynd/A 27860-2025 artfynd.xlsx", "A 27860-2025")</f>
        <v/>
      </c>
      <c r="T272">
        <f>HYPERLINK("https://klasma.github.io/Logging_2305/kartor/A 27860-2025 karta.png", "A 27860-2025")</f>
        <v/>
      </c>
      <c r="V272">
        <f>HYPERLINK("https://klasma.github.io/Logging_2305/klagomål/A 27860-2025 FSC-klagomål.docx", "A 27860-2025")</f>
        <v/>
      </c>
      <c r="W272">
        <f>HYPERLINK("https://klasma.github.io/Logging_2305/klagomålsmail/A 27860-2025 FSC-klagomål mail.docx", "A 27860-2025")</f>
        <v/>
      </c>
      <c r="X272">
        <f>HYPERLINK("https://klasma.github.io/Logging_2305/tillsyn/A 27860-2025 tillsynsbegäran.docx", "A 27860-2025")</f>
        <v/>
      </c>
      <c r="Y272">
        <f>HYPERLINK("https://klasma.github.io/Logging_2305/tillsynsmail/A 27860-2025 tillsynsbegäran mail.docx", "A 27860-2025")</f>
        <v/>
      </c>
    </row>
    <row r="273" ht="15" customHeight="1">
      <c r="A273" t="inlineStr">
        <is>
          <t>A 28676-2025</t>
        </is>
      </c>
      <c r="B273" s="1" t="n">
        <v>45819.67771990741</v>
      </c>
      <c r="C273" s="1" t="n">
        <v>46042</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28676-2025 artfynd.xlsx", "A 28676-2025")</f>
        <v/>
      </c>
      <c r="T273">
        <f>HYPERLINK("https://klasma.github.io/Logging_2305/kartor/A 28676-2025 karta.png", "A 28676-2025")</f>
        <v/>
      </c>
      <c r="V273">
        <f>HYPERLINK("https://klasma.github.io/Logging_2305/klagomål/A 28676-2025 FSC-klagomål.docx", "A 28676-2025")</f>
        <v/>
      </c>
      <c r="W273">
        <f>HYPERLINK("https://klasma.github.io/Logging_2305/klagomålsmail/A 28676-2025 FSC-klagomål mail.docx", "A 28676-2025")</f>
        <v/>
      </c>
      <c r="X273">
        <f>HYPERLINK("https://klasma.github.io/Logging_2305/tillsyn/A 28676-2025 tillsynsbegäran.docx", "A 28676-2025")</f>
        <v/>
      </c>
      <c r="Y273">
        <f>HYPERLINK("https://klasma.github.io/Logging_2305/tillsynsmail/A 28676-2025 tillsynsbegäran mail.docx", "A 28676-2025")</f>
        <v/>
      </c>
    </row>
    <row r="274" ht="15" customHeight="1">
      <c r="A274" t="inlineStr">
        <is>
          <t>A 44214-2025</t>
        </is>
      </c>
      <c r="B274" s="1" t="n">
        <v>45915.63579861111</v>
      </c>
      <c r="C274" s="1" t="n">
        <v>46042</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46042</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46042</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31450-2025</t>
        </is>
      </c>
      <c r="B277" s="1" t="n">
        <v>45833.53162037037</v>
      </c>
      <c r="C277" s="1" t="n">
        <v>46042</v>
      </c>
      <c r="D277" t="inlineStr">
        <is>
          <t>JÄMTLANDS LÄN</t>
        </is>
      </c>
      <c r="E277" t="inlineStr">
        <is>
          <t>BRÄCKE</t>
        </is>
      </c>
      <c r="F277" t="inlineStr">
        <is>
          <t>SCA</t>
        </is>
      </c>
      <c r="G277" t="n">
        <v>1.6</v>
      </c>
      <c r="H277" t="n">
        <v>1</v>
      </c>
      <c r="I277" t="n">
        <v>1</v>
      </c>
      <c r="J277" t="n">
        <v>0</v>
      </c>
      <c r="K277" t="n">
        <v>0</v>
      </c>
      <c r="L277" t="n">
        <v>0</v>
      </c>
      <c r="M277" t="n">
        <v>0</v>
      </c>
      <c r="N277" t="n">
        <v>0</v>
      </c>
      <c r="O277" t="n">
        <v>0</v>
      </c>
      <c r="P277" t="n">
        <v>0</v>
      </c>
      <c r="Q277" t="n">
        <v>1</v>
      </c>
      <c r="R277" s="2" t="inlineStr">
        <is>
          <t>Plattlummer</t>
        </is>
      </c>
      <c r="S277">
        <f>HYPERLINK("https://klasma.github.io/Logging_2305/artfynd/A 31450-2025 artfynd.xlsx", "A 31450-2025")</f>
        <v/>
      </c>
      <c r="T277">
        <f>HYPERLINK("https://klasma.github.io/Logging_2305/kartor/A 31450-2025 karta.png", "A 31450-2025")</f>
        <v/>
      </c>
      <c r="V277">
        <f>HYPERLINK("https://klasma.github.io/Logging_2305/klagomål/A 31450-2025 FSC-klagomål.docx", "A 31450-2025")</f>
        <v/>
      </c>
      <c r="W277">
        <f>HYPERLINK("https://klasma.github.io/Logging_2305/klagomålsmail/A 31450-2025 FSC-klagomål mail.docx", "A 31450-2025")</f>
        <v/>
      </c>
      <c r="X277">
        <f>HYPERLINK("https://klasma.github.io/Logging_2305/tillsyn/A 31450-2025 tillsynsbegäran.docx", "A 31450-2025")</f>
        <v/>
      </c>
      <c r="Y277">
        <f>HYPERLINK("https://klasma.github.io/Logging_2305/tillsynsmail/A 31450-2025 tillsynsbegäran mail.docx", "A 31450-2025")</f>
        <v/>
      </c>
    </row>
    <row r="278" ht="15" customHeight="1">
      <c r="A278" t="inlineStr">
        <is>
          <t>A 46435-2025</t>
        </is>
      </c>
      <c r="B278" s="1" t="n">
        <v>45925.63583333333</v>
      </c>
      <c r="C278" s="1" t="n">
        <v>46042</v>
      </c>
      <c r="D278" t="inlineStr">
        <is>
          <t>JÄMTLANDS LÄN</t>
        </is>
      </c>
      <c r="E278" t="inlineStr">
        <is>
          <t>BRÄCKE</t>
        </is>
      </c>
      <c r="F278" t="inlineStr">
        <is>
          <t>SCA</t>
        </is>
      </c>
      <c r="G278" t="n">
        <v>4</v>
      </c>
      <c r="H278" t="n">
        <v>0</v>
      </c>
      <c r="I278" t="n">
        <v>0</v>
      </c>
      <c r="J278" t="n">
        <v>1</v>
      </c>
      <c r="K278" t="n">
        <v>0</v>
      </c>
      <c r="L278" t="n">
        <v>0</v>
      </c>
      <c r="M278" t="n">
        <v>0</v>
      </c>
      <c r="N278" t="n">
        <v>0</v>
      </c>
      <c r="O278" t="n">
        <v>1</v>
      </c>
      <c r="P278" t="n">
        <v>0</v>
      </c>
      <c r="Q278" t="n">
        <v>1</v>
      </c>
      <c r="R278" s="2" t="inlineStr">
        <is>
          <t>Motaggsvamp</t>
        </is>
      </c>
      <c r="S278">
        <f>HYPERLINK("https://klasma.github.io/Logging_2305/artfynd/A 46435-2025 artfynd.xlsx", "A 46435-2025")</f>
        <v/>
      </c>
      <c r="T278">
        <f>HYPERLINK("https://klasma.github.io/Logging_2305/kartor/A 46435-2025 karta.png", "A 46435-2025")</f>
        <v/>
      </c>
      <c r="V278">
        <f>HYPERLINK("https://klasma.github.io/Logging_2305/klagomål/A 46435-2025 FSC-klagomål.docx", "A 46435-2025")</f>
        <v/>
      </c>
      <c r="W278">
        <f>HYPERLINK("https://klasma.github.io/Logging_2305/klagomålsmail/A 46435-2025 FSC-klagomål mail.docx", "A 46435-2025")</f>
        <v/>
      </c>
      <c r="X278">
        <f>HYPERLINK("https://klasma.github.io/Logging_2305/tillsyn/A 46435-2025 tillsynsbegäran.docx", "A 46435-2025")</f>
        <v/>
      </c>
      <c r="Y278">
        <f>HYPERLINK("https://klasma.github.io/Logging_2305/tillsynsmail/A 46435-2025 tillsynsbegäran mail.docx", "A 46435-2025")</f>
        <v/>
      </c>
    </row>
    <row r="279" ht="15" customHeight="1">
      <c r="A279" t="inlineStr">
        <is>
          <t>A 29215-2024</t>
        </is>
      </c>
      <c r="B279" s="1" t="n">
        <v>45482.67827546296</v>
      </c>
      <c r="C279" s="1" t="n">
        <v>46042</v>
      </c>
      <c r="D279" t="inlineStr">
        <is>
          <t>JÄMTLANDS LÄN</t>
        </is>
      </c>
      <c r="E279" t="inlineStr">
        <is>
          <t>BRÄCKE</t>
        </is>
      </c>
      <c r="F279" t="inlineStr">
        <is>
          <t>Övriga Aktiebolag</t>
        </is>
      </c>
      <c r="G279" t="n">
        <v>7.3</v>
      </c>
      <c r="H279" t="n">
        <v>1</v>
      </c>
      <c r="I279" t="n">
        <v>0</v>
      </c>
      <c r="J279" t="n">
        <v>0</v>
      </c>
      <c r="K279" t="n">
        <v>0</v>
      </c>
      <c r="L279" t="n">
        <v>0</v>
      </c>
      <c r="M279" t="n">
        <v>0</v>
      </c>
      <c r="N279" t="n">
        <v>0</v>
      </c>
      <c r="O279" t="n">
        <v>0</v>
      </c>
      <c r="P279" t="n">
        <v>0</v>
      </c>
      <c r="Q279" t="n">
        <v>1</v>
      </c>
      <c r="R279" s="2" t="inlineStr">
        <is>
          <t>Sparvuggla</t>
        </is>
      </c>
      <c r="S279">
        <f>HYPERLINK("https://klasma.github.io/Logging_2305/artfynd/A 29215-2024 artfynd.xlsx", "A 29215-2024")</f>
        <v/>
      </c>
      <c r="T279">
        <f>HYPERLINK("https://klasma.github.io/Logging_2305/kartor/A 29215-2024 karta.png", "A 29215-2024")</f>
        <v/>
      </c>
      <c r="V279">
        <f>HYPERLINK("https://klasma.github.io/Logging_2305/klagomål/A 29215-2024 FSC-klagomål.docx", "A 29215-2024")</f>
        <v/>
      </c>
      <c r="W279">
        <f>HYPERLINK("https://klasma.github.io/Logging_2305/klagomålsmail/A 29215-2024 FSC-klagomål mail.docx", "A 29215-2024")</f>
        <v/>
      </c>
      <c r="X279">
        <f>HYPERLINK("https://klasma.github.io/Logging_2305/tillsyn/A 29215-2024 tillsynsbegäran.docx", "A 29215-2024")</f>
        <v/>
      </c>
      <c r="Y279">
        <f>HYPERLINK("https://klasma.github.io/Logging_2305/tillsynsmail/A 29215-2024 tillsynsbegäran mail.docx", "A 29215-2024")</f>
        <v/>
      </c>
      <c r="Z279">
        <f>HYPERLINK("https://klasma.github.io/Logging_2305/fåglar/A 29215-2024 prioriterade fågelarter.docx", "A 29215-2024")</f>
        <v/>
      </c>
    </row>
    <row r="280" ht="15" customHeight="1">
      <c r="A280" t="inlineStr">
        <is>
          <t>A 46626-2025</t>
        </is>
      </c>
      <c r="B280" s="1" t="n">
        <v>45926.4487037037</v>
      </c>
      <c r="C280" s="1" t="n">
        <v>46042</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789-2025</t>
        </is>
      </c>
      <c r="B281" s="1" t="n">
        <v>45665.51072916666</v>
      </c>
      <c r="C281" s="1" t="n">
        <v>46042</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789-2025 artfynd.xlsx", "A 789-2025")</f>
        <v/>
      </c>
      <c r="T281">
        <f>HYPERLINK("https://klasma.github.io/Logging_2305/kartor/A 789-2025 karta.png", "A 789-2025")</f>
        <v/>
      </c>
      <c r="V281">
        <f>HYPERLINK("https://klasma.github.io/Logging_2305/klagomål/A 789-2025 FSC-klagomål.docx", "A 789-2025")</f>
        <v/>
      </c>
      <c r="W281">
        <f>HYPERLINK("https://klasma.github.io/Logging_2305/klagomålsmail/A 789-2025 FSC-klagomål mail.docx", "A 789-2025")</f>
        <v/>
      </c>
      <c r="X281">
        <f>HYPERLINK("https://klasma.github.io/Logging_2305/tillsyn/A 789-2025 tillsynsbegäran.docx", "A 789-2025")</f>
        <v/>
      </c>
      <c r="Y281">
        <f>HYPERLINK("https://klasma.github.io/Logging_2305/tillsynsmail/A 789-2025 tillsynsbegäran mail.docx", "A 789-2025")</f>
        <v/>
      </c>
    </row>
    <row r="282" ht="15" customHeight="1">
      <c r="A282" t="inlineStr">
        <is>
          <t>A 34226-2025</t>
        </is>
      </c>
      <c r="B282" s="1" t="n">
        <v>45845.656875</v>
      </c>
      <c r="C282" s="1" t="n">
        <v>46042</v>
      </c>
      <c r="D282" t="inlineStr">
        <is>
          <t>JÄMTLANDS LÄN</t>
        </is>
      </c>
      <c r="E282" t="inlineStr">
        <is>
          <t>BRÄCKE</t>
        </is>
      </c>
      <c r="F282" t="inlineStr">
        <is>
          <t>SCA</t>
        </is>
      </c>
      <c r="G282" t="n">
        <v>9</v>
      </c>
      <c r="H282" t="n">
        <v>1</v>
      </c>
      <c r="I282" t="n">
        <v>0</v>
      </c>
      <c r="J282" t="n">
        <v>1</v>
      </c>
      <c r="K282" t="n">
        <v>0</v>
      </c>
      <c r="L282" t="n">
        <v>0</v>
      </c>
      <c r="M282" t="n">
        <v>0</v>
      </c>
      <c r="N282" t="n">
        <v>0</v>
      </c>
      <c r="O282" t="n">
        <v>1</v>
      </c>
      <c r="P282" t="n">
        <v>0</v>
      </c>
      <c r="Q282" t="n">
        <v>1</v>
      </c>
      <c r="R282" s="2" t="inlineStr">
        <is>
          <t>Talltita</t>
        </is>
      </c>
      <c r="S282">
        <f>HYPERLINK("https://klasma.github.io/Logging_2305/artfynd/A 34226-2025 artfynd.xlsx", "A 34226-2025")</f>
        <v/>
      </c>
      <c r="T282">
        <f>HYPERLINK("https://klasma.github.io/Logging_2305/kartor/A 34226-2025 karta.png", "A 34226-2025")</f>
        <v/>
      </c>
      <c r="V282">
        <f>HYPERLINK("https://klasma.github.io/Logging_2305/klagomål/A 34226-2025 FSC-klagomål.docx", "A 34226-2025")</f>
        <v/>
      </c>
      <c r="W282">
        <f>HYPERLINK("https://klasma.github.io/Logging_2305/klagomålsmail/A 34226-2025 FSC-klagomål mail.docx", "A 34226-2025")</f>
        <v/>
      </c>
      <c r="X282">
        <f>HYPERLINK("https://klasma.github.io/Logging_2305/tillsyn/A 34226-2025 tillsynsbegäran.docx", "A 34226-2025")</f>
        <v/>
      </c>
      <c r="Y282">
        <f>HYPERLINK("https://klasma.github.io/Logging_2305/tillsynsmail/A 34226-2025 tillsynsbegäran mail.docx", "A 34226-2025")</f>
        <v/>
      </c>
      <c r="Z282">
        <f>HYPERLINK("https://klasma.github.io/Logging_2305/fåglar/A 34226-2025 prioriterade fågelarter.docx", "A 34226-2025")</f>
        <v/>
      </c>
    </row>
    <row r="283" ht="15" customHeight="1">
      <c r="A283" t="inlineStr">
        <is>
          <t>A 9204-2025</t>
        </is>
      </c>
      <c r="B283" s="1" t="n">
        <v>45714.48988425926</v>
      </c>
      <c r="C283" s="1" t="n">
        <v>46042</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22101-2024</t>
        </is>
      </c>
      <c r="B284" s="1" t="n">
        <v>45443.95077546296</v>
      </c>
      <c r="C284" s="1" t="n">
        <v>46042</v>
      </c>
      <c r="D284" t="inlineStr">
        <is>
          <t>JÄMTLANDS LÄN</t>
        </is>
      </c>
      <c r="E284" t="inlineStr">
        <is>
          <t>BRÄCKE</t>
        </is>
      </c>
      <c r="F284" t="inlineStr">
        <is>
          <t>SCA</t>
        </is>
      </c>
      <c r="G284" t="n">
        <v>3.5</v>
      </c>
      <c r="H284" t="n">
        <v>0</v>
      </c>
      <c r="I284" t="n">
        <v>0</v>
      </c>
      <c r="J284" t="n">
        <v>1</v>
      </c>
      <c r="K284" t="n">
        <v>0</v>
      </c>
      <c r="L284" t="n">
        <v>0</v>
      </c>
      <c r="M284" t="n">
        <v>0</v>
      </c>
      <c r="N284" t="n">
        <v>0</v>
      </c>
      <c r="O284" t="n">
        <v>1</v>
      </c>
      <c r="P284" t="n">
        <v>0</v>
      </c>
      <c r="Q284" t="n">
        <v>1</v>
      </c>
      <c r="R284" s="2" t="inlineStr">
        <is>
          <t>Garnlav</t>
        </is>
      </c>
      <c r="S284">
        <f>HYPERLINK("https://klasma.github.io/Logging_2305/artfynd/A 22101-2024 artfynd.xlsx", "A 22101-2024")</f>
        <v/>
      </c>
      <c r="T284">
        <f>HYPERLINK("https://klasma.github.io/Logging_2305/kartor/A 22101-2024 karta.png", "A 22101-2024")</f>
        <v/>
      </c>
      <c r="V284">
        <f>HYPERLINK("https://klasma.github.io/Logging_2305/klagomål/A 22101-2024 FSC-klagomål.docx", "A 22101-2024")</f>
        <v/>
      </c>
      <c r="W284">
        <f>HYPERLINK("https://klasma.github.io/Logging_2305/klagomålsmail/A 22101-2024 FSC-klagomål mail.docx", "A 22101-2024")</f>
        <v/>
      </c>
      <c r="X284">
        <f>HYPERLINK("https://klasma.github.io/Logging_2305/tillsyn/A 22101-2024 tillsynsbegäran.docx", "A 22101-2024")</f>
        <v/>
      </c>
      <c r="Y284">
        <f>HYPERLINK("https://klasma.github.io/Logging_2305/tillsynsmail/A 22101-2024 tillsynsbegäran mail.docx", "A 22101-2024")</f>
        <v/>
      </c>
    </row>
    <row r="285" ht="15" customHeight="1">
      <c r="A285" t="inlineStr">
        <is>
          <t>A 34911-2025</t>
        </is>
      </c>
      <c r="B285" s="1" t="n">
        <v>45849.53545138889</v>
      </c>
      <c r="C285" s="1" t="n">
        <v>46042</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48289-2025</t>
        </is>
      </c>
      <c r="B286" s="1" t="n">
        <v>45933.59482638889</v>
      </c>
      <c r="C286" s="1" t="n">
        <v>46042</v>
      </c>
      <c r="D286" t="inlineStr">
        <is>
          <t>JÄMTLANDS LÄN</t>
        </is>
      </c>
      <c r="E286" t="inlineStr">
        <is>
          <t>BRÄCKE</t>
        </is>
      </c>
      <c r="F286" t="inlineStr">
        <is>
          <t>SCA</t>
        </is>
      </c>
      <c r="G286" t="n">
        <v>10.9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48289-2025 artfynd.xlsx", "A 48289-2025")</f>
        <v/>
      </c>
      <c r="T286">
        <f>HYPERLINK("https://klasma.github.io/Logging_2305/kartor/A 48289-2025 karta.png", "A 48289-2025")</f>
        <v/>
      </c>
      <c r="V286">
        <f>HYPERLINK("https://klasma.github.io/Logging_2305/klagomål/A 48289-2025 FSC-klagomål.docx", "A 48289-2025")</f>
        <v/>
      </c>
      <c r="W286">
        <f>HYPERLINK("https://klasma.github.io/Logging_2305/klagomålsmail/A 48289-2025 FSC-klagomål mail.docx", "A 48289-2025")</f>
        <v/>
      </c>
      <c r="X286">
        <f>HYPERLINK("https://klasma.github.io/Logging_2305/tillsyn/A 48289-2025 tillsynsbegäran.docx", "A 48289-2025")</f>
        <v/>
      </c>
      <c r="Y286">
        <f>HYPERLINK("https://klasma.github.io/Logging_2305/tillsynsmail/A 48289-2025 tillsynsbegäran mail.docx", "A 48289-2025")</f>
        <v/>
      </c>
    </row>
    <row r="287" ht="15" customHeight="1">
      <c r="A287" t="inlineStr">
        <is>
          <t>A 35210-2025</t>
        </is>
      </c>
      <c r="B287" s="1" t="n">
        <v>45853.44842592593</v>
      </c>
      <c r="C287" s="1" t="n">
        <v>46042</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46042</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46042</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50837-2023</t>
        </is>
      </c>
      <c r="B290" s="1" t="n">
        <v>45217</v>
      </c>
      <c r="C290" s="1" t="n">
        <v>46042</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427-2025</t>
        </is>
      </c>
      <c r="B291" s="1" t="n">
        <v>45664.35195601852</v>
      </c>
      <c r="C291" s="1" t="n">
        <v>46042</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427-2025 artfynd.xlsx", "A 427-2025")</f>
        <v/>
      </c>
      <c r="T291">
        <f>HYPERLINK("https://klasma.github.io/Logging_2305/kartor/A 427-2025 karta.png", "A 427-2025")</f>
        <v/>
      </c>
      <c r="V291">
        <f>HYPERLINK("https://klasma.github.io/Logging_2305/klagomål/A 427-2025 FSC-klagomål.docx", "A 427-2025")</f>
        <v/>
      </c>
      <c r="W291">
        <f>HYPERLINK("https://klasma.github.io/Logging_2305/klagomålsmail/A 427-2025 FSC-klagomål mail.docx", "A 427-2025")</f>
        <v/>
      </c>
      <c r="X291">
        <f>HYPERLINK("https://klasma.github.io/Logging_2305/tillsyn/A 427-2025 tillsynsbegäran.docx", "A 427-2025")</f>
        <v/>
      </c>
      <c r="Y291">
        <f>HYPERLINK("https://klasma.github.io/Logging_2305/tillsynsmail/A 427-2025 tillsynsbegäran mail.docx", "A 427-2025")</f>
        <v/>
      </c>
    </row>
    <row r="292" ht="15" customHeight="1">
      <c r="A292" t="inlineStr">
        <is>
          <t>A 2463-2025</t>
        </is>
      </c>
      <c r="B292" s="1" t="n">
        <v>45674.46915509259</v>
      </c>
      <c r="C292" s="1" t="n">
        <v>46042</v>
      </c>
      <c r="D292" t="inlineStr">
        <is>
          <t>JÄMTLANDS LÄN</t>
        </is>
      </c>
      <c r="E292" t="inlineStr">
        <is>
          <t>BRÄCKE</t>
        </is>
      </c>
      <c r="F292" t="inlineStr">
        <is>
          <t>SCA</t>
        </is>
      </c>
      <c r="G292" t="n">
        <v>3.9</v>
      </c>
      <c r="H292" t="n">
        <v>0</v>
      </c>
      <c r="I292" t="n">
        <v>1</v>
      </c>
      <c r="J292" t="n">
        <v>0</v>
      </c>
      <c r="K292" t="n">
        <v>0</v>
      </c>
      <c r="L292" t="n">
        <v>0</v>
      </c>
      <c r="M292" t="n">
        <v>0</v>
      </c>
      <c r="N292" t="n">
        <v>0</v>
      </c>
      <c r="O292" t="n">
        <v>0</v>
      </c>
      <c r="P292" t="n">
        <v>0</v>
      </c>
      <c r="Q292" t="n">
        <v>1</v>
      </c>
      <c r="R292" s="2" t="inlineStr">
        <is>
          <t>Vedticka</t>
        </is>
      </c>
      <c r="S292">
        <f>HYPERLINK("https://klasma.github.io/Logging_2305/artfynd/A 2463-2025 artfynd.xlsx", "A 2463-2025")</f>
        <v/>
      </c>
      <c r="T292">
        <f>HYPERLINK("https://klasma.github.io/Logging_2305/kartor/A 2463-2025 karta.png", "A 2463-2025")</f>
        <v/>
      </c>
      <c r="V292">
        <f>HYPERLINK("https://klasma.github.io/Logging_2305/klagomål/A 2463-2025 FSC-klagomål.docx", "A 2463-2025")</f>
        <v/>
      </c>
      <c r="W292">
        <f>HYPERLINK("https://klasma.github.io/Logging_2305/klagomålsmail/A 2463-2025 FSC-klagomål mail.docx", "A 2463-2025")</f>
        <v/>
      </c>
      <c r="X292">
        <f>HYPERLINK("https://klasma.github.io/Logging_2305/tillsyn/A 2463-2025 tillsynsbegäran.docx", "A 2463-2025")</f>
        <v/>
      </c>
      <c r="Y292">
        <f>HYPERLINK("https://klasma.github.io/Logging_2305/tillsynsmail/A 2463-2025 tillsynsbegäran mail.docx", "A 2463-2025")</f>
        <v/>
      </c>
    </row>
    <row r="293" ht="15" customHeight="1">
      <c r="A293" t="inlineStr">
        <is>
          <t>A 51177-2025</t>
        </is>
      </c>
      <c r="B293" s="1" t="n">
        <v>45947.61255787037</v>
      </c>
      <c r="C293" s="1" t="n">
        <v>46042</v>
      </c>
      <c r="D293" t="inlineStr">
        <is>
          <t>JÄMTLANDS LÄN</t>
        </is>
      </c>
      <c r="E293" t="inlineStr">
        <is>
          <t>BRÄCKE</t>
        </is>
      </c>
      <c r="G293" t="n">
        <v>9.6</v>
      </c>
      <c r="H293" t="n">
        <v>0</v>
      </c>
      <c r="I293" t="n">
        <v>0</v>
      </c>
      <c r="J293" t="n">
        <v>1</v>
      </c>
      <c r="K293" t="n">
        <v>0</v>
      </c>
      <c r="L293" t="n">
        <v>0</v>
      </c>
      <c r="M293" t="n">
        <v>0</v>
      </c>
      <c r="N293" t="n">
        <v>0</v>
      </c>
      <c r="O293" t="n">
        <v>1</v>
      </c>
      <c r="P293" t="n">
        <v>0</v>
      </c>
      <c r="Q293" t="n">
        <v>1</v>
      </c>
      <c r="R293" s="2" t="inlineStr">
        <is>
          <t>Granticka</t>
        </is>
      </c>
      <c r="S293">
        <f>HYPERLINK("https://klasma.github.io/Logging_2305/artfynd/A 51177-2025 artfynd.xlsx", "A 51177-2025")</f>
        <v/>
      </c>
      <c r="T293">
        <f>HYPERLINK("https://klasma.github.io/Logging_2305/kartor/A 51177-2025 karta.png", "A 51177-2025")</f>
        <v/>
      </c>
      <c r="V293">
        <f>HYPERLINK("https://klasma.github.io/Logging_2305/klagomål/A 51177-2025 FSC-klagomål.docx", "A 51177-2025")</f>
        <v/>
      </c>
      <c r="W293">
        <f>HYPERLINK("https://klasma.github.io/Logging_2305/klagomålsmail/A 51177-2025 FSC-klagomål mail.docx", "A 51177-2025")</f>
        <v/>
      </c>
      <c r="X293">
        <f>HYPERLINK("https://klasma.github.io/Logging_2305/tillsyn/A 51177-2025 tillsynsbegäran.docx", "A 51177-2025")</f>
        <v/>
      </c>
      <c r="Y293">
        <f>HYPERLINK("https://klasma.github.io/Logging_2305/tillsynsmail/A 51177-2025 tillsynsbegäran mail.docx", "A 51177-2025")</f>
        <v/>
      </c>
    </row>
    <row r="294" ht="15" customHeight="1">
      <c r="A294" t="inlineStr">
        <is>
          <t>A 37248-2025</t>
        </is>
      </c>
      <c r="B294" s="1" t="n">
        <v>45876.40665509259</v>
      </c>
      <c r="C294" s="1" t="n">
        <v>46042</v>
      </c>
      <c r="D294" t="inlineStr">
        <is>
          <t>JÄMTLANDS LÄN</t>
        </is>
      </c>
      <c r="E294" t="inlineStr">
        <is>
          <t>BRÄCKE</t>
        </is>
      </c>
      <c r="F294" t="inlineStr">
        <is>
          <t>SCA</t>
        </is>
      </c>
      <c r="G294" t="n">
        <v>5</v>
      </c>
      <c r="H294" t="n">
        <v>0</v>
      </c>
      <c r="I294" t="n">
        <v>1</v>
      </c>
      <c r="J294" t="n">
        <v>0</v>
      </c>
      <c r="K294" t="n">
        <v>0</v>
      </c>
      <c r="L294" t="n">
        <v>0</v>
      </c>
      <c r="M294" t="n">
        <v>0</v>
      </c>
      <c r="N294" t="n">
        <v>0</v>
      </c>
      <c r="O294" t="n">
        <v>0</v>
      </c>
      <c r="P294" t="n">
        <v>0</v>
      </c>
      <c r="Q294" t="n">
        <v>1</v>
      </c>
      <c r="R294" s="2" t="inlineStr">
        <is>
          <t>Vedticka</t>
        </is>
      </c>
      <c r="S294">
        <f>HYPERLINK("https://klasma.github.io/Logging_2305/artfynd/A 37248-2025 artfynd.xlsx", "A 37248-2025")</f>
        <v/>
      </c>
      <c r="T294">
        <f>HYPERLINK("https://klasma.github.io/Logging_2305/kartor/A 37248-2025 karta.png", "A 37248-2025")</f>
        <v/>
      </c>
      <c r="V294">
        <f>HYPERLINK("https://klasma.github.io/Logging_2305/klagomål/A 37248-2025 FSC-klagomål.docx", "A 37248-2025")</f>
        <v/>
      </c>
      <c r="W294">
        <f>HYPERLINK("https://klasma.github.io/Logging_2305/klagomålsmail/A 37248-2025 FSC-klagomål mail.docx", "A 37248-2025")</f>
        <v/>
      </c>
      <c r="X294">
        <f>HYPERLINK("https://klasma.github.io/Logging_2305/tillsyn/A 37248-2025 tillsynsbegäran.docx", "A 37248-2025")</f>
        <v/>
      </c>
      <c r="Y294">
        <f>HYPERLINK("https://klasma.github.io/Logging_2305/tillsynsmail/A 37248-2025 tillsynsbegäran mail.docx", "A 37248-2025")</f>
        <v/>
      </c>
    </row>
    <row r="295" ht="15" customHeight="1">
      <c r="A295" t="inlineStr">
        <is>
          <t>A 37922-2025</t>
        </is>
      </c>
      <c r="B295" s="1" t="n">
        <v>45881.5750462963</v>
      </c>
      <c r="C295" s="1" t="n">
        <v>46042</v>
      </c>
      <c r="D295" t="inlineStr">
        <is>
          <t>JÄMTLANDS LÄN</t>
        </is>
      </c>
      <c r="E295" t="inlineStr">
        <is>
          <t>BRÄCKE</t>
        </is>
      </c>
      <c r="F295" t="inlineStr">
        <is>
          <t>SCA</t>
        </is>
      </c>
      <c r="G295" t="n">
        <v>2.1</v>
      </c>
      <c r="H295" t="n">
        <v>1</v>
      </c>
      <c r="I295" t="n">
        <v>1</v>
      </c>
      <c r="J295" t="n">
        <v>0</v>
      </c>
      <c r="K295" t="n">
        <v>0</v>
      </c>
      <c r="L295" t="n">
        <v>0</v>
      </c>
      <c r="M295" t="n">
        <v>0</v>
      </c>
      <c r="N295" t="n">
        <v>0</v>
      </c>
      <c r="O295" t="n">
        <v>0</v>
      </c>
      <c r="P295" t="n">
        <v>0</v>
      </c>
      <c r="Q295" t="n">
        <v>1</v>
      </c>
      <c r="R295" s="2" t="inlineStr">
        <is>
          <t>Plattlummer</t>
        </is>
      </c>
      <c r="S295">
        <f>HYPERLINK("https://klasma.github.io/Logging_2305/artfynd/A 37922-2025 artfynd.xlsx", "A 37922-2025")</f>
        <v/>
      </c>
      <c r="T295">
        <f>HYPERLINK("https://klasma.github.io/Logging_2305/kartor/A 37922-2025 karta.png", "A 37922-2025")</f>
        <v/>
      </c>
      <c r="V295">
        <f>HYPERLINK("https://klasma.github.io/Logging_2305/klagomål/A 37922-2025 FSC-klagomål.docx", "A 37922-2025")</f>
        <v/>
      </c>
      <c r="W295">
        <f>HYPERLINK("https://klasma.github.io/Logging_2305/klagomålsmail/A 37922-2025 FSC-klagomål mail.docx", "A 37922-2025")</f>
        <v/>
      </c>
      <c r="X295">
        <f>HYPERLINK("https://klasma.github.io/Logging_2305/tillsyn/A 37922-2025 tillsynsbegäran.docx", "A 37922-2025")</f>
        <v/>
      </c>
      <c r="Y295">
        <f>HYPERLINK("https://klasma.github.io/Logging_2305/tillsynsmail/A 37922-2025 tillsynsbegäran mail.docx", "A 37922-2025")</f>
        <v/>
      </c>
    </row>
    <row r="296" ht="15" customHeight="1">
      <c r="A296" t="inlineStr">
        <is>
          <t>A 52226-2025</t>
        </is>
      </c>
      <c r="B296" s="1" t="n">
        <v>45953.44850694444</v>
      </c>
      <c r="C296" s="1" t="n">
        <v>46042</v>
      </c>
      <c r="D296" t="inlineStr">
        <is>
          <t>JÄMTLANDS LÄN</t>
        </is>
      </c>
      <c r="E296" t="inlineStr">
        <is>
          <t>BRÄCKE</t>
        </is>
      </c>
      <c r="F296" t="inlineStr">
        <is>
          <t>SCA</t>
        </is>
      </c>
      <c r="G296" t="n">
        <v>15.7</v>
      </c>
      <c r="H296" t="n">
        <v>0</v>
      </c>
      <c r="I296" t="n">
        <v>0</v>
      </c>
      <c r="J296" t="n">
        <v>1</v>
      </c>
      <c r="K296" t="n">
        <v>0</v>
      </c>
      <c r="L296" t="n">
        <v>0</v>
      </c>
      <c r="M296" t="n">
        <v>0</v>
      </c>
      <c r="N296" t="n">
        <v>0</v>
      </c>
      <c r="O296" t="n">
        <v>1</v>
      </c>
      <c r="P296" t="n">
        <v>0</v>
      </c>
      <c r="Q296" t="n">
        <v>1</v>
      </c>
      <c r="R296" s="2" t="inlineStr">
        <is>
          <t>Brunpudrad nållav</t>
        </is>
      </c>
      <c r="S296">
        <f>HYPERLINK("https://klasma.github.io/Logging_2305/artfynd/A 52226-2025 artfynd.xlsx", "A 52226-2025")</f>
        <v/>
      </c>
      <c r="T296">
        <f>HYPERLINK("https://klasma.github.io/Logging_2305/kartor/A 52226-2025 karta.png", "A 52226-2025")</f>
        <v/>
      </c>
      <c r="V296">
        <f>HYPERLINK("https://klasma.github.io/Logging_2305/klagomål/A 52226-2025 FSC-klagomål.docx", "A 52226-2025")</f>
        <v/>
      </c>
      <c r="W296">
        <f>HYPERLINK("https://klasma.github.io/Logging_2305/klagomålsmail/A 52226-2025 FSC-klagomål mail.docx", "A 52226-2025")</f>
        <v/>
      </c>
      <c r="X296">
        <f>HYPERLINK("https://klasma.github.io/Logging_2305/tillsyn/A 52226-2025 tillsynsbegäran.docx", "A 52226-2025")</f>
        <v/>
      </c>
      <c r="Y296">
        <f>HYPERLINK("https://klasma.github.io/Logging_2305/tillsynsmail/A 52226-2025 tillsynsbegäran mail.docx", "A 52226-2025")</f>
        <v/>
      </c>
    </row>
    <row r="297" ht="15" customHeight="1">
      <c r="A297" t="inlineStr">
        <is>
          <t>A 37976-2025</t>
        </is>
      </c>
      <c r="B297" s="1" t="n">
        <v>45881.67775462963</v>
      </c>
      <c r="C297" s="1" t="n">
        <v>46042</v>
      </c>
      <c r="D297" t="inlineStr">
        <is>
          <t>JÄMTLANDS LÄN</t>
        </is>
      </c>
      <c r="E297" t="inlineStr">
        <is>
          <t>BRÄCKE</t>
        </is>
      </c>
      <c r="F297" t="inlineStr">
        <is>
          <t>SCA</t>
        </is>
      </c>
      <c r="G297" t="n">
        <v>11.3</v>
      </c>
      <c r="H297" t="n">
        <v>0</v>
      </c>
      <c r="I297" t="n">
        <v>0</v>
      </c>
      <c r="J297" t="n">
        <v>1</v>
      </c>
      <c r="K297" t="n">
        <v>0</v>
      </c>
      <c r="L297" t="n">
        <v>0</v>
      </c>
      <c r="M297" t="n">
        <v>0</v>
      </c>
      <c r="N297" t="n">
        <v>0</v>
      </c>
      <c r="O297" t="n">
        <v>1</v>
      </c>
      <c r="P297" t="n">
        <v>0</v>
      </c>
      <c r="Q297" t="n">
        <v>1</v>
      </c>
      <c r="R297" s="2" t="inlineStr">
        <is>
          <t>Lunglav</t>
        </is>
      </c>
      <c r="S297">
        <f>HYPERLINK("https://klasma.github.io/Logging_2305/artfynd/A 37976-2025 artfynd.xlsx", "A 37976-2025")</f>
        <v/>
      </c>
      <c r="T297">
        <f>HYPERLINK("https://klasma.github.io/Logging_2305/kartor/A 37976-2025 karta.png", "A 37976-2025")</f>
        <v/>
      </c>
      <c r="V297">
        <f>HYPERLINK("https://klasma.github.io/Logging_2305/klagomål/A 37976-2025 FSC-klagomål.docx", "A 37976-2025")</f>
        <v/>
      </c>
      <c r="W297">
        <f>HYPERLINK("https://klasma.github.io/Logging_2305/klagomålsmail/A 37976-2025 FSC-klagomål mail.docx", "A 37976-2025")</f>
        <v/>
      </c>
      <c r="X297">
        <f>HYPERLINK("https://klasma.github.io/Logging_2305/tillsyn/A 37976-2025 tillsynsbegäran.docx", "A 37976-2025")</f>
        <v/>
      </c>
      <c r="Y297">
        <f>HYPERLINK("https://klasma.github.io/Logging_2305/tillsynsmail/A 37976-2025 tillsynsbegäran mail.docx", "A 37976-2025")</f>
        <v/>
      </c>
    </row>
    <row r="298" ht="15" customHeight="1">
      <c r="A298" t="inlineStr">
        <is>
          <t>A 38158-2025</t>
        </is>
      </c>
      <c r="B298" s="1" t="n">
        <v>45882.61518518518</v>
      </c>
      <c r="C298" s="1" t="n">
        <v>46042</v>
      </c>
      <c r="D298" t="inlineStr">
        <is>
          <t>JÄMTLANDS LÄN</t>
        </is>
      </c>
      <c r="E298" t="inlineStr">
        <is>
          <t>BRÄCKE</t>
        </is>
      </c>
      <c r="F298" t="inlineStr">
        <is>
          <t>SCA</t>
        </is>
      </c>
      <c r="G298" t="n">
        <v>19.9</v>
      </c>
      <c r="H298" t="n">
        <v>0</v>
      </c>
      <c r="I298" t="n">
        <v>0</v>
      </c>
      <c r="J298" t="n">
        <v>1</v>
      </c>
      <c r="K298" t="n">
        <v>0</v>
      </c>
      <c r="L298" t="n">
        <v>0</v>
      </c>
      <c r="M298" t="n">
        <v>0</v>
      </c>
      <c r="N298" t="n">
        <v>0</v>
      </c>
      <c r="O298" t="n">
        <v>1</v>
      </c>
      <c r="P298" t="n">
        <v>0</v>
      </c>
      <c r="Q298" t="n">
        <v>1</v>
      </c>
      <c r="R298" s="2" t="inlineStr">
        <is>
          <t>Rödbrun klubbdyna</t>
        </is>
      </c>
      <c r="S298">
        <f>HYPERLINK("https://klasma.github.io/Logging_2305/artfynd/A 38158-2025 artfynd.xlsx", "A 38158-2025")</f>
        <v/>
      </c>
      <c r="T298">
        <f>HYPERLINK("https://klasma.github.io/Logging_2305/kartor/A 38158-2025 karta.png", "A 38158-2025")</f>
        <v/>
      </c>
      <c r="V298">
        <f>HYPERLINK("https://klasma.github.io/Logging_2305/klagomål/A 38158-2025 FSC-klagomål.docx", "A 38158-2025")</f>
        <v/>
      </c>
      <c r="W298">
        <f>HYPERLINK("https://klasma.github.io/Logging_2305/klagomålsmail/A 38158-2025 FSC-klagomål mail.docx", "A 38158-2025")</f>
        <v/>
      </c>
      <c r="X298">
        <f>HYPERLINK("https://klasma.github.io/Logging_2305/tillsyn/A 38158-2025 tillsynsbegäran.docx", "A 38158-2025")</f>
        <v/>
      </c>
      <c r="Y298">
        <f>HYPERLINK("https://klasma.github.io/Logging_2305/tillsynsmail/A 38158-2025 tillsynsbegäran mail.docx", "A 38158-2025")</f>
        <v/>
      </c>
    </row>
    <row r="299" ht="15" customHeight="1">
      <c r="A299" t="inlineStr">
        <is>
          <t>A 49863-2022</t>
        </is>
      </c>
      <c r="B299" s="1" t="n">
        <v>44862</v>
      </c>
      <c r="C299" s="1" t="n">
        <v>46042</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57553-2024</t>
        </is>
      </c>
      <c r="B300" s="1" t="n">
        <v>45630.44898148148</v>
      </c>
      <c r="C300" s="1" t="n">
        <v>46042</v>
      </c>
      <c r="D300" t="inlineStr">
        <is>
          <t>JÄMTLANDS LÄN</t>
        </is>
      </c>
      <c r="E300" t="inlineStr">
        <is>
          <t>BRÄCKE</t>
        </is>
      </c>
      <c r="F300" t="inlineStr">
        <is>
          <t>SCA</t>
        </is>
      </c>
      <c r="G300" t="n">
        <v>8</v>
      </c>
      <c r="H300" t="n">
        <v>0</v>
      </c>
      <c r="I300" t="n">
        <v>0</v>
      </c>
      <c r="J300" t="n">
        <v>1</v>
      </c>
      <c r="K300" t="n">
        <v>0</v>
      </c>
      <c r="L300" t="n">
        <v>0</v>
      </c>
      <c r="M300" t="n">
        <v>0</v>
      </c>
      <c r="N300" t="n">
        <v>0</v>
      </c>
      <c r="O300" t="n">
        <v>1</v>
      </c>
      <c r="P300" t="n">
        <v>0</v>
      </c>
      <c r="Q300" t="n">
        <v>1</v>
      </c>
      <c r="R300" s="2" t="inlineStr">
        <is>
          <t>Lunglav</t>
        </is>
      </c>
      <c r="S300">
        <f>HYPERLINK("https://klasma.github.io/Logging_2305/artfynd/A 57553-2024 artfynd.xlsx", "A 57553-2024")</f>
        <v/>
      </c>
      <c r="T300">
        <f>HYPERLINK("https://klasma.github.io/Logging_2305/kartor/A 57553-2024 karta.png", "A 57553-2024")</f>
        <v/>
      </c>
      <c r="V300">
        <f>HYPERLINK("https://klasma.github.io/Logging_2305/klagomål/A 57553-2024 FSC-klagomål.docx", "A 57553-2024")</f>
        <v/>
      </c>
      <c r="W300">
        <f>HYPERLINK("https://klasma.github.io/Logging_2305/klagomålsmail/A 57553-2024 FSC-klagomål mail.docx", "A 57553-2024")</f>
        <v/>
      </c>
      <c r="X300">
        <f>HYPERLINK("https://klasma.github.io/Logging_2305/tillsyn/A 57553-2024 tillsynsbegäran.docx", "A 57553-2024")</f>
        <v/>
      </c>
      <c r="Y300">
        <f>HYPERLINK("https://klasma.github.io/Logging_2305/tillsynsmail/A 57553-2024 tillsynsbegäran mail.docx", "A 57553-2024")</f>
        <v/>
      </c>
    </row>
    <row r="301" ht="15" customHeight="1">
      <c r="A301" t="inlineStr">
        <is>
          <t>A 51910-2024</t>
        </is>
      </c>
      <c r="B301" s="1" t="n">
        <v>45607.59954861111</v>
      </c>
      <c r="C301" s="1" t="n">
        <v>46042</v>
      </c>
      <c r="D301" t="inlineStr">
        <is>
          <t>JÄMTLANDS LÄN</t>
        </is>
      </c>
      <c r="E301" t="inlineStr">
        <is>
          <t>BRÄCKE</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HYPERLINK("https://klasma.github.io/Logging_2305/artfynd/A 51910-2024 artfynd.xlsx", "A 51910-2024")</f>
        <v/>
      </c>
      <c r="T301">
        <f>HYPERLINK("https://klasma.github.io/Logging_2305/kartor/A 51910-2024 karta.png", "A 51910-2024")</f>
        <v/>
      </c>
      <c r="V301">
        <f>HYPERLINK("https://klasma.github.io/Logging_2305/klagomål/A 51910-2024 FSC-klagomål.docx", "A 51910-2024")</f>
        <v/>
      </c>
      <c r="W301">
        <f>HYPERLINK("https://klasma.github.io/Logging_2305/klagomålsmail/A 51910-2024 FSC-klagomål mail.docx", "A 51910-2024")</f>
        <v/>
      </c>
      <c r="X301">
        <f>HYPERLINK("https://klasma.github.io/Logging_2305/tillsyn/A 51910-2024 tillsynsbegäran.docx", "A 51910-2024")</f>
        <v/>
      </c>
      <c r="Y301">
        <f>HYPERLINK("https://klasma.github.io/Logging_2305/tillsynsmail/A 51910-2024 tillsynsbegäran mail.docx", "A 51910-2024")</f>
        <v/>
      </c>
    </row>
    <row r="302" ht="15" customHeight="1">
      <c r="A302" t="inlineStr">
        <is>
          <t>A 12296-2025</t>
        </is>
      </c>
      <c r="B302" s="1" t="n">
        <v>45729.69829861111</v>
      </c>
      <c r="C302" s="1" t="n">
        <v>46042</v>
      </c>
      <c r="D302" t="inlineStr">
        <is>
          <t>JÄMTLANDS LÄN</t>
        </is>
      </c>
      <c r="E302" t="inlineStr">
        <is>
          <t>BRÄCKE</t>
        </is>
      </c>
      <c r="F302" t="inlineStr">
        <is>
          <t>SCA</t>
        </is>
      </c>
      <c r="G302" t="n">
        <v>2.2</v>
      </c>
      <c r="H302" t="n">
        <v>0</v>
      </c>
      <c r="I302" t="n">
        <v>0</v>
      </c>
      <c r="J302" t="n">
        <v>1</v>
      </c>
      <c r="K302" t="n">
        <v>0</v>
      </c>
      <c r="L302" t="n">
        <v>0</v>
      </c>
      <c r="M302" t="n">
        <v>0</v>
      </c>
      <c r="N302" t="n">
        <v>0</v>
      </c>
      <c r="O302" t="n">
        <v>1</v>
      </c>
      <c r="P302" t="n">
        <v>0</v>
      </c>
      <c r="Q302" t="n">
        <v>1</v>
      </c>
      <c r="R302" s="2" t="inlineStr">
        <is>
          <t>Lunglav</t>
        </is>
      </c>
      <c r="S302">
        <f>HYPERLINK("https://klasma.github.io/Logging_2305/artfynd/A 12296-2025 artfynd.xlsx", "A 12296-2025")</f>
        <v/>
      </c>
      <c r="T302">
        <f>HYPERLINK("https://klasma.github.io/Logging_2305/kartor/A 12296-2025 karta.png", "A 12296-2025")</f>
        <v/>
      </c>
      <c r="V302">
        <f>HYPERLINK("https://klasma.github.io/Logging_2305/klagomål/A 12296-2025 FSC-klagomål.docx", "A 12296-2025")</f>
        <v/>
      </c>
      <c r="W302">
        <f>HYPERLINK("https://klasma.github.io/Logging_2305/klagomålsmail/A 12296-2025 FSC-klagomål mail.docx", "A 12296-2025")</f>
        <v/>
      </c>
      <c r="X302">
        <f>HYPERLINK("https://klasma.github.io/Logging_2305/tillsyn/A 12296-2025 tillsynsbegäran.docx", "A 12296-2025")</f>
        <v/>
      </c>
      <c r="Y302">
        <f>HYPERLINK("https://klasma.github.io/Logging_2305/tillsynsmail/A 12296-2025 tillsynsbegäran mail.docx", "A 12296-2025")</f>
        <v/>
      </c>
    </row>
    <row r="303" ht="15" customHeight="1">
      <c r="A303" t="inlineStr">
        <is>
          <t>A 61187-2025</t>
        </is>
      </c>
      <c r="B303" s="1" t="n">
        <v>46000.5865625</v>
      </c>
      <c r="C303" s="1" t="n">
        <v>46042</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61415-2025</t>
        </is>
      </c>
      <c r="B304" s="1" t="n">
        <v>46001.53170138889</v>
      </c>
      <c r="C304" s="1" t="n">
        <v>46042</v>
      </c>
      <c r="D304" t="inlineStr">
        <is>
          <t>JÄMTLANDS LÄN</t>
        </is>
      </c>
      <c r="E304" t="inlineStr">
        <is>
          <t>BRÄCKE</t>
        </is>
      </c>
      <c r="G304" t="n">
        <v>5.3</v>
      </c>
      <c r="H304" t="n">
        <v>0</v>
      </c>
      <c r="I304" t="n">
        <v>0</v>
      </c>
      <c r="J304" t="n">
        <v>1</v>
      </c>
      <c r="K304" t="n">
        <v>0</v>
      </c>
      <c r="L304" t="n">
        <v>0</v>
      </c>
      <c r="M304" t="n">
        <v>0</v>
      </c>
      <c r="N304" t="n">
        <v>0</v>
      </c>
      <c r="O304" t="n">
        <v>1</v>
      </c>
      <c r="P304" t="n">
        <v>0</v>
      </c>
      <c r="Q304" t="n">
        <v>1</v>
      </c>
      <c r="R304" s="2" t="inlineStr">
        <is>
          <t>Garnlav</t>
        </is>
      </c>
      <c r="S304">
        <f>HYPERLINK("https://klasma.github.io/Logging_2305/artfynd/A 61415-2025 artfynd.xlsx", "A 61415-2025")</f>
        <v/>
      </c>
      <c r="T304">
        <f>HYPERLINK("https://klasma.github.io/Logging_2305/kartor/A 61415-2025 karta.png", "A 61415-2025")</f>
        <v/>
      </c>
      <c r="V304">
        <f>HYPERLINK("https://klasma.github.io/Logging_2305/klagomål/A 61415-2025 FSC-klagomål.docx", "A 61415-2025")</f>
        <v/>
      </c>
      <c r="W304">
        <f>HYPERLINK("https://klasma.github.io/Logging_2305/klagomålsmail/A 61415-2025 FSC-klagomål mail.docx", "A 61415-2025")</f>
        <v/>
      </c>
      <c r="X304">
        <f>HYPERLINK("https://klasma.github.io/Logging_2305/tillsyn/A 61415-2025 tillsynsbegäran.docx", "A 61415-2025")</f>
        <v/>
      </c>
      <c r="Y304">
        <f>HYPERLINK("https://klasma.github.io/Logging_2305/tillsynsmail/A 61415-2025 tillsynsbegäran mail.docx", "A 61415-2025")</f>
        <v/>
      </c>
    </row>
    <row r="305" ht="15" customHeight="1">
      <c r="A305" t="inlineStr">
        <is>
          <t>A 15366-2022</t>
        </is>
      </c>
      <c r="B305" s="1" t="n">
        <v>44659</v>
      </c>
      <c r="C305" s="1" t="n">
        <v>46042</v>
      </c>
      <c r="D305" t="inlineStr">
        <is>
          <t>JÄMTLANDS LÄN</t>
        </is>
      </c>
      <c r="E305" t="inlineStr">
        <is>
          <t>BRÄCKE</t>
        </is>
      </c>
      <c r="G305" t="n">
        <v>3.3</v>
      </c>
      <c r="H305" t="n">
        <v>1</v>
      </c>
      <c r="I305" t="n">
        <v>0</v>
      </c>
      <c r="J305" t="n">
        <v>0</v>
      </c>
      <c r="K305" t="n">
        <v>0</v>
      </c>
      <c r="L305" t="n">
        <v>0</v>
      </c>
      <c r="M305" t="n">
        <v>0</v>
      </c>
      <c r="N305" t="n">
        <v>0</v>
      </c>
      <c r="O305" t="n">
        <v>0</v>
      </c>
      <c r="P305" t="n">
        <v>0</v>
      </c>
      <c r="Q305" t="n">
        <v>1</v>
      </c>
      <c r="R305" s="2" t="inlineStr">
        <is>
          <t>Brudsporre</t>
        </is>
      </c>
      <c r="S305">
        <f>HYPERLINK("https://klasma.github.io/Logging_2305/artfynd/A 15366-2022 artfynd.xlsx", "A 15366-2022")</f>
        <v/>
      </c>
      <c r="T305">
        <f>HYPERLINK("https://klasma.github.io/Logging_2305/kartor/A 15366-2022 karta.png", "A 15366-2022")</f>
        <v/>
      </c>
      <c r="V305">
        <f>HYPERLINK("https://klasma.github.io/Logging_2305/klagomål/A 15366-2022 FSC-klagomål.docx", "A 15366-2022")</f>
        <v/>
      </c>
      <c r="W305">
        <f>HYPERLINK("https://klasma.github.io/Logging_2305/klagomålsmail/A 15366-2022 FSC-klagomål mail.docx", "A 15366-2022")</f>
        <v/>
      </c>
      <c r="X305">
        <f>HYPERLINK("https://klasma.github.io/Logging_2305/tillsyn/A 15366-2022 tillsynsbegäran.docx", "A 15366-2022")</f>
        <v/>
      </c>
      <c r="Y305">
        <f>HYPERLINK("https://klasma.github.io/Logging_2305/tillsynsmail/A 15366-2022 tillsynsbegäran mail.docx", "A 15366-2022")</f>
        <v/>
      </c>
    </row>
    <row r="306" ht="15" customHeight="1">
      <c r="A306" t="inlineStr">
        <is>
          <t>A 9816-2024</t>
        </is>
      </c>
      <c r="B306" s="1" t="n">
        <v>45363.04525462963</v>
      </c>
      <c r="C306" s="1" t="n">
        <v>46042</v>
      </c>
      <c r="D306" t="inlineStr">
        <is>
          <t>JÄMTLANDS LÄN</t>
        </is>
      </c>
      <c r="E306" t="inlineStr">
        <is>
          <t>BRÄCKE</t>
        </is>
      </c>
      <c r="F306" t="inlineStr">
        <is>
          <t>SCA</t>
        </is>
      </c>
      <c r="G306" t="n">
        <v>2.1</v>
      </c>
      <c r="H306" t="n">
        <v>1</v>
      </c>
      <c r="I306" t="n">
        <v>0</v>
      </c>
      <c r="J306" t="n">
        <v>0</v>
      </c>
      <c r="K306" t="n">
        <v>1</v>
      </c>
      <c r="L306" t="n">
        <v>0</v>
      </c>
      <c r="M306" t="n">
        <v>0</v>
      </c>
      <c r="N306" t="n">
        <v>0</v>
      </c>
      <c r="O306" t="n">
        <v>1</v>
      </c>
      <c r="P306" t="n">
        <v>1</v>
      </c>
      <c r="Q306" t="n">
        <v>1</v>
      </c>
      <c r="R306" s="2" t="inlineStr">
        <is>
          <t>Knärot</t>
        </is>
      </c>
      <c r="S306">
        <f>HYPERLINK("https://klasma.github.io/Logging_2305/artfynd/A 9816-2024 artfynd.xlsx", "A 9816-2024")</f>
        <v/>
      </c>
      <c r="T306">
        <f>HYPERLINK("https://klasma.github.io/Logging_2305/kartor/A 9816-2024 karta.png", "A 9816-2024")</f>
        <v/>
      </c>
      <c r="U306">
        <f>HYPERLINK("https://klasma.github.io/Logging_2305/knärot/A 9816-2024 karta knärot.png", "A 9816-2024")</f>
        <v/>
      </c>
      <c r="V306">
        <f>HYPERLINK("https://klasma.github.io/Logging_2305/klagomål/A 9816-2024 FSC-klagomål.docx", "A 9816-2024")</f>
        <v/>
      </c>
      <c r="W306">
        <f>HYPERLINK("https://klasma.github.io/Logging_2305/klagomålsmail/A 9816-2024 FSC-klagomål mail.docx", "A 9816-2024")</f>
        <v/>
      </c>
      <c r="X306">
        <f>HYPERLINK("https://klasma.github.io/Logging_2305/tillsyn/A 9816-2024 tillsynsbegäran.docx", "A 9816-2024")</f>
        <v/>
      </c>
      <c r="Y306">
        <f>HYPERLINK("https://klasma.github.io/Logging_2305/tillsynsmail/A 9816-2024 tillsynsbegäran mail.docx", "A 9816-2024")</f>
        <v/>
      </c>
    </row>
    <row r="307" ht="15" customHeight="1">
      <c r="A307" t="inlineStr">
        <is>
          <t>A 62541-2025</t>
        </is>
      </c>
      <c r="B307" s="1" t="n">
        <v>46007.64665509259</v>
      </c>
      <c r="C307" s="1" t="n">
        <v>46042</v>
      </c>
      <c r="D307" t="inlineStr">
        <is>
          <t>JÄMTLANDS LÄN</t>
        </is>
      </c>
      <c r="E307" t="inlineStr">
        <is>
          <t>BRÄCKE</t>
        </is>
      </c>
      <c r="G307" t="n">
        <v>14.5</v>
      </c>
      <c r="H307" t="n">
        <v>1</v>
      </c>
      <c r="I307" t="n">
        <v>0</v>
      </c>
      <c r="J307" t="n">
        <v>0</v>
      </c>
      <c r="K307" t="n">
        <v>1</v>
      </c>
      <c r="L307" t="n">
        <v>0</v>
      </c>
      <c r="M307" t="n">
        <v>0</v>
      </c>
      <c r="N307" t="n">
        <v>0</v>
      </c>
      <c r="O307" t="n">
        <v>1</v>
      </c>
      <c r="P307" t="n">
        <v>1</v>
      </c>
      <c r="Q307" t="n">
        <v>1</v>
      </c>
      <c r="R307" s="2" t="inlineStr">
        <is>
          <t>Doftticka</t>
        </is>
      </c>
      <c r="S307">
        <f>HYPERLINK("https://klasma.github.io/Logging_2305/artfynd/A 62541-2025 artfynd.xlsx", "A 62541-2025")</f>
        <v/>
      </c>
      <c r="T307">
        <f>HYPERLINK("https://klasma.github.io/Logging_2305/kartor/A 62541-2025 karta.png", "A 62541-2025")</f>
        <v/>
      </c>
      <c r="V307">
        <f>HYPERLINK("https://klasma.github.io/Logging_2305/klagomål/A 62541-2025 FSC-klagomål.docx", "A 62541-2025")</f>
        <v/>
      </c>
      <c r="W307">
        <f>HYPERLINK("https://klasma.github.io/Logging_2305/klagomålsmail/A 62541-2025 FSC-klagomål mail.docx", "A 62541-2025")</f>
        <v/>
      </c>
      <c r="X307">
        <f>HYPERLINK("https://klasma.github.io/Logging_2305/tillsyn/A 62541-2025 tillsynsbegäran.docx", "A 62541-2025")</f>
        <v/>
      </c>
      <c r="Y307">
        <f>HYPERLINK("https://klasma.github.io/Logging_2305/tillsynsmail/A 62541-2025 tillsynsbegäran mail.docx", "A 62541-2025")</f>
        <v/>
      </c>
    </row>
    <row r="308" ht="15" customHeight="1">
      <c r="A308" t="inlineStr">
        <is>
          <t>A 9994-2021</t>
        </is>
      </c>
      <c r="B308" s="1" t="n">
        <v>44254</v>
      </c>
      <c r="C308" s="1" t="n">
        <v>46042</v>
      </c>
      <c r="D308" t="inlineStr">
        <is>
          <t>JÄMTLANDS LÄN</t>
        </is>
      </c>
      <c r="E308" t="inlineStr">
        <is>
          <t>BRÄCKE</t>
        </is>
      </c>
      <c r="F308" t="inlineStr">
        <is>
          <t>SCA</t>
        </is>
      </c>
      <c r="G308" t="n">
        <v>2.3</v>
      </c>
      <c r="H308" t="n">
        <v>0</v>
      </c>
      <c r="I308" t="n">
        <v>0</v>
      </c>
      <c r="J308" t="n">
        <v>0</v>
      </c>
      <c r="K308" t="n">
        <v>1</v>
      </c>
      <c r="L308" t="n">
        <v>0</v>
      </c>
      <c r="M308" t="n">
        <v>0</v>
      </c>
      <c r="N308" t="n">
        <v>0</v>
      </c>
      <c r="O308" t="n">
        <v>1</v>
      </c>
      <c r="P308" t="n">
        <v>1</v>
      </c>
      <c r="Q308" t="n">
        <v>1</v>
      </c>
      <c r="R308" s="2" t="inlineStr">
        <is>
          <t>Rynkskinn</t>
        </is>
      </c>
      <c r="S308">
        <f>HYPERLINK("https://klasma.github.io/Logging_2305/artfynd/A 9994-2021 artfynd.xlsx", "A 9994-2021")</f>
        <v/>
      </c>
      <c r="T308">
        <f>HYPERLINK("https://klasma.github.io/Logging_2305/kartor/A 9994-2021 karta.png", "A 9994-2021")</f>
        <v/>
      </c>
      <c r="V308">
        <f>HYPERLINK("https://klasma.github.io/Logging_2305/klagomål/A 9994-2021 FSC-klagomål.docx", "A 9994-2021")</f>
        <v/>
      </c>
      <c r="W308">
        <f>HYPERLINK("https://klasma.github.io/Logging_2305/klagomålsmail/A 9994-2021 FSC-klagomål mail.docx", "A 9994-2021")</f>
        <v/>
      </c>
      <c r="X308">
        <f>HYPERLINK("https://klasma.github.io/Logging_2305/tillsyn/A 9994-2021 tillsynsbegäran.docx", "A 9994-2021")</f>
        <v/>
      </c>
      <c r="Y308">
        <f>HYPERLINK("https://klasma.github.io/Logging_2305/tillsynsmail/A 9994-2021 tillsynsbegäran mail.docx", "A 9994-2021")</f>
        <v/>
      </c>
    </row>
    <row r="309" ht="15" customHeight="1">
      <c r="A309" t="inlineStr">
        <is>
          <t>A 7686-2025</t>
        </is>
      </c>
      <c r="B309" s="1" t="n">
        <v>45706.38579861111</v>
      </c>
      <c r="C309" s="1" t="n">
        <v>46042</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40869-2024</t>
        </is>
      </c>
      <c r="B310" s="1" t="n">
        <v>45558.59409722222</v>
      </c>
      <c r="C310" s="1" t="n">
        <v>46042</v>
      </c>
      <c r="D310" t="inlineStr">
        <is>
          <t>JÄMTLANDS LÄN</t>
        </is>
      </c>
      <c r="E310" t="inlineStr">
        <is>
          <t>BRÄCKE</t>
        </is>
      </c>
      <c r="F310" t="inlineStr">
        <is>
          <t>Naturvårdsverket</t>
        </is>
      </c>
      <c r="G310" t="n">
        <v>1.8</v>
      </c>
      <c r="H310" t="n">
        <v>0</v>
      </c>
      <c r="I310" t="n">
        <v>0</v>
      </c>
      <c r="J310" t="n">
        <v>1</v>
      </c>
      <c r="K310" t="n">
        <v>0</v>
      </c>
      <c r="L310" t="n">
        <v>0</v>
      </c>
      <c r="M310" t="n">
        <v>0</v>
      </c>
      <c r="N310" t="n">
        <v>0</v>
      </c>
      <c r="O310" t="n">
        <v>1</v>
      </c>
      <c r="P310" t="n">
        <v>0</v>
      </c>
      <c r="Q310" t="n">
        <v>1</v>
      </c>
      <c r="R310" s="2" t="inlineStr">
        <is>
          <t>Lunglav</t>
        </is>
      </c>
      <c r="S310">
        <f>HYPERLINK("https://klasma.github.io/Logging_2305/artfynd/A 40869-2024 artfynd.xlsx", "A 40869-2024")</f>
        <v/>
      </c>
      <c r="T310">
        <f>HYPERLINK("https://klasma.github.io/Logging_2305/kartor/A 40869-2024 karta.png", "A 40869-2024")</f>
        <v/>
      </c>
      <c r="V310">
        <f>HYPERLINK("https://klasma.github.io/Logging_2305/klagomål/A 40869-2024 FSC-klagomål.docx", "A 40869-2024")</f>
        <v/>
      </c>
      <c r="W310">
        <f>HYPERLINK("https://klasma.github.io/Logging_2305/klagomålsmail/A 40869-2024 FSC-klagomål mail.docx", "A 40869-2024")</f>
        <v/>
      </c>
      <c r="X310">
        <f>HYPERLINK("https://klasma.github.io/Logging_2305/tillsyn/A 40869-2024 tillsynsbegäran.docx", "A 40869-2024")</f>
        <v/>
      </c>
      <c r="Y310">
        <f>HYPERLINK("https://klasma.github.io/Logging_2305/tillsynsmail/A 40869-2024 tillsynsbegäran mail.docx", "A 40869-2024")</f>
        <v/>
      </c>
    </row>
    <row r="311" ht="15" customHeight="1">
      <c r="A311" t="inlineStr">
        <is>
          <t>A 57797-2023</t>
        </is>
      </c>
      <c r="B311" s="1" t="n">
        <v>45246</v>
      </c>
      <c r="C311" s="1" t="n">
        <v>46042</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40097-2023</t>
        </is>
      </c>
      <c r="B312" s="1" t="n">
        <v>45168</v>
      </c>
      <c r="C312" s="1" t="n">
        <v>46042</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41486-2024</t>
        </is>
      </c>
      <c r="B313" s="1" t="n">
        <v>45560.44907407407</v>
      </c>
      <c r="C313" s="1" t="n">
        <v>46042</v>
      </c>
      <c r="D313" t="inlineStr">
        <is>
          <t>JÄMTLANDS LÄN</t>
        </is>
      </c>
      <c r="E313" t="inlineStr">
        <is>
          <t>BRÄCKE</t>
        </is>
      </c>
      <c r="F313" t="inlineStr">
        <is>
          <t>SCA</t>
        </is>
      </c>
      <c r="G313" t="n">
        <v>5.3</v>
      </c>
      <c r="H313" t="n">
        <v>0</v>
      </c>
      <c r="I313" t="n">
        <v>0</v>
      </c>
      <c r="J313" t="n">
        <v>1</v>
      </c>
      <c r="K313" t="n">
        <v>0</v>
      </c>
      <c r="L313" t="n">
        <v>0</v>
      </c>
      <c r="M313" t="n">
        <v>0</v>
      </c>
      <c r="N313" t="n">
        <v>0</v>
      </c>
      <c r="O313" t="n">
        <v>1</v>
      </c>
      <c r="P313" t="n">
        <v>0</v>
      </c>
      <c r="Q313" t="n">
        <v>1</v>
      </c>
      <c r="R313" s="2" t="inlineStr">
        <is>
          <t>Lunglav</t>
        </is>
      </c>
      <c r="S313">
        <f>HYPERLINK("https://klasma.github.io/Logging_2305/artfynd/A 41486-2024 artfynd.xlsx", "A 41486-2024")</f>
        <v/>
      </c>
      <c r="T313">
        <f>HYPERLINK("https://klasma.github.io/Logging_2305/kartor/A 41486-2024 karta.png", "A 41486-2024")</f>
        <v/>
      </c>
      <c r="V313">
        <f>HYPERLINK("https://klasma.github.io/Logging_2305/klagomål/A 41486-2024 FSC-klagomål.docx", "A 41486-2024")</f>
        <v/>
      </c>
      <c r="W313">
        <f>HYPERLINK("https://klasma.github.io/Logging_2305/klagomålsmail/A 41486-2024 FSC-klagomål mail.docx", "A 41486-2024")</f>
        <v/>
      </c>
      <c r="X313">
        <f>HYPERLINK("https://klasma.github.io/Logging_2305/tillsyn/A 41486-2024 tillsynsbegäran.docx", "A 41486-2024")</f>
        <v/>
      </c>
      <c r="Y313">
        <f>HYPERLINK("https://klasma.github.io/Logging_2305/tillsynsmail/A 41486-2024 tillsynsbegäran mail.docx", "A 41486-2024")</f>
        <v/>
      </c>
    </row>
    <row r="314" ht="15" customHeight="1">
      <c r="A314" t="inlineStr">
        <is>
          <t>A 59000-2025</t>
        </is>
      </c>
      <c r="B314" s="1" t="n">
        <v>45987.67792824074</v>
      </c>
      <c r="C314" s="1" t="n">
        <v>46042</v>
      </c>
      <c r="D314" t="inlineStr">
        <is>
          <t>JÄMTLANDS LÄN</t>
        </is>
      </c>
      <c r="E314" t="inlineStr">
        <is>
          <t>BRÄCKE</t>
        </is>
      </c>
      <c r="F314" t="inlineStr">
        <is>
          <t>SCA</t>
        </is>
      </c>
      <c r="G314" t="n">
        <v>11.4</v>
      </c>
      <c r="H314" t="n">
        <v>0</v>
      </c>
      <c r="I314" t="n">
        <v>0</v>
      </c>
      <c r="J314" t="n">
        <v>1</v>
      </c>
      <c r="K314" t="n">
        <v>0</v>
      </c>
      <c r="L314" t="n">
        <v>0</v>
      </c>
      <c r="M314" t="n">
        <v>0</v>
      </c>
      <c r="N314" t="n">
        <v>0</v>
      </c>
      <c r="O314" t="n">
        <v>1</v>
      </c>
      <c r="P314" t="n">
        <v>0</v>
      </c>
      <c r="Q314" t="n">
        <v>1</v>
      </c>
      <c r="R314" s="2" t="inlineStr">
        <is>
          <t>Kolflarnlav</t>
        </is>
      </c>
      <c r="S314">
        <f>HYPERLINK("https://klasma.github.io/Logging_2305/artfynd/A 59000-2025 artfynd.xlsx", "A 59000-2025")</f>
        <v/>
      </c>
      <c r="T314">
        <f>HYPERLINK("https://klasma.github.io/Logging_2305/kartor/A 59000-2025 karta.png", "A 59000-2025")</f>
        <v/>
      </c>
      <c r="V314">
        <f>HYPERLINK("https://klasma.github.io/Logging_2305/klagomål/A 59000-2025 FSC-klagomål.docx", "A 59000-2025")</f>
        <v/>
      </c>
      <c r="W314">
        <f>HYPERLINK("https://klasma.github.io/Logging_2305/klagomålsmail/A 59000-2025 FSC-klagomål mail.docx", "A 59000-2025")</f>
        <v/>
      </c>
      <c r="X314">
        <f>HYPERLINK("https://klasma.github.io/Logging_2305/tillsyn/A 59000-2025 tillsynsbegäran.docx", "A 59000-2025")</f>
        <v/>
      </c>
      <c r="Y314">
        <f>HYPERLINK("https://klasma.github.io/Logging_2305/tillsynsmail/A 59000-2025 tillsynsbegäran mail.docx", "A 59000-2025")</f>
        <v/>
      </c>
    </row>
    <row r="315" ht="15" customHeight="1">
      <c r="A315" t="inlineStr">
        <is>
          <t>A 59546-2025</t>
        </is>
      </c>
      <c r="B315" s="1" t="n">
        <v>45990.34497685185</v>
      </c>
      <c r="C315" s="1" t="n">
        <v>46042</v>
      </c>
      <c r="D315" t="inlineStr">
        <is>
          <t>JÄMTLANDS LÄN</t>
        </is>
      </c>
      <c r="E315" t="inlineStr">
        <is>
          <t>BRÄCKE</t>
        </is>
      </c>
      <c r="F315" t="inlineStr">
        <is>
          <t>SCA</t>
        </is>
      </c>
      <c r="G315" t="n">
        <v>1</v>
      </c>
      <c r="H315" t="n">
        <v>0</v>
      </c>
      <c r="I315" t="n">
        <v>0</v>
      </c>
      <c r="J315" t="n">
        <v>1</v>
      </c>
      <c r="K315" t="n">
        <v>0</v>
      </c>
      <c r="L315" t="n">
        <v>0</v>
      </c>
      <c r="M315" t="n">
        <v>0</v>
      </c>
      <c r="N315" t="n">
        <v>0</v>
      </c>
      <c r="O315" t="n">
        <v>1</v>
      </c>
      <c r="P315" t="n">
        <v>0</v>
      </c>
      <c r="Q315" t="n">
        <v>1</v>
      </c>
      <c r="R315" s="2" t="inlineStr">
        <is>
          <t>Vedskivlav</t>
        </is>
      </c>
      <c r="S315">
        <f>HYPERLINK("https://klasma.github.io/Logging_2305/artfynd/A 59546-2025 artfynd.xlsx", "A 59546-2025")</f>
        <v/>
      </c>
      <c r="T315">
        <f>HYPERLINK("https://klasma.github.io/Logging_2305/kartor/A 59546-2025 karta.png", "A 59546-2025")</f>
        <v/>
      </c>
      <c r="V315">
        <f>HYPERLINK("https://klasma.github.io/Logging_2305/klagomål/A 59546-2025 FSC-klagomål.docx", "A 59546-2025")</f>
        <v/>
      </c>
      <c r="W315">
        <f>HYPERLINK("https://klasma.github.io/Logging_2305/klagomålsmail/A 59546-2025 FSC-klagomål mail.docx", "A 59546-2025")</f>
        <v/>
      </c>
      <c r="X315">
        <f>HYPERLINK("https://klasma.github.io/Logging_2305/tillsyn/A 59546-2025 tillsynsbegäran.docx", "A 59546-2025")</f>
        <v/>
      </c>
      <c r="Y315">
        <f>HYPERLINK("https://klasma.github.io/Logging_2305/tillsynsmail/A 59546-2025 tillsynsbegäran mail.docx", "A 59546-2025")</f>
        <v/>
      </c>
    </row>
    <row r="316" ht="15" customHeight="1">
      <c r="A316" t="inlineStr">
        <is>
          <t>A 56156-2024</t>
        </is>
      </c>
      <c r="B316" s="1" t="n">
        <v>45624.53180555555</v>
      </c>
      <c r="C316" s="1" t="n">
        <v>46042</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35023-2022</t>
        </is>
      </c>
      <c r="B317" s="1" t="n">
        <v>44796</v>
      </c>
      <c r="C317" s="1" t="n">
        <v>46042</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18983-2025</t>
        </is>
      </c>
      <c r="B318" s="1" t="n">
        <v>45764.55618055556</v>
      </c>
      <c r="C318" s="1" t="n">
        <v>46042</v>
      </c>
      <c r="D318" t="inlineStr">
        <is>
          <t>JÄMTLANDS LÄN</t>
        </is>
      </c>
      <c r="E318" t="inlineStr">
        <is>
          <t>BRÄCKE</t>
        </is>
      </c>
      <c r="G318" t="n">
        <v>23.8</v>
      </c>
      <c r="H318" t="n">
        <v>1</v>
      </c>
      <c r="I318" t="n">
        <v>0</v>
      </c>
      <c r="J318" t="n">
        <v>0</v>
      </c>
      <c r="K318" t="n">
        <v>0</v>
      </c>
      <c r="L318" t="n">
        <v>0</v>
      </c>
      <c r="M318" t="n">
        <v>0</v>
      </c>
      <c r="N318" t="n">
        <v>0</v>
      </c>
      <c r="O318" t="n">
        <v>0</v>
      </c>
      <c r="P318" t="n">
        <v>0</v>
      </c>
      <c r="Q318" t="n">
        <v>1</v>
      </c>
      <c r="R318" s="2" t="inlineStr">
        <is>
          <t>Kungsfågel</t>
        </is>
      </c>
      <c r="S318">
        <f>HYPERLINK("https://klasma.github.io/Logging_2305/artfynd/A 18983-2025 artfynd.xlsx", "A 18983-2025")</f>
        <v/>
      </c>
      <c r="T318">
        <f>HYPERLINK("https://klasma.github.io/Logging_2305/kartor/A 18983-2025 karta.png", "A 18983-2025")</f>
        <v/>
      </c>
      <c r="V318">
        <f>HYPERLINK("https://klasma.github.io/Logging_2305/klagomål/A 18983-2025 FSC-klagomål.docx", "A 18983-2025")</f>
        <v/>
      </c>
      <c r="W318">
        <f>HYPERLINK("https://klasma.github.io/Logging_2305/klagomålsmail/A 18983-2025 FSC-klagomål mail.docx", "A 18983-2025")</f>
        <v/>
      </c>
      <c r="X318">
        <f>HYPERLINK("https://klasma.github.io/Logging_2305/tillsyn/A 18983-2025 tillsynsbegäran.docx", "A 18983-2025")</f>
        <v/>
      </c>
      <c r="Y318">
        <f>HYPERLINK("https://klasma.github.io/Logging_2305/tillsynsmail/A 18983-2025 tillsynsbegäran mail.docx", "A 18983-2025")</f>
        <v/>
      </c>
      <c r="Z318">
        <f>HYPERLINK("https://klasma.github.io/Logging_2305/fåglar/A 18983-2025 prioriterade fågelarter.docx", "A 18983-2025")</f>
        <v/>
      </c>
    </row>
    <row r="319" ht="15" customHeight="1">
      <c r="A319" t="inlineStr">
        <is>
          <t>A 12062-2023</t>
        </is>
      </c>
      <c r="B319" s="1" t="n">
        <v>44996</v>
      </c>
      <c r="C319" s="1" t="n">
        <v>46042</v>
      </c>
      <c r="D319" t="inlineStr">
        <is>
          <t>JÄMTLANDS LÄN</t>
        </is>
      </c>
      <c r="E319" t="inlineStr">
        <is>
          <t>BRÄCKE</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HYPERLINK("https://klasma.github.io/Logging_2305/artfynd/A 12062-2023 artfynd.xlsx", "A 12062-2023")</f>
        <v/>
      </c>
      <c r="T319">
        <f>HYPERLINK("https://klasma.github.io/Logging_2305/kartor/A 12062-2023 karta.png", "A 12062-2023")</f>
        <v/>
      </c>
      <c r="V319">
        <f>HYPERLINK("https://klasma.github.io/Logging_2305/klagomål/A 12062-2023 FSC-klagomål.docx", "A 12062-2023")</f>
        <v/>
      </c>
      <c r="W319">
        <f>HYPERLINK("https://klasma.github.io/Logging_2305/klagomålsmail/A 12062-2023 FSC-klagomål mail.docx", "A 12062-2023")</f>
        <v/>
      </c>
      <c r="X319">
        <f>HYPERLINK("https://klasma.github.io/Logging_2305/tillsyn/A 12062-2023 tillsynsbegäran.docx", "A 12062-2023")</f>
        <v/>
      </c>
      <c r="Y319">
        <f>HYPERLINK("https://klasma.github.io/Logging_2305/tillsynsmail/A 12062-2023 tillsynsbegäran mail.docx", "A 12062-2023")</f>
        <v/>
      </c>
    </row>
    <row r="320" ht="15" customHeight="1">
      <c r="A320" t="inlineStr">
        <is>
          <t>A 11614-2024</t>
        </is>
      </c>
      <c r="B320" s="1" t="n">
        <v>45373.42134259259</v>
      </c>
      <c r="C320" s="1" t="n">
        <v>46042</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20768-2024</t>
        </is>
      </c>
      <c r="B321" s="1" t="n">
        <v>45436.94594907408</v>
      </c>
      <c r="C321" s="1" t="n">
        <v>46042</v>
      </c>
      <c r="D321" t="inlineStr">
        <is>
          <t>JÄMTLANDS LÄN</t>
        </is>
      </c>
      <c r="E321" t="inlineStr">
        <is>
          <t>BRÄCKE</t>
        </is>
      </c>
      <c r="F321" t="inlineStr">
        <is>
          <t>SCA</t>
        </is>
      </c>
      <c r="G321" t="n">
        <v>12.6</v>
      </c>
      <c r="H321" t="n">
        <v>1</v>
      </c>
      <c r="I321" t="n">
        <v>0</v>
      </c>
      <c r="J321" t="n">
        <v>0</v>
      </c>
      <c r="K321" t="n">
        <v>1</v>
      </c>
      <c r="L321" t="n">
        <v>0</v>
      </c>
      <c r="M321" t="n">
        <v>0</v>
      </c>
      <c r="N321" t="n">
        <v>0</v>
      </c>
      <c r="O321" t="n">
        <v>1</v>
      </c>
      <c r="P321" t="n">
        <v>1</v>
      </c>
      <c r="Q321" t="n">
        <v>1</v>
      </c>
      <c r="R321" s="2" t="inlineStr">
        <is>
          <t>Doftticka</t>
        </is>
      </c>
      <c r="S321">
        <f>HYPERLINK("https://klasma.github.io/Logging_2305/artfynd/A 20768-2024 artfynd.xlsx", "A 20768-2024")</f>
        <v/>
      </c>
      <c r="T321">
        <f>HYPERLINK("https://klasma.github.io/Logging_2305/kartor/A 20768-2024 karta.png", "A 20768-2024")</f>
        <v/>
      </c>
      <c r="V321">
        <f>HYPERLINK("https://klasma.github.io/Logging_2305/klagomål/A 20768-2024 FSC-klagomål.docx", "A 20768-2024")</f>
        <v/>
      </c>
      <c r="W321">
        <f>HYPERLINK("https://klasma.github.io/Logging_2305/klagomålsmail/A 20768-2024 FSC-klagomål mail.docx", "A 20768-2024")</f>
        <v/>
      </c>
      <c r="X321">
        <f>HYPERLINK("https://klasma.github.io/Logging_2305/tillsyn/A 20768-2024 tillsynsbegäran.docx", "A 20768-2024")</f>
        <v/>
      </c>
      <c r="Y321">
        <f>HYPERLINK("https://klasma.github.io/Logging_2305/tillsynsmail/A 20768-2024 tillsynsbegäran mail.docx", "A 20768-2024")</f>
        <v/>
      </c>
    </row>
    <row r="322" ht="15" customHeight="1">
      <c r="A322" t="inlineStr">
        <is>
          <t>A 50513-2023</t>
        </is>
      </c>
      <c r="B322" s="1" t="n">
        <v>45216</v>
      </c>
      <c r="C322" s="1" t="n">
        <v>46042</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49325-2023</t>
        </is>
      </c>
      <c r="B323" s="1" t="n">
        <v>45210</v>
      </c>
      <c r="C323" s="1" t="n">
        <v>46042</v>
      </c>
      <c r="D323" t="inlineStr">
        <is>
          <t>JÄMTLANDS LÄN</t>
        </is>
      </c>
      <c r="E323" t="inlineStr">
        <is>
          <t>BRÄCKE</t>
        </is>
      </c>
      <c r="F323" t="inlineStr">
        <is>
          <t>SCA</t>
        </is>
      </c>
      <c r="G323" t="n">
        <v>7</v>
      </c>
      <c r="H323" t="n">
        <v>1</v>
      </c>
      <c r="I323" t="n">
        <v>0</v>
      </c>
      <c r="J323" t="n">
        <v>0</v>
      </c>
      <c r="K323" t="n">
        <v>1</v>
      </c>
      <c r="L323" t="n">
        <v>0</v>
      </c>
      <c r="M323" t="n">
        <v>0</v>
      </c>
      <c r="N323" t="n">
        <v>0</v>
      </c>
      <c r="O323" t="n">
        <v>1</v>
      </c>
      <c r="P323" t="n">
        <v>1</v>
      </c>
      <c r="Q323" t="n">
        <v>1</v>
      </c>
      <c r="R323" s="2" t="inlineStr">
        <is>
          <t>Doftticka</t>
        </is>
      </c>
      <c r="S323">
        <f>HYPERLINK("https://klasma.github.io/Logging_2305/artfynd/A 49325-2023 artfynd.xlsx", "A 49325-2023")</f>
        <v/>
      </c>
      <c r="T323">
        <f>HYPERLINK("https://klasma.github.io/Logging_2305/kartor/A 49325-2023 karta.png", "A 49325-2023")</f>
        <v/>
      </c>
      <c r="V323">
        <f>HYPERLINK("https://klasma.github.io/Logging_2305/klagomål/A 49325-2023 FSC-klagomål.docx", "A 49325-2023")</f>
        <v/>
      </c>
      <c r="W323">
        <f>HYPERLINK("https://klasma.github.io/Logging_2305/klagomålsmail/A 49325-2023 FSC-klagomål mail.docx", "A 49325-2023")</f>
        <v/>
      </c>
      <c r="X323">
        <f>HYPERLINK("https://klasma.github.io/Logging_2305/tillsyn/A 49325-2023 tillsynsbegäran.docx", "A 49325-2023")</f>
        <v/>
      </c>
      <c r="Y323">
        <f>HYPERLINK("https://klasma.github.io/Logging_2305/tillsynsmail/A 49325-2023 tillsynsbegäran mail.docx", "A 49325-2023")</f>
        <v/>
      </c>
    </row>
    <row r="324" ht="15" customHeight="1">
      <c r="A324" t="inlineStr">
        <is>
          <t>A 11553-2024</t>
        </is>
      </c>
      <c r="B324" s="1" t="n">
        <v>45372.95811342593</v>
      </c>
      <c r="C324" s="1" t="n">
        <v>46042</v>
      </c>
      <c r="D324" t="inlineStr">
        <is>
          <t>JÄMTLANDS LÄN</t>
        </is>
      </c>
      <c r="E324" t="inlineStr">
        <is>
          <t>BRÄCKE</t>
        </is>
      </c>
      <c r="F324" t="inlineStr">
        <is>
          <t>Naturvårdsverket</t>
        </is>
      </c>
      <c r="G324" t="n">
        <v>1.9</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11553-2024 artfynd.xlsx", "A 11553-2024")</f>
        <v/>
      </c>
      <c r="T324">
        <f>HYPERLINK("https://klasma.github.io/Logging_2305/kartor/A 11553-2024 karta.png", "A 11553-2024")</f>
        <v/>
      </c>
      <c r="V324">
        <f>HYPERLINK("https://klasma.github.io/Logging_2305/klagomål/A 11553-2024 FSC-klagomål.docx", "A 11553-2024")</f>
        <v/>
      </c>
      <c r="W324">
        <f>HYPERLINK("https://klasma.github.io/Logging_2305/klagomålsmail/A 11553-2024 FSC-klagomål mail.docx", "A 11553-2024")</f>
        <v/>
      </c>
      <c r="X324">
        <f>HYPERLINK("https://klasma.github.io/Logging_2305/tillsyn/A 11553-2024 tillsynsbegäran.docx", "A 11553-2024")</f>
        <v/>
      </c>
      <c r="Y324">
        <f>HYPERLINK("https://klasma.github.io/Logging_2305/tillsynsmail/A 11553-2024 tillsynsbegäran mail.docx", "A 11553-2024")</f>
        <v/>
      </c>
    </row>
    <row r="325" ht="15" customHeight="1">
      <c r="A325" t="inlineStr">
        <is>
          <t>A 2466-2025</t>
        </is>
      </c>
      <c r="B325" s="1" t="n">
        <v>45674.46958333333</v>
      </c>
      <c r="C325" s="1" t="n">
        <v>46042</v>
      </c>
      <c r="D325" t="inlineStr">
        <is>
          <t>JÄMTLANDS LÄN</t>
        </is>
      </c>
      <c r="E325" t="inlineStr">
        <is>
          <t>BRÄCKE</t>
        </is>
      </c>
      <c r="F325" t="inlineStr">
        <is>
          <t>SCA</t>
        </is>
      </c>
      <c r="G325" t="n">
        <v>2.4</v>
      </c>
      <c r="H325" t="n">
        <v>0</v>
      </c>
      <c r="I325" t="n">
        <v>0</v>
      </c>
      <c r="J325" t="n">
        <v>1</v>
      </c>
      <c r="K325" t="n">
        <v>0</v>
      </c>
      <c r="L325" t="n">
        <v>0</v>
      </c>
      <c r="M325" t="n">
        <v>0</v>
      </c>
      <c r="N325" t="n">
        <v>0</v>
      </c>
      <c r="O325" t="n">
        <v>1</v>
      </c>
      <c r="P325" t="n">
        <v>0</v>
      </c>
      <c r="Q325" t="n">
        <v>1</v>
      </c>
      <c r="R325" s="2" t="inlineStr">
        <is>
          <t>Lunglav</t>
        </is>
      </c>
      <c r="S325">
        <f>HYPERLINK("https://klasma.github.io/Logging_2305/artfynd/A 2466-2025 artfynd.xlsx", "A 2466-2025")</f>
        <v/>
      </c>
      <c r="T325">
        <f>HYPERLINK("https://klasma.github.io/Logging_2305/kartor/A 2466-2025 karta.png", "A 2466-2025")</f>
        <v/>
      </c>
      <c r="V325">
        <f>HYPERLINK("https://klasma.github.io/Logging_2305/klagomål/A 2466-2025 FSC-klagomål.docx", "A 2466-2025")</f>
        <v/>
      </c>
      <c r="W325">
        <f>HYPERLINK("https://klasma.github.io/Logging_2305/klagomålsmail/A 2466-2025 FSC-klagomål mail.docx", "A 2466-2025")</f>
        <v/>
      </c>
      <c r="X325">
        <f>HYPERLINK("https://klasma.github.io/Logging_2305/tillsyn/A 2466-2025 tillsynsbegäran.docx", "A 2466-2025")</f>
        <v/>
      </c>
      <c r="Y325">
        <f>HYPERLINK("https://klasma.github.io/Logging_2305/tillsynsmail/A 2466-2025 tillsynsbegäran mail.docx", "A 2466-2025")</f>
        <v/>
      </c>
    </row>
    <row r="326" ht="15" customHeight="1">
      <c r="A326" t="inlineStr">
        <is>
          <t>A 2882-2025</t>
        </is>
      </c>
      <c r="B326" s="1" t="n">
        <v>45677.69878472222</v>
      </c>
      <c r="C326" s="1" t="n">
        <v>46042</v>
      </c>
      <c r="D326" t="inlineStr">
        <is>
          <t>JÄMTLANDS LÄN</t>
        </is>
      </c>
      <c r="E326" t="inlineStr">
        <is>
          <t>BRÄCKE</t>
        </is>
      </c>
      <c r="F326" t="inlineStr">
        <is>
          <t>SCA</t>
        </is>
      </c>
      <c r="G326" t="n">
        <v>2.7</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2882-2025 artfynd.xlsx", "A 2882-2025")</f>
        <v/>
      </c>
      <c r="T326">
        <f>HYPERLINK("https://klasma.github.io/Logging_2305/kartor/A 2882-2025 karta.png", "A 2882-2025")</f>
        <v/>
      </c>
      <c r="V326">
        <f>HYPERLINK("https://klasma.github.io/Logging_2305/klagomål/A 2882-2025 FSC-klagomål.docx", "A 2882-2025")</f>
        <v/>
      </c>
      <c r="W326">
        <f>HYPERLINK("https://klasma.github.io/Logging_2305/klagomålsmail/A 2882-2025 FSC-klagomål mail.docx", "A 2882-2025")</f>
        <v/>
      </c>
      <c r="X326">
        <f>HYPERLINK("https://klasma.github.io/Logging_2305/tillsyn/A 2882-2025 tillsynsbegäran.docx", "A 2882-2025")</f>
        <v/>
      </c>
      <c r="Y326">
        <f>HYPERLINK("https://klasma.github.io/Logging_2305/tillsynsmail/A 2882-2025 tillsynsbegäran mail.docx", "A 2882-2025")</f>
        <v/>
      </c>
    </row>
    <row r="327" ht="15" customHeight="1">
      <c r="A327" t="inlineStr">
        <is>
          <t>A 235-2022</t>
        </is>
      </c>
      <c r="B327" s="1" t="n">
        <v>44564</v>
      </c>
      <c r="C327" s="1" t="n">
        <v>46042</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Harticka</t>
        </is>
      </c>
      <c r="S327">
        <f>HYPERLINK("https://klasma.github.io/Logging_2305/artfynd/A 235-2022 artfynd.xlsx", "A 235-2022")</f>
        <v/>
      </c>
      <c r="T327">
        <f>HYPERLINK("https://klasma.github.io/Logging_2305/kartor/A 235-2022 karta.png", "A 235-2022")</f>
        <v/>
      </c>
      <c r="V327">
        <f>HYPERLINK("https://klasma.github.io/Logging_2305/klagomål/A 235-2022 FSC-klagomål.docx", "A 235-2022")</f>
        <v/>
      </c>
      <c r="W327">
        <f>HYPERLINK("https://klasma.github.io/Logging_2305/klagomålsmail/A 235-2022 FSC-klagomål mail.docx", "A 235-2022")</f>
        <v/>
      </c>
      <c r="X327">
        <f>HYPERLINK("https://klasma.github.io/Logging_2305/tillsyn/A 235-2022 tillsynsbegäran.docx", "A 235-2022")</f>
        <v/>
      </c>
      <c r="Y327">
        <f>HYPERLINK("https://klasma.github.io/Logging_2305/tillsynsmail/A 235-2022 tillsynsbegäran mail.docx", "A 235-2022")</f>
        <v/>
      </c>
    </row>
    <row r="328" ht="15" customHeight="1">
      <c r="A328" t="inlineStr">
        <is>
          <t>A 698-2025</t>
        </is>
      </c>
      <c r="B328" s="1" t="n">
        <v>45665.34416666667</v>
      </c>
      <c r="C328" s="1" t="n">
        <v>46042</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14374-2024</t>
        </is>
      </c>
      <c r="B329" s="1" t="n">
        <v>45393</v>
      </c>
      <c r="C329" s="1" t="n">
        <v>46042</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48064-2023</t>
        </is>
      </c>
      <c r="B330" s="1" t="n">
        <v>45204</v>
      </c>
      <c r="C330" s="1" t="n">
        <v>46042</v>
      </c>
      <c r="D330" t="inlineStr">
        <is>
          <t>JÄMTLANDS LÄN</t>
        </is>
      </c>
      <c r="E330" t="inlineStr">
        <is>
          <t>BRÄCKE</t>
        </is>
      </c>
      <c r="G330" t="n">
        <v>2.3</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48064-2023 artfynd.xlsx", "A 48064-2023")</f>
        <v/>
      </c>
      <c r="T330">
        <f>HYPERLINK("https://klasma.github.io/Logging_2305/kartor/A 48064-2023 karta.png", "A 48064-2023")</f>
        <v/>
      </c>
      <c r="V330">
        <f>HYPERLINK("https://klasma.github.io/Logging_2305/klagomål/A 48064-2023 FSC-klagomål.docx", "A 48064-2023")</f>
        <v/>
      </c>
      <c r="W330">
        <f>HYPERLINK("https://klasma.github.io/Logging_2305/klagomålsmail/A 48064-2023 FSC-klagomål mail.docx", "A 48064-2023")</f>
        <v/>
      </c>
      <c r="X330">
        <f>HYPERLINK("https://klasma.github.io/Logging_2305/tillsyn/A 48064-2023 tillsynsbegäran.docx", "A 48064-2023")</f>
        <v/>
      </c>
      <c r="Y330">
        <f>HYPERLINK("https://klasma.github.io/Logging_2305/tillsynsmail/A 48064-2023 tillsynsbegäran mail.docx", "A 48064-2023")</f>
        <v/>
      </c>
      <c r="Z330">
        <f>HYPERLINK("https://klasma.github.io/Logging_2305/fåglar/A 48064-2023 prioriterade fågelarter.docx", "A 48064-2023")</f>
        <v/>
      </c>
    </row>
    <row r="331" ht="15" customHeight="1">
      <c r="A331" t="inlineStr">
        <is>
          <t>A 4851-2025</t>
        </is>
      </c>
      <c r="B331" s="1" t="n">
        <v>45688.67340277778</v>
      </c>
      <c r="C331" s="1" t="n">
        <v>46042</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16366-2023</t>
        </is>
      </c>
      <c r="B332" s="1" t="n">
        <v>45028</v>
      </c>
      <c r="C332" s="1" t="n">
        <v>46042</v>
      </c>
      <c r="D332" t="inlineStr">
        <is>
          <t>JÄMTLANDS LÄN</t>
        </is>
      </c>
      <c r="E332" t="inlineStr">
        <is>
          <t>BRÄCKE</t>
        </is>
      </c>
      <c r="G332" t="n">
        <v>9.1</v>
      </c>
      <c r="H332" t="n">
        <v>0</v>
      </c>
      <c r="I332" t="n">
        <v>0</v>
      </c>
      <c r="J332" t="n">
        <v>1</v>
      </c>
      <c r="K332" t="n">
        <v>0</v>
      </c>
      <c r="L332" t="n">
        <v>0</v>
      </c>
      <c r="M332" t="n">
        <v>0</v>
      </c>
      <c r="N332" t="n">
        <v>0</v>
      </c>
      <c r="O332" t="n">
        <v>1</v>
      </c>
      <c r="P332" t="n">
        <v>0</v>
      </c>
      <c r="Q332" t="n">
        <v>1</v>
      </c>
      <c r="R332" s="2" t="inlineStr">
        <is>
          <t>Lunglav</t>
        </is>
      </c>
      <c r="S332">
        <f>HYPERLINK("https://klasma.github.io/Logging_2305/artfynd/A 16366-2023 artfynd.xlsx", "A 16366-2023")</f>
        <v/>
      </c>
      <c r="T332">
        <f>HYPERLINK("https://klasma.github.io/Logging_2305/kartor/A 16366-2023 karta.png", "A 16366-2023")</f>
        <v/>
      </c>
      <c r="V332">
        <f>HYPERLINK("https://klasma.github.io/Logging_2305/klagomål/A 16366-2023 FSC-klagomål.docx", "A 16366-2023")</f>
        <v/>
      </c>
      <c r="W332">
        <f>HYPERLINK("https://klasma.github.io/Logging_2305/klagomålsmail/A 16366-2023 FSC-klagomål mail.docx", "A 16366-2023")</f>
        <v/>
      </c>
      <c r="X332">
        <f>HYPERLINK("https://klasma.github.io/Logging_2305/tillsyn/A 16366-2023 tillsynsbegäran.docx", "A 16366-2023")</f>
        <v/>
      </c>
      <c r="Y332">
        <f>HYPERLINK("https://klasma.github.io/Logging_2305/tillsynsmail/A 16366-2023 tillsynsbegäran mail.docx", "A 16366-2023")</f>
        <v/>
      </c>
    </row>
    <row r="333" ht="15" customHeight="1">
      <c r="A333" t="inlineStr">
        <is>
          <t>A 24552-2022</t>
        </is>
      </c>
      <c r="B333" s="1" t="n">
        <v>44726</v>
      </c>
      <c r="C333" s="1" t="n">
        <v>46042</v>
      </c>
      <c r="D333" t="inlineStr">
        <is>
          <t>JÄMTLANDS LÄN</t>
        </is>
      </c>
      <c r="E333" t="inlineStr">
        <is>
          <t>BRÄCKE</t>
        </is>
      </c>
      <c r="G333" t="n">
        <v>2.6</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HYPERLINK("https://klasma.github.io/Logging_2305/artfynd/A 24552-2022 artfynd.xlsx", "A 24552-2022")</f>
        <v/>
      </c>
      <c r="T333">
        <f>HYPERLINK("https://klasma.github.io/Logging_2305/kartor/A 24552-2022 karta.png", "A 24552-2022")</f>
        <v/>
      </c>
      <c r="V333">
        <f>HYPERLINK("https://klasma.github.io/Logging_2305/klagomål/A 24552-2022 FSC-klagomål.docx", "A 24552-2022")</f>
        <v/>
      </c>
      <c r="W333">
        <f>HYPERLINK("https://klasma.github.io/Logging_2305/klagomålsmail/A 24552-2022 FSC-klagomål mail.docx", "A 24552-2022")</f>
        <v/>
      </c>
      <c r="X333">
        <f>HYPERLINK("https://klasma.github.io/Logging_2305/tillsyn/A 24552-2022 tillsynsbegäran.docx", "A 24552-2022")</f>
        <v/>
      </c>
      <c r="Y333">
        <f>HYPERLINK("https://klasma.github.io/Logging_2305/tillsynsmail/A 24552-2022 tillsynsbegäran mail.docx", "A 24552-2022")</f>
        <v/>
      </c>
    </row>
    <row r="334" ht="15" customHeight="1">
      <c r="A334" t="inlineStr">
        <is>
          <t>A 30336-2024</t>
        </is>
      </c>
      <c r="B334" s="1" t="n">
        <v>45490.95415509259</v>
      </c>
      <c r="C334" s="1" t="n">
        <v>46042</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33479-2024</t>
        </is>
      </c>
      <c r="B335" s="1" t="n">
        <v>45519.60824074074</v>
      </c>
      <c r="C335" s="1" t="n">
        <v>46042</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46042</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46042</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46042</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46042</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46042</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46042</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46042</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46042</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46042</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46042</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46042</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21428-2025</t>
        </is>
      </c>
      <c r="B347" s="1" t="n">
        <v>45782.51072916666</v>
      </c>
      <c r="C347" s="1" t="n">
        <v>46042</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HYPERLINK("https://klasma.github.io/Logging_2305/artfynd/A 21428-2025 artfynd.xlsx", "A 21428-2025")</f>
        <v/>
      </c>
      <c r="T347">
        <f>HYPERLINK("https://klasma.github.io/Logging_2305/kartor/A 21428-2025 karta.png", "A 21428-2025")</f>
        <v/>
      </c>
      <c r="V347">
        <f>HYPERLINK("https://klasma.github.io/Logging_2305/klagomål/A 21428-2025 FSC-klagomål.docx", "A 21428-2025")</f>
        <v/>
      </c>
      <c r="W347">
        <f>HYPERLINK("https://klasma.github.io/Logging_2305/klagomålsmail/A 21428-2025 FSC-klagomål mail.docx", "A 21428-2025")</f>
        <v/>
      </c>
      <c r="X347">
        <f>HYPERLINK("https://klasma.github.io/Logging_2305/tillsyn/A 21428-2025 tillsynsbegäran.docx", "A 21428-2025")</f>
        <v/>
      </c>
      <c r="Y347">
        <f>HYPERLINK("https://klasma.github.io/Logging_2305/tillsynsmail/A 21428-2025 tillsynsbegäran mail.docx", "A 21428-2025")</f>
        <v/>
      </c>
    </row>
    <row r="348" ht="15" customHeight="1">
      <c r="A348" t="inlineStr">
        <is>
          <t>A 22651-2025</t>
        </is>
      </c>
      <c r="B348" s="1" t="n">
        <v>45789.46907407408</v>
      </c>
      <c r="C348" s="1" t="n">
        <v>46042</v>
      </c>
      <c r="D348" t="inlineStr">
        <is>
          <t>JÄMTLANDS LÄN</t>
        </is>
      </c>
      <c r="E348" t="inlineStr">
        <is>
          <t>BRÄCKE</t>
        </is>
      </c>
      <c r="F348" t="inlineStr">
        <is>
          <t>SCA</t>
        </is>
      </c>
      <c r="G348" t="n">
        <v>2.3</v>
      </c>
      <c r="H348" t="n">
        <v>1</v>
      </c>
      <c r="I348" t="n">
        <v>1</v>
      </c>
      <c r="J348" t="n">
        <v>0</v>
      </c>
      <c r="K348" t="n">
        <v>0</v>
      </c>
      <c r="L348" t="n">
        <v>0</v>
      </c>
      <c r="M348" t="n">
        <v>0</v>
      </c>
      <c r="N348" t="n">
        <v>0</v>
      </c>
      <c r="O348" t="n">
        <v>0</v>
      </c>
      <c r="P348" t="n">
        <v>0</v>
      </c>
      <c r="Q348" t="n">
        <v>1</v>
      </c>
      <c r="R348" s="2" t="inlineStr">
        <is>
          <t>Guckusko</t>
        </is>
      </c>
      <c r="S348">
        <f>HYPERLINK("https://klasma.github.io/Logging_2305/artfynd/A 22651-2025 artfynd.xlsx", "A 22651-2025")</f>
        <v/>
      </c>
      <c r="T348">
        <f>HYPERLINK("https://klasma.github.io/Logging_2305/kartor/A 22651-2025 karta.png", "A 22651-2025")</f>
        <v/>
      </c>
      <c r="V348">
        <f>HYPERLINK("https://klasma.github.io/Logging_2305/klagomål/A 22651-2025 FSC-klagomål.docx", "A 22651-2025")</f>
        <v/>
      </c>
      <c r="W348">
        <f>HYPERLINK("https://klasma.github.io/Logging_2305/klagomålsmail/A 22651-2025 FSC-klagomål mail.docx", "A 22651-2025")</f>
        <v/>
      </c>
      <c r="X348">
        <f>HYPERLINK("https://klasma.github.io/Logging_2305/tillsyn/A 22651-2025 tillsynsbegäran.docx", "A 22651-2025")</f>
        <v/>
      </c>
      <c r="Y348">
        <f>HYPERLINK("https://klasma.github.io/Logging_2305/tillsynsmail/A 22651-2025 tillsynsbegäran mail.docx", "A 22651-2025")</f>
        <v/>
      </c>
    </row>
    <row r="349" ht="15" customHeight="1">
      <c r="A349" t="inlineStr">
        <is>
          <t>A 23460-2025</t>
        </is>
      </c>
      <c r="B349" s="1" t="n">
        <v>45792.42776620371</v>
      </c>
      <c r="C349" s="1" t="n">
        <v>46042</v>
      </c>
      <c r="D349" t="inlineStr">
        <is>
          <t>JÄMTLANDS LÄN</t>
        </is>
      </c>
      <c r="E349" t="inlineStr">
        <is>
          <t>BRÄCKE</t>
        </is>
      </c>
      <c r="F349" t="inlineStr">
        <is>
          <t>SCA</t>
        </is>
      </c>
      <c r="G349" t="n">
        <v>2.3</v>
      </c>
      <c r="H349" t="n">
        <v>0</v>
      </c>
      <c r="I349" t="n">
        <v>1</v>
      </c>
      <c r="J349" t="n">
        <v>0</v>
      </c>
      <c r="K349" t="n">
        <v>0</v>
      </c>
      <c r="L349" t="n">
        <v>0</v>
      </c>
      <c r="M349" t="n">
        <v>0</v>
      </c>
      <c r="N349" t="n">
        <v>0</v>
      </c>
      <c r="O349" t="n">
        <v>0</v>
      </c>
      <c r="P349" t="n">
        <v>0</v>
      </c>
      <c r="Q349" t="n">
        <v>1</v>
      </c>
      <c r="R349" s="2" t="inlineStr">
        <is>
          <t>Underviol</t>
        </is>
      </c>
      <c r="S349">
        <f>HYPERLINK("https://klasma.github.io/Logging_2305/artfynd/A 23460-2025 artfynd.xlsx", "A 23460-2025")</f>
        <v/>
      </c>
      <c r="T349">
        <f>HYPERLINK("https://klasma.github.io/Logging_2305/kartor/A 23460-2025 karta.png", "A 23460-2025")</f>
        <v/>
      </c>
      <c r="V349">
        <f>HYPERLINK("https://klasma.github.io/Logging_2305/klagomål/A 23460-2025 FSC-klagomål.docx", "A 23460-2025")</f>
        <v/>
      </c>
      <c r="W349">
        <f>HYPERLINK("https://klasma.github.io/Logging_2305/klagomålsmail/A 23460-2025 FSC-klagomål mail.docx", "A 23460-2025")</f>
        <v/>
      </c>
      <c r="X349">
        <f>HYPERLINK("https://klasma.github.io/Logging_2305/tillsyn/A 23460-2025 tillsynsbegäran.docx", "A 23460-2025")</f>
        <v/>
      </c>
      <c r="Y349">
        <f>HYPERLINK("https://klasma.github.io/Logging_2305/tillsynsmail/A 23460-2025 tillsynsbegäran mail.docx", "A 23460-2025")</f>
        <v/>
      </c>
    </row>
    <row r="350" ht="15" customHeight="1">
      <c r="A350" t="inlineStr">
        <is>
          <t>A 15189-2025</t>
        </is>
      </c>
      <c r="B350" s="1" t="n">
        <v>45744.55259259259</v>
      </c>
      <c r="C350" s="1" t="n">
        <v>46042</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15189-2025 artfynd.xlsx", "A 15189-2025")</f>
        <v/>
      </c>
      <c r="T350">
        <f>HYPERLINK("https://klasma.github.io/Logging_2305/kartor/A 15189-2025 karta.png", "A 15189-2025")</f>
        <v/>
      </c>
      <c r="V350">
        <f>HYPERLINK("https://klasma.github.io/Logging_2305/klagomål/A 15189-2025 FSC-klagomål.docx", "A 15189-2025")</f>
        <v/>
      </c>
      <c r="W350">
        <f>HYPERLINK("https://klasma.github.io/Logging_2305/klagomålsmail/A 15189-2025 FSC-klagomål mail.docx", "A 15189-2025")</f>
        <v/>
      </c>
      <c r="X350">
        <f>HYPERLINK("https://klasma.github.io/Logging_2305/tillsyn/A 15189-2025 tillsynsbegäran.docx", "A 15189-2025")</f>
        <v/>
      </c>
      <c r="Y350">
        <f>HYPERLINK("https://klasma.github.io/Logging_2305/tillsynsmail/A 15189-2025 tillsynsbegäran mail.docx", "A 15189-2025")</f>
        <v/>
      </c>
      <c r="Z350">
        <f>HYPERLINK("https://klasma.github.io/Logging_2305/fåglar/A 15189-2025 prioriterade fågelarter.docx", "A 15189-2025")</f>
        <v/>
      </c>
    </row>
    <row r="351" ht="15" customHeight="1">
      <c r="A351" t="inlineStr">
        <is>
          <t>A 39701-2022</t>
        </is>
      </c>
      <c r="B351" s="1" t="n">
        <v>44818</v>
      </c>
      <c r="C351" s="1" t="n">
        <v>46042</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46042</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1087-2022</t>
        </is>
      </c>
      <c r="B353" s="1" t="n">
        <v>44571</v>
      </c>
      <c r="C353" s="1" t="n">
        <v>46042</v>
      </c>
      <c r="D353" t="inlineStr">
        <is>
          <t>JÄMTLANDS LÄN</t>
        </is>
      </c>
      <c r="E353" t="inlineStr">
        <is>
          <t>BRÄCKE</t>
        </is>
      </c>
      <c r="G353" t="n">
        <v>3.7</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46042</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44752-2022</t>
        </is>
      </c>
      <c r="B355" s="1" t="n">
        <v>44840</v>
      </c>
      <c r="C355" s="1" t="n">
        <v>46042</v>
      </c>
      <c r="D355" t="inlineStr">
        <is>
          <t>JÄMTLANDS LÄN</t>
        </is>
      </c>
      <c r="E355" t="inlineStr">
        <is>
          <t>BRÄCKE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51022-2022</t>
        </is>
      </c>
      <c r="B356" s="1" t="n">
        <v>44867</v>
      </c>
      <c r="C356" s="1" t="n">
        <v>46042</v>
      </c>
      <c r="D356" t="inlineStr">
        <is>
          <t>JÄMTLANDS LÄN</t>
        </is>
      </c>
      <c r="E356" t="inlineStr">
        <is>
          <t>BRÄCKE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46042</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46042</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46042</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46042</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46042</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63590-2021</t>
        </is>
      </c>
      <c r="B362" s="1" t="n">
        <v>44508.92332175926</v>
      </c>
      <c r="C362" s="1" t="n">
        <v>46042</v>
      </c>
      <c r="D362" t="inlineStr">
        <is>
          <t>JÄMTLANDS LÄN</t>
        </is>
      </c>
      <c r="E362" t="inlineStr">
        <is>
          <t>BRÄCKE</t>
        </is>
      </c>
      <c r="G362" t="n">
        <v>9.1</v>
      </c>
      <c r="H362" t="n">
        <v>0</v>
      </c>
      <c r="I362" t="n">
        <v>0</v>
      </c>
      <c r="J362" t="n">
        <v>0</v>
      </c>
      <c r="K362" t="n">
        <v>0</v>
      </c>
      <c r="L362" t="n">
        <v>0</v>
      </c>
      <c r="M362" t="n">
        <v>0</v>
      </c>
      <c r="N362" t="n">
        <v>0</v>
      </c>
      <c r="O362" t="n">
        <v>0</v>
      </c>
      <c r="P362" t="n">
        <v>0</v>
      </c>
      <c r="Q362" t="n">
        <v>0</v>
      </c>
      <c r="R362" s="2" t="inlineStr"/>
    </row>
    <row r="363" ht="15" customHeight="1">
      <c r="A363" t="inlineStr">
        <is>
          <t>A 43421-2022</t>
        </is>
      </c>
      <c r="B363" s="1" t="n">
        <v>44834</v>
      </c>
      <c r="C363" s="1" t="n">
        <v>46042</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46042</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39702-2022</t>
        </is>
      </c>
      <c r="B365" s="1" t="n">
        <v>44818</v>
      </c>
      <c r="C365" s="1" t="n">
        <v>46042</v>
      </c>
      <c r="D365" t="inlineStr">
        <is>
          <t>JÄMTLANDS LÄN</t>
        </is>
      </c>
      <c r="E365" t="inlineStr">
        <is>
          <t>BRÄCKE</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27261-2021</t>
        </is>
      </c>
      <c r="B366" s="1" t="n">
        <v>44350.93945601852</v>
      </c>
      <c r="C366" s="1" t="n">
        <v>46042</v>
      </c>
      <c r="D366" t="inlineStr">
        <is>
          <t>JÄMTLANDS LÄN</t>
        </is>
      </c>
      <c r="E366" t="inlineStr">
        <is>
          <t>BRÄCKE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37232-2022</t>
        </is>
      </c>
      <c r="B367" s="1" t="n">
        <v>44806</v>
      </c>
      <c r="C367" s="1" t="n">
        <v>46042</v>
      </c>
      <c r="D367" t="inlineStr">
        <is>
          <t>JÄMTLANDS LÄN</t>
        </is>
      </c>
      <c r="E367" t="inlineStr">
        <is>
          <t>BRÄCKE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30810-2022</t>
        </is>
      </c>
      <c r="B368" s="1" t="n">
        <v>44764.94164351852</v>
      </c>
      <c r="C368" s="1" t="n">
        <v>46042</v>
      </c>
      <c r="D368" t="inlineStr">
        <is>
          <t>JÄMTLANDS LÄN</t>
        </is>
      </c>
      <c r="E368" t="inlineStr">
        <is>
          <t>BRÄCKE</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46042</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46042</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46042</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46042</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46042</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46042</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46042</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46042</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46042</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46042</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46042</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46042</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46042</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46042</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46042</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46042</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46042</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46042</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46042</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46042</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46042</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28617-2021</t>
        </is>
      </c>
      <c r="B390" s="1" t="n">
        <v>44356</v>
      </c>
      <c r="C390" s="1" t="n">
        <v>46042</v>
      </c>
      <c r="D390" t="inlineStr">
        <is>
          <t>JÄMTLANDS LÄN</t>
        </is>
      </c>
      <c r="E390" t="inlineStr">
        <is>
          <t>BRÄCKE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47183-2022</t>
        </is>
      </c>
      <c r="B391" s="1" t="n">
        <v>44851</v>
      </c>
      <c r="C391" s="1" t="n">
        <v>46042</v>
      </c>
      <c r="D391" t="inlineStr">
        <is>
          <t>JÄMTLANDS LÄN</t>
        </is>
      </c>
      <c r="E391" t="inlineStr">
        <is>
          <t>BRÄCKE</t>
        </is>
      </c>
      <c r="G391" t="n">
        <v>2</v>
      </c>
      <c r="H391" t="n">
        <v>0</v>
      </c>
      <c r="I391" t="n">
        <v>0</v>
      </c>
      <c r="J391" t="n">
        <v>0</v>
      </c>
      <c r="K391" t="n">
        <v>0</v>
      </c>
      <c r="L391" t="n">
        <v>0</v>
      </c>
      <c r="M391" t="n">
        <v>0</v>
      </c>
      <c r="N391" t="n">
        <v>0</v>
      </c>
      <c r="O391" t="n">
        <v>0</v>
      </c>
      <c r="P391" t="n">
        <v>0</v>
      </c>
      <c r="Q391" t="n">
        <v>0</v>
      </c>
      <c r="R391" s="2" t="inlineStr"/>
    </row>
    <row r="392" ht="15" customHeight="1">
      <c r="A392" t="inlineStr">
        <is>
          <t>A 37234-2022</t>
        </is>
      </c>
      <c r="B392" s="1" t="n">
        <v>44806.94603009259</v>
      </c>
      <c r="C392" s="1" t="n">
        <v>46042</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46042</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46042</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46042</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46042</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46042</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46042</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46042</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46042</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46042</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46042</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46042</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46042</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46042</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46042</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46042</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46042</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37032-2022</t>
        </is>
      </c>
      <c r="B409" s="1" t="n">
        <v>44806</v>
      </c>
      <c r="C409" s="1" t="n">
        <v>46042</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62954-2021</t>
        </is>
      </c>
      <c r="B410" s="1" t="n">
        <v>44504</v>
      </c>
      <c r="C410" s="1" t="n">
        <v>46042</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46042</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46042</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46042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46042</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46042</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46042</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46042</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46042</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46042</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46042</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46042</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46042</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46042</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46042</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46042</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46042</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46042</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46042</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46042</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46042</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46042</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46042</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46042</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41817-2022</t>
        </is>
      </c>
      <c r="B434" s="1" t="n">
        <v>44827</v>
      </c>
      <c r="C434" s="1" t="n">
        <v>46042</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58269-2021</t>
        </is>
      </c>
      <c r="B435" s="1" t="n">
        <v>44487</v>
      </c>
      <c r="C435" s="1" t="n">
        <v>46042</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58272-2021</t>
        </is>
      </c>
      <c r="B436" s="1" t="n">
        <v>44487</v>
      </c>
      <c r="C436" s="1" t="n">
        <v>46042</v>
      </c>
      <c r="D436" t="inlineStr">
        <is>
          <t>JÄMTLANDS LÄN</t>
        </is>
      </c>
      <c r="E436" t="inlineStr">
        <is>
          <t>BRÄCKE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46042</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46042</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46042</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46042</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46042</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46042</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46042</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46042</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46042</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46042</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46042</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16733-2021</t>
        </is>
      </c>
      <c r="B448" s="1" t="n">
        <v>44293</v>
      </c>
      <c r="C448" s="1" t="n">
        <v>46042</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46042</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46042</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47559-2021</t>
        </is>
      </c>
      <c r="B451" s="1" t="n">
        <v>44447</v>
      </c>
      <c r="C451" s="1" t="n">
        <v>46042</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46042</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46042</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46024-2022</t>
        </is>
      </c>
      <c r="B454" s="1" t="n">
        <v>44846.92635416667</v>
      </c>
      <c r="C454" s="1" t="n">
        <v>46042</v>
      </c>
      <c r="D454" t="inlineStr">
        <is>
          <t>JÄMTLANDS LÄN</t>
        </is>
      </c>
      <c r="E454" t="inlineStr">
        <is>
          <t>BRÄCKE</t>
        </is>
      </c>
      <c r="G454" t="n">
        <v>3</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46042</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56221-2021</t>
        </is>
      </c>
      <c r="B456" s="1" t="n">
        <v>44477</v>
      </c>
      <c r="C456" s="1" t="n">
        <v>46042</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4542-2022</t>
        </is>
      </c>
      <c r="B457" s="1" t="n">
        <v>44590</v>
      </c>
      <c r="C457" s="1" t="n">
        <v>46042</v>
      </c>
      <c r="D457" t="inlineStr">
        <is>
          <t>JÄMTLANDS LÄN</t>
        </is>
      </c>
      <c r="E457" t="inlineStr">
        <is>
          <t>BRÄCKE</t>
        </is>
      </c>
      <c r="G457" t="n">
        <v>18.5</v>
      </c>
      <c r="H457" t="n">
        <v>0</v>
      </c>
      <c r="I457" t="n">
        <v>0</v>
      </c>
      <c r="J457" t="n">
        <v>0</v>
      </c>
      <c r="K457" t="n">
        <v>0</v>
      </c>
      <c r="L457" t="n">
        <v>0</v>
      </c>
      <c r="M457" t="n">
        <v>0</v>
      </c>
      <c r="N457" t="n">
        <v>0</v>
      </c>
      <c r="O457" t="n">
        <v>0</v>
      </c>
      <c r="P457" t="n">
        <v>0</v>
      </c>
      <c r="Q457" t="n">
        <v>0</v>
      </c>
      <c r="R457" s="2" t="inlineStr"/>
    </row>
    <row r="458" ht="15" customHeight="1">
      <c r="A458" t="inlineStr">
        <is>
          <t>A 10536-2022</t>
        </is>
      </c>
      <c r="B458" s="1" t="n">
        <v>44623.92185185185</v>
      </c>
      <c r="C458" s="1" t="n">
        <v>46042</v>
      </c>
      <c r="D458" t="inlineStr">
        <is>
          <t>JÄMTLANDS LÄN</t>
        </is>
      </c>
      <c r="E458" t="inlineStr">
        <is>
          <t>BRÄCKE</t>
        </is>
      </c>
      <c r="G458" t="n">
        <v>3.1</v>
      </c>
      <c r="H458" t="n">
        <v>0</v>
      </c>
      <c r="I458" t="n">
        <v>0</v>
      </c>
      <c r="J458" t="n">
        <v>0</v>
      </c>
      <c r="K458" t="n">
        <v>0</v>
      </c>
      <c r="L458" t="n">
        <v>0</v>
      </c>
      <c r="M458" t="n">
        <v>0</v>
      </c>
      <c r="N458" t="n">
        <v>0</v>
      </c>
      <c r="O458" t="n">
        <v>0</v>
      </c>
      <c r="P458" t="n">
        <v>0</v>
      </c>
      <c r="Q458" t="n">
        <v>0</v>
      </c>
      <c r="R458" s="2" t="inlineStr"/>
    </row>
    <row r="459" ht="15" customHeight="1">
      <c r="A459" t="inlineStr">
        <is>
          <t>A 30483-2022</t>
        </is>
      </c>
      <c r="B459" s="1" t="n">
        <v>44761.94037037037</v>
      </c>
      <c r="C459" s="1" t="n">
        <v>46042</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27258-2021</t>
        </is>
      </c>
      <c r="B460" s="1" t="n">
        <v>44350.93927083333</v>
      </c>
      <c r="C460" s="1" t="n">
        <v>46042</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56648-2021</t>
        </is>
      </c>
      <c r="B461" s="1" t="n">
        <v>44480.92122685185</v>
      </c>
      <c r="C461" s="1" t="n">
        <v>46042</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37828-2022</t>
        </is>
      </c>
      <c r="B462" s="1" t="n">
        <v>44810.9428587963</v>
      </c>
      <c r="C462" s="1" t="n">
        <v>46042</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37829-2022</t>
        </is>
      </c>
      <c r="B463" s="1" t="n">
        <v>44810.94292824074</v>
      </c>
      <c r="C463" s="1" t="n">
        <v>46042</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63579-2021</t>
        </is>
      </c>
      <c r="B464" s="1" t="n">
        <v>44508</v>
      </c>
      <c r="C464" s="1" t="n">
        <v>46042</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46793-2021</t>
        </is>
      </c>
      <c r="B465" s="1" t="n">
        <v>44445</v>
      </c>
      <c r="C465" s="1" t="n">
        <v>46042</v>
      </c>
      <c r="D465" t="inlineStr">
        <is>
          <t>JÄMTLANDS LÄN</t>
        </is>
      </c>
      <c r="E465" t="inlineStr">
        <is>
          <t>BRÄCKE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52022-2022</t>
        </is>
      </c>
      <c r="B466" s="1" t="n">
        <v>44872.95662037037</v>
      </c>
      <c r="C466" s="1" t="n">
        <v>46042</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58503-2022</t>
        </is>
      </c>
      <c r="B467" s="1" t="n">
        <v>44902.38313657408</v>
      </c>
      <c r="C467" s="1" t="n">
        <v>46042</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41825-2024</t>
        </is>
      </c>
      <c r="B468" s="1" t="n">
        <v>45561.39943287037</v>
      </c>
      <c r="C468" s="1" t="n">
        <v>46042</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37375-2021</t>
        </is>
      </c>
      <c r="B469" s="1" t="n">
        <v>44397</v>
      </c>
      <c r="C469" s="1" t="n">
        <v>46042</v>
      </c>
      <c r="D469" t="inlineStr">
        <is>
          <t>JÄMTLANDS LÄN</t>
        </is>
      </c>
      <c r="E469" t="inlineStr">
        <is>
          <t>BRÄCKE</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22121-2024</t>
        </is>
      </c>
      <c r="B470" s="1" t="n">
        <v>45443.95271990741</v>
      </c>
      <c r="C470" s="1" t="n">
        <v>46042</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9553-2024</t>
        </is>
      </c>
      <c r="B471" s="1" t="n">
        <v>45360.03491898148</v>
      </c>
      <c r="C471" s="1" t="n">
        <v>46042</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31342-2021</t>
        </is>
      </c>
      <c r="B472" s="1" t="n">
        <v>44368.93855324074</v>
      </c>
      <c r="C472" s="1" t="n">
        <v>46042</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58758-2023</t>
        </is>
      </c>
      <c r="B473" s="1" t="n">
        <v>45251.93006944445</v>
      </c>
      <c r="C473" s="1" t="n">
        <v>46042</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49032-2024</t>
        </is>
      </c>
      <c r="B474" s="1" t="n">
        <v>45594.53152777778</v>
      </c>
      <c r="C474" s="1" t="n">
        <v>46042</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48079-2023</t>
        </is>
      </c>
      <c r="B475" s="1" t="n">
        <v>45204</v>
      </c>
      <c r="C475" s="1" t="n">
        <v>46042</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58086-2024</t>
        </is>
      </c>
      <c r="B476" s="1" t="n">
        <v>45632.34436342592</v>
      </c>
      <c r="C476" s="1" t="n">
        <v>46042</v>
      </c>
      <c r="D476" t="inlineStr">
        <is>
          <t>JÄMTLANDS LÄN</t>
        </is>
      </c>
      <c r="E476" t="inlineStr">
        <is>
          <t>BRÄCKE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72025-2021</t>
        </is>
      </c>
      <c r="B477" s="1" t="n">
        <v>44540</v>
      </c>
      <c r="C477" s="1" t="n">
        <v>46042</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55663-2023</t>
        </is>
      </c>
      <c r="B478" s="1" t="n">
        <v>45238.96738425926</v>
      </c>
      <c r="C478" s="1" t="n">
        <v>46042</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46042</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9707-2025</t>
        </is>
      </c>
      <c r="B480" s="1" t="n">
        <v>45716.38592592593</v>
      </c>
      <c r="C480" s="1" t="n">
        <v>46042</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49727-2023</t>
        </is>
      </c>
      <c r="B481" s="1" t="n">
        <v>45208</v>
      </c>
      <c r="C481" s="1" t="n">
        <v>46042</v>
      </c>
      <c r="D481" t="inlineStr">
        <is>
          <t>JÄMTLANDS LÄN</t>
        </is>
      </c>
      <c r="E481" t="inlineStr">
        <is>
          <t>BRÄCKE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56491-2024</t>
        </is>
      </c>
      <c r="B482" s="1" t="n">
        <v>45625.48987268518</v>
      </c>
      <c r="C482" s="1" t="n">
        <v>46042</v>
      </c>
      <c r="D482" t="inlineStr">
        <is>
          <t>JÄMTLANDS LÄN</t>
        </is>
      </c>
      <c r="E482" t="inlineStr">
        <is>
          <t>BRÄCKE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34138-2023</t>
        </is>
      </c>
      <c r="B483" s="1" t="n">
        <v>45135</v>
      </c>
      <c r="C483" s="1" t="n">
        <v>46042</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19667-2025</t>
        </is>
      </c>
      <c r="B484" s="1" t="n">
        <v>45770.69820601852</v>
      </c>
      <c r="C484" s="1" t="n">
        <v>46042</v>
      </c>
      <c r="D484" t="inlineStr">
        <is>
          <t>JÄMTLANDS LÄN</t>
        </is>
      </c>
      <c r="E484" t="inlineStr">
        <is>
          <t>BRÄCKE</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73106-2021</t>
        </is>
      </c>
      <c r="B485" s="1" t="n">
        <v>44550.45646990741</v>
      </c>
      <c r="C485" s="1" t="n">
        <v>46042</v>
      </c>
      <c r="D485" t="inlineStr">
        <is>
          <t>JÄMTLANDS LÄN</t>
        </is>
      </c>
      <c r="E485" t="inlineStr">
        <is>
          <t>BRÄCKE</t>
        </is>
      </c>
      <c r="F485" t="inlineStr">
        <is>
          <t>Sveaskog</t>
        </is>
      </c>
      <c r="G485" t="n">
        <v>5.4</v>
      </c>
      <c r="H485" t="n">
        <v>0</v>
      </c>
      <c r="I485" t="n">
        <v>0</v>
      </c>
      <c r="J485" t="n">
        <v>0</v>
      </c>
      <c r="K485" t="n">
        <v>0</v>
      </c>
      <c r="L485" t="n">
        <v>0</v>
      </c>
      <c r="M485" t="n">
        <v>0</v>
      </c>
      <c r="N485" t="n">
        <v>0</v>
      </c>
      <c r="O485" t="n">
        <v>0</v>
      </c>
      <c r="P485" t="n">
        <v>0</v>
      </c>
      <c r="Q485" t="n">
        <v>0</v>
      </c>
      <c r="R485" s="2" t="inlineStr"/>
    </row>
    <row r="486" ht="15" customHeight="1">
      <c r="A486" t="inlineStr">
        <is>
          <t>A 3179-2024</t>
        </is>
      </c>
      <c r="B486" s="1" t="n">
        <v>45316</v>
      </c>
      <c r="C486" s="1" t="n">
        <v>46042</v>
      </c>
      <c r="D486" t="inlineStr">
        <is>
          <t>JÄMTLANDS LÄN</t>
        </is>
      </c>
      <c r="E486" t="inlineStr">
        <is>
          <t>BRÄCKE</t>
        </is>
      </c>
      <c r="G486" t="n">
        <v>1.5</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46042</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24717-2022</t>
        </is>
      </c>
      <c r="B488" s="1" t="n">
        <v>44727</v>
      </c>
      <c r="C488" s="1" t="n">
        <v>46042</v>
      </c>
      <c r="D488" t="inlineStr">
        <is>
          <t>JÄMTLANDS LÄN</t>
        </is>
      </c>
      <c r="E488" t="inlineStr">
        <is>
          <t>BRÄCKE</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46042</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29835-2022</t>
        </is>
      </c>
      <c r="B490" s="1" t="n">
        <v>44755.94592592592</v>
      </c>
      <c r="C490" s="1" t="n">
        <v>46042</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46042</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57586-2024</t>
        </is>
      </c>
      <c r="B492" s="1" t="n">
        <v>45630.49229166667</v>
      </c>
      <c r="C492" s="1" t="n">
        <v>46042</v>
      </c>
      <c r="D492" t="inlineStr">
        <is>
          <t>JÄMTLANDS LÄN</t>
        </is>
      </c>
      <c r="E492" t="inlineStr">
        <is>
          <t>BRÄCKE</t>
        </is>
      </c>
      <c r="G492" t="n">
        <v>0.1</v>
      </c>
      <c r="H492" t="n">
        <v>0</v>
      </c>
      <c r="I492" t="n">
        <v>0</v>
      </c>
      <c r="J492" t="n">
        <v>0</v>
      </c>
      <c r="K492" t="n">
        <v>0</v>
      </c>
      <c r="L492" t="n">
        <v>0</v>
      </c>
      <c r="M492" t="n">
        <v>0</v>
      </c>
      <c r="N492" t="n">
        <v>0</v>
      </c>
      <c r="O492" t="n">
        <v>0</v>
      </c>
      <c r="P492" t="n">
        <v>0</v>
      </c>
      <c r="Q492" t="n">
        <v>0</v>
      </c>
      <c r="R492" s="2" t="inlineStr"/>
    </row>
    <row r="493" ht="15" customHeight="1">
      <c r="A493" t="inlineStr">
        <is>
          <t>A 57942-2023</t>
        </is>
      </c>
      <c r="B493" s="1" t="n">
        <v>45244</v>
      </c>
      <c r="C493" s="1" t="n">
        <v>46042</v>
      </c>
      <c r="D493" t="inlineStr">
        <is>
          <t>JÄMTLANDS LÄN</t>
        </is>
      </c>
      <c r="E493" t="inlineStr">
        <is>
          <t>BRÄCKE</t>
        </is>
      </c>
      <c r="G493" t="n">
        <v>3.9</v>
      </c>
      <c r="H493" t="n">
        <v>0</v>
      </c>
      <c r="I493" t="n">
        <v>0</v>
      </c>
      <c r="J493" t="n">
        <v>0</v>
      </c>
      <c r="K493" t="n">
        <v>0</v>
      </c>
      <c r="L493" t="n">
        <v>0</v>
      </c>
      <c r="M493" t="n">
        <v>0</v>
      </c>
      <c r="N493" t="n">
        <v>0</v>
      </c>
      <c r="O493" t="n">
        <v>0</v>
      </c>
      <c r="P493" t="n">
        <v>0</v>
      </c>
      <c r="Q493" t="n">
        <v>0</v>
      </c>
      <c r="R493" s="2" t="inlineStr"/>
    </row>
    <row r="494" ht="15" customHeight="1">
      <c r="A494" t="inlineStr">
        <is>
          <t>A 23771-2023</t>
        </is>
      </c>
      <c r="B494" s="1" t="n">
        <v>45077</v>
      </c>
      <c r="C494" s="1" t="n">
        <v>46042</v>
      </c>
      <c r="D494" t="inlineStr">
        <is>
          <t>JÄMTLANDS LÄN</t>
        </is>
      </c>
      <c r="E494" t="inlineStr">
        <is>
          <t>BRÄCKE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46042</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44082-2024</t>
        </is>
      </c>
      <c r="B496" s="1" t="n">
        <v>45572.61549768518</v>
      </c>
      <c r="C496" s="1" t="n">
        <v>46042</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33033-2023</t>
        </is>
      </c>
      <c r="B497" s="1" t="n">
        <v>45125.95037037037</v>
      </c>
      <c r="C497" s="1" t="n">
        <v>46042</v>
      </c>
      <c r="D497" t="inlineStr">
        <is>
          <t>JÄMTLANDS LÄN</t>
        </is>
      </c>
      <c r="E497" t="inlineStr">
        <is>
          <t>BRÄCKE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48425-2023</t>
        </is>
      </c>
      <c r="B498" s="1" t="n">
        <v>45205</v>
      </c>
      <c r="C498" s="1" t="n">
        <v>46042</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1347-2025</t>
        </is>
      </c>
      <c r="B499" s="1" t="n">
        <v>45667.61490740741</v>
      </c>
      <c r="C499" s="1" t="n">
        <v>46042</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8853-2025</t>
        </is>
      </c>
      <c r="B500" s="1" t="n">
        <v>45713.34482638889</v>
      </c>
      <c r="C500" s="1" t="n">
        <v>46042</v>
      </c>
      <c r="D500" t="inlineStr">
        <is>
          <t>JÄMTLANDS LÄN</t>
        </is>
      </c>
      <c r="E500" t="inlineStr">
        <is>
          <t>BRÄCKE</t>
        </is>
      </c>
      <c r="F500" t="inlineStr">
        <is>
          <t>SCA</t>
        </is>
      </c>
      <c r="G500" t="n">
        <v>15.7</v>
      </c>
      <c r="H500" t="n">
        <v>0</v>
      </c>
      <c r="I500" t="n">
        <v>0</v>
      </c>
      <c r="J500" t="n">
        <v>0</v>
      </c>
      <c r="K500" t="n">
        <v>0</v>
      </c>
      <c r="L500" t="n">
        <v>0</v>
      </c>
      <c r="M500" t="n">
        <v>0</v>
      </c>
      <c r="N500" t="n">
        <v>0</v>
      </c>
      <c r="O500" t="n">
        <v>0</v>
      </c>
      <c r="P500" t="n">
        <v>0</v>
      </c>
      <c r="Q500" t="n">
        <v>0</v>
      </c>
      <c r="R500" s="2" t="inlineStr"/>
    </row>
    <row r="501" ht="15" customHeight="1">
      <c r="A501" t="inlineStr">
        <is>
          <t>A 12900-2023</t>
        </is>
      </c>
      <c r="B501" s="1" t="n">
        <v>45001</v>
      </c>
      <c r="C501" s="1" t="n">
        <v>46042</v>
      </c>
      <c r="D501" t="inlineStr">
        <is>
          <t>JÄMTLANDS LÄN</t>
        </is>
      </c>
      <c r="E501" t="inlineStr">
        <is>
          <t>BRÄCKE</t>
        </is>
      </c>
      <c r="G501" t="n">
        <v>1.3</v>
      </c>
      <c r="H501" t="n">
        <v>0</v>
      </c>
      <c r="I501" t="n">
        <v>0</v>
      </c>
      <c r="J501" t="n">
        <v>0</v>
      </c>
      <c r="K501" t="n">
        <v>0</v>
      </c>
      <c r="L501" t="n">
        <v>0</v>
      </c>
      <c r="M501" t="n">
        <v>0</v>
      </c>
      <c r="N501" t="n">
        <v>0</v>
      </c>
      <c r="O501" t="n">
        <v>0</v>
      </c>
      <c r="P501" t="n">
        <v>0</v>
      </c>
      <c r="Q501" t="n">
        <v>0</v>
      </c>
      <c r="R501" s="2" t="inlineStr"/>
    </row>
    <row r="502" ht="15" customHeight="1">
      <c r="A502" t="inlineStr">
        <is>
          <t>A 41831-2024</t>
        </is>
      </c>
      <c r="B502" s="1" t="n">
        <v>45561.40703703704</v>
      </c>
      <c r="C502" s="1" t="n">
        <v>46042</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55221-2024</t>
        </is>
      </c>
      <c r="B503" s="1" t="n">
        <v>45621.57369212963</v>
      </c>
      <c r="C503" s="1" t="n">
        <v>46042</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40711-2022</t>
        </is>
      </c>
      <c r="B504" s="1" t="n">
        <v>44820</v>
      </c>
      <c r="C504" s="1" t="n">
        <v>46042</v>
      </c>
      <c r="D504" t="inlineStr">
        <is>
          <t>JÄMTLANDS LÄN</t>
        </is>
      </c>
      <c r="E504" t="inlineStr">
        <is>
          <t>BRÄCKE</t>
        </is>
      </c>
      <c r="G504" t="n">
        <v>5.4</v>
      </c>
      <c r="H504" t="n">
        <v>0</v>
      </c>
      <c r="I504" t="n">
        <v>0</v>
      </c>
      <c r="J504" t="n">
        <v>0</v>
      </c>
      <c r="K504" t="n">
        <v>0</v>
      </c>
      <c r="L504" t="n">
        <v>0</v>
      </c>
      <c r="M504" t="n">
        <v>0</v>
      </c>
      <c r="N504" t="n">
        <v>0</v>
      </c>
      <c r="O504" t="n">
        <v>0</v>
      </c>
      <c r="P504" t="n">
        <v>0</v>
      </c>
      <c r="Q504" t="n">
        <v>0</v>
      </c>
      <c r="R504" s="2" t="inlineStr"/>
    </row>
    <row r="505" ht="15" customHeight="1">
      <c r="A505" t="inlineStr">
        <is>
          <t>A 10486-2025</t>
        </is>
      </c>
      <c r="B505" s="1" t="n">
        <v>45721.34410879629</v>
      </c>
      <c r="C505" s="1" t="n">
        <v>46042</v>
      </c>
      <c r="D505" t="inlineStr">
        <is>
          <t>JÄMTLANDS LÄN</t>
        </is>
      </c>
      <c r="E505" t="inlineStr">
        <is>
          <t>BRÄCKE</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4904-2025</t>
        </is>
      </c>
      <c r="B506" s="1" t="n">
        <v>45688.68020833333</v>
      </c>
      <c r="C506" s="1" t="n">
        <v>46042</v>
      </c>
      <c r="D506" t="inlineStr">
        <is>
          <t>JÄMTLANDS LÄN</t>
        </is>
      </c>
      <c r="E506" t="inlineStr">
        <is>
          <t>BRÄCKE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6291-2025</t>
        </is>
      </c>
      <c r="B507" s="1" t="n">
        <v>45698.65653935185</v>
      </c>
      <c r="C507" s="1" t="n">
        <v>46042</v>
      </c>
      <c r="D507" t="inlineStr">
        <is>
          <t>JÄMTLANDS LÄN</t>
        </is>
      </c>
      <c r="E507" t="inlineStr">
        <is>
          <t>BRÄCKE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1864-2022</t>
        </is>
      </c>
      <c r="B508" s="1" t="n">
        <v>44574</v>
      </c>
      <c r="C508" s="1" t="n">
        <v>46042</v>
      </c>
      <c r="D508" t="inlineStr">
        <is>
          <t>JÄMTLANDS LÄN</t>
        </is>
      </c>
      <c r="E508" t="inlineStr">
        <is>
          <t>BRÄCKE</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26302-2024</t>
        </is>
      </c>
      <c r="B509" s="1" t="n">
        <v>45468.9328587963</v>
      </c>
      <c r="C509" s="1" t="n">
        <v>46042</v>
      </c>
      <c r="D509" t="inlineStr">
        <is>
          <t>JÄMTLANDS LÄN</t>
        </is>
      </c>
      <c r="E509" t="inlineStr">
        <is>
          <t>BRÄCKE</t>
        </is>
      </c>
      <c r="G509" t="n">
        <v>0.5</v>
      </c>
      <c r="H509" t="n">
        <v>0</v>
      </c>
      <c r="I509" t="n">
        <v>0</v>
      </c>
      <c r="J509" t="n">
        <v>0</v>
      </c>
      <c r="K509" t="n">
        <v>0</v>
      </c>
      <c r="L509" t="n">
        <v>0</v>
      </c>
      <c r="M509" t="n">
        <v>0</v>
      </c>
      <c r="N509" t="n">
        <v>0</v>
      </c>
      <c r="O509" t="n">
        <v>0</v>
      </c>
      <c r="P509" t="n">
        <v>0</v>
      </c>
      <c r="Q509" t="n">
        <v>0</v>
      </c>
      <c r="R509" s="2" t="inlineStr"/>
    </row>
    <row r="510" ht="15" customHeight="1">
      <c r="A510" t="inlineStr">
        <is>
          <t>A 58740-2023</t>
        </is>
      </c>
      <c r="B510" s="1" t="n">
        <v>45251.92890046296</v>
      </c>
      <c r="C510" s="1" t="n">
        <v>46042</v>
      </c>
      <c r="D510" t="inlineStr">
        <is>
          <t>JÄMTLANDS LÄN</t>
        </is>
      </c>
      <c r="E510" t="inlineStr">
        <is>
          <t>BRÄCKE</t>
        </is>
      </c>
      <c r="G510" t="n">
        <v>1.4</v>
      </c>
      <c r="H510" t="n">
        <v>0</v>
      </c>
      <c r="I510" t="n">
        <v>0</v>
      </c>
      <c r="J510" t="n">
        <v>0</v>
      </c>
      <c r="K510" t="n">
        <v>0</v>
      </c>
      <c r="L510" t="n">
        <v>0</v>
      </c>
      <c r="M510" t="n">
        <v>0</v>
      </c>
      <c r="N510" t="n">
        <v>0</v>
      </c>
      <c r="O510" t="n">
        <v>0</v>
      </c>
      <c r="P510" t="n">
        <v>0</v>
      </c>
      <c r="Q510" t="n">
        <v>0</v>
      </c>
      <c r="R510" s="2" t="inlineStr"/>
    </row>
    <row r="511" ht="15" customHeight="1">
      <c r="A511" t="inlineStr">
        <is>
          <t>A 7027-2022</t>
        </is>
      </c>
      <c r="B511" s="1" t="n">
        <v>44603.46644675926</v>
      </c>
      <c r="C511" s="1" t="n">
        <v>46042</v>
      </c>
      <c r="D511" t="inlineStr">
        <is>
          <t>JÄMTLANDS LÄN</t>
        </is>
      </c>
      <c r="E511" t="inlineStr">
        <is>
          <t>BRÄCKE</t>
        </is>
      </c>
      <c r="G511" t="n">
        <v>3.7</v>
      </c>
      <c r="H511" t="n">
        <v>0</v>
      </c>
      <c r="I511" t="n">
        <v>0</v>
      </c>
      <c r="J511" t="n">
        <v>0</v>
      </c>
      <c r="K511" t="n">
        <v>0</v>
      </c>
      <c r="L511" t="n">
        <v>0</v>
      </c>
      <c r="M511" t="n">
        <v>0</v>
      </c>
      <c r="N511" t="n">
        <v>0</v>
      </c>
      <c r="O511" t="n">
        <v>0</v>
      </c>
      <c r="P511" t="n">
        <v>0</v>
      </c>
      <c r="Q511" t="n">
        <v>0</v>
      </c>
      <c r="R511" s="2" t="inlineStr"/>
    </row>
    <row r="512" ht="15" customHeight="1">
      <c r="A512" t="inlineStr">
        <is>
          <t>A 40313-2021</t>
        </is>
      </c>
      <c r="B512" s="1" t="n">
        <v>44419.50186342592</v>
      </c>
      <c r="C512" s="1" t="n">
        <v>46042</v>
      </c>
      <c r="D512" t="inlineStr">
        <is>
          <t>JÄMTLANDS LÄN</t>
        </is>
      </c>
      <c r="E512" t="inlineStr">
        <is>
          <t>BRÄCKE</t>
        </is>
      </c>
      <c r="G512" t="n">
        <v>5.7</v>
      </c>
      <c r="H512" t="n">
        <v>0</v>
      </c>
      <c r="I512" t="n">
        <v>0</v>
      </c>
      <c r="J512" t="n">
        <v>0</v>
      </c>
      <c r="K512" t="n">
        <v>0</v>
      </c>
      <c r="L512" t="n">
        <v>0</v>
      </c>
      <c r="M512" t="n">
        <v>0</v>
      </c>
      <c r="N512" t="n">
        <v>0</v>
      </c>
      <c r="O512" t="n">
        <v>0</v>
      </c>
      <c r="P512" t="n">
        <v>0</v>
      </c>
      <c r="Q512" t="n">
        <v>0</v>
      </c>
      <c r="R512" s="2" t="inlineStr"/>
    </row>
    <row r="513" ht="15" customHeight="1">
      <c r="A513" t="inlineStr">
        <is>
          <t>A 14664-2024</t>
        </is>
      </c>
      <c r="B513" s="1" t="n">
        <v>45397.41673611111</v>
      </c>
      <c r="C513" s="1" t="n">
        <v>46042</v>
      </c>
      <c r="D513" t="inlineStr">
        <is>
          <t>JÄMTLANDS LÄN</t>
        </is>
      </c>
      <c r="E513" t="inlineStr">
        <is>
          <t>BRÄCKE</t>
        </is>
      </c>
      <c r="G513" t="n">
        <v>4.5</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46042</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35501-2022</t>
        </is>
      </c>
      <c r="B515" s="1" t="n">
        <v>44798.94827546296</v>
      </c>
      <c r="C515" s="1" t="n">
        <v>46042</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12864-2024</t>
        </is>
      </c>
      <c r="B516" s="1" t="n">
        <v>45384.9415625</v>
      </c>
      <c r="C516" s="1" t="n">
        <v>46042</v>
      </c>
      <c r="D516" t="inlineStr">
        <is>
          <t>JÄMTLANDS LÄN</t>
        </is>
      </c>
      <c r="E516" t="inlineStr">
        <is>
          <t>BRÄCKE</t>
        </is>
      </c>
      <c r="F516" t="inlineStr">
        <is>
          <t>SCA</t>
        </is>
      </c>
      <c r="G516" t="n">
        <v>7.6</v>
      </c>
      <c r="H516" t="n">
        <v>0</v>
      </c>
      <c r="I516" t="n">
        <v>0</v>
      </c>
      <c r="J516" t="n">
        <v>0</v>
      </c>
      <c r="K516" t="n">
        <v>0</v>
      </c>
      <c r="L516" t="n">
        <v>0</v>
      </c>
      <c r="M516" t="n">
        <v>0</v>
      </c>
      <c r="N516" t="n">
        <v>0</v>
      </c>
      <c r="O516" t="n">
        <v>0</v>
      </c>
      <c r="P516" t="n">
        <v>0</v>
      </c>
      <c r="Q516" t="n">
        <v>0</v>
      </c>
      <c r="R516" s="2" t="inlineStr"/>
    </row>
    <row r="517" ht="15" customHeight="1">
      <c r="A517" t="inlineStr">
        <is>
          <t>A 12891-2024</t>
        </is>
      </c>
      <c r="B517" s="1" t="n">
        <v>45385</v>
      </c>
      <c r="C517" s="1" t="n">
        <v>46042</v>
      </c>
      <c r="D517" t="inlineStr">
        <is>
          <t>JÄMTLANDS LÄN</t>
        </is>
      </c>
      <c r="E517" t="inlineStr">
        <is>
          <t>BRÄCKE</t>
        </is>
      </c>
      <c r="F517" t="inlineStr">
        <is>
          <t>Kyrkan</t>
        </is>
      </c>
      <c r="G517" t="n">
        <v>0.4</v>
      </c>
      <c r="H517" t="n">
        <v>0</v>
      </c>
      <c r="I517" t="n">
        <v>0</v>
      </c>
      <c r="J517" t="n">
        <v>0</v>
      </c>
      <c r="K517" t="n">
        <v>0</v>
      </c>
      <c r="L517" t="n">
        <v>0</v>
      </c>
      <c r="M517" t="n">
        <v>0</v>
      </c>
      <c r="N517" t="n">
        <v>0</v>
      </c>
      <c r="O517" t="n">
        <v>0</v>
      </c>
      <c r="P517" t="n">
        <v>0</v>
      </c>
      <c r="Q517" t="n">
        <v>0</v>
      </c>
      <c r="R517" s="2" t="inlineStr"/>
    </row>
    <row r="518" ht="15" customHeight="1">
      <c r="A518" t="inlineStr">
        <is>
          <t>A 53278-2022</t>
        </is>
      </c>
      <c r="B518" s="1" t="n">
        <v>44876.94785879629</v>
      </c>
      <c r="C518" s="1" t="n">
        <v>46042</v>
      </c>
      <c r="D518" t="inlineStr">
        <is>
          <t>JÄMTLANDS LÄN</t>
        </is>
      </c>
      <c r="E518" t="inlineStr">
        <is>
          <t>BRÄCKE</t>
        </is>
      </c>
      <c r="G518" t="n">
        <v>2</v>
      </c>
      <c r="H518" t="n">
        <v>0</v>
      </c>
      <c r="I518" t="n">
        <v>0</v>
      </c>
      <c r="J518" t="n">
        <v>0</v>
      </c>
      <c r="K518" t="n">
        <v>0</v>
      </c>
      <c r="L518" t="n">
        <v>0</v>
      </c>
      <c r="M518" t="n">
        <v>0</v>
      </c>
      <c r="N518" t="n">
        <v>0</v>
      </c>
      <c r="O518" t="n">
        <v>0</v>
      </c>
      <c r="P518" t="n">
        <v>0</v>
      </c>
      <c r="Q518" t="n">
        <v>0</v>
      </c>
      <c r="R518" s="2" t="inlineStr"/>
    </row>
    <row r="519" ht="15" customHeight="1">
      <c r="A519" t="inlineStr">
        <is>
          <t>A 31471-2023</t>
        </is>
      </c>
      <c r="B519" s="1" t="n">
        <v>45104</v>
      </c>
      <c r="C519" s="1" t="n">
        <v>46042</v>
      </c>
      <c r="D519" t="inlineStr">
        <is>
          <t>JÄMTLANDS LÄN</t>
        </is>
      </c>
      <c r="E519" t="inlineStr">
        <is>
          <t>BRÄCKE</t>
        </is>
      </c>
      <c r="G519" t="n">
        <v>0.3</v>
      </c>
      <c r="H519" t="n">
        <v>0</v>
      </c>
      <c r="I519" t="n">
        <v>0</v>
      </c>
      <c r="J519" t="n">
        <v>0</v>
      </c>
      <c r="K519" t="n">
        <v>0</v>
      </c>
      <c r="L519" t="n">
        <v>0</v>
      </c>
      <c r="M519" t="n">
        <v>0</v>
      </c>
      <c r="N519" t="n">
        <v>0</v>
      </c>
      <c r="O519" t="n">
        <v>0</v>
      </c>
      <c r="P519" t="n">
        <v>0</v>
      </c>
      <c r="Q519" t="n">
        <v>0</v>
      </c>
      <c r="R519" s="2" t="inlineStr"/>
    </row>
    <row r="520" ht="15" customHeight="1">
      <c r="A520" t="inlineStr">
        <is>
          <t>A 59417-2023</t>
        </is>
      </c>
      <c r="B520" s="1" t="n">
        <v>45253</v>
      </c>
      <c r="C520" s="1" t="n">
        <v>46042</v>
      </c>
      <c r="D520" t="inlineStr">
        <is>
          <t>JÄMTLANDS LÄN</t>
        </is>
      </c>
      <c r="E520" t="inlineStr">
        <is>
          <t>BRÄCKE</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54243-2022</t>
        </is>
      </c>
      <c r="B521" s="1" t="n">
        <v>44881</v>
      </c>
      <c r="C521" s="1" t="n">
        <v>46042</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14492-2024</t>
        </is>
      </c>
      <c r="B522" s="1" t="n">
        <v>45394.58215277778</v>
      </c>
      <c r="C522" s="1" t="n">
        <v>46042</v>
      </c>
      <c r="D522" t="inlineStr">
        <is>
          <t>JÄMTLANDS LÄN</t>
        </is>
      </c>
      <c r="E522" t="inlineStr">
        <is>
          <t>BRÄCKE</t>
        </is>
      </c>
      <c r="G522" t="n">
        <v>16.6</v>
      </c>
      <c r="H522" t="n">
        <v>0</v>
      </c>
      <c r="I522" t="n">
        <v>0</v>
      </c>
      <c r="J522" t="n">
        <v>0</v>
      </c>
      <c r="K522" t="n">
        <v>0</v>
      </c>
      <c r="L522" t="n">
        <v>0</v>
      </c>
      <c r="M522" t="n">
        <v>0</v>
      </c>
      <c r="N522" t="n">
        <v>0</v>
      </c>
      <c r="O522" t="n">
        <v>0</v>
      </c>
      <c r="P522" t="n">
        <v>0</v>
      </c>
      <c r="Q522" t="n">
        <v>0</v>
      </c>
      <c r="R522" s="2" t="inlineStr"/>
    </row>
    <row r="523" ht="15" customHeight="1">
      <c r="A523" t="inlineStr">
        <is>
          <t>A 14373-2024</t>
        </is>
      </c>
      <c r="B523" s="1" t="n">
        <v>45393</v>
      </c>
      <c r="C523" s="1" t="n">
        <v>46042</v>
      </c>
      <c r="D523" t="inlineStr">
        <is>
          <t>JÄMTLANDS LÄN</t>
        </is>
      </c>
      <c r="E523" t="inlineStr">
        <is>
          <t>BRÄCKE</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53578-2024</t>
        </is>
      </c>
      <c r="B524" s="1" t="n">
        <v>45614</v>
      </c>
      <c r="C524" s="1" t="n">
        <v>46042</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49085-2023</t>
        </is>
      </c>
      <c r="B525" s="1" t="n">
        <v>45204</v>
      </c>
      <c r="C525" s="1" t="n">
        <v>46042</v>
      </c>
      <c r="D525" t="inlineStr">
        <is>
          <t>JÄMTLANDS LÄN</t>
        </is>
      </c>
      <c r="E525" t="inlineStr">
        <is>
          <t>BRÄCKE</t>
        </is>
      </c>
      <c r="G525" t="n">
        <v>2.1</v>
      </c>
      <c r="H525" t="n">
        <v>0</v>
      </c>
      <c r="I525" t="n">
        <v>0</v>
      </c>
      <c r="J525" t="n">
        <v>0</v>
      </c>
      <c r="K525" t="n">
        <v>0</v>
      </c>
      <c r="L525" t="n">
        <v>0</v>
      </c>
      <c r="M525" t="n">
        <v>0</v>
      </c>
      <c r="N525" t="n">
        <v>0</v>
      </c>
      <c r="O525" t="n">
        <v>0</v>
      </c>
      <c r="P525" t="n">
        <v>0</v>
      </c>
      <c r="Q525" t="n">
        <v>0</v>
      </c>
      <c r="R525" s="2" t="inlineStr"/>
    </row>
    <row r="526" ht="15" customHeight="1">
      <c r="A526" t="inlineStr">
        <is>
          <t>A 3787-2025</t>
        </is>
      </c>
      <c r="B526" s="1" t="n">
        <v>45681.6362037037</v>
      </c>
      <c r="C526" s="1" t="n">
        <v>46042</v>
      </c>
      <c r="D526" t="inlineStr">
        <is>
          <t>JÄMTLANDS LÄN</t>
        </is>
      </c>
      <c r="E526" t="inlineStr">
        <is>
          <t>BRÄCKE</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46042</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46042</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17973-2025</t>
        </is>
      </c>
      <c r="B529" s="1" t="n">
        <v>45761.36490740741</v>
      </c>
      <c r="C529" s="1" t="n">
        <v>46042</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17977-2025</t>
        </is>
      </c>
      <c r="B530" s="1" t="n">
        <v>45761.36550925926</v>
      </c>
      <c r="C530" s="1" t="n">
        <v>46042</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46042</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54600-2023</t>
        </is>
      </c>
      <c r="B532" s="1" t="n">
        <v>45233.95663194444</v>
      </c>
      <c r="C532" s="1" t="n">
        <v>46042</v>
      </c>
      <c r="D532" t="inlineStr">
        <is>
          <t>JÄMTLANDS LÄN</t>
        </is>
      </c>
      <c r="E532" t="inlineStr">
        <is>
          <t>BRÄCKE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18600-2024</t>
        </is>
      </c>
      <c r="B533" s="1" t="n">
        <v>45425.92462962963</v>
      </c>
      <c r="C533" s="1" t="n">
        <v>46042</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61079-2024</t>
        </is>
      </c>
      <c r="B534" s="1" t="n">
        <v>45645.51072916666</v>
      </c>
      <c r="C534" s="1" t="n">
        <v>46042</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37959-2024</t>
        </is>
      </c>
      <c r="B535" s="1" t="n">
        <v>45544.53870370371</v>
      </c>
      <c r="C535" s="1" t="n">
        <v>46042</v>
      </c>
      <c r="D535" t="inlineStr">
        <is>
          <t>JÄMTLANDS LÄN</t>
        </is>
      </c>
      <c r="E535" t="inlineStr">
        <is>
          <t>BRÄCKE</t>
        </is>
      </c>
      <c r="G535" t="n">
        <v>6.5</v>
      </c>
      <c r="H535" t="n">
        <v>0</v>
      </c>
      <c r="I535" t="n">
        <v>0</v>
      </c>
      <c r="J535" t="n">
        <v>0</v>
      </c>
      <c r="K535" t="n">
        <v>0</v>
      </c>
      <c r="L535" t="n">
        <v>0</v>
      </c>
      <c r="M535" t="n">
        <v>0</v>
      </c>
      <c r="N535" t="n">
        <v>0</v>
      </c>
      <c r="O535" t="n">
        <v>0</v>
      </c>
      <c r="P535" t="n">
        <v>0</v>
      </c>
      <c r="Q535" t="n">
        <v>0</v>
      </c>
      <c r="R535" s="2" t="inlineStr"/>
    </row>
    <row r="536" ht="15" customHeight="1">
      <c r="A536" t="inlineStr">
        <is>
          <t>A 55662-2023</t>
        </is>
      </c>
      <c r="B536" s="1" t="n">
        <v>45238.96730324074</v>
      </c>
      <c r="C536" s="1" t="n">
        <v>46042</v>
      </c>
      <c r="D536" t="inlineStr">
        <is>
          <t>JÄMTLANDS LÄN</t>
        </is>
      </c>
      <c r="E536" t="inlineStr">
        <is>
          <t>BRÄCKE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9387-2025</t>
        </is>
      </c>
      <c r="B537" s="1" t="n">
        <v>45715.34461805555</v>
      </c>
      <c r="C537" s="1" t="n">
        <v>46042</v>
      </c>
      <c r="D537" t="inlineStr">
        <is>
          <t>JÄMTLANDS LÄN</t>
        </is>
      </c>
      <c r="E537" t="inlineStr">
        <is>
          <t>BRÄCKE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33870-2023</t>
        </is>
      </c>
      <c r="B538" s="1" t="n">
        <v>45133.95326388889</v>
      </c>
      <c r="C538" s="1" t="n">
        <v>46042</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37173-2024</t>
        </is>
      </c>
      <c r="B539" s="1" t="n">
        <v>45539.63597222222</v>
      </c>
      <c r="C539" s="1" t="n">
        <v>46042</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52227-2024</t>
        </is>
      </c>
      <c r="B540" s="1" t="n">
        <v>45608.60768518518</v>
      </c>
      <c r="C540" s="1" t="n">
        <v>46042</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18066-2025</t>
        </is>
      </c>
      <c r="B541" s="1" t="n">
        <v>45761.49002314815</v>
      </c>
      <c r="C541" s="1" t="n">
        <v>46042</v>
      </c>
      <c r="D541" t="inlineStr">
        <is>
          <t>JÄMTLANDS LÄN</t>
        </is>
      </c>
      <c r="E541" t="inlineStr">
        <is>
          <t>BRÄCKE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2065-2024</t>
        </is>
      </c>
      <c r="B542" s="1" t="n">
        <v>45308.97871527778</v>
      </c>
      <c r="C542" s="1" t="n">
        <v>46042</v>
      </c>
      <c r="D542" t="inlineStr">
        <is>
          <t>JÄMTLANDS LÄN</t>
        </is>
      </c>
      <c r="E542" t="inlineStr">
        <is>
          <t>BRÄCKE</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45304-2022</t>
        </is>
      </c>
      <c r="B543" s="1" t="n">
        <v>44841</v>
      </c>
      <c r="C543" s="1" t="n">
        <v>46042</v>
      </c>
      <c r="D543" t="inlineStr">
        <is>
          <t>JÄMTLANDS LÄN</t>
        </is>
      </c>
      <c r="E543" t="inlineStr">
        <is>
          <t>BRÄCKE</t>
        </is>
      </c>
      <c r="G543" t="n">
        <v>3.8</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46042</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39996-2024</t>
        </is>
      </c>
      <c r="B545" s="1" t="n">
        <v>45553.63585648148</v>
      </c>
      <c r="C545" s="1" t="n">
        <v>46042</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28766-2024</t>
        </is>
      </c>
      <c r="B546" s="1" t="n">
        <v>45478</v>
      </c>
      <c r="C546" s="1" t="n">
        <v>46042</v>
      </c>
      <c r="D546" t="inlineStr">
        <is>
          <t>JÄMTLANDS LÄN</t>
        </is>
      </c>
      <c r="E546" t="inlineStr">
        <is>
          <t>BRÄCKE</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13668-2024</t>
        </is>
      </c>
      <c r="B547" s="1" t="n">
        <v>45387</v>
      </c>
      <c r="C547" s="1" t="n">
        <v>46042</v>
      </c>
      <c r="D547" t="inlineStr">
        <is>
          <t>JÄMTLANDS LÄN</t>
        </is>
      </c>
      <c r="E547" t="inlineStr">
        <is>
          <t>BRÄCKE</t>
        </is>
      </c>
      <c r="G547" t="n">
        <v>8.1</v>
      </c>
      <c r="H547" t="n">
        <v>0</v>
      </c>
      <c r="I547" t="n">
        <v>0</v>
      </c>
      <c r="J547" t="n">
        <v>0</v>
      </c>
      <c r="K547" t="n">
        <v>0</v>
      </c>
      <c r="L547" t="n">
        <v>0</v>
      </c>
      <c r="M547" t="n">
        <v>0</v>
      </c>
      <c r="N547" t="n">
        <v>0</v>
      </c>
      <c r="O547" t="n">
        <v>0</v>
      </c>
      <c r="P547" t="n">
        <v>0</v>
      </c>
      <c r="Q547" t="n">
        <v>0</v>
      </c>
      <c r="R547" s="2" t="inlineStr"/>
    </row>
    <row r="548" ht="15" customHeight="1">
      <c r="A548" t="inlineStr">
        <is>
          <t>A 4123-2025</t>
        </is>
      </c>
      <c r="B548" s="1" t="n">
        <v>45685.27107638889</v>
      </c>
      <c r="C548" s="1" t="n">
        <v>46042</v>
      </c>
      <c r="D548" t="inlineStr">
        <is>
          <t>JÄMTLANDS LÄN</t>
        </is>
      </c>
      <c r="E548" t="inlineStr">
        <is>
          <t>BRÄCKE</t>
        </is>
      </c>
      <c r="G548" t="n">
        <v>0.3</v>
      </c>
      <c r="H548" t="n">
        <v>0</v>
      </c>
      <c r="I548" t="n">
        <v>0</v>
      </c>
      <c r="J548" t="n">
        <v>0</v>
      </c>
      <c r="K548" t="n">
        <v>0</v>
      </c>
      <c r="L548" t="n">
        <v>0</v>
      </c>
      <c r="M548" t="n">
        <v>0</v>
      </c>
      <c r="N548" t="n">
        <v>0</v>
      </c>
      <c r="O548" t="n">
        <v>0</v>
      </c>
      <c r="P548" t="n">
        <v>0</v>
      </c>
      <c r="Q548" t="n">
        <v>0</v>
      </c>
      <c r="R548" s="2" t="inlineStr"/>
    </row>
    <row r="549" ht="15" customHeight="1">
      <c r="A549" t="inlineStr">
        <is>
          <t>A 62102-2024</t>
        </is>
      </c>
      <c r="B549" s="1" t="n">
        <v>45656.51145833333</v>
      </c>
      <c r="C549" s="1" t="n">
        <v>46042</v>
      </c>
      <c r="D549" t="inlineStr">
        <is>
          <t>JÄMTLANDS LÄN</t>
        </is>
      </c>
      <c r="E549" t="inlineStr">
        <is>
          <t>BRÄCKE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5169-2025</t>
        </is>
      </c>
      <c r="B550" s="1" t="n">
        <v>45691.61571759259</v>
      </c>
      <c r="C550" s="1" t="n">
        <v>46042</v>
      </c>
      <c r="D550" t="inlineStr">
        <is>
          <t>JÄMTLANDS LÄN</t>
        </is>
      </c>
      <c r="E550" t="inlineStr">
        <is>
          <t>BRÄCKE</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11438-2025</t>
        </is>
      </c>
      <c r="B551" s="1" t="n">
        <v>45726.61552083334</v>
      </c>
      <c r="C551" s="1" t="n">
        <v>46042</v>
      </c>
      <c r="D551" t="inlineStr">
        <is>
          <t>JÄMTLANDS LÄN</t>
        </is>
      </c>
      <c r="E551" t="inlineStr">
        <is>
          <t>BRÄCKE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22459-2024</t>
        </is>
      </c>
      <c r="B552" s="1" t="n">
        <v>45446.94972222222</v>
      </c>
      <c r="C552" s="1" t="n">
        <v>46042</v>
      </c>
      <c r="D552" t="inlineStr">
        <is>
          <t>JÄMTLANDS LÄN</t>
        </is>
      </c>
      <c r="E552" t="inlineStr">
        <is>
          <t>BRÄCKE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783-2025</t>
        </is>
      </c>
      <c r="B553" s="1" t="n">
        <v>45665.49290509259</v>
      </c>
      <c r="C553" s="1" t="n">
        <v>46042</v>
      </c>
      <c r="D553" t="inlineStr">
        <is>
          <t>JÄMTLANDS LÄN</t>
        </is>
      </c>
      <c r="E553" t="inlineStr">
        <is>
          <t>BRÄCKE</t>
        </is>
      </c>
      <c r="G553" t="n">
        <v>4</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46042</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14630-2025</t>
        </is>
      </c>
      <c r="B555" s="1" t="n">
        <v>45742.42767361111</v>
      </c>
      <c r="C555" s="1" t="n">
        <v>46042</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12762-2025</t>
        </is>
      </c>
      <c r="B556" s="1" t="n">
        <v>45733.57340277778</v>
      </c>
      <c r="C556" s="1" t="n">
        <v>46042</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2064-2024</t>
        </is>
      </c>
      <c r="B557" s="1" t="n">
        <v>45308</v>
      </c>
      <c r="C557" s="1" t="n">
        <v>46042</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46042</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24154-2025</t>
        </is>
      </c>
      <c r="B559" s="1" t="n">
        <v>45796.65685185185</v>
      </c>
      <c r="C559" s="1" t="n">
        <v>46042</v>
      </c>
      <c r="D559" t="inlineStr">
        <is>
          <t>JÄMTLANDS LÄN</t>
        </is>
      </c>
      <c r="E559" t="inlineStr">
        <is>
          <t>BRÄCKE</t>
        </is>
      </c>
      <c r="F559" t="inlineStr">
        <is>
          <t>SCA</t>
        </is>
      </c>
      <c r="G559" t="n">
        <v>7.4</v>
      </c>
      <c r="H559" t="n">
        <v>0</v>
      </c>
      <c r="I559" t="n">
        <v>0</v>
      </c>
      <c r="J559" t="n">
        <v>0</v>
      </c>
      <c r="K559" t="n">
        <v>0</v>
      </c>
      <c r="L559" t="n">
        <v>0</v>
      </c>
      <c r="M559" t="n">
        <v>0</v>
      </c>
      <c r="N559" t="n">
        <v>0</v>
      </c>
      <c r="O559" t="n">
        <v>0</v>
      </c>
      <c r="P559" t="n">
        <v>0</v>
      </c>
      <c r="Q559" t="n">
        <v>0</v>
      </c>
      <c r="R559" s="2" t="inlineStr"/>
    </row>
    <row r="560" ht="15" customHeight="1">
      <c r="A560" t="inlineStr">
        <is>
          <t>A 58039-2021</t>
        </is>
      </c>
      <c r="B560" s="1" t="n">
        <v>44487</v>
      </c>
      <c r="C560" s="1" t="n">
        <v>46042</v>
      </c>
      <c r="D560" t="inlineStr">
        <is>
          <t>JÄMTLANDS LÄN</t>
        </is>
      </c>
      <c r="E560" t="inlineStr">
        <is>
          <t>BRÄCKE</t>
        </is>
      </c>
      <c r="G560" t="n">
        <v>7.4</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46042</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9467-2025</t>
        </is>
      </c>
      <c r="B562" s="1" t="n">
        <v>45715.46903935185</v>
      </c>
      <c r="C562" s="1" t="n">
        <v>46042</v>
      </c>
      <c r="D562" t="inlineStr">
        <is>
          <t>JÄMTLANDS LÄN</t>
        </is>
      </c>
      <c r="E562" t="inlineStr">
        <is>
          <t>BRÄCKE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39509-2023</t>
        </is>
      </c>
      <c r="B563" s="1" t="n">
        <v>45166.95824074074</v>
      </c>
      <c r="C563" s="1" t="n">
        <v>46042</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27256-2021</t>
        </is>
      </c>
      <c r="B564" s="1" t="n">
        <v>44350</v>
      </c>
      <c r="C564" s="1" t="n">
        <v>46042</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29873-2024</t>
        </is>
      </c>
      <c r="B565" s="1" t="n">
        <v>45485.94542824074</v>
      </c>
      <c r="C565" s="1" t="n">
        <v>46042</v>
      </c>
      <c r="D565" t="inlineStr">
        <is>
          <t>JÄMTLANDS LÄN</t>
        </is>
      </c>
      <c r="E565" t="inlineStr">
        <is>
          <t>BRÄCKE</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46042</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9434-2025</t>
        </is>
      </c>
      <c r="B567" s="1" t="n">
        <v>45715.41209490741</v>
      </c>
      <c r="C567" s="1" t="n">
        <v>46042</v>
      </c>
      <c r="D567" t="inlineStr">
        <is>
          <t>JÄMTLANDS LÄN</t>
        </is>
      </c>
      <c r="E567" t="inlineStr">
        <is>
          <t>BRÄCKE</t>
        </is>
      </c>
      <c r="G567" t="n">
        <v>8.9</v>
      </c>
      <c r="H567" t="n">
        <v>0</v>
      </c>
      <c r="I567" t="n">
        <v>0</v>
      </c>
      <c r="J567" t="n">
        <v>0</v>
      </c>
      <c r="K567" t="n">
        <v>0</v>
      </c>
      <c r="L567" t="n">
        <v>0</v>
      </c>
      <c r="M567" t="n">
        <v>0</v>
      </c>
      <c r="N567" t="n">
        <v>0</v>
      </c>
      <c r="O567" t="n">
        <v>0</v>
      </c>
      <c r="P567" t="n">
        <v>0</v>
      </c>
      <c r="Q567" t="n">
        <v>0</v>
      </c>
      <c r="R567" s="2" t="inlineStr"/>
    </row>
    <row r="568" ht="15" customHeight="1">
      <c r="A568" t="inlineStr">
        <is>
          <t>A 24236-2025</t>
        </is>
      </c>
      <c r="B568" s="1" t="n">
        <v>45797.38586805556</v>
      </c>
      <c r="C568" s="1" t="n">
        <v>46042</v>
      </c>
      <c r="D568" t="inlineStr">
        <is>
          <t>JÄMTLANDS LÄN</t>
        </is>
      </c>
      <c r="E568" t="inlineStr">
        <is>
          <t>BRÄCKE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30719-2022</t>
        </is>
      </c>
      <c r="B569" s="1" t="n">
        <v>44763.94347222222</v>
      </c>
      <c r="C569" s="1" t="n">
        <v>46042</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23539-2025</t>
        </is>
      </c>
      <c r="B570" s="1" t="n">
        <v>45792</v>
      </c>
      <c r="C570" s="1" t="n">
        <v>46042</v>
      </c>
      <c r="D570" t="inlineStr">
        <is>
          <t>JÄMTLANDS LÄN</t>
        </is>
      </c>
      <c r="E570" t="inlineStr">
        <is>
          <t>BRÄCKE</t>
        </is>
      </c>
      <c r="G570" t="n">
        <v>14.9</v>
      </c>
      <c r="H570" t="n">
        <v>0</v>
      </c>
      <c r="I570" t="n">
        <v>0</v>
      </c>
      <c r="J570" t="n">
        <v>0</v>
      </c>
      <c r="K570" t="n">
        <v>0</v>
      </c>
      <c r="L570" t="n">
        <v>0</v>
      </c>
      <c r="M570" t="n">
        <v>0</v>
      </c>
      <c r="N570" t="n">
        <v>0</v>
      </c>
      <c r="O570" t="n">
        <v>0</v>
      </c>
      <c r="P570" t="n">
        <v>0</v>
      </c>
      <c r="Q570" t="n">
        <v>0</v>
      </c>
      <c r="R570" s="2" t="inlineStr"/>
    </row>
    <row r="571" ht="15" customHeight="1">
      <c r="A571" t="inlineStr">
        <is>
          <t>A 38775-2025</t>
        </is>
      </c>
      <c r="B571" s="1" t="n">
        <v>45887.42667824074</v>
      </c>
      <c r="C571" s="1" t="n">
        <v>46042</v>
      </c>
      <c r="D571" t="inlineStr">
        <is>
          <t>JÄMTLANDS LÄN</t>
        </is>
      </c>
      <c r="E571" t="inlineStr">
        <is>
          <t>BRÄCKE</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1174-2025</t>
        </is>
      </c>
      <c r="B572" s="1" t="n">
        <v>45667.34418981482</v>
      </c>
      <c r="C572" s="1" t="n">
        <v>46042</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24043-2025</t>
        </is>
      </c>
      <c r="B573" s="1" t="n">
        <v>45796.49002314815</v>
      </c>
      <c r="C573" s="1" t="n">
        <v>46042</v>
      </c>
      <c r="D573" t="inlineStr">
        <is>
          <t>JÄMTLANDS LÄN</t>
        </is>
      </c>
      <c r="E573" t="inlineStr">
        <is>
          <t>BRÄCKE</t>
        </is>
      </c>
      <c r="F573" t="inlineStr">
        <is>
          <t>SCA</t>
        </is>
      </c>
      <c r="G573" t="n">
        <v>7</v>
      </c>
      <c r="H573" t="n">
        <v>0</v>
      </c>
      <c r="I573" t="n">
        <v>0</v>
      </c>
      <c r="J573" t="n">
        <v>0</v>
      </c>
      <c r="K573" t="n">
        <v>0</v>
      </c>
      <c r="L573" t="n">
        <v>0</v>
      </c>
      <c r="M573" t="n">
        <v>0</v>
      </c>
      <c r="N573" t="n">
        <v>0</v>
      </c>
      <c r="O573" t="n">
        <v>0</v>
      </c>
      <c r="P573" t="n">
        <v>0</v>
      </c>
      <c r="Q573" t="n">
        <v>0</v>
      </c>
      <c r="R573" s="2" t="inlineStr"/>
    </row>
    <row r="574" ht="15" customHeight="1">
      <c r="A574" t="inlineStr">
        <is>
          <t>A 24077-2025</t>
        </is>
      </c>
      <c r="B574" s="1" t="n">
        <v>45796.55240740741</v>
      </c>
      <c r="C574" s="1" t="n">
        <v>46042</v>
      </c>
      <c r="D574" t="inlineStr">
        <is>
          <t>JÄMTLANDS LÄN</t>
        </is>
      </c>
      <c r="E574" t="inlineStr">
        <is>
          <t>BRÄCKE</t>
        </is>
      </c>
      <c r="G574" t="n">
        <v>5.9</v>
      </c>
      <c r="H574" t="n">
        <v>0</v>
      </c>
      <c r="I574" t="n">
        <v>0</v>
      </c>
      <c r="J574" t="n">
        <v>0</v>
      </c>
      <c r="K574" t="n">
        <v>0</v>
      </c>
      <c r="L574" t="n">
        <v>0</v>
      </c>
      <c r="M574" t="n">
        <v>0</v>
      </c>
      <c r="N574" t="n">
        <v>0</v>
      </c>
      <c r="O574" t="n">
        <v>0</v>
      </c>
      <c r="P574" t="n">
        <v>0</v>
      </c>
      <c r="Q574" t="n">
        <v>0</v>
      </c>
      <c r="R574" s="2" t="inlineStr"/>
    </row>
    <row r="575" ht="15" customHeight="1">
      <c r="A575" t="inlineStr">
        <is>
          <t>A 23303-2025</t>
        </is>
      </c>
      <c r="B575" s="1" t="n">
        <v>45791</v>
      </c>
      <c r="C575" s="1" t="n">
        <v>46042</v>
      </c>
      <c r="D575" t="inlineStr">
        <is>
          <t>JÄMTLANDS LÄN</t>
        </is>
      </c>
      <c r="E575" t="inlineStr">
        <is>
          <t>BRÄCKE</t>
        </is>
      </c>
      <c r="G575" t="n">
        <v>22.2</v>
      </c>
      <c r="H575" t="n">
        <v>0</v>
      </c>
      <c r="I575" t="n">
        <v>0</v>
      </c>
      <c r="J575" t="n">
        <v>0</v>
      </c>
      <c r="K575" t="n">
        <v>0</v>
      </c>
      <c r="L575" t="n">
        <v>0</v>
      </c>
      <c r="M575" t="n">
        <v>0</v>
      </c>
      <c r="N575" t="n">
        <v>0</v>
      </c>
      <c r="O575" t="n">
        <v>0</v>
      </c>
      <c r="P575" t="n">
        <v>0</v>
      </c>
      <c r="Q575" t="n">
        <v>0</v>
      </c>
      <c r="R575" s="2" t="inlineStr"/>
    </row>
    <row r="576" ht="15" customHeight="1">
      <c r="A576" t="inlineStr">
        <is>
          <t>A 18057-2025</t>
        </is>
      </c>
      <c r="B576" s="1" t="n">
        <v>45761.47681712963</v>
      </c>
      <c r="C576" s="1" t="n">
        <v>46042</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18065-2025</t>
        </is>
      </c>
      <c r="B577" s="1" t="n">
        <v>45761.48989583334</v>
      </c>
      <c r="C577" s="1" t="n">
        <v>46042</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15144-2024</t>
        </is>
      </c>
      <c r="B578" s="1" t="n">
        <v>45399.94340277778</v>
      </c>
      <c r="C578" s="1" t="n">
        <v>46042</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1504-2025</t>
        </is>
      </c>
      <c r="B579" s="1" t="n">
        <v>45670.42738425926</v>
      </c>
      <c r="C579" s="1" t="n">
        <v>46042</v>
      </c>
      <c r="D579" t="inlineStr">
        <is>
          <t>JÄMTLANDS LÄN</t>
        </is>
      </c>
      <c r="E579" t="inlineStr">
        <is>
          <t>BRÄCKE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24427-2025</t>
        </is>
      </c>
      <c r="B580" s="1" t="n">
        <v>45797.69851851852</v>
      </c>
      <c r="C580" s="1" t="n">
        <v>46042</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44324-2023</t>
        </is>
      </c>
      <c r="B581" s="1" t="n">
        <v>45188</v>
      </c>
      <c r="C581" s="1" t="n">
        <v>46042</v>
      </c>
      <c r="D581" t="inlineStr">
        <is>
          <t>JÄMTLANDS LÄN</t>
        </is>
      </c>
      <c r="E581" t="inlineStr">
        <is>
          <t>BRÄCKE</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38842-2025</t>
        </is>
      </c>
      <c r="B582" s="1" t="n">
        <v>45887.54003472222</v>
      </c>
      <c r="C582" s="1" t="n">
        <v>46042</v>
      </c>
      <c r="D582" t="inlineStr">
        <is>
          <t>JÄMTLANDS LÄN</t>
        </is>
      </c>
      <c r="E582" t="inlineStr">
        <is>
          <t>BRÄCKE</t>
        </is>
      </c>
      <c r="G582" t="n">
        <v>6.3</v>
      </c>
      <c r="H582" t="n">
        <v>0</v>
      </c>
      <c r="I582" t="n">
        <v>0</v>
      </c>
      <c r="J582" t="n">
        <v>0</v>
      </c>
      <c r="K582" t="n">
        <v>0</v>
      </c>
      <c r="L582" t="n">
        <v>0</v>
      </c>
      <c r="M582" t="n">
        <v>0</v>
      </c>
      <c r="N582" t="n">
        <v>0</v>
      </c>
      <c r="O582" t="n">
        <v>0</v>
      </c>
      <c r="P582" t="n">
        <v>0</v>
      </c>
      <c r="Q582" t="n">
        <v>0</v>
      </c>
      <c r="R582" s="2" t="inlineStr"/>
    </row>
    <row r="583" ht="15" customHeight="1">
      <c r="A583" t="inlineStr">
        <is>
          <t>A 24647-2025</t>
        </is>
      </c>
      <c r="B583" s="1" t="n">
        <v>45798.63575231482</v>
      </c>
      <c r="C583" s="1" t="n">
        <v>46042</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24550-2025</t>
        </is>
      </c>
      <c r="B584" s="1" t="n">
        <v>45798.44836805556</v>
      </c>
      <c r="C584" s="1" t="n">
        <v>46042</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24456-2025</t>
        </is>
      </c>
      <c r="B585" s="1" t="n">
        <v>45798.34450231482</v>
      </c>
      <c r="C585" s="1" t="n">
        <v>46042</v>
      </c>
      <c r="D585" t="inlineStr">
        <is>
          <t>JÄMTLANDS LÄN</t>
        </is>
      </c>
      <c r="E585" t="inlineStr">
        <is>
          <t>BRÄCKE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38811-2025</t>
        </is>
      </c>
      <c r="B586" s="1" t="n">
        <v>45887.48994212963</v>
      </c>
      <c r="C586" s="1" t="n">
        <v>46042</v>
      </c>
      <c r="D586" t="inlineStr">
        <is>
          <t>JÄMTLANDS LÄN</t>
        </is>
      </c>
      <c r="E586" t="inlineStr">
        <is>
          <t>BRÄCKE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38812-2025</t>
        </is>
      </c>
      <c r="B587" s="1" t="n">
        <v>45887.49016203704</v>
      </c>
      <c r="C587" s="1" t="n">
        <v>46042</v>
      </c>
      <c r="D587" t="inlineStr">
        <is>
          <t>JÄMTLANDS LÄN</t>
        </is>
      </c>
      <c r="E587" t="inlineStr">
        <is>
          <t>BRÄCKE</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38835-2025</t>
        </is>
      </c>
      <c r="B588" s="1" t="n">
        <v>45887.53195601852</v>
      </c>
      <c r="C588" s="1" t="n">
        <v>46042</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24502-2025</t>
        </is>
      </c>
      <c r="B589" s="1" t="n">
        <v>45798.39761574074</v>
      </c>
      <c r="C589" s="1" t="n">
        <v>46042</v>
      </c>
      <c r="D589" t="inlineStr">
        <is>
          <t>JÄMTLANDS LÄN</t>
        </is>
      </c>
      <c r="E589" t="inlineStr">
        <is>
          <t>BRÄCKE</t>
        </is>
      </c>
      <c r="G589" t="n">
        <v>2.2</v>
      </c>
      <c r="H589" t="n">
        <v>0</v>
      </c>
      <c r="I589" t="n">
        <v>0</v>
      </c>
      <c r="J589" t="n">
        <v>0</v>
      </c>
      <c r="K589" t="n">
        <v>0</v>
      </c>
      <c r="L589" t="n">
        <v>0</v>
      </c>
      <c r="M589" t="n">
        <v>0</v>
      </c>
      <c r="N589" t="n">
        <v>0</v>
      </c>
      <c r="O589" t="n">
        <v>0</v>
      </c>
      <c r="P589" t="n">
        <v>0</v>
      </c>
      <c r="Q589" t="n">
        <v>0</v>
      </c>
      <c r="R589" s="2" t="inlineStr"/>
    </row>
    <row r="590" ht="15" customHeight="1">
      <c r="A590" t="inlineStr">
        <is>
          <t>A 24437-2025</t>
        </is>
      </c>
      <c r="B590" s="1" t="n">
        <v>45797.79256944444</v>
      </c>
      <c r="C590" s="1" t="n">
        <v>46042</v>
      </c>
      <c r="D590" t="inlineStr">
        <is>
          <t>JÄMTLANDS LÄN</t>
        </is>
      </c>
      <c r="E590" t="inlineStr">
        <is>
          <t>BRÄCKE</t>
        </is>
      </c>
      <c r="G590" t="n">
        <v>5</v>
      </c>
      <c r="H590" t="n">
        <v>0</v>
      </c>
      <c r="I590" t="n">
        <v>0</v>
      </c>
      <c r="J590" t="n">
        <v>0</v>
      </c>
      <c r="K590" t="n">
        <v>0</v>
      </c>
      <c r="L590" t="n">
        <v>0</v>
      </c>
      <c r="M590" t="n">
        <v>0</v>
      </c>
      <c r="N590" t="n">
        <v>0</v>
      </c>
      <c r="O590" t="n">
        <v>0</v>
      </c>
      <c r="P590" t="n">
        <v>0</v>
      </c>
      <c r="Q590" t="n">
        <v>0</v>
      </c>
      <c r="R590" s="2" t="inlineStr"/>
    </row>
    <row r="591" ht="15" customHeight="1">
      <c r="A591" t="inlineStr">
        <is>
          <t>A 24604-2025</t>
        </is>
      </c>
      <c r="B591" s="1" t="n">
        <v>45798.5734375</v>
      </c>
      <c r="C591" s="1" t="n">
        <v>46042</v>
      </c>
      <c r="D591" t="inlineStr">
        <is>
          <t>JÄMTLANDS LÄN</t>
        </is>
      </c>
      <c r="E591" t="inlineStr">
        <is>
          <t>BRÄCKE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17182-2024</t>
        </is>
      </c>
      <c r="B592" s="1" t="n">
        <v>45412.97984953703</v>
      </c>
      <c r="C592" s="1" t="n">
        <v>46042</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24850-2025</t>
        </is>
      </c>
      <c r="B593" s="1" t="n">
        <v>45799.46958333333</v>
      </c>
      <c r="C593" s="1" t="n">
        <v>46042</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24436-2025</t>
        </is>
      </c>
      <c r="B594" s="1" t="n">
        <v>45797.7922337963</v>
      </c>
      <c r="C594" s="1" t="n">
        <v>46042</v>
      </c>
      <c r="D594" t="inlineStr">
        <is>
          <t>JÄMTLANDS LÄN</t>
        </is>
      </c>
      <c r="E594" t="inlineStr">
        <is>
          <t>BRÄCKE</t>
        </is>
      </c>
      <c r="G594" t="n">
        <v>1.2</v>
      </c>
      <c r="H594" t="n">
        <v>0</v>
      </c>
      <c r="I594" t="n">
        <v>0</v>
      </c>
      <c r="J594" t="n">
        <v>0</v>
      </c>
      <c r="K594" t="n">
        <v>0</v>
      </c>
      <c r="L594" t="n">
        <v>0</v>
      </c>
      <c r="M594" t="n">
        <v>0</v>
      </c>
      <c r="N594" t="n">
        <v>0</v>
      </c>
      <c r="O594" t="n">
        <v>0</v>
      </c>
      <c r="P594" t="n">
        <v>0</v>
      </c>
      <c r="Q594" t="n">
        <v>0</v>
      </c>
      <c r="R594" s="2" t="inlineStr"/>
    </row>
    <row r="595" ht="15" customHeight="1">
      <c r="A595" t="inlineStr">
        <is>
          <t>A 24433-2025</t>
        </is>
      </c>
      <c r="B595" s="1" t="n">
        <v>45797.75547453704</v>
      </c>
      <c r="C595" s="1" t="n">
        <v>46042</v>
      </c>
      <c r="D595" t="inlineStr">
        <is>
          <t>JÄMTLANDS LÄN</t>
        </is>
      </c>
      <c r="E595" t="inlineStr">
        <is>
          <t>BRÄCKE</t>
        </is>
      </c>
      <c r="G595" t="n">
        <v>8.6</v>
      </c>
      <c r="H595" t="n">
        <v>0</v>
      </c>
      <c r="I595" t="n">
        <v>0</v>
      </c>
      <c r="J595" t="n">
        <v>0</v>
      </c>
      <c r="K595" t="n">
        <v>0</v>
      </c>
      <c r="L595" t="n">
        <v>0</v>
      </c>
      <c r="M595" t="n">
        <v>0</v>
      </c>
      <c r="N595" t="n">
        <v>0</v>
      </c>
      <c r="O595" t="n">
        <v>0</v>
      </c>
      <c r="P595" t="n">
        <v>0</v>
      </c>
      <c r="Q595" t="n">
        <v>0</v>
      </c>
      <c r="R595" s="2" t="inlineStr"/>
    </row>
    <row r="596" ht="15" customHeight="1">
      <c r="A596" t="inlineStr">
        <is>
          <t>A 24636-2025</t>
        </is>
      </c>
      <c r="B596" s="1" t="n">
        <v>45798.61528935185</v>
      </c>
      <c r="C596" s="1" t="n">
        <v>46042</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172-2025</t>
        </is>
      </c>
      <c r="B597" s="1" t="n">
        <v>45659.6565625</v>
      </c>
      <c r="C597" s="1" t="n">
        <v>46042</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46939-2023</t>
        </is>
      </c>
      <c r="B598" s="1" t="n">
        <v>45195</v>
      </c>
      <c r="C598" s="1" t="n">
        <v>46042</v>
      </c>
      <c r="D598" t="inlineStr">
        <is>
          <t>JÄMTLANDS LÄN</t>
        </is>
      </c>
      <c r="E598" t="inlineStr">
        <is>
          <t>BRÄCKE</t>
        </is>
      </c>
      <c r="G598" t="n">
        <v>13.4</v>
      </c>
      <c r="H598" t="n">
        <v>0</v>
      </c>
      <c r="I598" t="n">
        <v>0</v>
      </c>
      <c r="J598" t="n">
        <v>0</v>
      </c>
      <c r="K598" t="n">
        <v>0</v>
      </c>
      <c r="L598" t="n">
        <v>0</v>
      </c>
      <c r="M598" t="n">
        <v>0</v>
      </c>
      <c r="N598" t="n">
        <v>0</v>
      </c>
      <c r="O598" t="n">
        <v>0</v>
      </c>
      <c r="P598" t="n">
        <v>0</v>
      </c>
      <c r="Q598" t="n">
        <v>0</v>
      </c>
      <c r="R598" s="2" t="inlineStr"/>
    </row>
    <row r="599" ht="15" customHeight="1">
      <c r="A599" t="inlineStr">
        <is>
          <t>A 58741-2023</t>
        </is>
      </c>
      <c r="B599" s="1" t="n">
        <v>45251.92894675926</v>
      </c>
      <c r="C599" s="1" t="n">
        <v>46042</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38834-2025</t>
        </is>
      </c>
      <c r="B600" s="1" t="n">
        <v>45887.53174768519</v>
      </c>
      <c r="C600" s="1" t="n">
        <v>46042</v>
      </c>
      <c r="D600" t="inlineStr">
        <is>
          <t>JÄMTLANDS LÄN</t>
        </is>
      </c>
      <c r="E600" t="inlineStr">
        <is>
          <t>BRÄCKE</t>
        </is>
      </c>
      <c r="F600" t="inlineStr">
        <is>
          <t>SCA</t>
        </is>
      </c>
      <c r="G600" t="n">
        <v>6.3</v>
      </c>
      <c r="H600" t="n">
        <v>0</v>
      </c>
      <c r="I600" t="n">
        <v>0</v>
      </c>
      <c r="J600" t="n">
        <v>0</v>
      </c>
      <c r="K600" t="n">
        <v>0</v>
      </c>
      <c r="L600" t="n">
        <v>0</v>
      </c>
      <c r="M600" t="n">
        <v>0</v>
      </c>
      <c r="N600" t="n">
        <v>0</v>
      </c>
      <c r="O600" t="n">
        <v>0</v>
      </c>
      <c r="P600" t="n">
        <v>0</v>
      </c>
      <c r="Q600" t="n">
        <v>0</v>
      </c>
      <c r="R600" s="2" t="inlineStr"/>
    </row>
    <row r="601" ht="15" customHeight="1">
      <c r="A601" t="inlineStr">
        <is>
          <t>A 24784-2025</t>
        </is>
      </c>
      <c r="B601" s="1" t="n">
        <v>45799.42741898148</v>
      </c>
      <c r="C601" s="1" t="n">
        <v>46042</v>
      </c>
      <c r="D601" t="inlineStr">
        <is>
          <t>JÄMTLANDS LÄN</t>
        </is>
      </c>
      <c r="E601" t="inlineStr">
        <is>
          <t>BRÄCKE</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47486-2023</t>
        </is>
      </c>
      <c r="B602" s="1" t="n">
        <v>45202.94155092593</v>
      </c>
      <c r="C602" s="1" t="n">
        <v>46042</v>
      </c>
      <c r="D602" t="inlineStr">
        <is>
          <t>JÄMTLANDS LÄN</t>
        </is>
      </c>
      <c r="E602" t="inlineStr">
        <is>
          <t>BRÄCKE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47487-2023</t>
        </is>
      </c>
      <c r="B603" s="1" t="n">
        <v>45202.94162037037</v>
      </c>
      <c r="C603" s="1" t="n">
        <v>46042</v>
      </c>
      <c r="D603" t="inlineStr">
        <is>
          <t>JÄMTLANDS LÄN</t>
        </is>
      </c>
      <c r="E603" t="inlineStr">
        <is>
          <t>BRÄCKE</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4882-2025</t>
        </is>
      </c>
      <c r="B604" s="1" t="n">
        <v>45688.67729166667</v>
      </c>
      <c r="C604" s="1" t="n">
        <v>46042</v>
      </c>
      <c r="D604" t="inlineStr">
        <is>
          <t>JÄMTLANDS LÄN</t>
        </is>
      </c>
      <c r="E604" t="inlineStr">
        <is>
          <t>BRÄCKE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11331-2024</t>
        </is>
      </c>
      <c r="B605" s="1" t="n">
        <v>45372.04696759259</v>
      </c>
      <c r="C605" s="1" t="n">
        <v>46042</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4915-2025</t>
        </is>
      </c>
      <c r="B606" s="1" t="n">
        <v>45688.68184027778</v>
      </c>
      <c r="C606" s="1" t="n">
        <v>46042</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24454-2025</t>
        </is>
      </c>
      <c r="B607" s="1" t="n">
        <v>45798.34436342592</v>
      </c>
      <c r="C607" s="1" t="n">
        <v>46042</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23491-2025</t>
        </is>
      </c>
      <c r="B608" s="1" t="n">
        <v>45792.46924768519</v>
      </c>
      <c r="C608" s="1" t="n">
        <v>46042</v>
      </c>
      <c r="D608" t="inlineStr">
        <is>
          <t>JÄMTLANDS LÄN</t>
        </is>
      </c>
      <c r="E608" t="inlineStr">
        <is>
          <t>BRÄCKE</t>
        </is>
      </c>
      <c r="F608" t="inlineStr">
        <is>
          <t>SCA</t>
        </is>
      </c>
      <c r="G608" t="n">
        <v>11.8</v>
      </c>
      <c r="H608" t="n">
        <v>0</v>
      </c>
      <c r="I608" t="n">
        <v>0</v>
      </c>
      <c r="J608" t="n">
        <v>0</v>
      </c>
      <c r="K608" t="n">
        <v>0</v>
      </c>
      <c r="L608" t="n">
        <v>0</v>
      </c>
      <c r="M608" t="n">
        <v>0</v>
      </c>
      <c r="N608" t="n">
        <v>0</v>
      </c>
      <c r="O608" t="n">
        <v>0</v>
      </c>
      <c r="P608" t="n">
        <v>0</v>
      </c>
      <c r="Q608" t="n">
        <v>0</v>
      </c>
      <c r="R608" s="2" t="inlineStr"/>
    </row>
    <row r="609" ht="15" customHeight="1">
      <c r="A609" t="inlineStr">
        <is>
          <t>A 39273-2025</t>
        </is>
      </c>
      <c r="B609" s="1" t="n">
        <v>45889.38655092593</v>
      </c>
      <c r="C609" s="1" t="n">
        <v>46042</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56896-2021</t>
        </is>
      </c>
      <c r="B610" s="1" t="n">
        <v>44481.92091435185</v>
      </c>
      <c r="C610" s="1" t="n">
        <v>46042</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40769-2021</t>
        </is>
      </c>
      <c r="B611" s="1" t="n">
        <v>44420</v>
      </c>
      <c r="C611" s="1" t="n">
        <v>46042</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52269-2023</t>
        </is>
      </c>
      <c r="B612" s="1" t="n">
        <v>45217</v>
      </c>
      <c r="C612" s="1" t="n">
        <v>46042</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51167-2023</t>
        </is>
      </c>
      <c r="B613" s="1" t="n">
        <v>45219.38388888889</v>
      </c>
      <c r="C613" s="1" t="n">
        <v>46042</v>
      </c>
      <c r="D613" t="inlineStr">
        <is>
          <t>JÄMTLANDS LÄN</t>
        </is>
      </c>
      <c r="E613" t="inlineStr">
        <is>
          <t>BRÄCKE</t>
        </is>
      </c>
      <c r="G613" t="n">
        <v>1.9</v>
      </c>
      <c r="H613" t="n">
        <v>0</v>
      </c>
      <c r="I613" t="n">
        <v>0</v>
      </c>
      <c r="J613" t="n">
        <v>0</v>
      </c>
      <c r="K613" t="n">
        <v>0</v>
      </c>
      <c r="L613" t="n">
        <v>0</v>
      </c>
      <c r="M613" t="n">
        <v>0</v>
      </c>
      <c r="N613" t="n">
        <v>0</v>
      </c>
      <c r="O613" t="n">
        <v>0</v>
      </c>
      <c r="P613" t="n">
        <v>0</v>
      </c>
      <c r="Q613" t="n">
        <v>0</v>
      </c>
      <c r="R613" s="2" t="inlineStr"/>
    </row>
    <row r="614" ht="15" customHeight="1">
      <c r="A614" t="inlineStr">
        <is>
          <t>A 39385-2025</t>
        </is>
      </c>
      <c r="B614" s="1" t="n">
        <v>45889.61550925926</v>
      </c>
      <c r="C614" s="1" t="n">
        <v>46042</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25102-2025</t>
        </is>
      </c>
      <c r="B615" s="1" t="n">
        <v>45800.34445601852</v>
      </c>
      <c r="C615" s="1" t="n">
        <v>46042</v>
      </c>
      <c r="D615" t="inlineStr">
        <is>
          <t>JÄMTLANDS LÄN</t>
        </is>
      </c>
      <c r="E615" t="inlineStr">
        <is>
          <t>BRÄCKE</t>
        </is>
      </c>
      <c r="G615" t="n">
        <v>11.1</v>
      </c>
      <c r="H615" t="n">
        <v>0</v>
      </c>
      <c r="I615" t="n">
        <v>0</v>
      </c>
      <c r="J615" t="n">
        <v>0</v>
      </c>
      <c r="K615" t="n">
        <v>0</v>
      </c>
      <c r="L615" t="n">
        <v>0</v>
      </c>
      <c r="M615" t="n">
        <v>0</v>
      </c>
      <c r="N615" t="n">
        <v>0</v>
      </c>
      <c r="O615" t="n">
        <v>0</v>
      </c>
      <c r="P615" t="n">
        <v>0</v>
      </c>
      <c r="Q615" t="n">
        <v>0</v>
      </c>
      <c r="R615" s="2" t="inlineStr"/>
    </row>
    <row r="616" ht="15" customHeight="1">
      <c r="A616" t="inlineStr">
        <is>
          <t>A 39344-2025</t>
        </is>
      </c>
      <c r="B616" s="1" t="n">
        <v>45889.53175925926</v>
      </c>
      <c r="C616" s="1" t="n">
        <v>46042</v>
      </c>
      <c r="D616" t="inlineStr">
        <is>
          <t>JÄMTLANDS LÄN</t>
        </is>
      </c>
      <c r="E616" t="inlineStr">
        <is>
          <t>BRÄCKE</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39355-2025</t>
        </is>
      </c>
      <c r="B617" s="1" t="n">
        <v>45889.55252314815</v>
      </c>
      <c r="C617" s="1" t="n">
        <v>46042</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39377-2025</t>
        </is>
      </c>
      <c r="B618" s="1" t="n">
        <v>45889.59434027778</v>
      </c>
      <c r="C618" s="1" t="n">
        <v>46042</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1914-2025</t>
        </is>
      </c>
      <c r="B619" s="1" t="n">
        <v>45671.65984953703</v>
      </c>
      <c r="C619" s="1" t="n">
        <v>46042</v>
      </c>
      <c r="D619" t="inlineStr">
        <is>
          <t>JÄMTLANDS LÄN</t>
        </is>
      </c>
      <c r="E619" t="inlineStr">
        <is>
          <t>BRÄCKE</t>
        </is>
      </c>
      <c r="G619" t="n">
        <v>2.9</v>
      </c>
      <c r="H619" t="n">
        <v>0</v>
      </c>
      <c r="I619" t="n">
        <v>0</v>
      </c>
      <c r="J619" t="n">
        <v>0</v>
      </c>
      <c r="K619" t="n">
        <v>0</v>
      </c>
      <c r="L619" t="n">
        <v>0</v>
      </c>
      <c r="M619" t="n">
        <v>0</v>
      </c>
      <c r="N619" t="n">
        <v>0</v>
      </c>
      <c r="O619" t="n">
        <v>0</v>
      </c>
      <c r="P619" t="n">
        <v>0</v>
      </c>
      <c r="Q619" t="n">
        <v>0</v>
      </c>
      <c r="R619" s="2" t="inlineStr"/>
    </row>
    <row r="620" ht="15" customHeight="1">
      <c r="A620" t="inlineStr">
        <is>
          <t>A 39376-2025</t>
        </is>
      </c>
      <c r="B620" s="1" t="n">
        <v>45889.59425925926</v>
      </c>
      <c r="C620" s="1" t="n">
        <v>46042</v>
      </c>
      <c r="D620" t="inlineStr">
        <is>
          <t>JÄMTLANDS LÄN</t>
        </is>
      </c>
      <c r="E620" t="inlineStr">
        <is>
          <t>BRÄCKE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25159-2025</t>
        </is>
      </c>
      <c r="B621" s="1" t="n">
        <v>45800.42804398148</v>
      </c>
      <c r="C621" s="1" t="n">
        <v>46042</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39086-2025</t>
        </is>
      </c>
      <c r="B622" s="1" t="n">
        <v>45888.49046296296</v>
      </c>
      <c r="C622" s="1" t="n">
        <v>46042</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39272-2025</t>
        </is>
      </c>
      <c r="B623" s="1" t="n">
        <v>45889.38640046296</v>
      </c>
      <c r="C623" s="1" t="n">
        <v>46042</v>
      </c>
      <c r="D623" t="inlineStr">
        <is>
          <t>JÄMTLANDS LÄN</t>
        </is>
      </c>
      <c r="E623" t="inlineStr">
        <is>
          <t>BRÄCKE</t>
        </is>
      </c>
      <c r="F623" t="inlineStr">
        <is>
          <t>SCA</t>
        </is>
      </c>
      <c r="G623" t="n">
        <v>13.1</v>
      </c>
      <c r="H623" t="n">
        <v>0</v>
      </c>
      <c r="I623" t="n">
        <v>0</v>
      </c>
      <c r="J623" t="n">
        <v>0</v>
      </c>
      <c r="K623" t="n">
        <v>0</v>
      </c>
      <c r="L623" t="n">
        <v>0</v>
      </c>
      <c r="M623" t="n">
        <v>0</v>
      </c>
      <c r="N623" t="n">
        <v>0</v>
      </c>
      <c r="O623" t="n">
        <v>0</v>
      </c>
      <c r="P623" t="n">
        <v>0</v>
      </c>
      <c r="Q623" t="n">
        <v>0</v>
      </c>
      <c r="R623" s="2" t="inlineStr"/>
    </row>
    <row r="624" ht="15" customHeight="1">
      <c r="A624" t="inlineStr">
        <is>
          <t>A 39100-2025</t>
        </is>
      </c>
      <c r="B624" s="1" t="n">
        <v>45888.5108912037</v>
      </c>
      <c r="C624" s="1" t="n">
        <v>46042</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53407-2022</t>
        </is>
      </c>
      <c r="B625" s="1" t="n">
        <v>44874</v>
      </c>
      <c r="C625" s="1" t="n">
        <v>46042</v>
      </c>
      <c r="D625" t="inlineStr">
        <is>
          <t>JÄMTLANDS LÄN</t>
        </is>
      </c>
      <c r="E625" t="inlineStr">
        <is>
          <t>BRÄCKE</t>
        </is>
      </c>
      <c r="G625" t="n">
        <v>1.8</v>
      </c>
      <c r="H625" t="n">
        <v>0</v>
      </c>
      <c r="I625" t="n">
        <v>0</v>
      </c>
      <c r="J625" t="n">
        <v>0</v>
      </c>
      <c r="K625" t="n">
        <v>0</v>
      </c>
      <c r="L625" t="n">
        <v>0</v>
      </c>
      <c r="M625" t="n">
        <v>0</v>
      </c>
      <c r="N625" t="n">
        <v>0</v>
      </c>
      <c r="O625" t="n">
        <v>0</v>
      </c>
      <c r="P625" t="n">
        <v>0</v>
      </c>
      <c r="Q625" t="n">
        <v>0</v>
      </c>
      <c r="R625" s="2" t="inlineStr"/>
    </row>
    <row r="626" ht="15" customHeight="1">
      <c r="A626" t="inlineStr">
        <is>
          <t>A 39088-2025</t>
        </is>
      </c>
      <c r="B626" s="1" t="n">
        <v>45888.49105324074</v>
      </c>
      <c r="C626" s="1" t="n">
        <v>46042</v>
      </c>
      <c r="D626" t="inlineStr">
        <is>
          <t>JÄMTLANDS LÄN</t>
        </is>
      </c>
      <c r="E626" t="inlineStr">
        <is>
          <t>BRÄCKE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39117-2025</t>
        </is>
      </c>
      <c r="B627" s="1" t="n">
        <v>45888.55275462963</v>
      </c>
      <c r="C627" s="1" t="n">
        <v>46042</v>
      </c>
      <c r="D627" t="inlineStr">
        <is>
          <t>JÄMTLANDS LÄN</t>
        </is>
      </c>
      <c r="E627" t="inlineStr">
        <is>
          <t>BRÄCKE</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25101-2025</t>
        </is>
      </c>
      <c r="B628" s="1" t="n">
        <v>45800.34444444445</v>
      </c>
      <c r="C628" s="1" t="n">
        <v>46042</v>
      </c>
      <c r="D628" t="inlineStr">
        <is>
          <t>JÄMTLANDS LÄN</t>
        </is>
      </c>
      <c r="E628" t="inlineStr">
        <is>
          <t>BRÄCKE</t>
        </is>
      </c>
      <c r="G628" t="n">
        <v>4.6</v>
      </c>
      <c r="H628" t="n">
        <v>0</v>
      </c>
      <c r="I628" t="n">
        <v>0</v>
      </c>
      <c r="J628" t="n">
        <v>0</v>
      </c>
      <c r="K628" t="n">
        <v>0</v>
      </c>
      <c r="L628" t="n">
        <v>0</v>
      </c>
      <c r="M628" t="n">
        <v>0</v>
      </c>
      <c r="N628" t="n">
        <v>0</v>
      </c>
      <c r="O628" t="n">
        <v>0</v>
      </c>
      <c r="P628" t="n">
        <v>0</v>
      </c>
      <c r="Q628" t="n">
        <v>0</v>
      </c>
      <c r="R628" s="2" t="inlineStr"/>
    </row>
    <row r="629" ht="15" customHeight="1">
      <c r="A629" t="inlineStr">
        <is>
          <t>A 26278-2024</t>
        </is>
      </c>
      <c r="B629" s="1" t="n">
        <v>45468.68905092592</v>
      </c>
      <c r="C629" s="1" t="n">
        <v>46042</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39052-2025</t>
        </is>
      </c>
      <c r="B630" s="1" t="n">
        <v>45888.44829861111</v>
      </c>
      <c r="C630" s="1" t="n">
        <v>46042</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39087-2025</t>
        </is>
      </c>
      <c r="B631" s="1" t="n">
        <v>45888.49076388889</v>
      </c>
      <c r="C631" s="1" t="n">
        <v>46042</v>
      </c>
      <c r="D631" t="inlineStr">
        <is>
          <t>JÄMTLANDS LÄN</t>
        </is>
      </c>
      <c r="E631" t="inlineStr">
        <is>
          <t>BRÄCKE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47550-2024</t>
        </is>
      </c>
      <c r="B632" s="1" t="n">
        <v>45587.66041666667</v>
      </c>
      <c r="C632" s="1" t="n">
        <v>46042</v>
      </c>
      <c r="D632" t="inlineStr">
        <is>
          <t>JÄMTLANDS LÄN</t>
        </is>
      </c>
      <c r="E632" t="inlineStr">
        <is>
          <t>BRÄCKE</t>
        </is>
      </c>
      <c r="G632" t="n">
        <v>5.3</v>
      </c>
      <c r="H632" t="n">
        <v>0</v>
      </c>
      <c r="I632" t="n">
        <v>0</v>
      </c>
      <c r="J632" t="n">
        <v>0</v>
      </c>
      <c r="K632" t="n">
        <v>0</v>
      </c>
      <c r="L632" t="n">
        <v>0</v>
      </c>
      <c r="M632" t="n">
        <v>0</v>
      </c>
      <c r="N632" t="n">
        <v>0</v>
      </c>
      <c r="O632" t="n">
        <v>0</v>
      </c>
      <c r="P632" t="n">
        <v>0</v>
      </c>
      <c r="Q632" t="n">
        <v>0</v>
      </c>
      <c r="R632" s="2" t="inlineStr"/>
    </row>
    <row r="633" ht="15" customHeight="1">
      <c r="A633" t="inlineStr">
        <is>
          <t>A 44841-2024</t>
        </is>
      </c>
      <c r="B633" s="1" t="n">
        <v>45574.71900462963</v>
      </c>
      <c r="C633" s="1" t="n">
        <v>46042</v>
      </c>
      <c r="D633" t="inlineStr">
        <is>
          <t>JÄMTLANDS LÄN</t>
        </is>
      </c>
      <c r="E633" t="inlineStr">
        <is>
          <t>BRÄCKE</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39680-2025</t>
        </is>
      </c>
      <c r="B634" s="1" t="n">
        <v>45890.65677083333</v>
      </c>
      <c r="C634" s="1" t="n">
        <v>46042</v>
      </c>
      <c r="D634" t="inlineStr">
        <is>
          <t>JÄMTLANDS LÄN</t>
        </is>
      </c>
      <c r="E634" t="inlineStr">
        <is>
          <t>BRÄCKE</t>
        </is>
      </c>
      <c r="G634" t="n">
        <v>3.3</v>
      </c>
      <c r="H634" t="n">
        <v>0</v>
      </c>
      <c r="I634" t="n">
        <v>0</v>
      </c>
      <c r="J634" t="n">
        <v>0</v>
      </c>
      <c r="K634" t="n">
        <v>0</v>
      </c>
      <c r="L634" t="n">
        <v>0</v>
      </c>
      <c r="M634" t="n">
        <v>0</v>
      </c>
      <c r="N634" t="n">
        <v>0</v>
      </c>
      <c r="O634" t="n">
        <v>0</v>
      </c>
      <c r="P634" t="n">
        <v>0</v>
      </c>
      <c r="Q634" t="n">
        <v>0</v>
      </c>
      <c r="R634" s="2" t="inlineStr"/>
    </row>
    <row r="635" ht="15" customHeight="1">
      <c r="A635" t="inlineStr">
        <is>
          <t>A 39506-2025</t>
        </is>
      </c>
      <c r="B635" s="1" t="n">
        <v>45890.40703703704</v>
      </c>
      <c r="C635" s="1" t="n">
        <v>46042</v>
      </c>
      <c r="D635" t="inlineStr">
        <is>
          <t>JÄMTLANDS LÄN</t>
        </is>
      </c>
      <c r="E635" t="inlineStr">
        <is>
          <t>BRÄCKE</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15261-2025</t>
        </is>
      </c>
      <c r="B636" s="1" t="n">
        <v>45744</v>
      </c>
      <c r="C636" s="1" t="n">
        <v>46042</v>
      </c>
      <c r="D636" t="inlineStr">
        <is>
          <t>JÄMTLANDS LÄN</t>
        </is>
      </c>
      <c r="E636" t="inlineStr">
        <is>
          <t>BRÄCKE</t>
        </is>
      </c>
      <c r="F636" t="inlineStr">
        <is>
          <t>SCA</t>
        </is>
      </c>
      <c r="G636" t="n">
        <v>9</v>
      </c>
      <c r="H636" t="n">
        <v>0</v>
      </c>
      <c r="I636" t="n">
        <v>0</v>
      </c>
      <c r="J636" t="n">
        <v>0</v>
      </c>
      <c r="K636" t="n">
        <v>0</v>
      </c>
      <c r="L636" t="n">
        <v>0</v>
      </c>
      <c r="M636" t="n">
        <v>0</v>
      </c>
      <c r="N636" t="n">
        <v>0</v>
      </c>
      <c r="O636" t="n">
        <v>0</v>
      </c>
      <c r="P636" t="n">
        <v>0</v>
      </c>
      <c r="Q636" t="n">
        <v>0</v>
      </c>
      <c r="R636" s="2" t="inlineStr"/>
    </row>
    <row r="637" ht="15" customHeight="1">
      <c r="A637" t="inlineStr">
        <is>
          <t>A 39505-2025</t>
        </is>
      </c>
      <c r="B637" s="1" t="n">
        <v>45890.40689814815</v>
      </c>
      <c r="C637" s="1" t="n">
        <v>46042</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38302-2024</t>
        </is>
      </c>
      <c r="B638" s="1" t="n">
        <v>45545.63614583333</v>
      </c>
      <c r="C638" s="1" t="n">
        <v>46042</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39532-2025</t>
        </is>
      </c>
      <c r="B639" s="1" t="n">
        <v>45890.44847222222</v>
      </c>
      <c r="C639" s="1" t="n">
        <v>46042</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51161-2023</t>
        </is>
      </c>
      <c r="B640" s="1" t="n">
        <v>45219.38019675926</v>
      </c>
      <c r="C640" s="1" t="n">
        <v>46042</v>
      </c>
      <c r="D640" t="inlineStr">
        <is>
          <t>JÄMTLANDS LÄN</t>
        </is>
      </c>
      <c r="E640" t="inlineStr">
        <is>
          <t>BRÄCKE</t>
        </is>
      </c>
      <c r="G640" t="n">
        <v>2.5</v>
      </c>
      <c r="H640" t="n">
        <v>0</v>
      </c>
      <c r="I640" t="n">
        <v>0</v>
      </c>
      <c r="J640" t="n">
        <v>0</v>
      </c>
      <c r="K640" t="n">
        <v>0</v>
      </c>
      <c r="L640" t="n">
        <v>0</v>
      </c>
      <c r="M640" t="n">
        <v>0</v>
      </c>
      <c r="N640" t="n">
        <v>0</v>
      </c>
      <c r="O640" t="n">
        <v>0</v>
      </c>
      <c r="P640" t="n">
        <v>0</v>
      </c>
      <c r="Q640" t="n">
        <v>0</v>
      </c>
      <c r="R640" s="2" t="inlineStr"/>
    </row>
    <row r="641" ht="15" customHeight="1">
      <c r="A641" t="inlineStr">
        <is>
          <t>A 15243-2025</t>
        </is>
      </c>
      <c r="B641" s="1" t="n">
        <v>45744.61537037037</v>
      </c>
      <c r="C641" s="1" t="n">
        <v>46042</v>
      </c>
      <c r="D641" t="inlineStr">
        <is>
          <t>JÄMTLANDS LÄN</t>
        </is>
      </c>
      <c r="E641" t="inlineStr">
        <is>
          <t>BRÄCKE</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39487-2025</t>
        </is>
      </c>
      <c r="B642" s="1" t="n">
        <v>45890.3650462963</v>
      </c>
      <c r="C642" s="1" t="n">
        <v>46042</v>
      </c>
      <c r="D642" t="inlineStr">
        <is>
          <t>JÄMTLANDS LÄN</t>
        </is>
      </c>
      <c r="E642" t="inlineStr">
        <is>
          <t>BRÄCKE</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9824-2025</t>
        </is>
      </c>
      <c r="B643" s="1" t="n">
        <v>45716</v>
      </c>
      <c r="C643" s="1" t="n">
        <v>46042</v>
      </c>
      <c r="D643" t="inlineStr">
        <is>
          <t>JÄMTLANDS LÄN</t>
        </is>
      </c>
      <c r="E643" t="inlineStr">
        <is>
          <t>BRÄCKE</t>
        </is>
      </c>
      <c r="F643" t="inlineStr">
        <is>
          <t>SCA</t>
        </is>
      </c>
      <c r="G643" t="n">
        <v>7.3</v>
      </c>
      <c r="H643" t="n">
        <v>0</v>
      </c>
      <c r="I643" t="n">
        <v>0</v>
      </c>
      <c r="J643" t="n">
        <v>0</v>
      </c>
      <c r="K643" t="n">
        <v>0</v>
      </c>
      <c r="L643" t="n">
        <v>0</v>
      </c>
      <c r="M643" t="n">
        <v>0</v>
      </c>
      <c r="N643" t="n">
        <v>0</v>
      </c>
      <c r="O643" t="n">
        <v>0</v>
      </c>
      <c r="P643" t="n">
        <v>0</v>
      </c>
      <c r="Q643" t="n">
        <v>0</v>
      </c>
      <c r="R643" s="2" t="inlineStr"/>
    </row>
    <row r="644" ht="15" customHeight="1">
      <c r="A644" t="inlineStr">
        <is>
          <t>A 25821-2025</t>
        </is>
      </c>
      <c r="B644" s="1" t="n">
        <v>45804.43686342592</v>
      </c>
      <c r="C644" s="1" t="n">
        <v>46042</v>
      </c>
      <c r="D644" t="inlineStr">
        <is>
          <t>JÄMTLANDS LÄN</t>
        </is>
      </c>
      <c r="E644" t="inlineStr">
        <is>
          <t>BRÄCKE</t>
        </is>
      </c>
      <c r="G644" t="n">
        <v>3.3</v>
      </c>
      <c r="H644" t="n">
        <v>0</v>
      </c>
      <c r="I644" t="n">
        <v>0</v>
      </c>
      <c r="J644" t="n">
        <v>0</v>
      </c>
      <c r="K644" t="n">
        <v>0</v>
      </c>
      <c r="L644" t="n">
        <v>0</v>
      </c>
      <c r="M644" t="n">
        <v>0</v>
      </c>
      <c r="N644" t="n">
        <v>0</v>
      </c>
      <c r="O644" t="n">
        <v>0</v>
      </c>
      <c r="P644" t="n">
        <v>0</v>
      </c>
      <c r="Q644" t="n">
        <v>0</v>
      </c>
      <c r="R644" s="2" t="inlineStr"/>
    </row>
    <row r="645" ht="15" customHeight="1">
      <c r="A645" t="inlineStr">
        <is>
          <t>A 18265-2025</t>
        </is>
      </c>
      <c r="B645" s="1" t="n">
        <v>45762.36525462963</v>
      </c>
      <c r="C645" s="1" t="n">
        <v>46042</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11545-2025</t>
        </is>
      </c>
      <c r="B646" s="1" t="n">
        <v>45727</v>
      </c>
      <c r="C646" s="1" t="n">
        <v>46042</v>
      </c>
      <c r="D646" t="inlineStr">
        <is>
          <t>JÄMTLANDS LÄN</t>
        </is>
      </c>
      <c r="E646" t="inlineStr">
        <is>
          <t>BRÄCKE</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39933-2025</t>
        </is>
      </c>
      <c r="B647" s="1" t="n">
        <v>45891.71150462963</v>
      </c>
      <c r="C647" s="1" t="n">
        <v>46042</v>
      </c>
      <c r="D647" t="inlineStr">
        <is>
          <t>JÄMTLANDS LÄN</t>
        </is>
      </c>
      <c r="E647" t="inlineStr">
        <is>
          <t>BRÄCKE</t>
        </is>
      </c>
      <c r="G647" t="n">
        <v>15.1</v>
      </c>
      <c r="H647" t="n">
        <v>0</v>
      </c>
      <c r="I647" t="n">
        <v>0</v>
      </c>
      <c r="J647" t="n">
        <v>0</v>
      </c>
      <c r="K647" t="n">
        <v>0</v>
      </c>
      <c r="L647" t="n">
        <v>0</v>
      </c>
      <c r="M647" t="n">
        <v>0</v>
      </c>
      <c r="N647" t="n">
        <v>0</v>
      </c>
      <c r="O647" t="n">
        <v>0</v>
      </c>
      <c r="P647" t="n">
        <v>0</v>
      </c>
      <c r="Q647" t="n">
        <v>0</v>
      </c>
      <c r="R647" s="2" t="inlineStr"/>
    </row>
    <row r="648" ht="15" customHeight="1">
      <c r="A648" t="inlineStr">
        <is>
          <t>A 25883-2022</t>
        </is>
      </c>
      <c r="B648" s="1" t="n">
        <v>44733</v>
      </c>
      <c r="C648" s="1" t="n">
        <v>46042</v>
      </c>
      <c r="D648" t="inlineStr">
        <is>
          <t>JÄMTLANDS LÄN</t>
        </is>
      </c>
      <c r="E648" t="inlineStr">
        <is>
          <t>BRÄCKE</t>
        </is>
      </c>
      <c r="F648" t="inlineStr">
        <is>
          <t>Övriga Aktiebolag</t>
        </is>
      </c>
      <c r="G648" t="n">
        <v>23.4</v>
      </c>
      <c r="H648" t="n">
        <v>0</v>
      </c>
      <c r="I648" t="n">
        <v>0</v>
      </c>
      <c r="J648" t="n">
        <v>0</v>
      </c>
      <c r="K648" t="n">
        <v>0</v>
      </c>
      <c r="L648" t="n">
        <v>0</v>
      </c>
      <c r="M648" t="n">
        <v>0</v>
      </c>
      <c r="N648" t="n">
        <v>0</v>
      </c>
      <c r="O648" t="n">
        <v>0</v>
      </c>
      <c r="P648" t="n">
        <v>0</v>
      </c>
      <c r="Q648" t="n">
        <v>0</v>
      </c>
      <c r="R648" s="2" t="inlineStr"/>
    </row>
    <row r="649" ht="15" customHeight="1">
      <c r="A649" t="inlineStr">
        <is>
          <t>A 26298-2025</t>
        </is>
      </c>
      <c r="B649" s="1" t="n">
        <v>45805.63619212963</v>
      </c>
      <c r="C649" s="1" t="n">
        <v>46042</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39767-2025</t>
        </is>
      </c>
      <c r="B650" s="1" t="n">
        <v>45891.44828703703</v>
      </c>
      <c r="C650" s="1" t="n">
        <v>46042</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39535-2025</t>
        </is>
      </c>
      <c r="B651" s="1" t="n">
        <v>45890.44881944444</v>
      </c>
      <c r="C651" s="1" t="n">
        <v>46042</v>
      </c>
      <c r="D651" t="inlineStr">
        <is>
          <t>JÄMTLANDS LÄN</t>
        </is>
      </c>
      <c r="E651" t="inlineStr">
        <is>
          <t>BRÄCKE</t>
        </is>
      </c>
      <c r="G651" t="n">
        <v>6.4</v>
      </c>
      <c r="H651" t="n">
        <v>0</v>
      </c>
      <c r="I651" t="n">
        <v>0</v>
      </c>
      <c r="J651" t="n">
        <v>0</v>
      </c>
      <c r="K651" t="n">
        <v>0</v>
      </c>
      <c r="L651" t="n">
        <v>0</v>
      </c>
      <c r="M651" t="n">
        <v>0</v>
      </c>
      <c r="N651" t="n">
        <v>0</v>
      </c>
      <c r="O651" t="n">
        <v>0</v>
      </c>
      <c r="P651" t="n">
        <v>0</v>
      </c>
      <c r="Q651" t="n">
        <v>0</v>
      </c>
      <c r="R651" s="2" t="inlineStr"/>
    </row>
    <row r="652" ht="15" customHeight="1">
      <c r="A652" t="inlineStr">
        <is>
          <t>A 39745-2025</t>
        </is>
      </c>
      <c r="B652" s="1" t="n">
        <v>45891.38579861111</v>
      </c>
      <c r="C652" s="1" t="n">
        <v>46042</v>
      </c>
      <c r="D652" t="inlineStr">
        <is>
          <t>JÄMTLANDS LÄN</t>
        </is>
      </c>
      <c r="E652" t="inlineStr">
        <is>
          <t>BRÄCKE</t>
        </is>
      </c>
      <c r="G652" t="n">
        <v>3.4</v>
      </c>
      <c r="H652" t="n">
        <v>0</v>
      </c>
      <c r="I652" t="n">
        <v>0</v>
      </c>
      <c r="J652" t="n">
        <v>0</v>
      </c>
      <c r="K652" t="n">
        <v>0</v>
      </c>
      <c r="L652" t="n">
        <v>0</v>
      </c>
      <c r="M652" t="n">
        <v>0</v>
      </c>
      <c r="N652" t="n">
        <v>0</v>
      </c>
      <c r="O652" t="n">
        <v>0</v>
      </c>
      <c r="P652" t="n">
        <v>0</v>
      </c>
      <c r="Q652" t="n">
        <v>0</v>
      </c>
      <c r="R652" s="2" t="inlineStr"/>
    </row>
    <row r="653" ht="15" customHeight="1">
      <c r="A653" t="inlineStr">
        <is>
          <t>A 39901-2025</t>
        </is>
      </c>
      <c r="B653" s="1" t="n">
        <v>45891.63577546296</v>
      </c>
      <c r="C653" s="1" t="n">
        <v>46042</v>
      </c>
      <c r="D653" t="inlineStr">
        <is>
          <t>JÄMTLANDS LÄN</t>
        </is>
      </c>
      <c r="E653" t="inlineStr">
        <is>
          <t>BRÄCKE</t>
        </is>
      </c>
      <c r="G653" t="n">
        <v>2.3</v>
      </c>
      <c r="H653" t="n">
        <v>0</v>
      </c>
      <c r="I653" t="n">
        <v>0</v>
      </c>
      <c r="J653" t="n">
        <v>0</v>
      </c>
      <c r="K653" t="n">
        <v>0</v>
      </c>
      <c r="L653" t="n">
        <v>0</v>
      </c>
      <c r="M653" t="n">
        <v>0</v>
      </c>
      <c r="N653" t="n">
        <v>0</v>
      </c>
      <c r="O653" t="n">
        <v>0</v>
      </c>
      <c r="P653" t="n">
        <v>0</v>
      </c>
      <c r="Q653" t="n">
        <v>0</v>
      </c>
      <c r="R653" s="2" t="inlineStr"/>
    </row>
    <row r="654" ht="15" customHeight="1">
      <c r="A654" t="inlineStr">
        <is>
          <t>A 11309-2025</t>
        </is>
      </c>
      <c r="B654" s="1" t="n">
        <v>45726</v>
      </c>
      <c r="C654" s="1" t="n">
        <v>46042</v>
      </c>
      <c r="D654" t="inlineStr">
        <is>
          <t>JÄMTLANDS LÄN</t>
        </is>
      </c>
      <c r="E654" t="inlineStr">
        <is>
          <t>BRÄCKE</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23723-2025</t>
        </is>
      </c>
      <c r="B655" s="1" t="n">
        <v>45793</v>
      </c>
      <c r="C655" s="1" t="n">
        <v>46042</v>
      </c>
      <c r="D655" t="inlineStr">
        <is>
          <t>JÄMTLANDS LÄN</t>
        </is>
      </c>
      <c r="E655" t="inlineStr">
        <is>
          <t>BRÄCKE</t>
        </is>
      </c>
      <c r="F655" t="inlineStr">
        <is>
          <t>SCA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40094-2023</t>
        </is>
      </c>
      <c r="B656" s="1" t="n">
        <v>45168</v>
      </c>
      <c r="C656" s="1" t="n">
        <v>46042</v>
      </c>
      <c r="D656" t="inlineStr">
        <is>
          <t>JÄMTLANDS LÄN</t>
        </is>
      </c>
      <c r="E656" t="inlineStr">
        <is>
          <t>BRÄCKE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25734-2025</t>
        </is>
      </c>
      <c r="B657" s="1" t="n">
        <v>45803.76541666667</v>
      </c>
      <c r="C657" s="1" t="n">
        <v>46042</v>
      </c>
      <c r="D657" t="inlineStr">
        <is>
          <t>JÄMTLANDS LÄN</t>
        </is>
      </c>
      <c r="E657" t="inlineStr">
        <is>
          <t>BRÄCKE</t>
        </is>
      </c>
      <c r="G657" t="n">
        <v>12</v>
      </c>
      <c r="H657" t="n">
        <v>0</v>
      </c>
      <c r="I657" t="n">
        <v>0</v>
      </c>
      <c r="J657" t="n">
        <v>0</v>
      </c>
      <c r="K657" t="n">
        <v>0</v>
      </c>
      <c r="L657" t="n">
        <v>0</v>
      </c>
      <c r="M657" t="n">
        <v>0</v>
      </c>
      <c r="N657" t="n">
        <v>0</v>
      </c>
      <c r="O657" t="n">
        <v>0</v>
      </c>
      <c r="P657" t="n">
        <v>0</v>
      </c>
      <c r="Q657" t="n">
        <v>0</v>
      </c>
      <c r="R657" s="2" t="inlineStr"/>
    </row>
    <row r="658" ht="15" customHeight="1">
      <c r="A658" t="inlineStr">
        <is>
          <t>A 35398-2024</t>
        </is>
      </c>
      <c r="B658" s="1" t="n">
        <v>45531.40420138889</v>
      </c>
      <c r="C658" s="1" t="n">
        <v>46042</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40411-2025</t>
        </is>
      </c>
      <c r="B659" s="1" t="n">
        <v>45895.57373842593</v>
      </c>
      <c r="C659" s="1" t="n">
        <v>46042</v>
      </c>
      <c r="D659" t="inlineStr">
        <is>
          <t>JÄMTLANDS LÄN</t>
        </is>
      </c>
      <c r="E659" t="inlineStr">
        <is>
          <t>BRÄCKE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13525-2022</t>
        </is>
      </c>
      <c r="B660" s="1" t="n">
        <v>44648</v>
      </c>
      <c r="C660" s="1" t="n">
        <v>46042</v>
      </c>
      <c r="D660" t="inlineStr">
        <is>
          <t>JÄMTLANDS LÄN</t>
        </is>
      </c>
      <c r="E660" t="inlineStr">
        <is>
          <t>BRÄCKE</t>
        </is>
      </c>
      <c r="G660" t="n">
        <v>0.5</v>
      </c>
      <c r="H660" t="n">
        <v>0</v>
      </c>
      <c r="I660" t="n">
        <v>0</v>
      </c>
      <c r="J660" t="n">
        <v>0</v>
      </c>
      <c r="K660" t="n">
        <v>0</v>
      </c>
      <c r="L660" t="n">
        <v>0</v>
      </c>
      <c r="M660" t="n">
        <v>0</v>
      </c>
      <c r="N660" t="n">
        <v>0</v>
      </c>
      <c r="O660" t="n">
        <v>0</v>
      </c>
      <c r="P660" t="n">
        <v>0</v>
      </c>
      <c r="Q660" t="n">
        <v>0</v>
      </c>
      <c r="R660" s="2" t="inlineStr"/>
    </row>
    <row r="661" ht="15" customHeight="1">
      <c r="A661" t="inlineStr">
        <is>
          <t>A 4132-2025</t>
        </is>
      </c>
      <c r="B661" s="1" t="n">
        <v>45685.34538194445</v>
      </c>
      <c r="C661" s="1" t="n">
        <v>46042</v>
      </c>
      <c r="D661" t="inlineStr">
        <is>
          <t>JÄMTLANDS LÄN</t>
        </is>
      </c>
      <c r="E661" t="inlineStr">
        <is>
          <t>BRÄCKE</t>
        </is>
      </c>
      <c r="F661" t="inlineStr">
        <is>
          <t>SCA</t>
        </is>
      </c>
      <c r="G661" t="n">
        <v>6.6</v>
      </c>
      <c r="H661" t="n">
        <v>0</v>
      </c>
      <c r="I661" t="n">
        <v>0</v>
      </c>
      <c r="J661" t="n">
        <v>0</v>
      </c>
      <c r="K661" t="n">
        <v>0</v>
      </c>
      <c r="L661" t="n">
        <v>0</v>
      </c>
      <c r="M661" t="n">
        <v>0</v>
      </c>
      <c r="N661" t="n">
        <v>0</v>
      </c>
      <c r="O661" t="n">
        <v>0</v>
      </c>
      <c r="P661" t="n">
        <v>0</v>
      </c>
      <c r="Q661" t="n">
        <v>0</v>
      </c>
      <c r="R661" s="2" t="inlineStr"/>
    </row>
    <row r="662" ht="15" customHeight="1">
      <c r="A662" t="inlineStr">
        <is>
          <t>A 26379-2025</t>
        </is>
      </c>
      <c r="B662" s="1" t="n">
        <v>45806.48998842593</v>
      </c>
      <c r="C662" s="1" t="n">
        <v>46042</v>
      </c>
      <c r="D662" t="inlineStr">
        <is>
          <t>JÄMTLANDS LÄN</t>
        </is>
      </c>
      <c r="E662" t="inlineStr">
        <is>
          <t>BRÄCKE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23752-2023</t>
        </is>
      </c>
      <c r="B663" s="1" t="n">
        <v>45077.92935185185</v>
      </c>
      <c r="C663" s="1" t="n">
        <v>46042</v>
      </c>
      <c r="D663" t="inlineStr">
        <is>
          <t>JÄMTLANDS LÄN</t>
        </is>
      </c>
      <c r="E663" t="inlineStr">
        <is>
          <t>BRÄCKE</t>
        </is>
      </c>
      <c r="G663" t="n">
        <v>0.8</v>
      </c>
      <c r="H663" t="n">
        <v>0</v>
      </c>
      <c r="I663" t="n">
        <v>0</v>
      </c>
      <c r="J663" t="n">
        <v>0</v>
      </c>
      <c r="K663" t="n">
        <v>0</v>
      </c>
      <c r="L663" t="n">
        <v>0</v>
      </c>
      <c r="M663" t="n">
        <v>0</v>
      </c>
      <c r="N663" t="n">
        <v>0</v>
      </c>
      <c r="O663" t="n">
        <v>0</v>
      </c>
      <c r="P663" t="n">
        <v>0</v>
      </c>
      <c r="Q663" t="n">
        <v>0</v>
      </c>
      <c r="R663" s="2" t="inlineStr"/>
    </row>
    <row r="664" ht="15" customHeight="1">
      <c r="A664" t="inlineStr">
        <is>
          <t>A 17097-2025</t>
        </is>
      </c>
      <c r="B664" s="1" t="n">
        <v>45755</v>
      </c>
      <c r="C664" s="1" t="n">
        <v>46042</v>
      </c>
      <c r="D664" t="inlineStr">
        <is>
          <t>JÄMTLANDS LÄN</t>
        </is>
      </c>
      <c r="E664" t="inlineStr">
        <is>
          <t>BRÄCKE</t>
        </is>
      </c>
      <c r="F664" t="inlineStr">
        <is>
          <t>SCA</t>
        </is>
      </c>
      <c r="G664" t="n">
        <v>29.9</v>
      </c>
      <c r="H664" t="n">
        <v>0</v>
      </c>
      <c r="I664" t="n">
        <v>0</v>
      </c>
      <c r="J664" t="n">
        <v>0</v>
      </c>
      <c r="K664" t="n">
        <v>0</v>
      </c>
      <c r="L664" t="n">
        <v>0</v>
      </c>
      <c r="M664" t="n">
        <v>0</v>
      </c>
      <c r="N664" t="n">
        <v>0</v>
      </c>
      <c r="O664" t="n">
        <v>0</v>
      </c>
      <c r="P664" t="n">
        <v>0</v>
      </c>
      <c r="Q664" t="n">
        <v>0</v>
      </c>
      <c r="R664" s="2" t="inlineStr"/>
    </row>
    <row r="665" ht="15" customHeight="1">
      <c r="A665" t="inlineStr">
        <is>
          <t>A 38105-2024</t>
        </is>
      </c>
      <c r="B665" s="1" t="n">
        <v>45545.36538194444</v>
      </c>
      <c r="C665" s="1" t="n">
        <v>46042</v>
      </c>
      <c r="D665" t="inlineStr">
        <is>
          <t>JÄMTLANDS LÄN</t>
        </is>
      </c>
      <c r="E665" t="inlineStr">
        <is>
          <t>BRÄCKE</t>
        </is>
      </c>
      <c r="G665" t="n">
        <v>1</v>
      </c>
      <c r="H665" t="n">
        <v>0</v>
      </c>
      <c r="I665" t="n">
        <v>0</v>
      </c>
      <c r="J665" t="n">
        <v>0</v>
      </c>
      <c r="K665" t="n">
        <v>0</v>
      </c>
      <c r="L665" t="n">
        <v>0</v>
      </c>
      <c r="M665" t="n">
        <v>0</v>
      </c>
      <c r="N665" t="n">
        <v>0</v>
      </c>
      <c r="O665" t="n">
        <v>0</v>
      </c>
      <c r="P665" t="n">
        <v>0</v>
      </c>
      <c r="Q665" t="n">
        <v>0</v>
      </c>
      <c r="R665" s="2" t="inlineStr"/>
    </row>
    <row r="666" ht="15" customHeight="1">
      <c r="A666" t="inlineStr">
        <is>
          <t>A 55436-2024</t>
        </is>
      </c>
      <c r="B666" s="1" t="n">
        <v>45622.4022337963</v>
      </c>
      <c r="C666" s="1" t="n">
        <v>46042</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5527-2025</t>
        </is>
      </c>
      <c r="B667" s="1" t="n">
        <v>45693.42859953704</v>
      </c>
      <c r="C667" s="1" t="n">
        <v>46042</v>
      </c>
      <c r="D667" t="inlineStr">
        <is>
          <t>JÄMTLANDS LÄN</t>
        </is>
      </c>
      <c r="E667" t="inlineStr">
        <is>
          <t>BRÄCKE</t>
        </is>
      </c>
      <c r="G667" t="n">
        <v>4.8</v>
      </c>
      <c r="H667" t="n">
        <v>0</v>
      </c>
      <c r="I667" t="n">
        <v>0</v>
      </c>
      <c r="J667" t="n">
        <v>0</v>
      </c>
      <c r="K667" t="n">
        <v>0</v>
      </c>
      <c r="L667" t="n">
        <v>0</v>
      </c>
      <c r="M667" t="n">
        <v>0</v>
      </c>
      <c r="N667" t="n">
        <v>0</v>
      </c>
      <c r="O667" t="n">
        <v>0</v>
      </c>
      <c r="P667" t="n">
        <v>0</v>
      </c>
      <c r="Q667" t="n">
        <v>0</v>
      </c>
      <c r="R667" s="2" t="inlineStr"/>
    </row>
    <row r="668" ht="15" customHeight="1">
      <c r="A668" t="inlineStr">
        <is>
          <t>A 57414-2023</t>
        </is>
      </c>
      <c r="B668" s="1" t="n">
        <v>45245.96939814815</v>
      </c>
      <c r="C668" s="1" t="n">
        <v>46042</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40334-2025</t>
        </is>
      </c>
      <c r="B669" s="1" t="n">
        <v>45895</v>
      </c>
      <c r="C669" s="1" t="n">
        <v>46042</v>
      </c>
      <c r="D669" t="inlineStr">
        <is>
          <t>JÄMTLANDS LÄN</t>
        </is>
      </c>
      <c r="E669" t="inlineStr">
        <is>
          <t>BRÄCKE</t>
        </is>
      </c>
      <c r="G669" t="n">
        <v>5.4</v>
      </c>
      <c r="H669" t="n">
        <v>0</v>
      </c>
      <c r="I669" t="n">
        <v>0</v>
      </c>
      <c r="J669" t="n">
        <v>0</v>
      </c>
      <c r="K669" t="n">
        <v>0</v>
      </c>
      <c r="L669" t="n">
        <v>0</v>
      </c>
      <c r="M669" t="n">
        <v>0</v>
      </c>
      <c r="N669" t="n">
        <v>0</v>
      </c>
      <c r="O669" t="n">
        <v>0</v>
      </c>
      <c r="P669" t="n">
        <v>0</v>
      </c>
      <c r="Q669" t="n">
        <v>0</v>
      </c>
      <c r="R669" s="2" t="inlineStr"/>
    </row>
    <row r="670" ht="15" customHeight="1">
      <c r="A670" t="inlineStr">
        <is>
          <t>A 40903-2025</t>
        </is>
      </c>
      <c r="B670" s="1" t="n">
        <v>45897.61609953704</v>
      </c>
      <c r="C670" s="1" t="n">
        <v>46042</v>
      </c>
      <c r="D670" t="inlineStr">
        <is>
          <t>JÄMTLANDS LÄN</t>
        </is>
      </c>
      <c r="E670" t="inlineStr">
        <is>
          <t>BRÄCKE</t>
        </is>
      </c>
      <c r="G670" t="n">
        <v>2.9</v>
      </c>
      <c r="H670" t="n">
        <v>0</v>
      </c>
      <c r="I670" t="n">
        <v>0</v>
      </c>
      <c r="J670" t="n">
        <v>0</v>
      </c>
      <c r="K670" t="n">
        <v>0</v>
      </c>
      <c r="L670" t="n">
        <v>0</v>
      </c>
      <c r="M670" t="n">
        <v>0</v>
      </c>
      <c r="N670" t="n">
        <v>0</v>
      </c>
      <c r="O670" t="n">
        <v>0</v>
      </c>
      <c r="P670" t="n">
        <v>0</v>
      </c>
      <c r="Q670" t="n">
        <v>0</v>
      </c>
      <c r="R670" s="2" t="inlineStr"/>
    </row>
    <row r="671" ht="15" customHeight="1">
      <c r="A671" t="inlineStr">
        <is>
          <t>A 2498-2025</t>
        </is>
      </c>
      <c r="B671" s="1" t="n">
        <v>45674.5315625</v>
      </c>
      <c r="C671" s="1" t="n">
        <v>46042</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2511-2025</t>
        </is>
      </c>
      <c r="B672" s="1" t="n">
        <v>45674.57393518519</v>
      </c>
      <c r="C672" s="1" t="n">
        <v>46042</v>
      </c>
      <c r="D672" t="inlineStr">
        <is>
          <t>JÄMTLANDS LÄN</t>
        </is>
      </c>
      <c r="E672" t="inlineStr">
        <is>
          <t>BRÄCKE</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50522-2024</t>
        </is>
      </c>
      <c r="B673" s="1" t="n">
        <v>45601.55399305555</v>
      </c>
      <c r="C673" s="1" t="n">
        <v>46042</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40749-2025</t>
        </is>
      </c>
      <c r="B674" s="1" t="n">
        <v>45897.38248842592</v>
      </c>
      <c r="C674" s="1" t="n">
        <v>46042</v>
      </c>
      <c r="D674" t="inlineStr">
        <is>
          <t>JÄMTLANDS LÄN</t>
        </is>
      </c>
      <c r="E674" t="inlineStr">
        <is>
          <t>BRÄCKE</t>
        </is>
      </c>
      <c r="G674" t="n">
        <v>4.1</v>
      </c>
      <c r="H674" t="n">
        <v>0</v>
      </c>
      <c r="I674" t="n">
        <v>0</v>
      </c>
      <c r="J674" t="n">
        <v>0</v>
      </c>
      <c r="K674" t="n">
        <v>0</v>
      </c>
      <c r="L674" t="n">
        <v>0</v>
      </c>
      <c r="M674" t="n">
        <v>0</v>
      </c>
      <c r="N674" t="n">
        <v>0</v>
      </c>
      <c r="O674" t="n">
        <v>0</v>
      </c>
      <c r="P674" t="n">
        <v>0</v>
      </c>
      <c r="Q674" t="n">
        <v>0</v>
      </c>
      <c r="R674" s="2" t="inlineStr"/>
    </row>
    <row r="675" ht="15" customHeight="1">
      <c r="A675" t="inlineStr">
        <is>
          <t>A 45974-2024</t>
        </is>
      </c>
      <c r="B675" s="1" t="n">
        <v>45580.59408564815</v>
      </c>
      <c r="C675" s="1" t="n">
        <v>46042</v>
      </c>
      <c r="D675" t="inlineStr">
        <is>
          <t>JÄMTLANDS LÄN</t>
        </is>
      </c>
      <c r="E675" t="inlineStr">
        <is>
          <t>BRÄCKE</t>
        </is>
      </c>
      <c r="F675" t="inlineStr">
        <is>
          <t>Naturvårdsverket</t>
        </is>
      </c>
      <c r="G675" t="n">
        <v>0.3</v>
      </c>
      <c r="H675" t="n">
        <v>0</v>
      </c>
      <c r="I675" t="n">
        <v>0</v>
      </c>
      <c r="J675" t="n">
        <v>0</v>
      </c>
      <c r="K675" t="n">
        <v>0</v>
      </c>
      <c r="L675" t="n">
        <v>0</v>
      </c>
      <c r="M675" t="n">
        <v>0</v>
      </c>
      <c r="N675" t="n">
        <v>0</v>
      </c>
      <c r="O675" t="n">
        <v>0</v>
      </c>
      <c r="P675" t="n">
        <v>0</v>
      </c>
      <c r="Q675" t="n">
        <v>0</v>
      </c>
      <c r="R675" s="2" t="inlineStr"/>
    </row>
    <row r="676" ht="15" customHeight="1">
      <c r="A676" t="inlineStr">
        <is>
          <t>A 40607-2025</t>
        </is>
      </c>
      <c r="B676" s="1" t="n">
        <v>45896</v>
      </c>
      <c r="C676" s="1" t="n">
        <v>46042</v>
      </c>
      <c r="D676" t="inlineStr">
        <is>
          <t>JÄMTLANDS LÄN</t>
        </is>
      </c>
      <c r="E676" t="inlineStr">
        <is>
          <t>BRÄCKE</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40793-2025</t>
        </is>
      </c>
      <c r="B677" s="1" t="n">
        <v>45897.44868055556</v>
      </c>
      <c r="C677" s="1" t="n">
        <v>46042</v>
      </c>
      <c r="D677" t="inlineStr">
        <is>
          <t>JÄMTLANDS LÄN</t>
        </is>
      </c>
      <c r="E677" t="inlineStr">
        <is>
          <t>BRÄCKE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48440-2024</t>
        </is>
      </c>
      <c r="B678" s="1" t="n">
        <v>45590.67774305555</v>
      </c>
      <c r="C678" s="1" t="n">
        <v>46042</v>
      </c>
      <c r="D678" t="inlineStr">
        <is>
          <t>JÄMTLANDS LÄN</t>
        </is>
      </c>
      <c r="E678" t="inlineStr">
        <is>
          <t>BRÄCKE</t>
        </is>
      </c>
      <c r="G678" t="n">
        <v>3.5</v>
      </c>
      <c r="H678" t="n">
        <v>0</v>
      </c>
      <c r="I678" t="n">
        <v>0</v>
      </c>
      <c r="J678" t="n">
        <v>0</v>
      </c>
      <c r="K678" t="n">
        <v>0</v>
      </c>
      <c r="L678" t="n">
        <v>0</v>
      </c>
      <c r="M678" t="n">
        <v>0</v>
      </c>
      <c r="N678" t="n">
        <v>0</v>
      </c>
      <c r="O678" t="n">
        <v>0</v>
      </c>
      <c r="P678" t="n">
        <v>0</v>
      </c>
      <c r="Q678" t="n">
        <v>0</v>
      </c>
      <c r="R678" s="2" t="inlineStr"/>
    </row>
    <row r="679" ht="15" customHeight="1">
      <c r="A679" t="inlineStr">
        <is>
          <t>A 40834-2025</t>
        </is>
      </c>
      <c r="B679" s="1" t="n">
        <v>45897.51135416667</v>
      </c>
      <c r="C679" s="1" t="n">
        <v>46042</v>
      </c>
      <c r="D679" t="inlineStr">
        <is>
          <t>JÄMTLANDS LÄN</t>
        </is>
      </c>
      <c r="E679" t="inlineStr">
        <is>
          <t>BRÄCKE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40843-2025</t>
        </is>
      </c>
      <c r="B680" s="1" t="n">
        <v>45897.5321412037</v>
      </c>
      <c r="C680" s="1" t="n">
        <v>46042</v>
      </c>
      <c r="D680" t="inlineStr">
        <is>
          <t>JÄMTLANDS LÄN</t>
        </is>
      </c>
      <c r="E680" t="inlineStr">
        <is>
          <t>BRÄCKE</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40871-2025</t>
        </is>
      </c>
      <c r="B681" s="1" t="n">
        <v>45897.57418981481</v>
      </c>
      <c r="C681" s="1" t="n">
        <v>46042</v>
      </c>
      <c r="D681" t="inlineStr">
        <is>
          <t>JÄMTLANDS LÄN</t>
        </is>
      </c>
      <c r="E681" t="inlineStr">
        <is>
          <t>BRÄCKE</t>
        </is>
      </c>
      <c r="G681" t="n">
        <v>2.9</v>
      </c>
      <c r="H681" t="n">
        <v>0</v>
      </c>
      <c r="I681" t="n">
        <v>0</v>
      </c>
      <c r="J681" t="n">
        <v>0</v>
      </c>
      <c r="K681" t="n">
        <v>0</v>
      </c>
      <c r="L681" t="n">
        <v>0</v>
      </c>
      <c r="M681" t="n">
        <v>0</v>
      </c>
      <c r="N681" t="n">
        <v>0</v>
      </c>
      <c r="O681" t="n">
        <v>0</v>
      </c>
      <c r="P681" t="n">
        <v>0</v>
      </c>
      <c r="Q681" t="n">
        <v>0</v>
      </c>
      <c r="R681" s="2" t="inlineStr"/>
    </row>
    <row r="682" ht="15" customHeight="1">
      <c r="A682" t="inlineStr">
        <is>
          <t>A 26818-2025</t>
        </is>
      </c>
      <c r="B682" s="1" t="n">
        <v>45810.63622685185</v>
      </c>
      <c r="C682" s="1" t="n">
        <v>46042</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40757-2025</t>
        </is>
      </c>
      <c r="B683" s="1" t="n">
        <v>45897.39034722222</v>
      </c>
      <c r="C683" s="1" t="n">
        <v>46042</v>
      </c>
      <c r="D683" t="inlineStr">
        <is>
          <t>JÄMTLANDS LÄN</t>
        </is>
      </c>
      <c r="E683" t="inlineStr">
        <is>
          <t>BRÄCKE</t>
        </is>
      </c>
      <c r="G683" t="n">
        <v>1.6</v>
      </c>
      <c r="H683" t="n">
        <v>0</v>
      </c>
      <c r="I683" t="n">
        <v>0</v>
      </c>
      <c r="J683" t="n">
        <v>0</v>
      </c>
      <c r="K683" t="n">
        <v>0</v>
      </c>
      <c r="L683" t="n">
        <v>0</v>
      </c>
      <c r="M683" t="n">
        <v>0</v>
      </c>
      <c r="N683" t="n">
        <v>0</v>
      </c>
      <c r="O683" t="n">
        <v>0</v>
      </c>
      <c r="P683" t="n">
        <v>0</v>
      </c>
      <c r="Q683" t="n">
        <v>0</v>
      </c>
      <c r="R683" s="2" t="inlineStr"/>
    </row>
    <row r="684" ht="15" customHeight="1">
      <c r="A684" t="inlineStr">
        <is>
          <t>A 40868-2025</t>
        </is>
      </c>
      <c r="B684" s="1" t="n">
        <v>45897.57365740741</v>
      </c>
      <c r="C684" s="1" t="n">
        <v>46042</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40869-2025</t>
        </is>
      </c>
      <c r="B685" s="1" t="n">
        <v>45897.57383101852</v>
      </c>
      <c r="C685" s="1" t="n">
        <v>46042</v>
      </c>
      <c r="D685" t="inlineStr">
        <is>
          <t>JÄMTLANDS LÄN</t>
        </is>
      </c>
      <c r="E685" t="inlineStr">
        <is>
          <t>BRÄCKE</t>
        </is>
      </c>
      <c r="G685" t="n">
        <v>4.8</v>
      </c>
      <c r="H685" t="n">
        <v>0</v>
      </c>
      <c r="I685" t="n">
        <v>0</v>
      </c>
      <c r="J685" t="n">
        <v>0</v>
      </c>
      <c r="K685" t="n">
        <v>0</v>
      </c>
      <c r="L685" t="n">
        <v>0</v>
      </c>
      <c r="M685" t="n">
        <v>0</v>
      </c>
      <c r="N685" t="n">
        <v>0</v>
      </c>
      <c r="O685" t="n">
        <v>0</v>
      </c>
      <c r="P685" t="n">
        <v>0</v>
      </c>
      <c r="Q685" t="n">
        <v>0</v>
      </c>
      <c r="R685" s="2" t="inlineStr"/>
    </row>
    <row r="686" ht="15" customHeight="1">
      <c r="A686" t="inlineStr">
        <is>
          <t>A 26736-2025</t>
        </is>
      </c>
      <c r="B686" s="1" t="n">
        <v>45810.51644675926</v>
      </c>
      <c r="C686" s="1" t="n">
        <v>46042</v>
      </c>
      <c r="D686" t="inlineStr">
        <is>
          <t>JÄMTLANDS LÄN</t>
        </is>
      </c>
      <c r="E686" t="inlineStr">
        <is>
          <t>BRÄCKE</t>
        </is>
      </c>
      <c r="G686" t="n">
        <v>4.2</v>
      </c>
      <c r="H686" t="n">
        <v>0</v>
      </c>
      <c r="I686" t="n">
        <v>0</v>
      </c>
      <c r="J686" t="n">
        <v>0</v>
      </c>
      <c r="K686" t="n">
        <v>0</v>
      </c>
      <c r="L686" t="n">
        <v>0</v>
      </c>
      <c r="M686" t="n">
        <v>0</v>
      </c>
      <c r="N686" t="n">
        <v>0</v>
      </c>
      <c r="O686" t="n">
        <v>0</v>
      </c>
      <c r="P686" t="n">
        <v>0</v>
      </c>
      <c r="Q686" t="n">
        <v>0</v>
      </c>
      <c r="R686" s="2" t="inlineStr"/>
    </row>
    <row r="687" ht="15" customHeight="1">
      <c r="A687" t="inlineStr">
        <is>
          <t>A 56429-2024</t>
        </is>
      </c>
      <c r="B687" s="1" t="n">
        <v>45625.40149305556</v>
      </c>
      <c r="C687" s="1" t="n">
        <v>46042</v>
      </c>
      <c r="D687" t="inlineStr">
        <is>
          <t>JÄMTLANDS LÄN</t>
        </is>
      </c>
      <c r="E687" t="inlineStr">
        <is>
          <t>BRÄCKE</t>
        </is>
      </c>
      <c r="G687" t="n">
        <v>1.7</v>
      </c>
      <c r="H687" t="n">
        <v>0</v>
      </c>
      <c r="I687" t="n">
        <v>0</v>
      </c>
      <c r="J687" t="n">
        <v>0</v>
      </c>
      <c r="K687" t="n">
        <v>0</v>
      </c>
      <c r="L687" t="n">
        <v>0</v>
      </c>
      <c r="M687" t="n">
        <v>0</v>
      </c>
      <c r="N687" t="n">
        <v>0</v>
      </c>
      <c r="O687" t="n">
        <v>0</v>
      </c>
      <c r="P687" t="n">
        <v>0</v>
      </c>
      <c r="Q687" t="n">
        <v>0</v>
      </c>
      <c r="R687" s="2" t="inlineStr"/>
    </row>
    <row r="688" ht="15" customHeight="1">
      <c r="A688" t="inlineStr">
        <is>
          <t>A 56432-2024</t>
        </is>
      </c>
      <c r="B688" s="1" t="n">
        <v>45625.40679398148</v>
      </c>
      <c r="C688" s="1" t="n">
        <v>46042</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40748-2025</t>
        </is>
      </c>
      <c r="B689" s="1" t="n">
        <v>45897.38009259259</v>
      </c>
      <c r="C689" s="1" t="n">
        <v>46042</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59245-2024</t>
        </is>
      </c>
      <c r="B690" s="1" t="n">
        <v>45637.59230324074</v>
      </c>
      <c r="C690" s="1" t="n">
        <v>46042</v>
      </c>
      <c r="D690" t="inlineStr">
        <is>
          <t>JÄMTLANDS LÄN</t>
        </is>
      </c>
      <c r="E690" t="inlineStr">
        <is>
          <t>BRÄCKE</t>
        </is>
      </c>
      <c r="G690" t="n">
        <v>4.9</v>
      </c>
      <c r="H690" t="n">
        <v>0</v>
      </c>
      <c r="I690" t="n">
        <v>0</v>
      </c>
      <c r="J690" t="n">
        <v>0</v>
      </c>
      <c r="K690" t="n">
        <v>0</v>
      </c>
      <c r="L690" t="n">
        <v>0</v>
      </c>
      <c r="M690" t="n">
        <v>0</v>
      </c>
      <c r="N690" t="n">
        <v>0</v>
      </c>
      <c r="O690" t="n">
        <v>0</v>
      </c>
      <c r="P690" t="n">
        <v>0</v>
      </c>
      <c r="Q690" t="n">
        <v>0</v>
      </c>
      <c r="R690" s="2" t="inlineStr"/>
    </row>
    <row r="691" ht="15" customHeight="1">
      <c r="A691" t="inlineStr">
        <is>
          <t>A 40832-2025</t>
        </is>
      </c>
      <c r="B691" s="1" t="n">
        <v>45897.51096064815</v>
      </c>
      <c r="C691" s="1" t="n">
        <v>46042</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40809-2025</t>
        </is>
      </c>
      <c r="B692" s="1" t="n">
        <v>45897.46936342592</v>
      </c>
      <c r="C692" s="1" t="n">
        <v>46042</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40959-2025</t>
        </is>
      </c>
      <c r="B693" s="1" t="n">
        <v>45897.67890046296</v>
      </c>
      <c r="C693" s="1" t="n">
        <v>46042</v>
      </c>
      <c r="D693" t="inlineStr">
        <is>
          <t>JÄMTLANDS LÄN</t>
        </is>
      </c>
      <c r="E693" t="inlineStr">
        <is>
          <t>BRÄCKE</t>
        </is>
      </c>
      <c r="F693" t="inlineStr">
        <is>
          <t>Naturvårdsverket</t>
        </is>
      </c>
      <c r="G693" t="n">
        <v>12.6</v>
      </c>
      <c r="H693" t="n">
        <v>0</v>
      </c>
      <c r="I693" t="n">
        <v>0</v>
      </c>
      <c r="J693" t="n">
        <v>0</v>
      </c>
      <c r="K693" t="n">
        <v>0</v>
      </c>
      <c r="L693" t="n">
        <v>0</v>
      </c>
      <c r="M693" t="n">
        <v>0</v>
      </c>
      <c r="N693" t="n">
        <v>0</v>
      </c>
      <c r="O693" t="n">
        <v>0</v>
      </c>
      <c r="P693" t="n">
        <v>0</v>
      </c>
      <c r="Q693" t="n">
        <v>0</v>
      </c>
      <c r="R693" s="2" t="inlineStr"/>
    </row>
    <row r="694" ht="15" customHeight="1">
      <c r="A694" t="inlineStr">
        <is>
          <t>A 24062-2024</t>
        </is>
      </c>
      <c r="B694" s="1" t="n">
        <v>45456.54141203704</v>
      </c>
      <c r="C694" s="1" t="n">
        <v>46042</v>
      </c>
      <c r="D694" t="inlineStr">
        <is>
          <t>JÄMTLANDS LÄN</t>
        </is>
      </c>
      <c r="E694" t="inlineStr">
        <is>
          <t>BRÄCKE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40908-2025</t>
        </is>
      </c>
      <c r="B695" s="1" t="n">
        <v>45897.61657407408</v>
      </c>
      <c r="C695" s="1" t="n">
        <v>46042</v>
      </c>
      <c r="D695" t="inlineStr">
        <is>
          <t>JÄMTLANDS LÄN</t>
        </is>
      </c>
      <c r="E695" t="inlineStr">
        <is>
          <t>BRÄCKE</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35896-2023</t>
        </is>
      </c>
      <c r="B696" s="1" t="n">
        <v>45148</v>
      </c>
      <c r="C696" s="1" t="n">
        <v>46042</v>
      </c>
      <c r="D696" t="inlineStr">
        <is>
          <t>JÄMTLANDS LÄN</t>
        </is>
      </c>
      <c r="E696" t="inlineStr">
        <is>
          <t>BRÄCKE</t>
        </is>
      </c>
      <c r="G696" t="n">
        <v>3.6</v>
      </c>
      <c r="H696" t="n">
        <v>0</v>
      </c>
      <c r="I696" t="n">
        <v>0</v>
      </c>
      <c r="J696" t="n">
        <v>0</v>
      </c>
      <c r="K696" t="n">
        <v>0</v>
      </c>
      <c r="L696" t="n">
        <v>0</v>
      </c>
      <c r="M696" t="n">
        <v>0</v>
      </c>
      <c r="N696" t="n">
        <v>0</v>
      </c>
      <c r="O696" t="n">
        <v>0</v>
      </c>
      <c r="P696" t="n">
        <v>0</v>
      </c>
      <c r="Q696" t="n">
        <v>0</v>
      </c>
      <c r="R696" s="2" t="inlineStr"/>
    </row>
    <row r="697" ht="15" customHeight="1">
      <c r="A697" t="inlineStr">
        <is>
          <t>A 36551-2024</t>
        </is>
      </c>
      <c r="B697" s="1" t="n">
        <v>45537.468125</v>
      </c>
      <c r="C697" s="1" t="n">
        <v>46042</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27041-2025</t>
        </is>
      </c>
      <c r="B698" s="1" t="n">
        <v>45811.60465277778</v>
      </c>
      <c r="C698" s="1" t="n">
        <v>46042</v>
      </c>
      <c r="D698" t="inlineStr">
        <is>
          <t>JÄMTLANDS LÄN</t>
        </is>
      </c>
      <c r="E698" t="inlineStr">
        <is>
          <t>BRÄCKE</t>
        </is>
      </c>
      <c r="G698" t="n">
        <v>2.6</v>
      </c>
      <c r="H698" t="n">
        <v>0</v>
      </c>
      <c r="I698" t="n">
        <v>0</v>
      </c>
      <c r="J698" t="n">
        <v>0</v>
      </c>
      <c r="K698" t="n">
        <v>0</v>
      </c>
      <c r="L698" t="n">
        <v>0</v>
      </c>
      <c r="M698" t="n">
        <v>0</v>
      </c>
      <c r="N698" t="n">
        <v>0</v>
      </c>
      <c r="O698" t="n">
        <v>0</v>
      </c>
      <c r="P698" t="n">
        <v>0</v>
      </c>
      <c r="Q698" t="n">
        <v>0</v>
      </c>
      <c r="R698" s="2" t="inlineStr"/>
    </row>
    <row r="699" ht="15" customHeight="1">
      <c r="A699" t="inlineStr">
        <is>
          <t>A 40900-2025</t>
        </is>
      </c>
      <c r="B699" s="1" t="n">
        <v>45897.61546296296</v>
      </c>
      <c r="C699" s="1" t="n">
        <v>46042</v>
      </c>
      <c r="D699" t="inlineStr">
        <is>
          <t>JÄMTLANDS LÄN</t>
        </is>
      </c>
      <c r="E699" t="inlineStr">
        <is>
          <t>BRÄCKE</t>
        </is>
      </c>
      <c r="G699" t="n">
        <v>4.8</v>
      </c>
      <c r="H699" t="n">
        <v>0</v>
      </c>
      <c r="I699" t="n">
        <v>0</v>
      </c>
      <c r="J699" t="n">
        <v>0</v>
      </c>
      <c r="K699" t="n">
        <v>0</v>
      </c>
      <c r="L699" t="n">
        <v>0</v>
      </c>
      <c r="M699" t="n">
        <v>0</v>
      </c>
      <c r="N699" t="n">
        <v>0</v>
      </c>
      <c r="O699" t="n">
        <v>0</v>
      </c>
      <c r="P699" t="n">
        <v>0</v>
      </c>
      <c r="Q699" t="n">
        <v>0</v>
      </c>
      <c r="R699" s="2" t="inlineStr"/>
    </row>
    <row r="700" ht="15" customHeight="1">
      <c r="A700" t="inlineStr">
        <is>
          <t>A 14607-2025</t>
        </is>
      </c>
      <c r="B700" s="1" t="n">
        <v>45742.37540509259</v>
      </c>
      <c r="C700" s="1" t="n">
        <v>46042</v>
      </c>
      <c r="D700" t="inlineStr">
        <is>
          <t>JÄMTLANDS LÄN</t>
        </is>
      </c>
      <c r="E700" t="inlineStr">
        <is>
          <t>BRÄCKE</t>
        </is>
      </c>
      <c r="G700" t="n">
        <v>6.7</v>
      </c>
      <c r="H700" t="n">
        <v>0</v>
      </c>
      <c r="I700" t="n">
        <v>0</v>
      </c>
      <c r="J700" t="n">
        <v>0</v>
      </c>
      <c r="K700" t="n">
        <v>0</v>
      </c>
      <c r="L700" t="n">
        <v>0</v>
      </c>
      <c r="M700" t="n">
        <v>0</v>
      </c>
      <c r="N700" t="n">
        <v>0</v>
      </c>
      <c r="O700" t="n">
        <v>0</v>
      </c>
      <c r="P700" t="n">
        <v>0</v>
      </c>
      <c r="Q700" t="n">
        <v>0</v>
      </c>
      <c r="R700" s="2" t="inlineStr"/>
    </row>
    <row r="701" ht="15" customHeight="1">
      <c r="A701" t="inlineStr">
        <is>
          <t>A 14798-2023</t>
        </is>
      </c>
      <c r="B701" s="1" t="n">
        <v>45014.61738425926</v>
      </c>
      <c r="C701" s="1" t="n">
        <v>46042</v>
      </c>
      <c r="D701" t="inlineStr">
        <is>
          <t>JÄMTLANDS LÄN</t>
        </is>
      </c>
      <c r="E701" t="inlineStr">
        <is>
          <t>BRÄCKE</t>
        </is>
      </c>
      <c r="G701" t="n">
        <v>3.5</v>
      </c>
      <c r="H701" t="n">
        <v>0</v>
      </c>
      <c r="I701" t="n">
        <v>0</v>
      </c>
      <c r="J701" t="n">
        <v>0</v>
      </c>
      <c r="K701" t="n">
        <v>0</v>
      </c>
      <c r="L701" t="n">
        <v>0</v>
      </c>
      <c r="M701" t="n">
        <v>0</v>
      </c>
      <c r="N701" t="n">
        <v>0</v>
      </c>
      <c r="O701" t="n">
        <v>0</v>
      </c>
      <c r="P701" t="n">
        <v>0</v>
      </c>
      <c r="Q701" t="n">
        <v>0</v>
      </c>
      <c r="R701" s="2" t="inlineStr"/>
    </row>
    <row r="702" ht="15" customHeight="1">
      <c r="A702" t="inlineStr">
        <is>
          <t>A 49399-2024</t>
        </is>
      </c>
      <c r="B702" s="1" t="n">
        <v>45595.67138888889</v>
      </c>
      <c r="C702" s="1" t="n">
        <v>46042</v>
      </c>
      <c r="D702" t="inlineStr">
        <is>
          <t>JÄMTLANDS LÄN</t>
        </is>
      </c>
      <c r="E702" t="inlineStr">
        <is>
          <t>BRÄCKE</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41297-2025</t>
        </is>
      </c>
      <c r="B703" s="1" t="n">
        <v>45898.66872685185</v>
      </c>
      <c r="C703" s="1" t="n">
        <v>46042</v>
      </c>
      <c r="D703" t="inlineStr">
        <is>
          <t>JÄMTLANDS LÄN</t>
        </is>
      </c>
      <c r="E703" t="inlineStr">
        <is>
          <t>BRÄCKE</t>
        </is>
      </c>
      <c r="F703" t="inlineStr">
        <is>
          <t>Övriga Aktiebolag</t>
        </is>
      </c>
      <c r="G703" t="n">
        <v>2.8</v>
      </c>
      <c r="H703" t="n">
        <v>0</v>
      </c>
      <c r="I703" t="n">
        <v>0</v>
      </c>
      <c r="J703" t="n">
        <v>0</v>
      </c>
      <c r="K703" t="n">
        <v>0</v>
      </c>
      <c r="L703" t="n">
        <v>0</v>
      </c>
      <c r="M703" t="n">
        <v>0</v>
      </c>
      <c r="N703" t="n">
        <v>0</v>
      </c>
      <c r="O703" t="n">
        <v>0</v>
      </c>
      <c r="P703" t="n">
        <v>0</v>
      </c>
      <c r="Q703" t="n">
        <v>0</v>
      </c>
      <c r="R703" s="2" t="inlineStr"/>
    </row>
    <row r="704" ht="15" customHeight="1">
      <c r="A704" t="inlineStr">
        <is>
          <t>A 49400-2024</t>
        </is>
      </c>
      <c r="B704" s="1" t="n">
        <v>45595.67152777778</v>
      </c>
      <c r="C704" s="1" t="n">
        <v>46042</v>
      </c>
      <c r="D704" t="inlineStr">
        <is>
          <t>JÄMTLANDS LÄN</t>
        </is>
      </c>
      <c r="E704" t="inlineStr">
        <is>
          <t>BRÄCKE</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25883-2024</t>
        </is>
      </c>
      <c r="B705" s="1" t="n">
        <v>45467.49233796296</v>
      </c>
      <c r="C705" s="1" t="n">
        <v>46042</v>
      </c>
      <c r="D705" t="inlineStr">
        <is>
          <t>JÄMTLANDS LÄN</t>
        </is>
      </c>
      <c r="E705" t="inlineStr">
        <is>
          <t>BRÄCKE</t>
        </is>
      </c>
      <c r="G705" t="n">
        <v>1.8</v>
      </c>
      <c r="H705" t="n">
        <v>0</v>
      </c>
      <c r="I705" t="n">
        <v>0</v>
      </c>
      <c r="J705" t="n">
        <v>0</v>
      </c>
      <c r="K705" t="n">
        <v>0</v>
      </c>
      <c r="L705" t="n">
        <v>0</v>
      </c>
      <c r="M705" t="n">
        <v>0</v>
      </c>
      <c r="N705" t="n">
        <v>0</v>
      </c>
      <c r="O705" t="n">
        <v>0</v>
      </c>
      <c r="P705" t="n">
        <v>0</v>
      </c>
      <c r="Q705" t="n">
        <v>0</v>
      </c>
      <c r="R705" s="2" t="inlineStr"/>
    </row>
    <row r="706" ht="15" customHeight="1">
      <c r="A706" t="inlineStr">
        <is>
          <t>A 41196-2025</t>
        </is>
      </c>
      <c r="B706" s="1" t="n">
        <v>45898.57332175926</v>
      </c>
      <c r="C706" s="1" t="n">
        <v>46042</v>
      </c>
      <c r="D706" t="inlineStr">
        <is>
          <t>JÄMTLANDS LÄN</t>
        </is>
      </c>
      <c r="E706" t="inlineStr">
        <is>
          <t>BRÄCKE</t>
        </is>
      </c>
      <c r="G706" t="n">
        <v>0.8</v>
      </c>
      <c r="H706" t="n">
        <v>0</v>
      </c>
      <c r="I706" t="n">
        <v>0</v>
      </c>
      <c r="J706" t="n">
        <v>0</v>
      </c>
      <c r="K706" t="n">
        <v>0</v>
      </c>
      <c r="L706" t="n">
        <v>0</v>
      </c>
      <c r="M706" t="n">
        <v>0</v>
      </c>
      <c r="N706" t="n">
        <v>0</v>
      </c>
      <c r="O706" t="n">
        <v>0</v>
      </c>
      <c r="P706" t="n">
        <v>0</v>
      </c>
      <c r="Q706" t="n">
        <v>0</v>
      </c>
      <c r="R706" s="2" t="inlineStr"/>
    </row>
    <row r="707" ht="15" customHeight="1">
      <c r="A707" t="inlineStr">
        <is>
          <t>A 41026-2025</t>
        </is>
      </c>
      <c r="B707" s="1" t="n">
        <v>45898.36888888889</v>
      </c>
      <c r="C707" s="1" t="n">
        <v>46042</v>
      </c>
      <c r="D707" t="inlineStr">
        <is>
          <t>JÄMTLANDS LÄN</t>
        </is>
      </c>
      <c r="E707" t="inlineStr">
        <is>
          <t>BRÄCKE</t>
        </is>
      </c>
      <c r="F707" t="inlineStr">
        <is>
          <t>Övriga Aktiebolag</t>
        </is>
      </c>
      <c r="G707" t="n">
        <v>10.3</v>
      </c>
      <c r="H707" t="n">
        <v>0</v>
      </c>
      <c r="I707" t="n">
        <v>0</v>
      </c>
      <c r="J707" t="n">
        <v>0</v>
      </c>
      <c r="K707" t="n">
        <v>0</v>
      </c>
      <c r="L707" t="n">
        <v>0</v>
      </c>
      <c r="M707" t="n">
        <v>0</v>
      </c>
      <c r="N707" t="n">
        <v>0</v>
      </c>
      <c r="O707" t="n">
        <v>0</v>
      </c>
      <c r="P707" t="n">
        <v>0</v>
      </c>
      <c r="Q707" t="n">
        <v>0</v>
      </c>
      <c r="R707" s="2" t="inlineStr"/>
    </row>
    <row r="708" ht="15" customHeight="1">
      <c r="A708" t="inlineStr">
        <is>
          <t>A 41600-2025</t>
        </is>
      </c>
      <c r="B708" s="1" t="n">
        <v>45901.65686342592</v>
      </c>
      <c r="C708" s="1" t="n">
        <v>46042</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41367-2025</t>
        </is>
      </c>
      <c r="B709" s="1" t="n">
        <v>45900.55118055556</v>
      </c>
      <c r="C709" s="1" t="n">
        <v>46042</v>
      </c>
      <c r="D709" t="inlineStr">
        <is>
          <t>JÄMTLANDS LÄN</t>
        </is>
      </c>
      <c r="E709" t="inlineStr">
        <is>
          <t>BRÄCKE</t>
        </is>
      </c>
      <c r="G709" t="n">
        <v>2</v>
      </c>
      <c r="H709" t="n">
        <v>0</v>
      </c>
      <c r="I709" t="n">
        <v>0</v>
      </c>
      <c r="J709" t="n">
        <v>0</v>
      </c>
      <c r="K709" t="n">
        <v>0</v>
      </c>
      <c r="L709" t="n">
        <v>0</v>
      </c>
      <c r="M709" t="n">
        <v>0</v>
      </c>
      <c r="N709" t="n">
        <v>0</v>
      </c>
      <c r="O709" t="n">
        <v>0</v>
      </c>
      <c r="P709" t="n">
        <v>0</v>
      </c>
      <c r="Q709" t="n">
        <v>0</v>
      </c>
      <c r="R709" s="2" t="inlineStr"/>
    </row>
    <row r="710" ht="15" customHeight="1">
      <c r="A710" t="inlineStr">
        <is>
          <t>A 27511-2025</t>
        </is>
      </c>
      <c r="B710" s="1" t="n">
        <v>45813.42799768518</v>
      </c>
      <c r="C710" s="1" t="n">
        <v>46042</v>
      </c>
      <c r="D710" t="inlineStr">
        <is>
          <t>JÄMTLANDS LÄN</t>
        </is>
      </c>
      <c r="E710" t="inlineStr">
        <is>
          <t>BRÄCKE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27516-2025</t>
        </is>
      </c>
      <c r="B711" s="1" t="n">
        <v>45813.43526620371</v>
      </c>
      <c r="C711" s="1" t="n">
        <v>46042</v>
      </c>
      <c r="D711" t="inlineStr">
        <is>
          <t>JÄMTLANDS LÄN</t>
        </is>
      </c>
      <c r="E711" t="inlineStr">
        <is>
          <t>BRÄCKE</t>
        </is>
      </c>
      <c r="G711" t="n">
        <v>0.1</v>
      </c>
      <c r="H711" t="n">
        <v>0</v>
      </c>
      <c r="I711" t="n">
        <v>0</v>
      </c>
      <c r="J711" t="n">
        <v>0</v>
      </c>
      <c r="K711" t="n">
        <v>0</v>
      </c>
      <c r="L711" t="n">
        <v>0</v>
      </c>
      <c r="M711" t="n">
        <v>0</v>
      </c>
      <c r="N711" t="n">
        <v>0</v>
      </c>
      <c r="O711" t="n">
        <v>0</v>
      </c>
      <c r="P711" t="n">
        <v>0</v>
      </c>
      <c r="Q711" t="n">
        <v>0</v>
      </c>
      <c r="R711" s="2" t="inlineStr"/>
    </row>
    <row r="712" ht="15" customHeight="1">
      <c r="A712" t="inlineStr">
        <is>
          <t>A 41094-2025</t>
        </is>
      </c>
      <c r="B712" s="1" t="n">
        <v>45898.44246527777</v>
      </c>
      <c r="C712" s="1" t="n">
        <v>46042</v>
      </c>
      <c r="D712" t="inlineStr">
        <is>
          <t>JÄMTLANDS LÄN</t>
        </is>
      </c>
      <c r="E712" t="inlineStr">
        <is>
          <t>BRÄCKE</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41236-2025</t>
        </is>
      </c>
      <c r="B713" s="1" t="n">
        <v>45898.59565972222</v>
      </c>
      <c r="C713" s="1" t="n">
        <v>46042</v>
      </c>
      <c r="D713" t="inlineStr">
        <is>
          <t>JÄMTLANDS LÄN</t>
        </is>
      </c>
      <c r="E713" t="inlineStr">
        <is>
          <t>BRÄCKE</t>
        </is>
      </c>
      <c r="G713" t="n">
        <v>2.6</v>
      </c>
      <c r="H713" t="n">
        <v>0</v>
      </c>
      <c r="I713" t="n">
        <v>0</v>
      </c>
      <c r="J713" t="n">
        <v>0</v>
      </c>
      <c r="K713" t="n">
        <v>0</v>
      </c>
      <c r="L713" t="n">
        <v>0</v>
      </c>
      <c r="M713" t="n">
        <v>0</v>
      </c>
      <c r="N713" t="n">
        <v>0</v>
      </c>
      <c r="O713" t="n">
        <v>0</v>
      </c>
      <c r="P713" t="n">
        <v>0</v>
      </c>
      <c r="Q713" t="n">
        <v>0</v>
      </c>
      <c r="R713" s="2" t="inlineStr"/>
    </row>
    <row r="714" ht="15" customHeight="1">
      <c r="A714" t="inlineStr">
        <is>
          <t>A 41285-2025</t>
        </is>
      </c>
      <c r="B714" s="1" t="n">
        <v>45898.63637731481</v>
      </c>
      <c r="C714" s="1" t="n">
        <v>46042</v>
      </c>
      <c r="D714" t="inlineStr">
        <is>
          <t>JÄMTLANDS LÄN</t>
        </is>
      </c>
      <c r="E714" t="inlineStr">
        <is>
          <t>BRÄCKE</t>
        </is>
      </c>
      <c r="F714" t="inlineStr">
        <is>
          <t>Övriga Aktiebolag</t>
        </is>
      </c>
      <c r="G714" t="n">
        <v>0.8</v>
      </c>
      <c r="H714" t="n">
        <v>0</v>
      </c>
      <c r="I714" t="n">
        <v>0</v>
      </c>
      <c r="J714" t="n">
        <v>0</v>
      </c>
      <c r="K714" t="n">
        <v>0</v>
      </c>
      <c r="L714" t="n">
        <v>0</v>
      </c>
      <c r="M714" t="n">
        <v>0</v>
      </c>
      <c r="N714" t="n">
        <v>0</v>
      </c>
      <c r="O714" t="n">
        <v>0</v>
      </c>
      <c r="P714" t="n">
        <v>0</v>
      </c>
      <c r="Q714" t="n">
        <v>0</v>
      </c>
      <c r="R714" s="2" t="inlineStr"/>
    </row>
    <row r="715" ht="15" customHeight="1">
      <c r="A715" t="inlineStr">
        <is>
          <t>A 41344-2025</t>
        </is>
      </c>
      <c r="B715" s="1" t="n">
        <v>45899.46899305555</v>
      </c>
      <c r="C715" s="1" t="n">
        <v>46042</v>
      </c>
      <c r="D715" t="inlineStr">
        <is>
          <t>JÄMTLANDS LÄN</t>
        </is>
      </c>
      <c r="E715" t="inlineStr">
        <is>
          <t>BRÄCKE</t>
        </is>
      </c>
      <c r="G715" t="n">
        <v>1.5</v>
      </c>
      <c r="H715" t="n">
        <v>0</v>
      </c>
      <c r="I715" t="n">
        <v>0</v>
      </c>
      <c r="J715" t="n">
        <v>0</v>
      </c>
      <c r="K715" t="n">
        <v>0</v>
      </c>
      <c r="L715" t="n">
        <v>0</v>
      </c>
      <c r="M715" t="n">
        <v>0</v>
      </c>
      <c r="N715" t="n">
        <v>0</v>
      </c>
      <c r="O715" t="n">
        <v>0</v>
      </c>
      <c r="P715" t="n">
        <v>0</v>
      </c>
      <c r="Q715" t="n">
        <v>0</v>
      </c>
      <c r="R715" s="2" t="inlineStr"/>
    </row>
    <row r="716" ht="15" customHeight="1">
      <c r="A716" t="inlineStr">
        <is>
          <t>A 41193-2025</t>
        </is>
      </c>
      <c r="B716" s="1" t="n">
        <v>45898.56891203704</v>
      </c>
      <c r="C716" s="1" t="n">
        <v>46042</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41195-2025</t>
        </is>
      </c>
      <c r="B717" s="1" t="n">
        <v>45898.57331018519</v>
      </c>
      <c r="C717" s="1" t="n">
        <v>46042</v>
      </c>
      <c r="D717" t="inlineStr">
        <is>
          <t>JÄMTLANDS LÄN</t>
        </is>
      </c>
      <c r="E717" t="inlineStr">
        <is>
          <t>BRÄCKE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27453-2025</t>
        </is>
      </c>
      <c r="B718" s="1" t="n">
        <v>45813.34454861111</v>
      </c>
      <c r="C718" s="1" t="n">
        <v>46042</v>
      </c>
      <c r="D718" t="inlineStr">
        <is>
          <t>JÄMTLANDS LÄN</t>
        </is>
      </c>
      <c r="E718" t="inlineStr">
        <is>
          <t>BRÄCKE</t>
        </is>
      </c>
      <c r="G718" t="n">
        <v>0.8</v>
      </c>
      <c r="H718" t="n">
        <v>0</v>
      </c>
      <c r="I718" t="n">
        <v>0</v>
      </c>
      <c r="J718" t="n">
        <v>0</v>
      </c>
      <c r="K718" t="n">
        <v>0</v>
      </c>
      <c r="L718" t="n">
        <v>0</v>
      </c>
      <c r="M718" t="n">
        <v>0</v>
      </c>
      <c r="N718" t="n">
        <v>0</v>
      </c>
      <c r="O718" t="n">
        <v>0</v>
      </c>
      <c r="P718" t="n">
        <v>0</v>
      </c>
      <c r="Q718" t="n">
        <v>0</v>
      </c>
      <c r="R718" s="2" t="inlineStr"/>
    </row>
    <row r="719" ht="15" customHeight="1">
      <c r="A719" t="inlineStr">
        <is>
          <t>A 24489-2025</t>
        </is>
      </c>
      <c r="B719" s="1" t="n">
        <v>45798.3859375</v>
      </c>
      <c r="C719" s="1" t="n">
        <v>46042</v>
      </c>
      <c r="D719" t="inlineStr">
        <is>
          <t>JÄMTLANDS LÄN</t>
        </is>
      </c>
      <c r="E719" t="inlineStr">
        <is>
          <t>BRÄCKE</t>
        </is>
      </c>
      <c r="G719" t="n">
        <v>1.5</v>
      </c>
      <c r="H719" t="n">
        <v>0</v>
      </c>
      <c r="I719" t="n">
        <v>0</v>
      </c>
      <c r="J719" t="n">
        <v>0</v>
      </c>
      <c r="K719" t="n">
        <v>0</v>
      </c>
      <c r="L719" t="n">
        <v>0</v>
      </c>
      <c r="M719" t="n">
        <v>0</v>
      </c>
      <c r="N719" t="n">
        <v>0</v>
      </c>
      <c r="O719" t="n">
        <v>0</v>
      </c>
      <c r="P719" t="n">
        <v>0</v>
      </c>
      <c r="Q719" t="n">
        <v>0</v>
      </c>
      <c r="R719" s="2" t="inlineStr"/>
    </row>
    <row r="720" ht="15" customHeight="1">
      <c r="A720" t="inlineStr">
        <is>
          <t>A 52229-2024</t>
        </is>
      </c>
      <c r="B720" s="1" t="n">
        <v>45608.60803240741</v>
      </c>
      <c r="C720" s="1" t="n">
        <v>46042</v>
      </c>
      <c r="D720" t="inlineStr">
        <is>
          <t>JÄMTLANDS LÄN</t>
        </is>
      </c>
      <c r="E720" t="inlineStr">
        <is>
          <t>BRÄCKE</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41368-2025</t>
        </is>
      </c>
      <c r="B721" s="1" t="n">
        <v>45900.5678125</v>
      </c>
      <c r="C721" s="1" t="n">
        <v>46042</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41526-2025</t>
        </is>
      </c>
      <c r="B722" s="1" t="n">
        <v>45901.5528587963</v>
      </c>
      <c r="C722" s="1" t="n">
        <v>46042</v>
      </c>
      <c r="D722" t="inlineStr">
        <is>
          <t>JÄMTLANDS LÄN</t>
        </is>
      </c>
      <c r="E722" t="inlineStr">
        <is>
          <t>BRÄCKE</t>
        </is>
      </c>
      <c r="G722" t="n">
        <v>1.2</v>
      </c>
      <c r="H722" t="n">
        <v>0</v>
      </c>
      <c r="I722" t="n">
        <v>0</v>
      </c>
      <c r="J722" t="n">
        <v>0</v>
      </c>
      <c r="K722" t="n">
        <v>0</v>
      </c>
      <c r="L722" t="n">
        <v>0</v>
      </c>
      <c r="M722" t="n">
        <v>0</v>
      </c>
      <c r="N722" t="n">
        <v>0</v>
      </c>
      <c r="O722" t="n">
        <v>0</v>
      </c>
      <c r="P722" t="n">
        <v>0</v>
      </c>
      <c r="Q722" t="n">
        <v>0</v>
      </c>
      <c r="R722" s="2" t="inlineStr"/>
    </row>
    <row r="723" ht="15" customHeight="1">
      <c r="A723" t="inlineStr">
        <is>
          <t>A 41503-2025</t>
        </is>
      </c>
      <c r="B723" s="1" t="n">
        <v>45901.51952546297</v>
      </c>
      <c r="C723" s="1" t="n">
        <v>46042</v>
      </c>
      <c r="D723" t="inlineStr">
        <is>
          <t>JÄMTLANDS LÄN</t>
        </is>
      </c>
      <c r="E723" t="inlineStr">
        <is>
          <t>BRÄCKE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26025-2024</t>
        </is>
      </c>
      <c r="B724" s="1" t="n">
        <v>45467.96188657408</v>
      </c>
      <c r="C724" s="1" t="n">
        <v>46042</v>
      </c>
      <c r="D724" t="inlineStr">
        <is>
          <t>JÄMTLANDS LÄN</t>
        </is>
      </c>
      <c r="E724" t="inlineStr">
        <is>
          <t>BRÄCKE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26029-2024</t>
        </is>
      </c>
      <c r="B725" s="1" t="n">
        <v>45467.96262731482</v>
      </c>
      <c r="C725" s="1" t="n">
        <v>46042</v>
      </c>
      <c r="D725" t="inlineStr">
        <is>
          <t>JÄMTLANDS LÄN</t>
        </is>
      </c>
      <c r="E725" t="inlineStr">
        <is>
          <t>BRÄCKE</t>
        </is>
      </c>
      <c r="F725" t="inlineStr">
        <is>
          <t>SCA</t>
        </is>
      </c>
      <c r="G725" t="n">
        <v>40.9</v>
      </c>
      <c r="H725" t="n">
        <v>0</v>
      </c>
      <c r="I725" t="n">
        <v>0</v>
      </c>
      <c r="J725" t="n">
        <v>0</v>
      </c>
      <c r="K725" t="n">
        <v>0</v>
      </c>
      <c r="L725" t="n">
        <v>0</v>
      </c>
      <c r="M725" t="n">
        <v>0</v>
      </c>
      <c r="N725" t="n">
        <v>0</v>
      </c>
      <c r="O725" t="n">
        <v>0</v>
      </c>
      <c r="P725" t="n">
        <v>0</v>
      </c>
      <c r="Q725" t="n">
        <v>0</v>
      </c>
      <c r="R725" s="2" t="inlineStr"/>
      <c r="U725">
        <f>HYPERLINK("https://klasma.github.io/Logging_2305/knärot/A 26029-2024 karta knärot.png", "A 26029-2024")</f>
        <v/>
      </c>
      <c r="V725">
        <f>HYPERLINK("https://klasma.github.io/Logging_2305/klagomål/A 26029-2024 FSC-klagomål.docx", "A 26029-2024")</f>
        <v/>
      </c>
      <c r="W725">
        <f>HYPERLINK("https://klasma.github.io/Logging_2305/klagomålsmail/A 26029-2024 FSC-klagomål mail.docx", "A 26029-2024")</f>
        <v/>
      </c>
      <c r="X725">
        <f>HYPERLINK("https://klasma.github.io/Logging_2305/tillsyn/A 26029-2024 tillsynsbegäran.docx", "A 26029-2024")</f>
        <v/>
      </c>
      <c r="Y725">
        <f>HYPERLINK("https://klasma.github.io/Logging_2305/tillsynsmail/A 26029-2024 tillsynsbegäran mail.docx", "A 26029-2024")</f>
        <v/>
      </c>
    </row>
    <row r="726" ht="15" customHeight="1">
      <c r="A726" t="inlineStr">
        <is>
          <t>A 41345-2025</t>
        </is>
      </c>
      <c r="B726" s="1" t="n">
        <v>45899.46903935185</v>
      </c>
      <c r="C726" s="1" t="n">
        <v>46042</v>
      </c>
      <c r="D726" t="inlineStr">
        <is>
          <t>JÄMTLANDS LÄN</t>
        </is>
      </c>
      <c r="E726" t="inlineStr">
        <is>
          <t>BRÄCKE</t>
        </is>
      </c>
      <c r="G726" t="n">
        <v>7.5</v>
      </c>
      <c r="H726" t="n">
        <v>0</v>
      </c>
      <c r="I726" t="n">
        <v>0</v>
      </c>
      <c r="J726" t="n">
        <v>0</v>
      </c>
      <c r="K726" t="n">
        <v>0</v>
      </c>
      <c r="L726" t="n">
        <v>0</v>
      </c>
      <c r="M726" t="n">
        <v>0</v>
      </c>
      <c r="N726" t="n">
        <v>0</v>
      </c>
      <c r="O726" t="n">
        <v>0</v>
      </c>
      <c r="P726" t="n">
        <v>0</v>
      </c>
      <c r="Q726" t="n">
        <v>0</v>
      </c>
      <c r="R726" s="2" t="inlineStr"/>
    </row>
    <row r="727" ht="15" customHeight="1">
      <c r="A727" t="inlineStr">
        <is>
          <t>A 41187-2025</t>
        </is>
      </c>
      <c r="B727" s="1" t="n">
        <v>45898.56390046296</v>
      </c>
      <c r="C727" s="1" t="n">
        <v>46042</v>
      </c>
      <c r="D727" t="inlineStr">
        <is>
          <t>JÄMTLANDS LÄN</t>
        </is>
      </c>
      <c r="E727" t="inlineStr">
        <is>
          <t>BRÄCKE</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41049-2025</t>
        </is>
      </c>
      <c r="B728" s="1" t="n">
        <v>45898.40252314815</v>
      </c>
      <c r="C728" s="1" t="n">
        <v>46042</v>
      </c>
      <c r="D728" t="inlineStr">
        <is>
          <t>JÄMTLANDS LÄN</t>
        </is>
      </c>
      <c r="E728" t="inlineStr">
        <is>
          <t>BRÄCKE</t>
        </is>
      </c>
      <c r="F728" t="inlineStr">
        <is>
          <t>Övriga Aktiebolag</t>
        </is>
      </c>
      <c r="G728" t="n">
        <v>4.1</v>
      </c>
      <c r="H728" t="n">
        <v>0</v>
      </c>
      <c r="I728" t="n">
        <v>0</v>
      </c>
      <c r="J728" t="n">
        <v>0</v>
      </c>
      <c r="K728" t="n">
        <v>0</v>
      </c>
      <c r="L728" t="n">
        <v>0</v>
      </c>
      <c r="M728" t="n">
        <v>0</v>
      </c>
      <c r="N728" t="n">
        <v>0</v>
      </c>
      <c r="O728" t="n">
        <v>0</v>
      </c>
      <c r="P728" t="n">
        <v>0</v>
      </c>
      <c r="Q728" t="n">
        <v>0</v>
      </c>
      <c r="R728" s="2" t="inlineStr"/>
    </row>
    <row r="729" ht="15" customHeight="1">
      <c r="A729" t="inlineStr">
        <is>
          <t>A 41257-2025</t>
        </is>
      </c>
      <c r="B729" s="1" t="n">
        <v>45898.6084375</v>
      </c>
      <c r="C729" s="1" t="n">
        <v>46042</v>
      </c>
      <c r="D729" t="inlineStr">
        <is>
          <t>JÄMTLANDS LÄN</t>
        </is>
      </c>
      <c r="E729" t="inlineStr">
        <is>
          <t>BRÄCKE</t>
        </is>
      </c>
      <c r="F729" t="inlineStr">
        <is>
          <t>Övriga Aktiebolag</t>
        </is>
      </c>
      <c r="G729" t="n">
        <v>2.2</v>
      </c>
      <c r="H729" t="n">
        <v>0</v>
      </c>
      <c r="I729" t="n">
        <v>0</v>
      </c>
      <c r="J729" t="n">
        <v>0</v>
      </c>
      <c r="K729" t="n">
        <v>0</v>
      </c>
      <c r="L729" t="n">
        <v>0</v>
      </c>
      <c r="M729" t="n">
        <v>0</v>
      </c>
      <c r="N729" t="n">
        <v>0</v>
      </c>
      <c r="O729" t="n">
        <v>0</v>
      </c>
      <c r="P729" t="n">
        <v>0</v>
      </c>
      <c r="Q729" t="n">
        <v>0</v>
      </c>
      <c r="R729" s="2" t="inlineStr"/>
    </row>
    <row r="730" ht="15" customHeight="1">
      <c r="A730" t="inlineStr">
        <is>
          <t>A 41738-2023</t>
        </is>
      </c>
      <c r="B730" s="1" t="n">
        <v>45176.418125</v>
      </c>
      <c r="C730" s="1" t="n">
        <v>46042</v>
      </c>
      <c r="D730" t="inlineStr">
        <is>
          <t>JÄMTLANDS LÄN</t>
        </is>
      </c>
      <c r="E730" t="inlineStr">
        <is>
          <t>BRÄCKE</t>
        </is>
      </c>
      <c r="G730" t="n">
        <v>12.7</v>
      </c>
      <c r="H730" t="n">
        <v>0</v>
      </c>
      <c r="I730" t="n">
        <v>0</v>
      </c>
      <c r="J730" t="n">
        <v>0</v>
      </c>
      <c r="K730" t="n">
        <v>0</v>
      </c>
      <c r="L730" t="n">
        <v>0</v>
      </c>
      <c r="M730" t="n">
        <v>0</v>
      </c>
      <c r="N730" t="n">
        <v>0</v>
      </c>
      <c r="O730" t="n">
        <v>0</v>
      </c>
      <c r="P730" t="n">
        <v>0</v>
      </c>
      <c r="Q730" t="n">
        <v>0</v>
      </c>
      <c r="R730" s="2" t="inlineStr"/>
    </row>
    <row r="731" ht="15" customHeight="1">
      <c r="A731" t="inlineStr">
        <is>
          <t>A 27546-2025</t>
        </is>
      </c>
      <c r="B731" s="1" t="n">
        <v>45813.46957175926</v>
      </c>
      <c r="C731" s="1" t="n">
        <v>46042</v>
      </c>
      <c r="D731" t="inlineStr">
        <is>
          <t>JÄMTLANDS LÄN</t>
        </is>
      </c>
      <c r="E731" t="inlineStr">
        <is>
          <t>BRÄCKE</t>
        </is>
      </c>
      <c r="F731" t="inlineStr">
        <is>
          <t>SCA</t>
        </is>
      </c>
      <c r="G731" t="n">
        <v>7</v>
      </c>
      <c r="H731" t="n">
        <v>0</v>
      </c>
      <c r="I731" t="n">
        <v>0</v>
      </c>
      <c r="J731" t="n">
        <v>0</v>
      </c>
      <c r="K731" t="n">
        <v>0</v>
      </c>
      <c r="L731" t="n">
        <v>0</v>
      </c>
      <c r="M731" t="n">
        <v>0</v>
      </c>
      <c r="N731" t="n">
        <v>0</v>
      </c>
      <c r="O731" t="n">
        <v>0</v>
      </c>
      <c r="P731" t="n">
        <v>0</v>
      </c>
      <c r="Q731" t="n">
        <v>0</v>
      </c>
      <c r="R731" s="2" t="inlineStr"/>
    </row>
    <row r="732" ht="15" customHeight="1">
      <c r="A732" t="inlineStr">
        <is>
          <t>A 26353-2023</t>
        </is>
      </c>
      <c r="B732" s="1" t="n">
        <v>45091.94232638889</v>
      </c>
      <c r="C732" s="1" t="n">
        <v>46042</v>
      </c>
      <c r="D732" t="inlineStr">
        <is>
          <t>JÄMTLANDS LÄN</t>
        </is>
      </c>
      <c r="E732" t="inlineStr">
        <is>
          <t>BRÄCKE</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58498-2022</t>
        </is>
      </c>
      <c r="B733" s="1" t="n">
        <v>44902.37547453704</v>
      </c>
      <c r="C733" s="1" t="n">
        <v>46042</v>
      </c>
      <c r="D733" t="inlineStr">
        <is>
          <t>JÄMTLANDS LÄN</t>
        </is>
      </c>
      <c r="E733" t="inlineStr">
        <is>
          <t>BRÄCKE</t>
        </is>
      </c>
      <c r="G733" t="n">
        <v>8.4</v>
      </c>
      <c r="H733" t="n">
        <v>0</v>
      </c>
      <c r="I733" t="n">
        <v>0</v>
      </c>
      <c r="J733" t="n">
        <v>0</v>
      </c>
      <c r="K733" t="n">
        <v>0</v>
      </c>
      <c r="L733" t="n">
        <v>0</v>
      </c>
      <c r="M733" t="n">
        <v>0</v>
      </c>
      <c r="N733" t="n">
        <v>0</v>
      </c>
      <c r="O733" t="n">
        <v>0</v>
      </c>
      <c r="P733" t="n">
        <v>0</v>
      </c>
      <c r="Q733" t="n">
        <v>0</v>
      </c>
      <c r="R733" s="2" t="inlineStr"/>
    </row>
    <row r="734" ht="15" customHeight="1">
      <c r="A734" t="inlineStr">
        <is>
          <t>A 7301-2025</t>
        </is>
      </c>
      <c r="B734" s="1" t="n">
        <v>45702.65668981482</v>
      </c>
      <c r="C734" s="1" t="n">
        <v>46042</v>
      </c>
      <c r="D734" t="inlineStr">
        <is>
          <t>JÄMTLANDS LÄN</t>
        </is>
      </c>
      <c r="E734" t="inlineStr">
        <is>
          <t>BRÄCKE</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27799-2024</t>
        </is>
      </c>
      <c r="B735" s="1" t="n">
        <v>45475.56605324074</v>
      </c>
      <c r="C735" s="1" t="n">
        <v>46042</v>
      </c>
      <c r="D735" t="inlineStr">
        <is>
          <t>JÄMTLANDS LÄN</t>
        </is>
      </c>
      <c r="E735" t="inlineStr">
        <is>
          <t>BRÄCKE</t>
        </is>
      </c>
      <c r="G735" t="n">
        <v>3.6</v>
      </c>
      <c r="H735" t="n">
        <v>0</v>
      </c>
      <c r="I735" t="n">
        <v>0</v>
      </c>
      <c r="J735" t="n">
        <v>0</v>
      </c>
      <c r="K735" t="n">
        <v>0</v>
      </c>
      <c r="L735" t="n">
        <v>0</v>
      </c>
      <c r="M735" t="n">
        <v>0</v>
      </c>
      <c r="N735" t="n">
        <v>0</v>
      </c>
      <c r="O735" t="n">
        <v>0</v>
      </c>
      <c r="P735" t="n">
        <v>0</v>
      </c>
      <c r="Q735" t="n">
        <v>0</v>
      </c>
      <c r="R735" s="2" t="inlineStr"/>
    </row>
    <row r="736" ht="15" customHeight="1">
      <c r="A736" t="inlineStr">
        <is>
          <t>A 41060-2025</t>
        </is>
      </c>
      <c r="B736" s="1" t="n">
        <v>45898.4071875</v>
      </c>
      <c r="C736" s="1" t="n">
        <v>46042</v>
      </c>
      <c r="D736" t="inlineStr">
        <is>
          <t>JÄMTLANDS LÄN</t>
        </is>
      </c>
      <c r="E736" t="inlineStr">
        <is>
          <t>BRÄCKE</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41510-2025</t>
        </is>
      </c>
      <c r="B737" s="1" t="n">
        <v>45901.53417824074</v>
      </c>
      <c r="C737" s="1" t="n">
        <v>46042</v>
      </c>
      <c r="D737" t="inlineStr">
        <is>
          <t>JÄMTLANDS LÄN</t>
        </is>
      </c>
      <c r="E737" t="inlineStr">
        <is>
          <t>BRÄCKE</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41757-2025</t>
        </is>
      </c>
      <c r="B738" s="1" t="n">
        <v>45902.50755787037</v>
      </c>
      <c r="C738" s="1" t="n">
        <v>46042</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30480-2024</t>
        </is>
      </c>
      <c r="B739" s="1" t="n">
        <v>45491.9494675926</v>
      </c>
      <c r="C739" s="1" t="n">
        <v>46042</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18206-2023</t>
        </is>
      </c>
      <c r="B740" s="1" t="n">
        <v>45041</v>
      </c>
      <c r="C740" s="1" t="n">
        <v>46042</v>
      </c>
      <c r="D740" t="inlineStr">
        <is>
          <t>JÄMTLANDS LÄN</t>
        </is>
      </c>
      <c r="E740" t="inlineStr">
        <is>
          <t>BRÄCKE</t>
        </is>
      </c>
      <c r="G740" t="n">
        <v>5.2</v>
      </c>
      <c r="H740" t="n">
        <v>0</v>
      </c>
      <c r="I740" t="n">
        <v>0</v>
      </c>
      <c r="J740" t="n">
        <v>0</v>
      </c>
      <c r="K740" t="n">
        <v>0</v>
      </c>
      <c r="L740" t="n">
        <v>0</v>
      </c>
      <c r="M740" t="n">
        <v>0</v>
      </c>
      <c r="N740" t="n">
        <v>0</v>
      </c>
      <c r="O740" t="n">
        <v>0</v>
      </c>
      <c r="P740" t="n">
        <v>0</v>
      </c>
      <c r="Q740" t="n">
        <v>0</v>
      </c>
      <c r="R740" s="2" t="inlineStr"/>
    </row>
    <row r="741" ht="15" customHeight="1">
      <c r="A741" t="inlineStr">
        <is>
          <t>A 12524-2025</t>
        </is>
      </c>
      <c r="B741" s="1" t="n">
        <v>45730.6775462963</v>
      </c>
      <c r="C741" s="1" t="n">
        <v>46042</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12553-2025</t>
        </is>
      </c>
      <c r="B742" s="1" t="n">
        <v>45731.34431712963</v>
      </c>
      <c r="C742" s="1" t="n">
        <v>46042</v>
      </c>
      <c r="D742" t="inlineStr">
        <is>
          <t>JÄMTLANDS LÄN</t>
        </is>
      </c>
      <c r="E742" t="inlineStr">
        <is>
          <t>BRÄCKE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41981-2025</t>
        </is>
      </c>
      <c r="B743" s="1" t="n">
        <v>45903.53172453704</v>
      </c>
      <c r="C743" s="1" t="n">
        <v>46042</v>
      </c>
      <c r="D743" t="inlineStr">
        <is>
          <t>JÄMTLANDS LÄN</t>
        </is>
      </c>
      <c r="E743" t="inlineStr">
        <is>
          <t>BRÄCKE</t>
        </is>
      </c>
      <c r="G743" t="n">
        <v>6.2</v>
      </c>
      <c r="H743" t="n">
        <v>0</v>
      </c>
      <c r="I743" t="n">
        <v>0</v>
      </c>
      <c r="J743" t="n">
        <v>0</v>
      </c>
      <c r="K743" t="n">
        <v>0</v>
      </c>
      <c r="L743" t="n">
        <v>0</v>
      </c>
      <c r="M743" t="n">
        <v>0</v>
      </c>
      <c r="N743" t="n">
        <v>0</v>
      </c>
      <c r="O743" t="n">
        <v>0</v>
      </c>
      <c r="P743" t="n">
        <v>0</v>
      </c>
      <c r="Q743" t="n">
        <v>0</v>
      </c>
      <c r="R743" s="2" t="inlineStr"/>
    </row>
    <row r="744" ht="15" customHeight="1">
      <c r="A744" t="inlineStr">
        <is>
          <t>A 41547-2025</t>
        </is>
      </c>
      <c r="B744" s="1" t="n">
        <v>45901.57991898148</v>
      </c>
      <c r="C744" s="1" t="n">
        <v>46042</v>
      </c>
      <c r="D744" t="inlineStr">
        <is>
          <t>JÄMTLANDS LÄN</t>
        </is>
      </c>
      <c r="E744" t="inlineStr">
        <is>
          <t>BRÄCKE</t>
        </is>
      </c>
      <c r="G744" t="n">
        <v>5.1</v>
      </c>
      <c r="H744" t="n">
        <v>0</v>
      </c>
      <c r="I744" t="n">
        <v>0</v>
      </c>
      <c r="J744" t="n">
        <v>0</v>
      </c>
      <c r="K744" t="n">
        <v>0</v>
      </c>
      <c r="L744" t="n">
        <v>0</v>
      </c>
      <c r="M744" t="n">
        <v>0</v>
      </c>
      <c r="N744" t="n">
        <v>0</v>
      </c>
      <c r="O744" t="n">
        <v>0</v>
      </c>
      <c r="P744" t="n">
        <v>0</v>
      </c>
      <c r="Q744" t="n">
        <v>0</v>
      </c>
      <c r="R744" s="2" t="inlineStr"/>
    </row>
    <row r="745" ht="15" customHeight="1">
      <c r="A745" t="inlineStr">
        <is>
          <t>A 24492-2025</t>
        </is>
      </c>
      <c r="B745" s="1" t="n">
        <v>45798.38611111111</v>
      </c>
      <c r="C745" s="1" t="n">
        <v>46042</v>
      </c>
      <c r="D745" t="inlineStr">
        <is>
          <t>JÄMTLANDS LÄN</t>
        </is>
      </c>
      <c r="E745" t="inlineStr">
        <is>
          <t>BRÄCKE</t>
        </is>
      </c>
      <c r="G745" t="n">
        <v>6.9</v>
      </c>
      <c r="H745" t="n">
        <v>0</v>
      </c>
      <c r="I745" t="n">
        <v>0</v>
      </c>
      <c r="J745" t="n">
        <v>0</v>
      </c>
      <c r="K745" t="n">
        <v>0</v>
      </c>
      <c r="L745" t="n">
        <v>0</v>
      </c>
      <c r="M745" t="n">
        <v>0</v>
      </c>
      <c r="N745" t="n">
        <v>0</v>
      </c>
      <c r="O745" t="n">
        <v>0</v>
      </c>
      <c r="P745" t="n">
        <v>0</v>
      </c>
      <c r="Q745" t="n">
        <v>0</v>
      </c>
      <c r="R745" s="2" t="inlineStr"/>
    </row>
    <row r="746" ht="15" customHeight="1">
      <c r="A746" t="inlineStr">
        <is>
          <t>A 28173-2025</t>
        </is>
      </c>
      <c r="B746" s="1" t="n">
        <v>45818.38231481481</v>
      </c>
      <c r="C746" s="1" t="n">
        <v>46042</v>
      </c>
      <c r="D746" t="inlineStr">
        <is>
          <t>JÄMTLANDS LÄN</t>
        </is>
      </c>
      <c r="E746" t="inlineStr">
        <is>
          <t>BRÄCKE</t>
        </is>
      </c>
      <c r="F746" t="inlineStr">
        <is>
          <t>Övriga Aktiebolag</t>
        </is>
      </c>
      <c r="G746" t="n">
        <v>2</v>
      </c>
      <c r="H746" t="n">
        <v>0</v>
      </c>
      <c r="I746" t="n">
        <v>0</v>
      </c>
      <c r="J746" t="n">
        <v>0</v>
      </c>
      <c r="K746" t="n">
        <v>0</v>
      </c>
      <c r="L746" t="n">
        <v>0</v>
      </c>
      <c r="M746" t="n">
        <v>0</v>
      </c>
      <c r="N746" t="n">
        <v>0</v>
      </c>
      <c r="O746" t="n">
        <v>0</v>
      </c>
      <c r="P746" t="n">
        <v>0</v>
      </c>
      <c r="Q746" t="n">
        <v>0</v>
      </c>
      <c r="R746" s="2" t="inlineStr"/>
    </row>
    <row r="747" ht="15" customHeight="1">
      <c r="A747" t="inlineStr">
        <is>
          <t>A 42131-2025</t>
        </is>
      </c>
      <c r="B747" s="1" t="n">
        <v>45904.34542824074</v>
      </c>
      <c r="C747" s="1" t="n">
        <v>46042</v>
      </c>
      <c r="D747" t="inlineStr">
        <is>
          <t>JÄMTLANDS LÄN</t>
        </is>
      </c>
      <c r="E747" t="inlineStr">
        <is>
          <t>BRÄCKE</t>
        </is>
      </c>
      <c r="G747" t="n">
        <v>3.3</v>
      </c>
      <c r="H747" t="n">
        <v>0</v>
      </c>
      <c r="I747" t="n">
        <v>0</v>
      </c>
      <c r="J747" t="n">
        <v>0</v>
      </c>
      <c r="K747" t="n">
        <v>0</v>
      </c>
      <c r="L747" t="n">
        <v>0</v>
      </c>
      <c r="M747" t="n">
        <v>0</v>
      </c>
      <c r="N747" t="n">
        <v>0</v>
      </c>
      <c r="O747" t="n">
        <v>0</v>
      </c>
      <c r="P747" t="n">
        <v>0</v>
      </c>
      <c r="Q747" t="n">
        <v>0</v>
      </c>
      <c r="R747" s="2" t="inlineStr"/>
    </row>
    <row r="748" ht="15" customHeight="1">
      <c r="A748" t="inlineStr">
        <is>
          <t>A 42132-2025</t>
        </is>
      </c>
      <c r="B748" s="1" t="n">
        <v>45904.34546296296</v>
      </c>
      <c r="C748" s="1" t="n">
        <v>46042</v>
      </c>
      <c r="D748" t="inlineStr">
        <is>
          <t>JÄMTLANDS LÄN</t>
        </is>
      </c>
      <c r="E748" t="inlineStr">
        <is>
          <t>BRÄCKE</t>
        </is>
      </c>
      <c r="G748" t="n">
        <v>1.4</v>
      </c>
      <c r="H748" t="n">
        <v>0</v>
      </c>
      <c r="I748" t="n">
        <v>0</v>
      </c>
      <c r="J748" t="n">
        <v>0</v>
      </c>
      <c r="K748" t="n">
        <v>0</v>
      </c>
      <c r="L748" t="n">
        <v>0</v>
      </c>
      <c r="M748" t="n">
        <v>0</v>
      </c>
      <c r="N748" t="n">
        <v>0</v>
      </c>
      <c r="O748" t="n">
        <v>0</v>
      </c>
      <c r="P748" t="n">
        <v>0</v>
      </c>
      <c r="Q748" t="n">
        <v>0</v>
      </c>
      <c r="R748" s="2" t="inlineStr"/>
    </row>
    <row r="749" ht="15" customHeight="1">
      <c r="A749" t="inlineStr">
        <is>
          <t>A 42507-2025</t>
        </is>
      </c>
      <c r="B749" s="1" t="n">
        <v>45905.53167824074</v>
      </c>
      <c r="C749" s="1" t="n">
        <v>46042</v>
      </c>
      <c r="D749" t="inlineStr">
        <is>
          <t>JÄMTLANDS LÄN</t>
        </is>
      </c>
      <c r="E749" t="inlineStr">
        <is>
          <t>BRÄCKE</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42312-2025</t>
        </is>
      </c>
      <c r="B750" s="1" t="n">
        <v>45904.65673611111</v>
      </c>
      <c r="C750" s="1" t="n">
        <v>46042</v>
      </c>
      <c r="D750" t="inlineStr">
        <is>
          <t>JÄMTLANDS LÄN</t>
        </is>
      </c>
      <c r="E750" t="inlineStr">
        <is>
          <t>BRÄCKE</t>
        </is>
      </c>
      <c r="G750" t="n">
        <v>3</v>
      </c>
      <c r="H750" t="n">
        <v>0</v>
      </c>
      <c r="I750" t="n">
        <v>0</v>
      </c>
      <c r="J750" t="n">
        <v>0</v>
      </c>
      <c r="K750" t="n">
        <v>0</v>
      </c>
      <c r="L750" t="n">
        <v>0</v>
      </c>
      <c r="M750" t="n">
        <v>0</v>
      </c>
      <c r="N750" t="n">
        <v>0</v>
      </c>
      <c r="O750" t="n">
        <v>0</v>
      </c>
      <c r="P750" t="n">
        <v>0</v>
      </c>
      <c r="Q750" t="n">
        <v>0</v>
      </c>
      <c r="R750" s="2" t="inlineStr"/>
    </row>
    <row r="751" ht="15" customHeight="1">
      <c r="A751" t="inlineStr">
        <is>
          <t>A 28198-2025</t>
        </is>
      </c>
      <c r="B751" s="1" t="n">
        <v>45818.43175925926</v>
      </c>
      <c r="C751" s="1" t="n">
        <v>46042</v>
      </c>
      <c r="D751" t="inlineStr">
        <is>
          <t>JÄMTLANDS LÄN</t>
        </is>
      </c>
      <c r="E751" t="inlineStr">
        <is>
          <t>BRÄCKE</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28675-2025</t>
        </is>
      </c>
      <c r="B752" s="1" t="n">
        <v>45819.67756944444</v>
      </c>
      <c r="C752" s="1" t="n">
        <v>46042</v>
      </c>
      <c r="D752" t="inlineStr">
        <is>
          <t>JÄMTLANDS LÄN</t>
        </is>
      </c>
      <c r="E752" t="inlineStr">
        <is>
          <t>BRÄCKE</t>
        </is>
      </c>
      <c r="G752" t="n">
        <v>0.6</v>
      </c>
      <c r="H752" t="n">
        <v>0</v>
      </c>
      <c r="I752" t="n">
        <v>0</v>
      </c>
      <c r="J752" t="n">
        <v>0</v>
      </c>
      <c r="K752" t="n">
        <v>0</v>
      </c>
      <c r="L752" t="n">
        <v>0</v>
      </c>
      <c r="M752" t="n">
        <v>0</v>
      </c>
      <c r="N752" t="n">
        <v>0</v>
      </c>
      <c r="O752" t="n">
        <v>0</v>
      </c>
      <c r="P752" t="n">
        <v>0</v>
      </c>
      <c r="Q752" t="n">
        <v>0</v>
      </c>
      <c r="R752" s="2" t="inlineStr"/>
    </row>
    <row r="753" ht="15" customHeight="1">
      <c r="A753" t="inlineStr">
        <is>
          <t>A 28323-2025</t>
        </is>
      </c>
      <c r="B753" s="1" t="n">
        <v>45818.64758101852</v>
      </c>
      <c r="C753" s="1" t="n">
        <v>46042</v>
      </c>
      <c r="D753" t="inlineStr">
        <is>
          <t>JÄMTLANDS LÄN</t>
        </is>
      </c>
      <c r="E753" t="inlineStr">
        <is>
          <t>BRÄCKE</t>
        </is>
      </c>
      <c r="G753" t="n">
        <v>6.8</v>
      </c>
      <c r="H753" t="n">
        <v>0</v>
      </c>
      <c r="I753" t="n">
        <v>0</v>
      </c>
      <c r="J753" t="n">
        <v>0</v>
      </c>
      <c r="K753" t="n">
        <v>0</v>
      </c>
      <c r="L753" t="n">
        <v>0</v>
      </c>
      <c r="M753" t="n">
        <v>0</v>
      </c>
      <c r="N753" t="n">
        <v>0</v>
      </c>
      <c r="O753" t="n">
        <v>0</v>
      </c>
      <c r="P753" t="n">
        <v>0</v>
      </c>
      <c r="Q753" t="n">
        <v>0</v>
      </c>
      <c r="R753" s="2" t="inlineStr"/>
    </row>
    <row r="754" ht="15" customHeight="1">
      <c r="A754" t="inlineStr">
        <is>
          <t>A 42380-2025</t>
        </is>
      </c>
      <c r="B754" s="1" t="n">
        <v>45905.34456018519</v>
      </c>
      <c r="C754" s="1" t="n">
        <v>46042</v>
      </c>
      <c r="D754" t="inlineStr">
        <is>
          <t>JÄMTLANDS LÄN</t>
        </is>
      </c>
      <c r="E754" t="inlineStr">
        <is>
          <t>BRÄCKE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10369-2025</t>
        </is>
      </c>
      <c r="B755" s="1" t="n">
        <v>45720.55243055556</v>
      </c>
      <c r="C755" s="1" t="n">
        <v>46042</v>
      </c>
      <c r="D755" t="inlineStr">
        <is>
          <t>JÄMTLANDS LÄN</t>
        </is>
      </c>
      <c r="E755" t="inlineStr">
        <is>
          <t>BRÄCKE</t>
        </is>
      </c>
      <c r="F755" t="inlineStr">
        <is>
          <t>SCA</t>
        </is>
      </c>
      <c r="G755" t="n">
        <v>7.8</v>
      </c>
      <c r="H755" t="n">
        <v>0</v>
      </c>
      <c r="I755" t="n">
        <v>0</v>
      </c>
      <c r="J755" t="n">
        <v>0</v>
      </c>
      <c r="K755" t="n">
        <v>0</v>
      </c>
      <c r="L755" t="n">
        <v>0</v>
      </c>
      <c r="M755" t="n">
        <v>0</v>
      </c>
      <c r="N755" t="n">
        <v>0</v>
      </c>
      <c r="O755" t="n">
        <v>0</v>
      </c>
      <c r="P755" t="n">
        <v>0</v>
      </c>
      <c r="Q755" t="n">
        <v>0</v>
      </c>
      <c r="R755" s="2" t="inlineStr"/>
    </row>
    <row r="756" ht="15" customHeight="1">
      <c r="A756" t="inlineStr">
        <is>
          <t>A 42590-2025</t>
        </is>
      </c>
      <c r="B756" s="1" t="n">
        <v>45905.63607638889</v>
      </c>
      <c r="C756" s="1" t="n">
        <v>46042</v>
      </c>
      <c r="D756" t="inlineStr">
        <is>
          <t>JÄMTLANDS LÄN</t>
        </is>
      </c>
      <c r="E756" t="inlineStr">
        <is>
          <t>BRÄCKE</t>
        </is>
      </c>
      <c r="F756" t="inlineStr">
        <is>
          <t>SCA</t>
        </is>
      </c>
      <c r="G756" t="n">
        <v>24.2</v>
      </c>
      <c r="H756" t="n">
        <v>0</v>
      </c>
      <c r="I756" t="n">
        <v>0</v>
      </c>
      <c r="J756" t="n">
        <v>0</v>
      </c>
      <c r="K756" t="n">
        <v>0</v>
      </c>
      <c r="L756" t="n">
        <v>0</v>
      </c>
      <c r="M756" t="n">
        <v>0</v>
      </c>
      <c r="N756" t="n">
        <v>0</v>
      </c>
      <c r="O756" t="n">
        <v>0</v>
      </c>
      <c r="P756" t="n">
        <v>0</v>
      </c>
      <c r="Q756" t="n">
        <v>0</v>
      </c>
      <c r="R756" s="2" t="inlineStr"/>
    </row>
    <row r="757" ht="15" customHeight="1">
      <c r="A757" t="inlineStr">
        <is>
          <t>A 28636-2025</t>
        </is>
      </c>
      <c r="B757" s="1" t="n">
        <v>45819.63576388889</v>
      </c>
      <c r="C757" s="1" t="n">
        <v>46042</v>
      </c>
      <c r="D757" t="inlineStr">
        <is>
          <t>JÄMTLANDS LÄN</t>
        </is>
      </c>
      <c r="E757" t="inlineStr">
        <is>
          <t>BRÄCKE</t>
        </is>
      </c>
      <c r="G757" t="n">
        <v>7.6</v>
      </c>
      <c r="H757" t="n">
        <v>0</v>
      </c>
      <c r="I757" t="n">
        <v>0</v>
      </c>
      <c r="J757" t="n">
        <v>0</v>
      </c>
      <c r="K757" t="n">
        <v>0</v>
      </c>
      <c r="L757" t="n">
        <v>0</v>
      </c>
      <c r="M757" t="n">
        <v>0</v>
      </c>
      <c r="N757" t="n">
        <v>0</v>
      </c>
      <c r="O757" t="n">
        <v>0</v>
      </c>
      <c r="P757" t="n">
        <v>0</v>
      </c>
      <c r="Q757" t="n">
        <v>0</v>
      </c>
      <c r="R757" s="2" t="inlineStr"/>
    </row>
    <row r="758" ht="15" customHeight="1">
      <c r="A758" t="inlineStr">
        <is>
          <t>A 12722-2025</t>
        </is>
      </c>
      <c r="B758" s="1" t="n">
        <v>45733.48998842593</v>
      </c>
      <c r="C758" s="1" t="n">
        <v>46042</v>
      </c>
      <c r="D758" t="inlineStr">
        <is>
          <t>JÄMTLANDS LÄN</t>
        </is>
      </c>
      <c r="E758" t="inlineStr">
        <is>
          <t>BRÄCKE</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28656-2025</t>
        </is>
      </c>
      <c r="B759" s="1" t="n">
        <v>45819.65671296296</v>
      </c>
      <c r="C759" s="1" t="n">
        <v>46042</v>
      </c>
      <c r="D759" t="inlineStr">
        <is>
          <t>JÄMTLANDS LÄN</t>
        </is>
      </c>
      <c r="E759" t="inlineStr">
        <is>
          <t>BRÄCKE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28210-2025</t>
        </is>
      </c>
      <c r="B760" s="1" t="n">
        <v>45818.45143518518</v>
      </c>
      <c r="C760" s="1" t="n">
        <v>46042</v>
      </c>
      <c r="D760" t="inlineStr">
        <is>
          <t>JÄMTLANDS LÄN</t>
        </is>
      </c>
      <c r="E760" t="inlineStr">
        <is>
          <t>BRÄCKE</t>
        </is>
      </c>
      <c r="F760" t="inlineStr">
        <is>
          <t>Övriga Aktiebolag</t>
        </is>
      </c>
      <c r="G760" t="n">
        <v>2.5</v>
      </c>
      <c r="H760" t="n">
        <v>0</v>
      </c>
      <c r="I760" t="n">
        <v>0</v>
      </c>
      <c r="J760" t="n">
        <v>0</v>
      </c>
      <c r="K760" t="n">
        <v>0</v>
      </c>
      <c r="L760" t="n">
        <v>0</v>
      </c>
      <c r="M760" t="n">
        <v>0</v>
      </c>
      <c r="N760" t="n">
        <v>0</v>
      </c>
      <c r="O760" t="n">
        <v>0</v>
      </c>
      <c r="P760" t="n">
        <v>0</v>
      </c>
      <c r="Q760" t="n">
        <v>0</v>
      </c>
      <c r="R760" s="2" t="inlineStr"/>
    </row>
    <row r="761" ht="15" customHeight="1">
      <c r="A761" t="inlineStr">
        <is>
          <t>A 24490-2025</t>
        </is>
      </c>
      <c r="B761" s="1" t="n">
        <v>45798.38594907407</v>
      </c>
      <c r="C761" s="1" t="n">
        <v>46042</v>
      </c>
      <c r="D761" t="inlineStr">
        <is>
          <t>JÄMTLANDS LÄN</t>
        </is>
      </c>
      <c r="E761" t="inlineStr">
        <is>
          <t>BRÄCKE</t>
        </is>
      </c>
      <c r="G761" t="n">
        <v>0.7</v>
      </c>
      <c r="H761" t="n">
        <v>0</v>
      </c>
      <c r="I761" t="n">
        <v>0</v>
      </c>
      <c r="J761" t="n">
        <v>0</v>
      </c>
      <c r="K761" t="n">
        <v>0</v>
      </c>
      <c r="L761" t="n">
        <v>0</v>
      </c>
      <c r="M761" t="n">
        <v>0</v>
      </c>
      <c r="N761" t="n">
        <v>0</v>
      </c>
      <c r="O761" t="n">
        <v>0</v>
      </c>
      <c r="P761" t="n">
        <v>0</v>
      </c>
      <c r="Q761" t="n">
        <v>0</v>
      </c>
      <c r="R761" s="2" t="inlineStr"/>
    </row>
    <row r="762" ht="15" customHeight="1">
      <c r="A762" t="inlineStr">
        <is>
          <t>A 42123-2025</t>
        </is>
      </c>
      <c r="B762" s="1" t="n">
        <v>45904.34429398148</v>
      </c>
      <c r="C762" s="1" t="n">
        <v>46042</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42379-2025</t>
        </is>
      </c>
      <c r="B763" s="1" t="n">
        <v>45905.34443287037</v>
      </c>
      <c r="C763" s="1" t="n">
        <v>46042</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29091-2025</t>
        </is>
      </c>
      <c r="B764" s="1" t="n">
        <v>45821.55241898148</v>
      </c>
      <c r="C764" s="1" t="n">
        <v>46042</v>
      </c>
      <c r="D764" t="inlineStr">
        <is>
          <t>JÄMTLANDS LÄN</t>
        </is>
      </c>
      <c r="E764" t="inlineStr">
        <is>
          <t>BRÄCKE</t>
        </is>
      </c>
      <c r="F764" t="inlineStr">
        <is>
          <t>SCA</t>
        </is>
      </c>
      <c r="G764" t="n">
        <v>13.8</v>
      </c>
      <c r="H764" t="n">
        <v>0</v>
      </c>
      <c r="I764" t="n">
        <v>0</v>
      </c>
      <c r="J764" t="n">
        <v>0</v>
      </c>
      <c r="K764" t="n">
        <v>0</v>
      </c>
      <c r="L764" t="n">
        <v>0</v>
      </c>
      <c r="M764" t="n">
        <v>0</v>
      </c>
      <c r="N764" t="n">
        <v>0</v>
      </c>
      <c r="O764" t="n">
        <v>0</v>
      </c>
      <c r="P764" t="n">
        <v>0</v>
      </c>
      <c r="Q764" t="n">
        <v>0</v>
      </c>
      <c r="R764" s="2" t="inlineStr"/>
    </row>
    <row r="765" ht="15" customHeight="1">
      <c r="A765" t="inlineStr">
        <is>
          <t>A 42270-2025</t>
        </is>
      </c>
      <c r="B765" s="1" t="n">
        <v>45904.60445601852</v>
      </c>
      <c r="C765" s="1" t="n">
        <v>46042</v>
      </c>
      <c r="D765" t="inlineStr">
        <is>
          <t>JÄMTLANDS LÄN</t>
        </is>
      </c>
      <c r="E765" t="inlineStr">
        <is>
          <t>BRÄCKE</t>
        </is>
      </c>
      <c r="G765" t="n">
        <v>6.4</v>
      </c>
      <c r="H765" t="n">
        <v>0</v>
      </c>
      <c r="I765" t="n">
        <v>0</v>
      </c>
      <c r="J765" t="n">
        <v>0</v>
      </c>
      <c r="K765" t="n">
        <v>0</v>
      </c>
      <c r="L765" t="n">
        <v>0</v>
      </c>
      <c r="M765" t="n">
        <v>0</v>
      </c>
      <c r="N765" t="n">
        <v>0</v>
      </c>
      <c r="O765" t="n">
        <v>0</v>
      </c>
      <c r="P765" t="n">
        <v>0</v>
      </c>
      <c r="Q765" t="n">
        <v>0</v>
      </c>
      <c r="R765" s="2" t="inlineStr"/>
    </row>
    <row r="766" ht="15" customHeight="1">
      <c r="A766" t="inlineStr">
        <is>
          <t>A 42280-2025</t>
        </is>
      </c>
      <c r="B766" s="1" t="n">
        <v>45904.61605324074</v>
      </c>
      <c r="C766" s="1" t="n">
        <v>46042</v>
      </c>
      <c r="D766" t="inlineStr">
        <is>
          <t>JÄMTLANDS LÄN</t>
        </is>
      </c>
      <c r="E766" t="inlineStr">
        <is>
          <t>BRÄCKE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42128-2025</t>
        </is>
      </c>
      <c r="B767" s="1" t="n">
        <v>45904.34517361111</v>
      </c>
      <c r="C767" s="1" t="n">
        <v>46042</v>
      </c>
      <c r="D767" t="inlineStr">
        <is>
          <t>JÄMTLANDS LÄN</t>
        </is>
      </c>
      <c r="E767" t="inlineStr">
        <is>
          <t>BRÄCKE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42130-2025</t>
        </is>
      </c>
      <c r="B768" s="1" t="n">
        <v>45904.34540509259</v>
      </c>
      <c r="C768" s="1" t="n">
        <v>46042</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42435-2025</t>
        </is>
      </c>
      <c r="B769" s="1" t="n">
        <v>45905.42763888889</v>
      </c>
      <c r="C769" s="1" t="n">
        <v>46042</v>
      </c>
      <c r="D769" t="inlineStr">
        <is>
          <t>JÄMTLANDS LÄN</t>
        </is>
      </c>
      <c r="E769" t="inlineStr">
        <is>
          <t>BRÄCKE</t>
        </is>
      </c>
      <c r="F769" t="inlineStr">
        <is>
          <t>SCA</t>
        </is>
      </c>
      <c r="G769" t="n">
        <v>3.9</v>
      </c>
      <c r="H769" t="n">
        <v>0</v>
      </c>
      <c r="I769" t="n">
        <v>0</v>
      </c>
      <c r="J769" t="n">
        <v>0</v>
      </c>
      <c r="K769" t="n">
        <v>0</v>
      </c>
      <c r="L769" t="n">
        <v>0</v>
      </c>
      <c r="M769" t="n">
        <v>0</v>
      </c>
      <c r="N769" t="n">
        <v>0</v>
      </c>
      <c r="O769" t="n">
        <v>0</v>
      </c>
      <c r="P769" t="n">
        <v>0</v>
      </c>
      <c r="Q769" t="n">
        <v>0</v>
      </c>
      <c r="R769" s="2" t="inlineStr"/>
    </row>
    <row r="770" ht="15" customHeight="1">
      <c r="A770" t="inlineStr">
        <is>
          <t>A 42732-2025</t>
        </is>
      </c>
      <c r="B770" s="1" t="n">
        <v>45908.40704861111</v>
      </c>
      <c r="C770" s="1" t="n">
        <v>46042</v>
      </c>
      <c r="D770" t="inlineStr">
        <is>
          <t>JÄMTLANDS LÄN</t>
        </is>
      </c>
      <c r="E770" t="inlineStr">
        <is>
          <t>BRÄCKE</t>
        </is>
      </c>
      <c r="G770" t="n">
        <v>2.1</v>
      </c>
      <c r="H770" t="n">
        <v>0</v>
      </c>
      <c r="I770" t="n">
        <v>0</v>
      </c>
      <c r="J770" t="n">
        <v>0</v>
      </c>
      <c r="K770" t="n">
        <v>0</v>
      </c>
      <c r="L770" t="n">
        <v>0</v>
      </c>
      <c r="M770" t="n">
        <v>0</v>
      </c>
      <c r="N770" t="n">
        <v>0</v>
      </c>
      <c r="O770" t="n">
        <v>0</v>
      </c>
      <c r="P770" t="n">
        <v>0</v>
      </c>
      <c r="Q770" t="n">
        <v>0</v>
      </c>
      <c r="R770" s="2" t="inlineStr"/>
    </row>
    <row r="771" ht="15" customHeight="1">
      <c r="A771" t="inlineStr">
        <is>
          <t>A 55478-2024</t>
        </is>
      </c>
      <c r="B771" s="1" t="n">
        <v>45622.43795138889</v>
      </c>
      <c r="C771" s="1" t="n">
        <v>46042</v>
      </c>
      <c r="D771" t="inlineStr">
        <is>
          <t>JÄMTLANDS LÄN</t>
        </is>
      </c>
      <c r="E771" t="inlineStr">
        <is>
          <t>BRÄCKE</t>
        </is>
      </c>
      <c r="G771" t="n">
        <v>5.5</v>
      </c>
      <c r="H771" t="n">
        <v>0</v>
      </c>
      <c r="I771" t="n">
        <v>0</v>
      </c>
      <c r="J771" t="n">
        <v>0</v>
      </c>
      <c r="K771" t="n">
        <v>0</v>
      </c>
      <c r="L771" t="n">
        <v>0</v>
      </c>
      <c r="M771" t="n">
        <v>0</v>
      </c>
      <c r="N771" t="n">
        <v>0</v>
      </c>
      <c r="O771" t="n">
        <v>0</v>
      </c>
      <c r="P771" t="n">
        <v>0</v>
      </c>
      <c r="Q771" t="n">
        <v>0</v>
      </c>
      <c r="R771" s="2" t="inlineStr"/>
    </row>
    <row r="772" ht="15" customHeight="1">
      <c r="A772" t="inlineStr">
        <is>
          <t>A 29038-2025</t>
        </is>
      </c>
      <c r="B772" s="1" t="n">
        <v>45821.44832175926</v>
      </c>
      <c r="C772" s="1" t="n">
        <v>46042</v>
      </c>
      <c r="D772" t="inlineStr">
        <is>
          <t>JÄMTLANDS LÄN</t>
        </is>
      </c>
      <c r="E772" t="inlineStr">
        <is>
          <t>BRÄCKE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42784-2025</t>
        </is>
      </c>
      <c r="B773" s="1" t="n">
        <v>45908.51035879629</v>
      </c>
      <c r="C773" s="1" t="n">
        <v>46042</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3840-2024</t>
        </is>
      </c>
      <c r="B774" s="1" t="n">
        <v>45321.94605324074</v>
      </c>
      <c r="C774" s="1" t="n">
        <v>46042</v>
      </c>
      <c r="D774" t="inlineStr">
        <is>
          <t>JÄMTLANDS LÄN</t>
        </is>
      </c>
      <c r="E774" t="inlineStr">
        <is>
          <t>BRÄCKE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28928-2025</t>
        </is>
      </c>
      <c r="B775" s="1" t="n">
        <v>45820.67738425926</v>
      </c>
      <c r="C775" s="1" t="n">
        <v>46042</v>
      </c>
      <c r="D775" t="inlineStr">
        <is>
          <t>JÄMTLANDS LÄN</t>
        </is>
      </c>
      <c r="E775" t="inlineStr">
        <is>
          <t>BRÄCKE</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28972-2025</t>
        </is>
      </c>
      <c r="B776" s="1" t="n">
        <v>45821.34505787037</v>
      </c>
      <c r="C776" s="1" t="n">
        <v>46042</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42936-2025</t>
        </is>
      </c>
      <c r="B777" s="1" t="n">
        <v>45909.32590277777</v>
      </c>
      <c r="C777" s="1" t="n">
        <v>46042</v>
      </c>
      <c r="D777" t="inlineStr">
        <is>
          <t>JÄMTLANDS LÄN</t>
        </is>
      </c>
      <c r="E777" t="inlineStr">
        <is>
          <t>BRÄCKE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28937-2025</t>
        </is>
      </c>
      <c r="B778" s="1" t="n">
        <v>45820.69825231482</v>
      </c>
      <c r="C778" s="1" t="n">
        <v>46042</v>
      </c>
      <c r="D778" t="inlineStr">
        <is>
          <t>JÄMTLANDS LÄN</t>
        </is>
      </c>
      <c r="E778" t="inlineStr">
        <is>
          <t>BRÄCKE</t>
        </is>
      </c>
      <c r="F778" t="inlineStr">
        <is>
          <t>SCA</t>
        </is>
      </c>
      <c r="G778" t="n">
        <v>11.5</v>
      </c>
      <c r="H778" t="n">
        <v>0</v>
      </c>
      <c r="I778" t="n">
        <v>0</v>
      </c>
      <c r="J778" t="n">
        <v>0</v>
      </c>
      <c r="K778" t="n">
        <v>0</v>
      </c>
      <c r="L778" t="n">
        <v>0</v>
      </c>
      <c r="M778" t="n">
        <v>0</v>
      </c>
      <c r="N778" t="n">
        <v>0</v>
      </c>
      <c r="O778" t="n">
        <v>0</v>
      </c>
      <c r="P778" t="n">
        <v>0</v>
      </c>
      <c r="Q778" t="n">
        <v>0</v>
      </c>
      <c r="R778" s="2" t="inlineStr"/>
    </row>
    <row r="779" ht="15" customHeight="1">
      <c r="A779" t="inlineStr">
        <is>
          <t>A 29124-2025</t>
        </is>
      </c>
      <c r="B779" s="1" t="n">
        <v>45821.59456018519</v>
      </c>
      <c r="C779" s="1" t="n">
        <v>46042</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43022-2025</t>
        </is>
      </c>
      <c r="B780" s="1" t="n">
        <v>45909.51016203704</v>
      </c>
      <c r="C780" s="1" t="n">
        <v>46042</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54789-2023</t>
        </is>
      </c>
      <c r="B781" s="1" t="n">
        <v>45236.48659722223</v>
      </c>
      <c r="C781" s="1" t="n">
        <v>46042</v>
      </c>
      <c r="D781" t="inlineStr">
        <is>
          <t>JÄMTLANDS LÄN</t>
        </is>
      </c>
      <c r="E781" t="inlineStr">
        <is>
          <t>BRÄCKE</t>
        </is>
      </c>
      <c r="G781" t="n">
        <v>7.1</v>
      </c>
      <c r="H781" t="n">
        <v>0</v>
      </c>
      <c r="I781" t="n">
        <v>0</v>
      </c>
      <c r="J781" t="n">
        <v>0</v>
      </c>
      <c r="K781" t="n">
        <v>0</v>
      </c>
      <c r="L781" t="n">
        <v>0</v>
      </c>
      <c r="M781" t="n">
        <v>0</v>
      </c>
      <c r="N781" t="n">
        <v>0</v>
      </c>
      <c r="O781" t="n">
        <v>0</v>
      </c>
      <c r="P781" t="n">
        <v>0</v>
      </c>
      <c r="Q781" t="n">
        <v>0</v>
      </c>
      <c r="R781" s="2" t="inlineStr"/>
    </row>
    <row r="782" ht="15" customHeight="1">
      <c r="A782" t="inlineStr">
        <is>
          <t>A 29534-2025</t>
        </is>
      </c>
      <c r="B782" s="1" t="n">
        <v>45825.34476851852</v>
      </c>
      <c r="C782" s="1" t="n">
        <v>46042</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42933-2025</t>
        </is>
      </c>
      <c r="B783" s="1" t="n">
        <v>45909.32215277778</v>
      </c>
      <c r="C783" s="1" t="n">
        <v>46042</v>
      </c>
      <c r="D783" t="inlineStr">
        <is>
          <t>JÄMTLANDS LÄN</t>
        </is>
      </c>
      <c r="E783" t="inlineStr">
        <is>
          <t>BRÄCKE</t>
        </is>
      </c>
      <c r="G783" t="n">
        <v>6.1</v>
      </c>
      <c r="H783" t="n">
        <v>0</v>
      </c>
      <c r="I783" t="n">
        <v>0</v>
      </c>
      <c r="J783" t="n">
        <v>0</v>
      </c>
      <c r="K783" t="n">
        <v>0</v>
      </c>
      <c r="L783" t="n">
        <v>0</v>
      </c>
      <c r="M783" t="n">
        <v>0</v>
      </c>
      <c r="N783" t="n">
        <v>0</v>
      </c>
      <c r="O783" t="n">
        <v>0</v>
      </c>
      <c r="P783" t="n">
        <v>0</v>
      </c>
      <c r="Q783" t="n">
        <v>0</v>
      </c>
      <c r="R783" s="2" t="inlineStr"/>
    </row>
    <row r="784" ht="15" customHeight="1">
      <c r="A784" t="inlineStr">
        <is>
          <t>A 42659-2025</t>
        </is>
      </c>
      <c r="B784" s="1" t="n">
        <v>45907.56715277778</v>
      </c>
      <c r="C784" s="1" t="n">
        <v>46042</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29021-2025</t>
        </is>
      </c>
      <c r="B785" s="1" t="n">
        <v>45821.42736111111</v>
      </c>
      <c r="C785" s="1" t="n">
        <v>46042</v>
      </c>
      <c r="D785" t="inlineStr">
        <is>
          <t>JÄMTLANDS LÄN</t>
        </is>
      </c>
      <c r="E785" t="inlineStr">
        <is>
          <t>BRÄCKE</t>
        </is>
      </c>
      <c r="G785" t="n">
        <v>4.1</v>
      </c>
      <c r="H785" t="n">
        <v>0</v>
      </c>
      <c r="I785" t="n">
        <v>0</v>
      </c>
      <c r="J785" t="n">
        <v>0</v>
      </c>
      <c r="K785" t="n">
        <v>0</v>
      </c>
      <c r="L785" t="n">
        <v>0</v>
      </c>
      <c r="M785" t="n">
        <v>0</v>
      </c>
      <c r="N785" t="n">
        <v>0</v>
      </c>
      <c r="O785" t="n">
        <v>0</v>
      </c>
      <c r="P785" t="n">
        <v>0</v>
      </c>
      <c r="Q785" t="n">
        <v>0</v>
      </c>
      <c r="R785" s="2" t="inlineStr"/>
    </row>
    <row r="786" ht="15" customHeight="1">
      <c r="A786" t="inlineStr">
        <is>
          <t>A 43180-2025</t>
        </is>
      </c>
      <c r="B786" s="1" t="n">
        <v>45910.40699074074</v>
      </c>
      <c r="C786" s="1" t="n">
        <v>46042</v>
      </c>
      <c r="D786" t="inlineStr">
        <is>
          <t>JÄMTLANDS LÄN</t>
        </is>
      </c>
      <c r="E786" t="inlineStr">
        <is>
          <t>BRÄCKE</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43254-2025</t>
        </is>
      </c>
      <c r="B787" s="1" t="n">
        <v>45910.553125</v>
      </c>
      <c r="C787" s="1" t="n">
        <v>46042</v>
      </c>
      <c r="D787" t="inlineStr">
        <is>
          <t>JÄMTLANDS LÄN</t>
        </is>
      </c>
      <c r="E787" t="inlineStr">
        <is>
          <t>BRÄCKE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43618-2025</t>
        </is>
      </c>
      <c r="B788" s="1" t="n">
        <v>45911.67806712963</v>
      </c>
      <c r="C788" s="1" t="n">
        <v>46042</v>
      </c>
      <c r="D788" t="inlineStr">
        <is>
          <t>JÄMTLANDS LÄN</t>
        </is>
      </c>
      <c r="E788" t="inlineStr">
        <is>
          <t>BRÄCKE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43416-2025</t>
        </is>
      </c>
      <c r="B789" s="1" t="n">
        <v>45911.40685185185</v>
      </c>
      <c r="C789" s="1" t="n">
        <v>46042</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29763-2025</t>
        </is>
      </c>
      <c r="B790" s="1" t="n">
        <v>45825.61837962963</v>
      </c>
      <c r="C790" s="1" t="n">
        <v>46042</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45028-2023</t>
        </is>
      </c>
      <c r="B791" s="1" t="n">
        <v>45190</v>
      </c>
      <c r="C791" s="1" t="n">
        <v>46042</v>
      </c>
      <c r="D791" t="inlineStr">
        <is>
          <t>JÄMTLANDS LÄN</t>
        </is>
      </c>
      <c r="E791" t="inlineStr">
        <is>
          <t>BRÄCKE</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3862-2025</t>
        </is>
      </c>
      <c r="B792" s="1" t="n">
        <v>45684.31023148148</v>
      </c>
      <c r="C792" s="1" t="n">
        <v>46042</v>
      </c>
      <c r="D792" t="inlineStr">
        <is>
          <t>JÄMTLANDS LÄN</t>
        </is>
      </c>
      <c r="E792" t="inlineStr">
        <is>
          <t>BRÄCKE</t>
        </is>
      </c>
      <c r="G792" t="n">
        <v>7</v>
      </c>
      <c r="H792" t="n">
        <v>0</v>
      </c>
      <c r="I792" t="n">
        <v>0</v>
      </c>
      <c r="J792" t="n">
        <v>0</v>
      </c>
      <c r="K792" t="n">
        <v>0</v>
      </c>
      <c r="L792" t="n">
        <v>0</v>
      </c>
      <c r="M792" t="n">
        <v>0</v>
      </c>
      <c r="N792" t="n">
        <v>0</v>
      </c>
      <c r="O792" t="n">
        <v>0</v>
      </c>
      <c r="P792" t="n">
        <v>0</v>
      </c>
      <c r="Q792" t="n">
        <v>0</v>
      </c>
      <c r="R792" s="2" t="inlineStr"/>
    </row>
    <row r="793" ht="15" customHeight="1">
      <c r="A793" t="inlineStr">
        <is>
          <t>A 43591-2025</t>
        </is>
      </c>
      <c r="B793" s="1" t="n">
        <v>45911.65681712963</v>
      </c>
      <c r="C793" s="1" t="n">
        <v>46042</v>
      </c>
      <c r="D793" t="inlineStr">
        <is>
          <t>JÄMTLANDS LÄN</t>
        </is>
      </c>
      <c r="E793" t="inlineStr">
        <is>
          <t>BRÄCKE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29431-2025</t>
        </is>
      </c>
      <c r="B794" s="1" t="n">
        <v>45824.65053240741</v>
      </c>
      <c r="C794" s="1" t="n">
        <v>46042</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30393-2025</t>
        </is>
      </c>
      <c r="B795" s="1" t="n">
        <v>45827.57416666667</v>
      </c>
      <c r="C795" s="1" t="n">
        <v>46042</v>
      </c>
      <c r="D795" t="inlineStr">
        <is>
          <t>JÄMTLANDS LÄN</t>
        </is>
      </c>
      <c r="E795" t="inlineStr">
        <is>
          <t>BRÄCKE</t>
        </is>
      </c>
      <c r="G795" t="n">
        <v>1</v>
      </c>
      <c r="H795" t="n">
        <v>0</v>
      </c>
      <c r="I795" t="n">
        <v>0</v>
      </c>
      <c r="J795" t="n">
        <v>0</v>
      </c>
      <c r="K795" t="n">
        <v>0</v>
      </c>
      <c r="L795" t="n">
        <v>0</v>
      </c>
      <c r="M795" t="n">
        <v>0</v>
      </c>
      <c r="N795" t="n">
        <v>0</v>
      </c>
      <c r="O795" t="n">
        <v>0</v>
      </c>
      <c r="P795" t="n">
        <v>0</v>
      </c>
      <c r="Q795" t="n">
        <v>0</v>
      </c>
      <c r="R795" s="2" t="inlineStr"/>
    </row>
    <row r="796" ht="15" customHeight="1">
      <c r="A796" t="inlineStr">
        <is>
          <t>A 30424-2025</t>
        </is>
      </c>
      <c r="B796" s="1" t="n">
        <v>45827.61495370371</v>
      </c>
      <c r="C796" s="1" t="n">
        <v>46042</v>
      </c>
      <c r="D796" t="inlineStr">
        <is>
          <t>JÄMTLANDS LÄN</t>
        </is>
      </c>
      <c r="E796" t="inlineStr">
        <is>
          <t>BRÄCKE</t>
        </is>
      </c>
      <c r="G796" t="n">
        <v>0.4</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46042</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43387-2025</t>
        </is>
      </c>
      <c r="B798" s="1" t="n">
        <v>45911.3653587963</v>
      </c>
      <c r="C798" s="1" t="n">
        <v>46042</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44403-2023</t>
        </is>
      </c>
      <c r="B799" s="1" t="n">
        <v>45188.94601851852</v>
      </c>
      <c r="C799" s="1" t="n">
        <v>46042</v>
      </c>
      <c r="D799" t="inlineStr">
        <is>
          <t>JÄMTLANDS LÄN</t>
        </is>
      </c>
      <c r="E799" t="inlineStr">
        <is>
          <t>BRÄCKE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25895-2023</t>
        </is>
      </c>
      <c r="B800" s="1" t="n">
        <v>45085</v>
      </c>
      <c r="C800" s="1" t="n">
        <v>46042</v>
      </c>
      <c r="D800" t="inlineStr">
        <is>
          <t>JÄMTLANDS LÄN</t>
        </is>
      </c>
      <c r="E800" t="inlineStr">
        <is>
          <t>BRÄCKE</t>
        </is>
      </c>
      <c r="G800" t="n">
        <v>4.7</v>
      </c>
      <c r="H800" t="n">
        <v>0</v>
      </c>
      <c r="I800" t="n">
        <v>0</v>
      </c>
      <c r="J800" t="n">
        <v>0</v>
      </c>
      <c r="K800" t="n">
        <v>0</v>
      </c>
      <c r="L800" t="n">
        <v>0</v>
      </c>
      <c r="M800" t="n">
        <v>0</v>
      </c>
      <c r="N800" t="n">
        <v>0</v>
      </c>
      <c r="O800" t="n">
        <v>0</v>
      </c>
      <c r="P800" t="n">
        <v>0</v>
      </c>
      <c r="Q800" t="n">
        <v>0</v>
      </c>
      <c r="R800" s="2" t="inlineStr"/>
    </row>
    <row r="801" ht="15" customHeight="1">
      <c r="A801" t="inlineStr">
        <is>
          <t>A 4857-2025</t>
        </is>
      </c>
      <c r="B801" s="1" t="n">
        <v>45688.67418981482</v>
      </c>
      <c r="C801" s="1" t="n">
        <v>46042</v>
      </c>
      <c r="D801" t="inlineStr">
        <is>
          <t>JÄMTLANDS LÄN</t>
        </is>
      </c>
      <c r="E801" t="inlineStr">
        <is>
          <t>BRÄCKE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29909-2025</t>
        </is>
      </c>
      <c r="B802" s="1" t="n">
        <v>45826.40671296296</v>
      </c>
      <c r="C802" s="1" t="n">
        <v>46042</v>
      </c>
      <c r="D802" t="inlineStr">
        <is>
          <t>JÄMTLANDS LÄN</t>
        </is>
      </c>
      <c r="E802" t="inlineStr">
        <is>
          <t>BRÄCKE</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30317-2025</t>
        </is>
      </c>
      <c r="B803" s="1" t="n">
        <v>45827.49087962963</v>
      </c>
      <c r="C803" s="1" t="n">
        <v>46042</v>
      </c>
      <c r="D803" t="inlineStr">
        <is>
          <t>JÄMTLANDS LÄN</t>
        </is>
      </c>
      <c r="E803" t="inlineStr">
        <is>
          <t>BRÄCKE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44035-2025</t>
        </is>
      </c>
      <c r="B804" s="1" t="n">
        <v>45915.49084490741</v>
      </c>
      <c r="C804" s="1" t="n">
        <v>46042</v>
      </c>
      <c r="D804" t="inlineStr">
        <is>
          <t>JÄMTLANDS LÄN</t>
        </is>
      </c>
      <c r="E804" t="inlineStr">
        <is>
          <t>BRÄCKE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30391-2025</t>
        </is>
      </c>
      <c r="B805" s="1" t="n">
        <v>45827.57387731481</v>
      </c>
      <c r="C805" s="1" t="n">
        <v>46042</v>
      </c>
      <c r="D805" t="inlineStr">
        <is>
          <t>JÄMTLANDS LÄN</t>
        </is>
      </c>
      <c r="E805" t="inlineStr">
        <is>
          <t>BRÄCKE</t>
        </is>
      </c>
      <c r="F805" t="inlineStr">
        <is>
          <t>SCA</t>
        </is>
      </c>
      <c r="G805" t="n">
        <v>6.5</v>
      </c>
      <c r="H805" t="n">
        <v>0</v>
      </c>
      <c r="I805" t="n">
        <v>0</v>
      </c>
      <c r="J805" t="n">
        <v>0</v>
      </c>
      <c r="K805" t="n">
        <v>0</v>
      </c>
      <c r="L805" t="n">
        <v>0</v>
      </c>
      <c r="M805" t="n">
        <v>0</v>
      </c>
      <c r="N805" t="n">
        <v>0</v>
      </c>
      <c r="O805" t="n">
        <v>0</v>
      </c>
      <c r="P805" t="n">
        <v>0</v>
      </c>
      <c r="Q805" t="n">
        <v>0</v>
      </c>
      <c r="R805" s="2" t="inlineStr"/>
    </row>
    <row r="806" ht="15" customHeight="1">
      <c r="A806" t="inlineStr">
        <is>
          <t>A 30425-2025</t>
        </is>
      </c>
      <c r="B806" s="1" t="n">
        <v>45827.61511574074</v>
      </c>
      <c r="C806" s="1" t="n">
        <v>46042</v>
      </c>
      <c r="D806" t="inlineStr">
        <is>
          <t>JÄMTLANDS LÄN</t>
        </is>
      </c>
      <c r="E806" t="inlineStr">
        <is>
          <t>BRÄCKE</t>
        </is>
      </c>
      <c r="G806" t="n">
        <v>1</v>
      </c>
      <c r="H806" t="n">
        <v>0</v>
      </c>
      <c r="I806" t="n">
        <v>0</v>
      </c>
      <c r="J806" t="n">
        <v>0</v>
      </c>
      <c r="K806" t="n">
        <v>0</v>
      </c>
      <c r="L806" t="n">
        <v>0</v>
      </c>
      <c r="M806" t="n">
        <v>0</v>
      </c>
      <c r="N806" t="n">
        <v>0</v>
      </c>
      <c r="O806" t="n">
        <v>0</v>
      </c>
      <c r="P806" t="n">
        <v>0</v>
      </c>
      <c r="Q806" t="n">
        <v>0</v>
      </c>
      <c r="R806" s="2" t="inlineStr"/>
    </row>
    <row r="807" ht="15" customHeight="1">
      <c r="A807" t="inlineStr">
        <is>
          <t>A 29996-2025</t>
        </is>
      </c>
      <c r="B807" s="1" t="n">
        <v>45826.51090277778</v>
      </c>
      <c r="C807" s="1" t="n">
        <v>46042</v>
      </c>
      <c r="D807" t="inlineStr">
        <is>
          <t>JÄMTLANDS LÄN</t>
        </is>
      </c>
      <c r="E807" t="inlineStr">
        <is>
          <t>BRÄCKE</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30016-2025</t>
        </is>
      </c>
      <c r="B808" s="1" t="n">
        <v>45826.55288194444</v>
      </c>
      <c r="C808" s="1" t="n">
        <v>46042</v>
      </c>
      <c r="D808" t="inlineStr">
        <is>
          <t>JÄMTLANDS LÄN</t>
        </is>
      </c>
      <c r="E808" t="inlineStr">
        <is>
          <t>BRÄCKE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30310-2025</t>
        </is>
      </c>
      <c r="B809" s="1" t="n">
        <v>45827.48996527777</v>
      </c>
      <c r="C809" s="1" t="n">
        <v>46042</v>
      </c>
      <c r="D809" t="inlineStr">
        <is>
          <t>JÄMTLANDS LÄN</t>
        </is>
      </c>
      <c r="E809" t="inlineStr">
        <is>
          <t>BRÄCKE</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44030-2025</t>
        </is>
      </c>
      <c r="B810" s="1" t="n">
        <v>45915.49006944444</v>
      </c>
      <c r="C810" s="1" t="n">
        <v>46042</v>
      </c>
      <c r="D810" t="inlineStr">
        <is>
          <t>JÄMTLANDS LÄN</t>
        </is>
      </c>
      <c r="E810" t="inlineStr">
        <is>
          <t>BRÄCKE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30392-2025</t>
        </is>
      </c>
      <c r="B811" s="1" t="n">
        <v>45827.5740162037</v>
      </c>
      <c r="C811" s="1" t="n">
        <v>46042</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54035-2021</t>
        </is>
      </c>
      <c r="B812" s="1" t="n">
        <v>44470</v>
      </c>
      <c r="C812" s="1" t="n">
        <v>46042</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44057-2025</t>
        </is>
      </c>
      <c r="B813" s="1" t="n">
        <v>45915.53097222222</v>
      </c>
      <c r="C813" s="1" t="n">
        <v>46042</v>
      </c>
      <c r="D813" t="inlineStr">
        <is>
          <t>JÄMTLANDS LÄN</t>
        </is>
      </c>
      <c r="E813" t="inlineStr">
        <is>
          <t>BRÄCKE</t>
        </is>
      </c>
      <c r="G813" t="n">
        <v>3</v>
      </c>
      <c r="H813" t="n">
        <v>0</v>
      </c>
      <c r="I813" t="n">
        <v>0</v>
      </c>
      <c r="J813" t="n">
        <v>0</v>
      </c>
      <c r="K813" t="n">
        <v>0</v>
      </c>
      <c r="L813" t="n">
        <v>0</v>
      </c>
      <c r="M813" t="n">
        <v>0</v>
      </c>
      <c r="N813" t="n">
        <v>0</v>
      </c>
      <c r="O813" t="n">
        <v>0</v>
      </c>
      <c r="P813" t="n">
        <v>0</v>
      </c>
      <c r="Q813" t="n">
        <v>0</v>
      </c>
      <c r="R813" s="2" t="inlineStr"/>
    </row>
    <row r="814" ht="15" customHeight="1">
      <c r="A814" t="inlineStr">
        <is>
          <t>A 30014-2025</t>
        </is>
      </c>
      <c r="B814" s="1" t="n">
        <v>45826.55246527777</v>
      </c>
      <c r="C814" s="1" t="n">
        <v>46042</v>
      </c>
      <c r="D814" t="inlineStr">
        <is>
          <t>JÄMTLANDS LÄN</t>
        </is>
      </c>
      <c r="E814" t="inlineStr">
        <is>
          <t>BRÄCKE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51416-2024</t>
        </is>
      </c>
      <c r="B815" s="1" t="n">
        <v>45604.44829861111</v>
      </c>
      <c r="C815" s="1" t="n">
        <v>46042</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44321-2023</t>
        </is>
      </c>
      <c r="B816" s="1" t="n">
        <v>45188.65484953704</v>
      </c>
      <c r="C816" s="1" t="n">
        <v>46042</v>
      </c>
      <c r="D816" t="inlineStr">
        <is>
          <t>JÄMTLANDS LÄN</t>
        </is>
      </c>
      <c r="E816" t="inlineStr">
        <is>
          <t>BRÄCKE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44328-2023</t>
        </is>
      </c>
      <c r="B817" s="1" t="n">
        <v>45188.659375</v>
      </c>
      <c r="C817" s="1" t="n">
        <v>46042</v>
      </c>
      <c r="D817" t="inlineStr">
        <is>
          <t>JÄMTLANDS LÄN</t>
        </is>
      </c>
      <c r="E817" t="inlineStr">
        <is>
          <t>BRÄCKE</t>
        </is>
      </c>
      <c r="F817" t="inlineStr">
        <is>
          <t>Sveaskog</t>
        </is>
      </c>
      <c r="G817" t="n">
        <v>3.8</v>
      </c>
      <c r="H817" t="n">
        <v>0</v>
      </c>
      <c r="I817" t="n">
        <v>0</v>
      </c>
      <c r="J817" t="n">
        <v>0</v>
      </c>
      <c r="K817" t="n">
        <v>0</v>
      </c>
      <c r="L817" t="n">
        <v>0</v>
      </c>
      <c r="M817" t="n">
        <v>0</v>
      </c>
      <c r="N817" t="n">
        <v>0</v>
      </c>
      <c r="O817" t="n">
        <v>0</v>
      </c>
      <c r="P817" t="n">
        <v>0</v>
      </c>
      <c r="Q817" t="n">
        <v>0</v>
      </c>
      <c r="R817" s="2" t="inlineStr"/>
    </row>
    <row r="818" ht="15" customHeight="1">
      <c r="A818" t="inlineStr">
        <is>
          <t>A 51441-2023</t>
        </is>
      </c>
      <c r="B818" s="1" t="n">
        <v>45219</v>
      </c>
      <c r="C818" s="1" t="n">
        <v>46042</v>
      </c>
      <c r="D818" t="inlineStr">
        <is>
          <t>JÄMTLANDS LÄN</t>
        </is>
      </c>
      <c r="E818" t="inlineStr">
        <is>
          <t>BRÄCKE</t>
        </is>
      </c>
      <c r="G818" t="n">
        <v>1.2</v>
      </c>
      <c r="H818" t="n">
        <v>0</v>
      </c>
      <c r="I818" t="n">
        <v>0</v>
      </c>
      <c r="J818" t="n">
        <v>0</v>
      </c>
      <c r="K818" t="n">
        <v>0</v>
      </c>
      <c r="L818" t="n">
        <v>0</v>
      </c>
      <c r="M818" t="n">
        <v>0</v>
      </c>
      <c r="N818" t="n">
        <v>0</v>
      </c>
      <c r="O818" t="n">
        <v>0</v>
      </c>
      <c r="P818" t="n">
        <v>0</v>
      </c>
      <c r="Q818" t="n">
        <v>0</v>
      </c>
      <c r="R818" s="2" t="inlineStr"/>
    </row>
    <row r="819" ht="15" customHeight="1">
      <c r="A819" t="inlineStr">
        <is>
          <t>A 44216-2025</t>
        </is>
      </c>
      <c r="B819" s="1" t="n">
        <v>45915.6359837963</v>
      </c>
      <c r="C819" s="1" t="n">
        <v>46042</v>
      </c>
      <c r="D819" t="inlineStr">
        <is>
          <t>JÄMTLANDS LÄN</t>
        </is>
      </c>
      <c r="E819" t="inlineStr">
        <is>
          <t>BRÄCKE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2035-2022</t>
        </is>
      </c>
      <c r="B820" s="1" t="n">
        <v>44575.6277662037</v>
      </c>
      <c r="C820" s="1" t="n">
        <v>46042</v>
      </c>
      <c r="D820" t="inlineStr">
        <is>
          <t>JÄMTLANDS LÄN</t>
        </is>
      </c>
      <c r="E820" t="inlineStr">
        <is>
          <t>BRÄCKE</t>
        </is>
      </c>
      <c r="G820" t="n">
        <v>2</v>
      </c>
      <c r="H820" t="n">
        <v>0</v>
      </c>
      <c r="I820" t="n">
        <v>0</v>
      </c>
      <c r="J820" t="n">
        <v>0</v>
      </c>
      <c r="K820" t="n">
        <v>0</v>
      </c>
      <c r="L820" t="n">
        <v>0</v>
      </c>
      <c r="M820" t="n">
        <v>0</v>
      </c>
      <c r="N820" t="n">
        <v>0</v>
      </c>
      <c r="O820" t="n">
        <v>0</v>
      </c>
      <c r="P820" t="n">
        <v>0</v>
      </c>
      <c r="Q820" t="n">
        <v>0</v>
      </c>
      <c r="R820" s="2" t="inlineStr"/>
    </row>
    <row r="821" ht="15" customHeight="1">
      <c r="A821" t="inlineStr">
        <is>
          <t>A 43736-2025</t>
        </is>
      </c>
      <c r="B821" s="1" t="n">
        <v>45912.44840277778</v>
      </c>
      <c r="C821" s="1" t="n">
        <v>46042</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43723-2025</t>
        </is>
      </c>
      <c r="B822" s="1" t="n">
        <v>45912.42844907408</v>
      </c>
      <c r="C822" s="1" t="n">
        <v>46042</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36392-2022</t>
        </is>
      </c>
      <c r="B823" s="1" t="n">
        <v>44803.94673611111</v>
      </c>
      <c r="C823" s="1" t="n">
        <v>46042</v>
      </c>
      <c r="D823" t="inlineStr">
        <is>
          <t>JÄMTLANDS LÄN</t>
        </is>
      </c>
      <c r="E823" t="inlineStr">
        <is>
          <t>BRÄCKE</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37238-2021</t>
        </is>
      </c>
      <c r="B824" s="1" t="n">
        <v>44396.93490740741</v>
      </c>
      <c r="C824" s="1" t="n">
        <v>46042</v>
      </c>
      <c r="D824" t="inlineStr">
        <is>
          <t>JÄMTLANDS LÄN</t>
        </is>
      </c>
      <c r="E824" t="inlineStr">
        <is>
          <t>BRÄCKE</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30313-2025</t>
        </is>
      </c>
      <c r="B825" s="1" t="n">
        <v>45827.49033564814</v>
      </c>
      <c r="C825" s="1" t="n">
        <v>46042</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24010-2024</t>
        </is>
      </c>
      <c r="B826" s="1" t="n">
        <v>45456.40370370371</v>
      </c>
      <c r="C826" s="1" t="n">
        <v>46042</v>
      </c>
      <c r="D826" t="inlineStr">
        <is>
          <t>JÄMTLANDS LÄN</t>
        </is>
      </c>
      <c r="E826" t="inlineStr">
        <is>
          <t>BRÄCKE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18645-2024</t>
        </is>
      </c>
      <c r="B827" s="1" t="n">
        <v>45425.96738425926</v>
      </c>
      <c r="C827" s="1" t="n">
        <v>46042</v>
      </c>
      <c r="D827" t="inlineStr">
        <is>
          <t>JÄMTLANDS LÄN</t>
        </is>
      </c>
      <c r="E827" t="inlineStr">
        <is>
          <t>BRÄCKE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52021-2022</t>
        </is>
      </c>
      <c r="B828" s="1" t="n">
        <v>44872.95638888889</v>
      </c>
      <c r="C828" s="1" t="n">
        <v>46042</v>
      </c>
      <c r="D828" t="inlineStr">
        <is>
          <t>JÄMTLANDS LÄN</t>
        </is>
      </c>
      <c r="E828" t="inlineStr">
        <is>
          <t>BRÄCKE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29751-2023</t>
        </is>
      </c>
      <c r="B829" s="1" t="n">
        <v>45107</v>
      </c>
      <c r="C829" s="1" t="n">
        <v>46042</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3737-2025</t>
        </is>
      </c>
      <c r="B830" s="1" t="n">
        <v>45681.57335648148</v>
      </c>
      <c r="C830" s="1" t="n">
        <v>46042</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30714-2025</t>
        </is>
      </c>
      <c r="B831" s="1" t="n">
        <v>45831.55284722222</v>
      </c>
      <c r="C831" s="1" t="n">
        <v>46042</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52137-2023</t>
        </is>
      </c>
      <c r="B832" s="1" t="n">
        <v>45223</v>
      </c>
      <c r="C832" s="1" t="n">
        <v>46042</v>
      </c>
      <c r="D832" t="inlineStr">
        <is>
          <t>JÄMTLANDS LÄN</t>
        </is>
      </c>
      <c r="E832" t="inlineStr">
        <is>
          <t>BRÄCKE</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30732-2025</t>
        </is>
      </c>
      <c r="B833" s="1" t="n">
        <v>45831.57324074074</v>
      </c>
      <c r="C833" s="1" t="n">
        <v>46042</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30619-2025</t>
        </is>
      </c>
      <c r="B834" s="1" t="n">
        <v>45831.46922453704</v>
      </c>
      <c r="C834" s="1" t="n">
        <v>46042</v>
      </c>
      <c r="D834" t="inlineStr">
        <is>
          <t>JÄMTLANDS LÄN</t>
        </is>
      </c>
      <c r="E834" t="inlineStr">
        <is>
          <t>BRÄCKE</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45950-2023</t>
        </is>
      </c>
      <c r="B835" s="1" t="n">
        <v>45195</v>
      </c>
      <c r="C835" s="1" t="n">
        <v>46042</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56686-2023</t>
        </is>
      </c>
      <c r="B836" s="1" t="n">
        <v>45243.96622685185</v>
      </c>
      <c r="C836" s="1" t="n">
        <v>46042</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20267-2024</t>
        </is>
      </c>
      <c r="B837" s="1" t="n">
        <v>45434.9487962963</v>
      </c>
      <c r="C837" s="1" t="n">
        <v>46042</v>
      </c>
      <c r="D837" t="inlineStr">
        <is>
          <t>JÄMTLANDS LÄN</t>
        </is>
      </c>
      <c r="E837" t="inlineStr">
        <is>
          <t>BRÄCKE</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16073-2021</t>
        </is>
      </c>
      <c r="B838" s="1" t="n">
        <v>44287</v>
      </c>
      <c r="C838" s="1" t="n">
        <v>46042</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30874-2024</t>
        </is>
      </c>
      <c r="B839" s="1" t="n">
        <v>45498.3091087963</v>
      </c>
      <c r="C839" s="1" t="n">
        <v>46042</v>
      </c>
      <c r="D839" t="inlineStr">
        <is>
          <t>JÄMTLANDS LÄN</t>
        </is>
      </c>
      <c r="E839" t="inlineStr">
        <is>
          <t>BRÄCKE</t>
        </is>
      </c>
      <c r="G839" t="n">
        <v>0.7</v>
      </c>
      <c r="H839" t="n">
        <v>0</v>
      </c>
      <c r="I839" t="n">
        <v>0</v>
      </c>
      <c r="J839" t="n">
        <v>0</v>
      </c>
      <c r="K839" t="n">
        <v>0</v>
      </c>
      <c r="L839" t="n">
        <v>0</v>
      </c>
      <c r="M839" t="n">
        <v>0</v>
      </c>
      <c r="N839" t="n">
        <v>0</v>
      </c>
      <c r="O839" t="n">
        <v>0</v>
      </c>
      <c r="P839" t="n">
        <v>0</v>
      </c>
      <c r="Q839" t="n">
        <v>0</v>
      </c>
      <c r="R839" s="2" t="inlineStr"/>
    </row>
    <row r="840" ht="15" customHeight="1">
      <c r="A840" t="inlineStr">
        <is>
          <t>A 31425-2025</t>
        </is>
      </c>
      <c r="B840" s="1" t="n">
        <v>45833.49023148148</v>
      </c>
      <c r="C840" s="1" t="n">
        <v>46042</v>
      </c>
      <c r="D840" t="inlineStr">
        <is>
          <t>JÄMTLANDS LÄN</t>
        </is>
      </c>
      <c r="E840" t="inlineStr">
        <is>
          <t>BRÄCKE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31274-2025</t>
        </is>
      </c>
      <c r="B841" s="1" t="n">
        <v>45833.34435185185</v>
      </c>
      <c r="C841" s="1" t="n">
        <v>46042</v>
      </c>
      <c r="D841" t="inlineStr">
        <is>
          <t>JÄMTLANDS LÄN</t>
        </is>
      </c>
      <c r="E841" t="inlineStr">
        <is>
          <t>BRÄCKE</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31138-2025</t>
        </is>
      </c>
      <c r="B842" s="1" t="n">
        <v>45832.63618055556</v>
      </c>
      <c r="C842" s="1" t="n">
        <v>46042</v>
      </c>
      <c r="D842" t="inlineStr">
        <is>
          <t>JÄMTLANDS LÄN</t>
        </is>
      </c>
      <c r="E842" t="inlineStr">
        <is>
          <t>BRÄCKE</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16707-2024</t>
        </is>
      </c>
      <c r="B843" s="1" t="n">
        <v>45409.07706018518</v>
      </c>
      <c r="C843" s="1" t="n">
        <v>46042</v>
      </c>
      <c r="D843" t="inlineStr">
        <is>
          <t>JÄMTLANDS LÄN</t>
        </is>
      </c>
      <c r="E843" t="inlineStr">
        <is>
          <t>BRÄCKE</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12063-2023</t>
        </is>
      </c>
      <c r="B844" s="1" t="n">
        <v>44996</v>
      </c>
      <c r="C844" s="1" t="n">
        <v>46042</v>
      </c>
      <c r="D844" t="inlineStr">
        <is>
          <t>JÄMTLANDS LÄN</t>
        </is>
      </c>
      <c r="E844" t="inlineStr">
        <is>
          <t>BRÄCKE</t>
        </is>
      </c>
      <c r="G844" t="n">
        <v>7.1</v>
      </c>
      <c r="H844" t="n">
        <v>0</v>
      </c>
      <c r="I844" t="n">
        <v>0</v>
      </c>
      <c r="J844" t="n">
        <v>0</v>
      </c>
      <c r="K844" t="n">
        <v>0</v>
      </c>
      <c r="L844" t="n">
        <v>0</v>
      </c>
      <c r="M844" t="n">
        <v>0</v>
      </c>
      <c r="N844" t="n">
        <v>0</v>
      </c>
      <c r="O844" t="n">
        <v>0</v>
      </c>
      <c r="P844" t="n">
        <v>0</v>
      </c>
      <c r="Q844" t="n">
        <v>0</v>
      </c>
      <c r="R844" s="2" t="inlineStr"/>
    </row>
    <row r="845" ht="15" customHeight="1">
      <c r="A845" t="inlineStr">
        <is>
          <t>A 31059-2025</t>
        </is>
      </c>
      <c r="B845" s="1" t="n">
        <v>45832.5734837963</v>
      </c>
      <c r="C845" s="1" t="n">
        <v>46042</v>
      </c>
      <c r="D845" t="inlineStr">
        <is>
          <t>JÄMTLANDS LÄN</t>
        </is>
      </c>
      <c r="E845" t="inlineStr">
        <is>
          <t>BRÄCKE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44843-2025</t>
        </is>
      </c>
      <c r="B846" s="1" t="n">
        <v>45918.43283564815</v>
      </c>
      <c r="C846" s="1" t="n">
        <v>46042</v>
      </c>
      <c r="D846" t="inlineStr">
        <is>
          <t>JÄMTLANDS LÄN</t>
        </is>
      </c>
      <c r="E846" t="inlineStr">
        <is>
          <t>BRÄCKE</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44854-2025</t>
        </is>
      </c>
      <c r="B847" s="1" t="n">
        <v>45918.44819444444</v>
      </c>
      <c r="C847" s="1" t="n">
        <v>46042</v>
      </c>
      <c r="D847" t="inlineStr">
        <is>
          <t>JÄMTLANDS LÄN</t>
        </is>
      </c>
      <c r="E847" t="inlineStr">
        <is>
          <t>BRÄCKE</t>
        </is>
      </c>
      <c r="G847" t="n">
        <v>5.4</v>
      </c>
      <c r="H847" t="n">
        <v>0</v>
      </c>
      <c r="I847" t="n">
        <v>0</v>
      </c>
      <c r="J847" t="n">
        <v>0</v>
      </c>
      <c r="K847" t="n">
        <v>0</v>
      </c>
      <c r="L847" t="n">
        <v>0</v>
      </c>
      <c r="M847" t="n">
        <v>0</v>
      </c>
      <c r="N847" t="n">
        <v>0</v>
      </c>
      <c r="O847" t="n">
        <v>0</v>
      </c>
      <c r="P847" t="n">
        <v>0</v>
      </c>
      <c r="Q847" t="n">
        <v>0</v>
      </c>
      <c r="R847" s="2" t="inlineStr"/>
    </row>
    <row r="848" ht="15" customHeight="1">
      <c r="A848" t="inlineStr">
        <is>
          <t>A 31379-2025</t>
        </is>
      </c>
      <c r="B848" s="1" t="n">
        <v>45833.44856481482</v>
      </c>
      <c r="C848" s="1" t="n">
        <v>46042</v>
      </c>
      <c r="D848" t="inlineStr">
        <is>
          <t>JÄMTLANDS LÄN</t>
        </is>
      </c>
      <c r="E848" t="inlineStr">
        <is>
          <t>BRÄCKE</t>
        </is>
      </c>
      <c r="F848" t="inlineStr">
        <is>
          <t>SCA</t>
        </is>
      </c>
      <c r="G848" t="n">
        <v>10.2</v>
      </c>
      <c r="H848" t="n">
        <v>0</v>
      </c>
      <c r="I848" t="n">
        <v>0</v>
      </c>
      <c r="J848" t="n">
        <v>0</v>
      </c>
      <c r="K848" t="n">
        <v>0</v>
      </c>
      <c r="L848" t="n">
        <v>0</v>
      </c>
      <c r="M848" t="n">
        <v>0</v>
      </c>
      <c r="N848" t="n">
        <v>0</v>
      </c>
      <c r="O848" t="n">
        <v>0</v>
      </c>
      <c r="P848" t="n">
        <v>0</v>
      </c>
      <c r="Q848" t="n">
        <v>0</v>
      </c>
      <c r="R848" s="2" t="inlineStr"/>
    </row>
    <row r="849" ht="15" customHeight="1">
      <c r="A849" t="inlineStr">
        <is>
          <t>A 17577-2022</t>
        </is>
      </c>
      <c r="B849" s="1" t="n">
        <v>44679</v>
      </c>
      <c r="C849" s="1" t="n">
        <v>46042</v>
      </c>
      <c r="D849" t="inlineStr">
        <is>
          <t>JÄMTLANDS LÄN</t>
        </is>
      </c>
      <c r="E849" t="inlineStr">
        <is>
          <t>BRÄCKE</t>
        </is>
      </c>
      <c r="G849" t="n">
        <v>2.8</v>
      </c>
      <c r="H849" t="n">
        <v>0</v>
      </c>
      <c r="I849" t="n">
        <v>0</v>
      </c>
      <c r="J849" t="n">
        <v>0</v>
      </c>
      <c r="K849" t="n">
        <v>0</v>
      </c>
      <c r="L849" t="n">
        <v>0</v>
      </c>
      <c r="M849" t="n">
        <v>0</v>
      </c>
      <c r="N849" t="n">
        <v>0</v>
      </c>
      <c r="O849" t="n">
        <v>0</v>
      </c>
      <c r="P849" t="n">
        <v>0</v>
      </c>
      <c r="Q849" t="n">
        <v>0</v>
      </c>
      <c r="R849" s="2" t="inlineStr"/>
    </row>
    <row r="850" ht="15" customHeight="1">
      <c r="A850" t="inlineStr">
        <is>
          <t>A 31482-2025</t>
        </is>
      </c>
      <c r="B850" s="1" t="n">
        <v>45833.57390046296</v>
      </c>
      <c r="C850" s="1" t="n">
        <v>46042</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44847-2025</t>
        </is>
      </c>
      <c r="B851" s="1" t="n">
        <v>45918.44200231481</v>
      </c>
      <c r="C851" s="1" t="n">
        <v>46042</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3239-2022</t>
        </is>
      </c>
      <c r="B852" s="1" t="n">
        <v>44582.93296296296</v>
      </c>
      <c r="C852" s="1" t="n">
        <v>46042</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44968-2025</t>
        </is>
      </c>
      <c r="B853" s="1" t="n">
        <v>45918.63228009259</v>
      </c>
      <c r="C853" s="1" t="n">
        <v>46042</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44957-2025</t>
        </is>
      </c>
      <c r="B854" s="1" t="n">
        <v>45918.615</v>
      </c>
      <c r="C854" s="1" t="n">
        <v>46042</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31794-2025</t>
        </is>
      </c>
      <c r="B855" s="1" t="n">
        <v>45834.54390046297</v>
      </c>
      <c r="C855" s="1" t="n">
        <v>46042</v>
      </c>
      <c r="D855" t="inlineStr">
        <is>
          <t>JÄMTLANDS LÄN</t>
        </is>
      </c>
      <c r="E855" t="inlineStr">
        <is>
          <t>BRÄCKE</t>
        </is>
      </c>
      <c r="F855" t="inlineStr">
        <is>
          <t>Övriga Aktiebolag</t>
        </is>
      </c>
      <c r="G855" t="n">
        <v>6.5</v>
      </c>
      <c r="H855" t="n">
        <v>0</v>
      </c>
      <c r="I855" t="n">
        <v>0</v>
      </c>
      <c r="J855" t="n">
        <v>0</v>
      </c>
      <c r="K855" t="n">
        <v>0</v>
      </c>
      <c r="L855" t="n">
        <v>0</v>
      </c>
      <c r="M855" t="n">
        <v>0</v>
      </c>
      <c r="N855" t="n">
        <v>0</v>
      </c>
      <c r="O855" t="n">
        <v>0</v>
      </c>
      <c r="P855" t="n">
        <v>0</v>
      </c>
      <c r="Q855" t="n">
        <v>0</v>
      </c>
      <c r="R855" s="2" t="inlineStr"/>
    </row>
    <row r="856" ht="15" customHeight="1">
      <c r="A856" t="inlineStr">
        <is>
          <t>A 45081-2025</t>
        </is>
      </c>
      <c r="B856" s="1" t="n">
        <v>45919.36574074074</v>
      </c>
      <c r="C856" s="1" t="n">
        <v>46042</v>
      </c>
      <c r="D856" t="inlineStr">
        <is>
          <t>JÄMTLANDS LÄN</t>
        </is>
      </c>
      <c r="E856" t="inlineStr">
        <is>
          <t>BRÄCKE</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31819-2025</t>
        </is>
      </c>
      <c r="B857" s="1" t="n">
        <v>45834.57891203704</v>
      </c>
      <c r="C857" s="1" t="n">
        <v>46042</v>
      </c>
      <c r="D857" t="inlineStr">
        <is>
          <t>JÄMTLANDS LÄN</t>
        </is>
      </c>
      <c r="E857" t="inlineStr">
        <is>
          <t>BRÄCKE</t>
        </is>
      </c>
      <c r="F857" t="inlineStr">
        <is>
          <t>Övriga Aktiebolag</t>
        </is>
      </c>
      <c r="G857" t="n">
        <v>5.8</v>
      </c>
      <c r="H857" t="n">
        <v>0</v>
      </c>
      <c r="I857" t="n">
        <v>0</v>
      </c>
      <c r="J857" t="n">
        <v>0</v>
      </c>
      <c r="K857" t="n">
        <v>0</v>
      </c>
      <c r="L857" t="n">
        <v>0</v>
      </c>
      <c r="M857" t="n">
        <v>0</v>
      </c>
      <c r="N857" t="n">
        <v>0</v>
      </c>
      <c r="O857" t="n">
        <v>0</v>
      </c>
      <c r="P857" t="n">
        <v>0</v>
      </c>
      <c r="Q857" t="n">
        <v>0</v>
      </c>
      <c r="R857" s="2" t="inlineStr"/>
    </row>
    <row r="858" ht="15" customHeight="1">
      <c r="A858" t="inlineStr">
        <is>
          <t>A 31832-2025</t>
        </is>
      </c>
      <c r="B858" s="1" t="n">
        <v>45834.59207175926</v>
      </c>
      <c r="C858" s="1" t="n">
        <v>46042</v>
      </c>
      <c r="D858" t="inlineStr">
        <is>
          <t>JÄMTLANDS LÄN</t>
        </is>
      </c>
      <c r="E858" t="inlineStr">
        <is>
          <t>BRÄCKE</t>
        </is>
      </c>
      <c r="F858" t="inlineStr">
        <is>
          <t>Övriga Aktiebolag</t>
        </is>
      </c>
      <c r="G858" t="n">
        <v>4</v>
      </c>
      <c r="H858" t="n">
        <v>0</v>
      </c>
      <c r="I858" t="n">
        <v>0</v>
      </c>
      <c r="J858" t="n">
        <v>0</v>
      </c>
      <c r="K858" t="n">
        <v>0</v>
      </c>
      <c r="L858" t="n">
        <v>0</v>
      </c>
      <c r="M858" t="n">
        <v>0</v>
      </c>
      <c r="N858" t="n">
        <v>0</v>
      </c>
      <c r="O858" t="n">
        <v>0</v>
      </c>
      <c r="P858" t="n">
        <v>0</v>
      </c>
      <c r="Q858" t="n">
        <v>0</v>
      </c>
      <c r="R858" s="2" t="inlineStr"/>
    </row>
    <row r="859" ht="15" customHeight="1">
      <c r="A859" t="inlineStr">
        <is>
          <t>A 44831-2025</t>
        </is>
      </c>
      <c r="B859" s="1" t="n">
        <v>45918.40663194445</v>
      </c>
      <c r="C859" s="1" t="n">
        <v>46042</v>
      </c>
      <c r="D859" t="inlineStr">
        <is>
          <t>JÄMTLANDS LÄN</t>
        </is>
      </c>
      <c r="E859" t="inlineStr">
        <is>
          <t>BRÄCKE</t>
        </is>
      </c>
      <c r="F859" t="inlineStr">
        <is>
          <t>Naturvårdsverket</t>
        </is>
      </c>
      <c r="G859" t="n">
        <v>6.9</v>
      </c>
      <c r="H859" t="n">
        <v>0</v>
      </c>
      <c r="I859" t="n">
        <v>0</v>
      </c>
      <c r="J859" t="n">
        <v>0</v>
      </c>
      <c r="K859" t="n">
        <v>0</v>
      </c>
      <c r="L859" t="n">
        <v>0</v>
      </c>
      <c r="M859" t="n">
        <v>0</v>
      </c>
      <c r="N859" t="n">
        <v>0</v>
      </c>
      <c r="O859" t="n">
        <v>0</v>
      </c>
      <c r="P859" t="n">
        <v>0</v>
      </c>
      <c r="Q859" t="n">
        <v>0</v>
      </c>
      <c r="R859" s="2" t="inlineStr"/>
    </row>
    <row r="860" ht="15" customHeight="1">
      <c r="A860" t="inlineStr">
        <is>
          <t>A 44840-2025</t>
        </is>
      </c>
      <c r="B860" s="1" t="n">
        <v>45918.42769675926</v>
      </c>
      <c r="C860" s="1" t="n">
        <v>46042</v>
      </c>
      <c r="D860" t="inlineStr">
        <is>
          <t>JÄMTLANDS LÄN</t>
        </is>
      </c>
      <c r="E860" t="inlineStr">
        <is>
          <t>BRÄCKE</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61149-2023</t>
        </is>
      </c>
      <c r="B861" s="1" t="n">
        <v>45261.96777777778</v>
      </c>
      <c r="C861" s="1" t="n">
        <v>46042</v>
      </c>
      <c r="D861" t="inlineStr">
        <is>
          <t>JÄMTLANDS LÄN</t>
        </is>
      </c>
      <c r="E861" t="inlineStr">
        <is>
          <t>BRÄCKE</t>
        </is>
      </c>
      <c r="G861" t="n">
        <v>1.1</v>
      </c>
      <c r="H861" t="n">
        <v>0</v>
      </c>
      <c r="I861" t="n">
        <v>0</v>
      </c>
      <c r="J861" t="n">
        <v>0</v>
      </c>
      <c r="K861" t="n">
        <v>0</v>
      </c>
      <c r="L861" t="n">
        <v>0</v>
      </c>
      <c r="M861" t="n">
        <v>0</v>
      </c>
      <c r="N861" t="n">
        <v>0</v>
      </c>
      <c r="O861" t="n">
        <v>0</v>
      </c>
      <c r="P861" t="n">
        <v>0</v>
      </c>
      <c r="Q861" t="n">
        <v>0</v>
      </c>
      <c r="R861" s="2" t="inlineStr"/>
    </row>
    <row r="862" ht="15" customHeight="1">
      <c r="A862" t="inlineStr">
        <is>
          <t>A 32281-2025</t>
        </is>
      </c>
      <c r="B862" s="1" t="n">
        <v>45835.67778935185</v>
      </c>
      <c r="C862" s="1" t="n">
        <v>46042</v>
      </c>
      <c r="D862" t="inlineStr">
        <is>
          <t>JÄMTLANDS LÄN</t>
        </is>
      </c>
      <c r="E862" t="inlineStr">
        <is>
          <t>BRÄCKE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46042</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44959-2025</t>
        </is>
      </c>
      <c r="B864" s="1" t="n">
        <v>45918.61537037037</v>
      </c>
      <c r="C864" s="1" t="n">
        <v>46042</v>
      </c>
      <c r="D864" t="inlineStr">
        <is>
          <t>JÄMTLANDS LÄN</t>
        </is>
      </c>
      <c r="E864" t="inlineStr">
        <is>
          <t>BRÄCKE</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45797-2025</t>
        </is>
      </c>
      <c r="B865" s="1" t="n">
        <v>45923.57422453703</v>
      </c>
      <c r="C865" s="1" t="n">
        <v>46042</v>
      </c>
      <c r="D865" t="inlineStr">
        <is>
          <t>JÄMTLANDS LÄN</t>
        </is>
      </c>
      <c r="E865" t="inlineStr">
        <is>
          <t>BRÄCKE</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51540-2024</t>
        </is>
      </c>
      <c r="B866" s="1" t="n">
        <v>45604</v>
      </c>
      <c r="C866" s="1" t="n">
        <v>46042</v>
      </c>
      <c r="D866" t="inlineStr">
        <is>
          <t>JÄMTLANDS LÄN</t>
        </is>
      </c>
      <c r="E866" t="inlineStr">
        <is>
          <t>BRÄCKE</t>
        </is>
      </c>
      <c r="G866" t="n">
        <v>0.6</v>
      </c>
      <c r="H866" t="n">
        <v>0</v>
      </c>
      <c r="I866" t="n">
        <v>0</v>
      </c>
      <c r="J866" t="n">
        <v>0</v>
      </c>
      <c r="K866" t="n">
        <v>0</v>
      </c>
      <c r="L866" t="n">
        <v>0</v>
      </c>
      <c r="M866" t="n">
        <v>0</v>
      </c>
      <c r="N866" t="n">
        <v>0</v>
      </c>
      <c r="O866" t="n">
        <v>0</v>
      </c>
      <c r="P866" t="n">
        <v>0</v>
      </c>
      <c r="Q866" t="n">
        <v>0</v>
      </c>
      <c r="R866" s="2" t="inlineStr"/>
    </row>
    <row r="867" ht="15" customHeight="1">
      <c r="A867" t="inlineStr">
        <is>
          <t>A 3866-2025</t>
        </is>
      </c>
      <c r="B867" s="1" t="n">
        <v>45684.31995370371</v>
      </c>
      <c r="C867" s="1" t="n">
        <v>46042</v>
      </c>
      <c r="D867" t="inlineStr">
        <is>
          <t>JÄMTLANDS LÄN</t>
        </is>
      </c>
      <c r="E867" t="inlineStr">
        <is>
          <t>BRÄCKE</t>
        </is>
      </c>
      <c r="G867" t="n">
        <v>0.6</v>
      </c>
      <c r="H867" t="n">
        <v>0</v>
      </c>
      <c r="I867" t="n">
        <v>0</v>
      </c>
      <c r="J867" t="n">
        <v>0</v>
      </c>
      <c r="K867" t="n">
        <v>0</v>
      </c>
      <c r="L867" t="n">
        <v>0</v>
      </c>
      <c r="M867" t="n">
        <v>0</v>
      </c>
      <c r="N867" t="n">
        <v>0</v>
      </c>
      <c r="O867" t="n">
        <v>0</v>
      </c>
      <c r="P867" t="n">
        <v>0</v>
      </c>
      <c r="Q867" t="n">
        <v>0</v>
      </c>
      <c r="R867" s="2" t="inlineStr"/>
    </row>
    <row r="868" ht="15" customHeight="1">
      <c r="A868" t="inlineStr">
        <is>
          <t>A 31668-2025</t>
        </is>
      </c>
      <c r="B868" s="1" t="n">
        <v>45834.36533564814</v>
      </c>
      <c r="C868" s="1" t="n">
        <v>46042</v>
      </c>
      <c r="D868" t="inlineStr">
        <is>
          <t>JÄMTLANDS LÄN</t>
        </is>
      </c>
      <c r="E868" t="inlineStr">
        <is>
          <t>BRÄCKE</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32149-2025</t>
        </is>
      </c>
      <c r="B869" s="1" t="n">
        <v>45835.53086805555</v>
      </c>
      <c r="C869" s="1" t="n">
        <v>46042</v>
      </c>
      <c r="D869" t="inlineStr">
        <is>
          <t>JÄMTLANDS LÄN</t>
        </is>
      </c>
      <c r="E869" t="inlineStr">
        <is>
          <t>BRÄCKE</t>
        </is>
      </c>
      <c r="G869" t="n">
        <v>4.1</v>
      </c>
      <c r="H869" t="n">
        <v>0</v>
      </c>
      <c r="I869" t="n">
        <v>0</v>
      </c>
      <c r="J869" t="n">
        <v>0</v>
      </c>
      <c r="K869" t="n">
        <v>0</v>
      </c>
      <c r="L869" t="n">
        <v>0</v>
      </c>
      <c r="M869" t="n">
        <v>0</v>
      </c>
      <c r="N869" t="n">
        <v>0</v>
      </c>
      <c r="O869" t="n">
        <v>0</v>
      </c>
      <c r="P869" t="n">
        <v>0</v>
      </c>
      <c r="Q869" t="n">
        <v>0</v>
      </c>
      <c r="R869" s="2" t="inlineStr"/>
    </row>
    <row r="870" ht="15" customHeight="1">
      <c r="A870" t="inlineStr">
        <is>
          <t>A 50514-2023</t>
        </is>
      </c>
      <c r="B870" s="1" t="n">
        <v>45216</v>
      </c>
      <c r="C870" s="1" t="n">
        <v>46042</v>
      </c>
      <c r="D870" t="inlineStr">
        <is>
          <t>JÄMTLANDS LÄN</t>
        </is>
      </c>
      <c r="E870" t="inlineStr">
        <is>
          <t>BRÄCKE</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15423-2025</t>
        </is>
      </c>
      <c r="B871" s="1" t="n">
        <v>45747.4640162037</v>
      </c>
      <c r="C871" s="1" t="n">
        <v>46042</v>
      </c>
      <c r="D871" t="inlineStr">
        <is>
          <t>JÄMTLANDS LÄN</t>
        </is>
      </c>
      <c r="E871" t="inlineStr">
        <is>
          <t>BRÄCKE</t>
        </is>
      </c>
      <c r="G871" t="n">
        <v>3.4</v>
      </c>
      <c r="H871" t="n">
        <v>0</v>
      </c>
      <c r="I871" t="n">
        <v>0</v>
      </c>
      <c r="J871" t="n">
        <v>0</v>
      </c>
      <c r="K871" t="n">
        <v>0</v>
      </c>
      <c r="L871" t="n">
        <v>0</v>
      </c>
      <c r="M871" t="n">
        <v>0</v>
      </c>
      <c r="N871" t="n">
        <v>0</v>
      </c>
      <c r="O871" t="n">
        <v>0</v>
      </c>
      <c r="P871" t="n">
        <v>0</v>
      </c>
      <c r="Q871" t="n">
        <v>0</v>
      </c>
      <c r="R871" s="2" t="inlineStr"/>
    </row>
    <row r="872" ht="15" customHeight="1">
      <c r="A872" t="inlineStr">
        <is>
          <t>A 45698-2025</t>
        </is>
      </c>
      <c r="B872" s="1" t="n">
        <v>45923.39917824074</v>
      </c>
      <c r="C872" s="1" t="n">
        <v>46042</v>
      </c>
      <c r="D872" t="inlineStr">
        <is>
          <t>JÄMTLANDS LÄN</t>
        </is>
      </c>
      <c r="E872" t="inlineStr">
        <is>
          <t>BRÄCKE</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32146-2025</t>
        </is>
      </c>
      <c r="B873" s="1" t="n">
        <v>45835.52730324074</v>
      </c>
      <c r="C873" s="1" t="n">
        <v>46042</v>
      </c>
      <c r="D873" t="inlineStr">
        <is>
          <t>JÄMTLANDS LÄN</t>
        </is>
      </c>
      <c r="E873" t="inlineStr">
        <is>
          <t>BRÄCKE</t>
        </is>
      </c>
      <c r="G873" t="n">
        <v>9.5</v>
      </c>
      <c r="H873" t="n">
        <v>0</v>
      </c>
      <c r="I873" t="n">
        <v>0</v>
      </c>
      <c r="J873" t="n">
        <v>0</v>
      </c>
      <c r="K873" t="n">
        <v>0</v>
      </c>
      <c r="L873" t="n">
        <v>0</v>
      </c>
      <c r="M873" t="n">
        <v>0</v>
      </c>
      <c r="N873" t="n">
        <v>0</v>
      </c>
      <c r="O873" t="n">
        <v>0</v>
      </c>
      <c r="P873" t="n">
        <v>0</v>
      </c>
      <c r="Q873" t="n">
        <v>0</v>
      </c>
      <c r="R873" s="2" t="inlineStr"/>
    </row>
    <row r="874" ht="15" customHeight="1">
      <c r="A874" t="inlineStr">
        <is>
          <t>A 34315-2022</t>
        </is>
      </c>
      <c r="B874" s="1" t="n">
        <v>44792</v>
      </c>
      <c r="C874" s="1" t="n">
        <v>46042</v>
      </c>
      <c r="D874" t="inlineStr">
        <is>
          <t>JÄMTLANDS LÄN</t>
        </is>
      </c>
      <c r="E874" t="inlineStr">
        <is>
          <t>BRÄCKE</t>
        </is>
      </c>
      <c r="G874" t="n">
        <v>4.9</v>
      </c>
      <c r="H874" t="n">
        <v>0</v>
      </c>
      <c r="I874" t="n">
        <v>0</v>
      </c>
      <c r="J874" t="n">
        <v>0</v>
      </c>
      <c r="K874" t="n">
        <v>0</v>
      </c>
      <c r="L874" t="n">
        <v>0</v>
      </c>
      <c r="M874" t="n">
        <v>0</v>
      </c>
      <c r="N874" t="n">
        <v>0</v>
      </c>
      <c r="O874" t="n">
        <v>0</v>
      </c>
      <c r="P874" t="n">
        <v>0</v>
      </c>
      <c r="Q874" t="n">
        <v>0</v>
      </c>
      <c r="R874" s="2" t="inlineStr"/>
    </row>
    <row r="875" ht="15" customHeight="1">
      <c r="A875" t="inlineStr">
        <is>
          <t>A 31806-2025</t>
        </is>
      </c>
      <c r="B875" s="1" t="n">
        <v>45834.55449074074</v>
      </c>
      <c r="C875" s="1" t="n">
        <v>46042</v>
      </c>
      <c r="D875" t="inlineStr">
        <is>
          <t>JÄMTLANDS LÄN</t>
        </is>
      </c>
      <c r="E875" t="inlineStr">
        <is>
          <t>BRÄCKE</t>
        </is>
      </c>
      <c r="F875" t="inlineStr">
        <is>
          <t>Övriga Aktiebolag</t>
        </is>
      </c>
      <c r="G875" t="n">
        <v>1.6</v>
      </c>
      <c r="H875" t="n">
        <v>0</v>
      </c>
      <c r="I875" t="n">
        <v>0</v>
      </c>
      <c r="J875" t="n">
        <v>0</v>
      </c>
      <c r="K875" t="n">
        <v>0</v>
      </c>
      <c r="L875" t="n">
        <v>0</v>
      </c>
      <c r="M875" t="n">
        <v>0</v>
      </c>
      <c r="N875" t="n">
        <v>0</v>
      </c>
      <c r="O875" t="n">
        <v>0</v>
      </c>
      <c r="P875" t="n">
        <v>0</v>
      </c>
      <c r="Q875" t="n">
        <v>0</v>
      </c>
      <c r="R875" s="2" t="inlineStr"/>
    </row>
    <row r="876" ht="15" customHeight="1">
      <c r="A876" t="inlineStr">
        <is>
          <t>A 50515-2023</t>
        </is>
      </c>
      <c r="B876" s="1" t="n">
        <v>45216</v>
      </c>
      <c r="C876" s="1" t="n">
        <v>46042</v>
      </c>
      <c r="D876" t="inlineStr">
        <is>
          <t>JÄMTLANDS LÄN</t>
        </is>
      </c>
      <c r="E876" t="inlineStr">
        <is>
          <t>BRÄCKE</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31728-2025</t>
        </is>
      </c>
      <c r="B877" s="1" t="n">
        <v>45834.46925925926</v>
      </c>
      <c r="C877" s="1" t="n">
        <v>46042</v>
      </c>
      <c r="D877" t="inlineStr">
        <is>
          <t>JÄMTLANDS LÄN</t>
        </is>
      </c>
      <c r="E877" t="inlineStr">
        <is>
          <t>BRÄCKE</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31962-2025</t>
        </is>
      </c>
      <c r="B878" s="1" t="n">
        <v>45835.34466435185</v>
      </c>
      <c r="C878" s="1" t="n">
        <v>46042</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46042</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31749-2025</t>
        </is>
      </c>
      <c r="B880" s="1" t="n">
        <v>45834.48164351852</v>
      </c>
      <c r="C880" s="1" t="n">
        <v>46042</v>
      </c>
      <c r="D880" t="inlineStr">
        <is>
          <t>JÄMTLANDS LÄN</t>
        </is>
      </c>
      <c r="E880" t="inlineStr">
        <is>
          <t>BRÄCKE</t>
        </is>
      </c>
      <c r="F880" t="inlineStr">
        <is>
          <t>Övriga Aktiebolag</t>
        </is>
      </c>
      <c r="G880" t="n">
        <v>12.5</v>
      </c>
      <c r="H880" t="n">
        <v>0</v>
      </c>
      <c r="I880" t="n">
        <v>0</v>
      </c>
      <c r="J880" t="n">
        <v>0</v>
      </c>
      <c r="K880" t="n">
        <v>0</v>
      </c>
      <c r="L880" t="n">
        <v>0</v>
      </c>
      <c r="M880" t="n">
        <v>0</v>
      </c>
      <c r="N880" t="n">
        <v>0</v>
      </c>
      <c r="O880" t="n">
        <v>0</v>
      </c>
      <c r="P880" t="n">
        <v>0</v>
      </c>
      <c r="Q880" t="n">
        <v>0</v>
      </c>
      <c r="R880" s="2" t="inlineStr"/>
    </row>
    <row r="881" ht="15" customHeight="1">
      <c r="A881" t="inlineStr">
        <is>
          <t>A 32272-2025</t>
        </is>
      </c>
      <c r="B881" s="1" t="n">
        <v>45835.6568287037</v>
      </c>
      <c r="C881" s="1" t="n">
        <v>46042</v>
      </c>
      <c r="D881" t="inlineStr">
        <is>
          <t>JÄMTLANDS LÄN</t>
        </is>
      </c>
      <c r="E881" t="inlineStr">
        <is>
          <t>BRÄCKE</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31696-2025</t>
        </is>
      </c>
      <c r="B882" s="1" t="n">
        <v>45834.40726851852</v>
      </c>
      <c r="C882" s="1" t="n">
        <v>46042</v>
      </c>
      <c r="D882" t="inlineStr">
        <is>
          <t>JÄMTLANDS LÄN</t>
        </is>
      </c>
      <c r="E882" t="inlineStr">
        <is>
          <t>BRÄCKE</t>
        </is>
      </c>
      <c r="F882" t="inlineStr">
        <is>
          <t>SCA</t>
        </is>
      </c>
      <c r="G882" t="n">
        <v>15.8</v>
      </c>
      <c r="H882" t="n">
        <v>0</v>
      </c>
      <c r="I882" t="n">
        <v>0</v>
      </c>
      <c r="J882" t="n">
        <v>0</v>
      </c>
      <c r="K882" t="n">
        <v>0</v>
      </c>
      <c r="L882" t="n">
        <v>0</v>
      </c>
      <c r="M882" t="n">
        <v>0</v>
      </c>
      <c r="N882" t="n">
        <v>0</v>
      </c>
      <c r="O882" t="n">
        <v>0</v>
      </c>
      <c r="P882" t="n">
        <v>0</v>
      </c>
      <c r="Q882" t="n">
        <v>0</v>
      </c>
      <c r="R882" s="2" t="inlineStr"/>
    </row>
    <row r="883" ht="15" customHeight="1">
      <c r="A883" t="inlineStr">
        <is>
          <t>A 56687-2023</t>
        </is>
      </c>
      <c r="B883" s="1" t="n">
        <v>45243.96633101852</v>
      </c>
      <c r="C883" s="1" t="n">
        <v>46042</v>
      </c>
      <c r="D883" t="inlineStr">
        <is>
          <t>JÄMTLANDS LÄN</t>
        </is>
      </c>
      <c r="E883" t="inlineStr">
        <is>
          <t>BRÄCKE</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56688-2023</t>
        </is>
      </c>
      <c r="B884" s="1" t="n">
        <v>45243.96645833334</v>
      </c>
      <c r="C884" s="1" t="n">
        <v>46042</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25056-2023</t>
        </is>
      </c>
      <c r="B885" s="1" t="n">
        <v>45085.94633101852</v>
      </c>
      <c r="C885" s="1" t="n">
        <v>46042</v>
      </c>
      <c r="D885" t="inlineStr">
        <is>
          <t>JÄMTLANDS LÄN</t>
        </is>
      </c>
      <c r="E885" t="inlineStr">
        <is>
          <t>BRÄCKE</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32697-2025</t>
        </is>
      </c>
      <c r="B886" s="1" t="n">
        <v>45839.34427083333</v>
      </c>
      <c r="C886" s="1" t="n">
        <v>46042</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45703-2025</t>
        </is>
      </c>
      <c r="B887" s="1" t="n">
        <v>45923.40854166666</v>
      </c>
      <c r="C887" s="1" t="n">
        <v>46042</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45740-2025</t>
        </is>
      </c>
      <c r="B888" s="1" t="n">
        <v>45923.46938657408</v>
      </c>
      <c r="C888" s="1" t="n">
        <v>46042</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45589-2025</t>
        </is>
      </c>
      <c r="B889" s="1" t="n">
        <v>45922.67697916667</v>
      </c>
      <c r="C889" s="1" t="n">
        <v>46042</v>
      </c>
      <c r="D889" t="inlineStr">
        <is>
          <t>JÄMTLANDS LÄN</t>
        </is>
      </c>
      <c r="E889" t="inlineStr">
        <is>
          <t>BRÄCKE</t>
        </is>
      </c>
      <c r="G889" t="n">
        <v>3.3</v>
      </c>
      <c r="H889" t="n">
        <v>0</v>
      </c>
      <c r="I889" t="n">
        <v>0</v>
      </c>
      <c r="J889" t="n">
        <v>0</v>
      </c>
      <c r="K889" t="n">
        <v>0</v>
      </c>
      <c r="L889" t="n">
        <v>0</v>
      </c>
      <c r="M889" t="n">
        <v>0</v>
      </c>
      <c r="N889" t="n">
        <v>0</v>
      </c>
      <c r="O889" t="n">
        <v>0</v>
      </c>
      <c r="P889" t="n">
        <v>0</v>
      </c>
      <c r="Q889" t="n">
        <v>0</v>
      </c>
      <c r="R889" s="2" t="inlineStr"/>
    </row>
    <row r="890" ht="15" customHeight="1">
      <c r="A890" t="inlineStr">
        <is>
          <t>A 64266-2023</t>
        </is>
      </c>
      <c r="B890" s="1" t="n">
        <v>45279.94579861111</v>
      </c>
      <c r="C890" s="1" t="n">
        <v>46042</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46042</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46131-2025</t>
        </is>
      </c>
      <c r="B892" s="1" t="n">
        <v>45924.59469907408</v>
      </c>
      <c r="C892" s="1" t="n">
        <v>46042</v>
      </c>
      <c r="D892" t="inlineStr">
        <is>
          <t>JÄMTLANDS LÄN</t>
        </is>
      </c>
      <c r="E892" t="inlineStr">
        <is>
          <t>BRÄCKE</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54799-2025</t>
        </is>
      </c>
      <c r="B893" s="1" t="n">
        <v>45966.63707175926</v>
      </c>
      <c r="C893" s="1" t="n">
        <v>46042</v>
      </c>
      <c r="D893" t="inlineStr">
        <is>
          <t>JÄMTLANDS LÄN</t>
        </is>
      </c>
      <c r="E893" t="inlineStr">
        <is>
          <t>BRÄCKE</t>
        </is>
      </c>
      <c r="G893" t="n">
        <v>0</v>
      </c>
      <c r="H893" t="n">
        <v>0</v>
      </c>
      <c r="I893" t="n">
        <v>0</v>
      </c>
      <c r="J893" t="n">
        <v>0</v>
      </c>
      <c r="K893" t="n">
        <v>0</v>
      </c>
      <c r="L893" t="n">
        <v>0</v>
      </c>
      <c r="M893" t="n">
        <v>0</v>
      </c>
      <c r="N893" t="n">
        <v>0</v>
      </c>
      <c r="O893" t="n">
        <v>0</v>
      </c>
      <c r="P893" t="n">
        <v>0</v>
      </c>
      <c r="Q893" t="n">
        <v>0</v>
      </c>
      <c r="R893" s="2" t="inlineStr"/>
    </row>
    <row r="894" ht="15" customHeight="1">
      <c r="A894" t="inlineStr">
        <is>
          <t>A 30102-2021</t>
        </is>
      </c>
      <c r="B894" s="1" t="n">
        <v>44363</v>
      </c>
      <c r="C894" s="1" t="n">
        <v>46042</v>
      </c>
      <c r="D894" t="inlineStr">
        <is>
          <t>JÄMTLANDS LÄN</t>
        </is>
      </c>
      <c r="E894" t="inlineStr">
        <is>
          <t>BRÄCKE</t>
        </is>
      </c>
      <c r="G894" t="n">
        <v>1.3</v>
      </c>
      <c r="H894" t="n">
        <v>0</v>
      </c>
      <c r="I894" t="n">
        <v>0</v>
      </c>
      <c r="J894" t="n">
        <v>0</v>
      </c>
      <c r="K894" t="n">
        <v>0</v>
      </c>
      <c r="L894" t="n">
        <v>0</v>
      </c>
      <c r="M894" t="n">
        <v>0</v>
      </c>
      <c r="N894" t="n">
        <v>0</v>
      </c>
      <c r="O894" t="n">
        <v>0</v>
      </c>
      <c r="P894" t="n">
        <v>0</v>
      </c>
      <c r="Q894" t="n">
        <v>0</v>
      </c>
      <c r="R894" s="2" t="inlineStr"/>
    </row>
    <row r="895" ht="15" customHeight="1">
      <c r="A895" t="inlineStr">
        <is>
          <t>A 46218-2025</t>
        </is>
      </c>
      <c r="B895" s="1" t="n">
        <v>45924.851875</v>
      </c>
      <c r="C895" s="1" t="n">
        <v>46042</v>
      </c>
      <c r="D895" t="inlineStr">
        <is>
          <t>JÄMTLANDS LÄN</t>
        </is>
      </c>
      <c r="E895" t="inlineStr">
        <is>
          <t>BRÄCKE</t>
        </is>
      </c>
      <c r="G895" t="n">
        <v>0.8</v>
      </c>
      <c r="H895" t="n">
        <v>0</v>
      </c>
      <c r="I895" t="n">
        <v>0</v>
      </c>
      <c r="J895" t="n">
        <v>0</v>
      </c>
      <c r="K895" t="n">
        <v>0</v>
      </c>
      <c r="L895" t="n">
        <v>0</v>
      </c>
      <c r="M895" t="n">
        <v>0</v>
      </c>
      <c r="N895" t="n">
        <v>0</v>
      </c>
      <c r="O895" t="n">
        <v>0</v>
      </c>
      <c r="P895" t="n">
        <v>0</v>
      </c>
      <c r="Q895" t="n">
        <v>0</v>
      </c>
      <c r="R895" s="2" t="inlineStr"/>
    </row>
    <row r="896" ht="15" customHeight="1">
      <c r="A896" t="inlineStr">
        <is>
          <t>A 56641-2022</t>
        </is>
      </c>
      <c r="B896" s="1" t="n">
        <v>44893</v>
      </c>
      <c r="C896" s="1" t="n">
        <v>46042</v>
      </c>
      <c r="D896" t="inlineStr">
        <is>
          <t>JÄMTLANDS LÄN</t>
        </is>
      </c>
      <c r="E896" t="inlineStr">
        <is>
          <t>BRÄCKE</t>
        </is>
      </c>
      <c r="G896" t="n">
        <v>6.9</v>
      </c>
      <c r="H896" t="n">
        <v>0</v>
      </c>
      <c r="I896" t="n">
        <v>0</v>
      </c>
      <c r="J896" t="n">
        <v>0</v>
      </c>
      <c r="K896" t="n">
        <v>0</v>
      </c>
      <c r="L896" t="n">
        <v>0</v>
      </c>
      <c r="M896" t="n">
        <v>0</v>
      </c>
      <c r="N896" t="n">
        <v>0</v>
      </c>
      <c r="O896" t="n">
        <v>0</v>
      </c>
      <c r="P896" t="n">
        <v>0</v>
      </c>
      <c r="Q896" t="n">
        <v>0</v>
      </c>
      <c r="R896" s="2" t="inlineStr"/>
    </row>
    <row r="897" ht="15" customHeight="1">
      <c r="A897" t="inlineStr">
        <is>
          <t>A 46069-2025</t>
        </is>
      </c>
      <c r="B897" s="1" t="n">
        <v>45924.48994212963</v>
      </c>
      <c r="C897" s="1" t="n">
        <v>46042</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32851-2025</t>
        </is>
      </c>
      <c r="B898" s="1" t="n">
        <v>45839.57388888889</v>
      </c>
      <c r="C898" s="1" t="n">
        <v>46042</v>
      </c>
      <c r="D898" t="inlineStr">
        <is>
          <t>JÄMTLANDS LÄN</t>
        </is>
      </c>
      <c r="E898" t="inlineStr">
        <is>
          <t>BRÄCKE</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46217-2025</t>
        </is>
      </c>
      <c r="B899" s="1" t="n">
        <v>45924.8475925926</v>
      </c>
      <c r="C899" s="1" t="n">
        <v>46042</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32443-2025</t>
        </is>
      </c>
      <c r="B900" s="1" t="n">
        <v>45838.38613425926</v>
      </c>
      <c r="C900" s="1" t="n">
        <v>46042</v>
      </c>
      <c r="D900" t="inlineStr">
        <is>
          <t>JÄMTLANDS LÄN</t>
        </is>
      </c>
      <c r="E900" t="inlineStr">
        <is>
          <t>BRÄCKE</t>
        </is>
      </c>
      <c r="G900" t="n">
        <v>4.7</v>
      </c>
      <c r="H900" t="n">
        <v>0</v>
      </c>
      <c r="I900" t="n">
        <v>0</v>
      </c>
      <c r="J900" t="n">
        <v>0</v>
      </c>
      <c r="K900" t="n">
        <v>0</v>
      </c>
      <c r="L900" t="n">
        <v>0</v>
      </c>
      <c r="M900" t="n">
        <v>0</v>
      </c>
      <c r="N900" t="n">
        <v>0</v>
      </c>
      <c r="O900" t="n">
        <v>0</v>
      </c>
      <c r="P900" t="n">
        <v>0</v>
      </c>
      <c r="Q900" t="n">
        <v>0</v>
      </c>
      <c r="R900" s="2" t="inlineStr"/>
    </row>
    <row r="901" ht="15" customHeight="1">
      <c r="A901" t="inlineStr">
        <is>
          <t>A 32471-2021</t>
        </is>
      </c>
      <c r="B901" s="1" t="n">
        <v>44371</v>
      </c>
      <c r="C901" s="1" t="n">
        <v>46042</v>
      </c>
      <c r="D901" t="inlineStr">
        <is>
          <t>JÄMTLANDS LÄN</t>
        </is>
      </c>
      <c r="E901" t="inlineStr">
        <is>
          <t>BRÄCKE</t>
        </is>
      </c>
      <c r="F901" t="inlineStr">
        <is>
          <t>SCA</t>
        </is>
      </c>
      <c r="G901" t="n">
        <v>0.2</v>
      </c>
      <c r="H901" t="n">
        <v>0</v>
      </c>
      <c r="I901" t="n">
        <v>0</v>
      </c>
      <c r="J901" t="n">
        <v>0</v>
      </c>
      <c r="K901" t="n">
        <v>0</v>
      </c>
      <c r="L901" t="n">
        <v>0</v>
      </c>
      <c r="M901" t="n">
        <v>0</v>
      </c>
      <c r="N901" t="n">
        <v>0</v>
      </c>
      <c r="O901" t="n">
        <v>0</v>
      </c>
      <c r="P901" t="n">
        <v>0</v>
      </c>
      <c r="Q901" t="n">
        <v>0</v>
      </c>
      <c r="R901" s="2" t="inlineStr"/>
    </row>
    <row r="902" ht="15" customHeight="1">
      <c r="A902" t="inlineStr">
        <is>
          <t>A 24432-2024</t>
        </is>
      </c>
      <c r="B902" s="1" t="n">
        <v>45457.96054398148</v>
      </c>
      <c r="C902" s="1" t="n">
        <v>46042</v>
      </c>
      <c r="D902" t="inlineStr">
        <is>
          <t>JÄMTLANDS LÄN</t>
        </is>
      </c>
      <c r="E902" t="inlineStr">
        <is>
          <t>BRÄCKE</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32659-2025</t>
        </is>
      </c>
      <c r="B903" s="1" t="n">
        <v>45838.67873842592</v>
      </c>
      <c r="C903" s="1" t="n">
        <v>46042</v>
      </c>
      <c r="D903" t="inlineStr">
        <is>
          <t>JÄMTLANDS LÄN</t>
        </is>
      </c>
      <c r="E903" t="inlineStr">
        <is>
          <t>BRÄCKE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32913-2025</t>
        </is>
      </c>
      <c r="B904" s="1" t="n">
        <v>45839.63605324074</v>
      </c>
      <c r="C904" s="1" t="n">
        <v>46042</v>
      </c>
      <c r="D904" t="inlineStr">
        <is>
          <t>JÄMTLANDS LÄN</t>
        </is>
      </c>
      <c r="E904" t="inlineStr">
        <is>
          <t>BRÄCKE</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46017-2025</t>
        </is>
      </c>
      <c r="B905" s="1" t="n">
        <v>45924.42774305555</v>
      </c>
      <c r="C905" s="1" t="n">
        <v>46042</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32596-2025</t>
        </is>
      </c>
      <c r="B906" s="1" t="n">
        <v>45838.61584490741</v>
      </c>
      <c r="C906" s="1" t="n">
        <v>46042</v>
      </c>
      <c r="D906" t="inlineStr">
        <is>
          <t>JÄMTLANDS LÄN</t>
        </is>
      </c>
      <c r="E906" t="inlineStr">
        <is>
          <t>BRÄCKE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45971-2025</t>
        </is>
      </c>
      <c r="B907" s="1" t="n">
        <v>45924.36534722222</v>
      </c>
      <c r="C907" s="1" t="n">
        <v>46042</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46093-2025</t>
        </is>
      </c>
      <c r="B908" s="1" t="n">
        <v>45924.53166666667</v>
      </c>
      <c r="C908" s="1" t="n">
        <v>46042</v>
      </c>
      <c r="D908" t="inlineStr">
        <is>
          <t>JÄMTLANDS LÄN</t>
        </is>
      </c>
      <c r="E908" t="inlineStr">
        <is>
          <t>BRÄCKE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46216-2025</t>
        </is>
      </c>
      <c r="B909" s="1" t="n">
        <v>45924.84655092593</v>
      </c>
      <c r="C909" s="1" t="n">
        <v>46042</v>
      </c>
      <c r="D909" t="inlineStr">
        <is>
          <t>JÄMTLANDS LÄN</t>
        </is>
      </c>
      <c r="E909" t="inlineStr">
        <is>
          <t>BRÄCKE</t>
        </is>
      </c>
      <c r="G909" t="n">
        <v>2.8</v>
      </c>
      <c r="H909" t="n">
        <v>0</v>
      </c>
      <c r="I909" t="n">
        <v>0</v>
      </c>
      <c r="J909" t="n">
        <v>0</v>
      </c>
      <c r="K909" t="n">
        <v>0</v>
      </c>
      <c r="L909" t="n">
        <v>0</v>
      </c>
      <c r="M909" t="n">
        <v>0</v>
      </c>
      <c r="N909" t="n">
        <v>0</v>
      </c>
      <c r="O909" t="n">
        <v>0</v>
      </c>
      <c r="P909" t="n">
        <v>0</v>
      </c>
      <c r="Q909" t="n">
        <v>0</v>
      </c>
      <c r="R909" s="2" t="inlineStr"/>
    </row>
    <row r="910" ht="15" customHeight="1">
      <c r="A910" t="inlineStr">
        <is>
          <t>A 46180-2025</t>
        </is>
      </c>
      <c r="B910" s="1" t="n">
        <v>45924.65664351852</v>
      </c>
      <c r="C910" s="1" t="n">
        <v>46042</v>
      </c>
      <c r="D910" t="inlineStr">
        <is>
          <t>JÄMTLANDS LÄN</t>
        </is>
      </c>
      <c r="E910" t="inlineStr">
        <is>
          <t>BRÄCKE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46005-2025</t>
        </is>
      </c>
      <c r="B911" s="1" t="n">
        <v>45924.40751157407</v>
      </c>
      <c r="C911" s="1" t="n">
        <v>46042</v>
      </c>
      <c r="D911" t="inlineStr">
        <is>
          <t>JÄMTLANDS LÄN</t>
        </is>
      </c>
      <c r="E911" t="inlineStr">
        <is>
          <t>BRÄCKE</t>
        </is>
      </c>
      <c r="G911" t="n">
        <v>2.4</v>
      </c>
      <c r="H911" t="n">
        <v>0</v>
      </c>
      <c r="I911" t="n">
        <v>0</v>
      </c>
      <c r="J911" t="n">
        <v>0</v>
      </c>
      <c r="K911" t="n">
        <v>0</v>
      </c>
      <c r="L911" t="n">
        <v>0</v>
      </c>
      <c r="M911" t="n">
        <v>0</v>
      </c>
      <c r="N911" t="n">
        <v>0</v>
      </c>
      <c r="O911" t="n">
        <v>0</v>
      </c>
      <c r="P911" t="n">
        <v>0</v>
      </c>
      <c r="Q911" t="n">
        <v>0</v>
      </c>
      <c r="R911" s="2" t="inlineStr"/>
    </row>
    <row r="912" ht="15" customHeight="1">
      <c r="A912" t="inlineStr">
        <is>
          <t>A 46004-2025</t>
        </is>
      </c>
      <c r="B912" s="1" t="n">
        <v>45924.40741898148</v>
      </c>
      <c r="C912" s="1" t="n">
        <v>46042</v>
      </c>
      <c r="D912" t="inlineStr">
        <is>
          <t>JÄMTLANDS LÄN</t>
        </is>
      </c>
      <c r="E912" t="inlineStr">
        <is>
          <t>BRÄCKE</t>
        </is>
      </c>
      <c r="F912" t="inlineStr">
        <is>
          <t>SCA</t>
        </is>
      </c>
      <c r="G912" t="n">
        <v>7.7</v>
      </c>
      <c r="H912" t="n">
        <v>0</v>
      </c>
      <c r="I912" t="n">
        <v>0</v>
      </c>
      <c r="J912" t="n">
        <v>0</v>
      </c>
      <c r="K912" t="n">
        <v>0</v>
      </c>
      <c r="L912" t="n">
        <v>0</v>
      </c>
      <c r="M912" t="n">
        <v>0</v>
      </c>
      <c r="N912" t="n">
        <v>0</v>
      </c>
      <c r="O912" t="n">
        <v>0</v>
      </c>
      <c r="P912" t="n">
        <v>0</v>
      </c>
      <c r="Q912" t="n">
        <v>0</v>
      </c>
      <c r="R912" s="2" t="inlineStr"/>
    </row>
    <row r="913" ht="15" customHeight="1">
      <c r="A913" t="inlineStr">
        <is>
          <t>A 50520-2024</t>
        </is>
      </c>
      <c r="B913" s="1" t="n">
        <v>45601.55320601852</v>
      </c>
      <c r="C913" s="1" t="n">
        <v>46042</v>
      </c>
      <c r="D913" t="inlineStr">
        <is>
          <t>JÄMTLANDS LÄN</t>
        </is>
      </c>
      <c r="E913" t="inlineStr">
        <is>
          <t>BRÄCKE</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46070-2025</t>
        </is>
      </c>
      <c r="B914" s="1" t="n">
        <v>45924.49011574074</v>
      </c>
      <c r="C914" s="1" t="n">
        <v>46042</v>
      </c>
      <c r="D914" t="inlineStr">
        <is>
          <t>JÄMTLANDS LÄN</t>
        </is>
      </c>
      <c r="E914" t="inlineStr">
        <is>
          <t>BRÄCKE</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13249-2025</t>
        </is>
      </c>
      <c r="B915" s="1" t="n">
        <v>45735.48996527777</v>
      </c>
      <c r="C915" s="1" t="n">
        <v>46042</v>
      </c>
      <c r="D915" t="inlineStr">
        <is>
          <t>JÄMTLANDS LÄN</t>
        </is>
      </c>
      <c r="E915" t="inlineStr">
        <is>
          <t>BRÄCKE</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53047-2023</t>
        </is>
      </c>
      <c r="B916" s="1" t="n">
        <v>45226.96398148148</v>
      </c>
      <c r="C916" s="1" t="n">
        <v>46042</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33133-2025</t>
        </is>
      </c>
      <c r="B917" s="1" t="n">
        <v>45840.5050462963</v>
      </c>
      <c r="C917" s="1" t="n">
        <v>46042</v>
      </c>
      <c r="D917" t="inlineStr">
        <is>
          <t>JÄMTLANDS LÄN</t>
        </is>
      </c>
      <c r="E917" t="inlineStr">
        <is>
          <t>BRÄCKE</t>
        </is>
      </c>
      <c r="G917" t="n">
        <v>3.8</v>
      </c>
      <c r="H917" t="n">
        <v>0</v>
      </c>
      <c r="I917" t="n">
        <v>0</v>
      </c>
      <c r="J917" t="n">
        <v>0</v>
      </c>
      <c r="K917" t="n">
        <v>0</v>
      </c>
      <c r="L917" t="n">
        <v>0</v>
      </c>
      <c r="M917" t="n">
        <v>0</v>
      </c>
      <c r="N917" t="n">
        <v>0</v>
      </c>
      <c r="O917" t="n">
        <v>0</v>
      </c>
      <c r="P917" t="n">
        <v>0</v>
      </c>
      <c r="Q917" t="n">
        <v>0</v>
      </c>
      <c r="R917" s="2" t="inlineStr"/>
    </row>
    <row r="918" ht="15" customHeight="1">
      <c r="A918" t="inlineStr">
        <is>
          <t>A 46875-2025</t>
        </is>
      </c>
      <c r="B918" s="1" t="n">
        <v>45929.34453703704</v>
      </c>
      <c r="C918" s="1" t="n">
        <v>46042</v>
      </c>
      <c r="D918" t="inlineStr">
        <is>
          <t>JÄMTLANDS LÄN</t>
        </is>
      </c>
      <c r="E918" t="inlineStr">
        <is>
          <t>BRÄCKE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46686-2025</t>
        </is>
      </c>
      <c r="B919" s="1" t="n">
        <v>45926.55258101852</v>
      </c>
      <c r="C919" s="1" t="n">
        <v>46042</v>
      </c>
      <c r="D919" t="inlineStr">
        <is>
          <t>JÄMTLANDS LÄN</t>
        </is>
      </c>
      <c r="E919" t="inlineStr">
        <is>
          <t>BRÄCKE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46623-2025</t>
        </is>
      </c>
      <c r="B920" s="1" t="n">
        <v>45926.44829861111</v>
      </c>
      <c r="C920" s="1" t="n">
        <v>46042</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46624-2025</t>
        </is>
      </c>
      <c r="B921" s="1" t="n">
        <v>45926.44844907407</v>
      </c>
      <c r="C921" s="1" t="n">
        <v>46042</v>
      </c>
      <c r="D921" t="inlineStr">
        <is>
          <t>JÄMTLANDS LÄN</t>
        </is>
      </c>
      <c r="E921" t="inlineStr">
        <is>
          <t>BRÄCKE</t>
        </is>
      </c>
      <c r="G921" t="n">
        <v>3.7</v>
      </c>
      <c r="H921" t="n">
        <v>0</v>
      </c>
      <c r="I921" t="n">
        <v>0</v>
      </c>
      <c r="J921" t="n">
        <v>0</v>
      </c>
      <c r="K921" t="n">
        <v>0</v>
      </c>
      <c r="L921" t="n">
        <v>0</v>
      </c>
      <c r="M921" t="n">
        <v>0</v>
      </c>
      <c r="N921" t="n">
        <v>0</v>
      </c>
      <c r="O921" t="n">
        <v>0</v>
      </c>
      <c r="P921" t="n">
        <v>0</v>
      </c>
      <c r="Q921" t="n">
        <v>0</v>
      </c>
      <c r="R921" s="2" t="inlineStr"/>
    </row>
    <row r="922" ht="15" customHeight="1">
      <c r="A922" t="inlineStr">
        <is>
          <t>A 33275-2025</t>
        </is>
      </c>
      <c r="B922" s="1" t="n">
        <v>45840.69829861111</v>
      </c>
      <c r="C922" s="1" t="n">
        <v>46042</v>
      </c>
      <c r="D922" t="inlineStr">
        <is>
          <t>JÄMTLANDS LÄN</t>
        </is>
      </c>
      <c r="E922" t="inlineStr">
        <is>
          <t>BRÄCKE</t>
        </is>
      </c>
      <c r="F922" t="inlineStr">
        <is>
          <t>SCA</t>
        </is>
      </c>
      <c r="G922" t="n">
        <v>10.2</v>
      </c>
      <c r="H922" t="n">
        <v>0</v>
      </c>
      <c r="I922" t="n">
        <v>0</v>
      </c>
      <c r="J922" t="n">
        <v>0</v>
      </c>
      <c r="K922" t="n">
        <v>0</v>
      </c>
      <c r="L922" t="n">
        <v>0</v>
      </c>
      <c r="M922" t="n">
        <v>0</v>
      </c>
      <c r="N922" t="n">
        <v>0</v>
      </c>
      <c r="O922" t="n">
        <v>0</v>
      </c>
      <c r="P922" t="n">
        <v>0</v>
      </c>
      <c r="Q922" t="n">
        <v>0</v>
      </c>
      <c r="R922" s="2" t="inlineStr"/>
    </row>
    <row r="923" ht="15" customHeight="1">
      <c r="A923" t="inlineStr">
        <is>
          <t>A 3025-2021</t>
        </is>
      </c>
      <c r="B923" s="1" t="n">
        <v>44216</v>
      </c>
      <c r="C923" s="1" t="n">
        <v>46042</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33648-2025</t>
        </is>
      </c>
      <c r="B924" s="1" t="n">
        <v>45841.65681712963</v>
      </c>
      <c r="C924" s="1" t="n">
        <v>46042</v>
      </c>
      <c r="D924" t="inlineStr">
        <is>
          <t>JÄMTLANDS LÄN</t>
        </is>
      </c>
      <c r="E924" t="inlineStr">
        <is>
          <t>BRÄCKE</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47117-2025</t>
        </is>
      </c>
      <c r="B925" s="1" t="n">
        <v>45929.67751157407</v>
      </c>
      <c r="C925" s="1" t="n">
        <v>46042</v>
      </c>
      <c r="D925" t="inlineStr">
        <is>
          <t>JÄMTLANDS LÄN</t>
        </is>
      </c>
      <c r="E925" t="inlineStr">
        <is>
          <t>BRÄCKE</t>
        </is>
      </c>
      <c r="F925" t="inlineStr">
        <is>
          <t>SCA</t>
        </is>
      </c>
      <c r="G925" t="n">
        <v>7</v>
      </c>
      <c r="H925" t="n">
        <v>0</v>
      </c>
      <c r="I925" t="n">
        <v>0</v>
      </c>
      <c r="J925" t="n">
        <v>0</v>
      </c>
      <c r="K925" t="n">
        <v>0</v>
      </c>
      <c r="L925" t="n">
        <v>0</v>
      </c>
      <c r="M925" t="n">
        <v>0</v>
      </c>
      <c r="N925" t="n">
        <v>0</v>
      </c>
      <c r="O925" t="n">
        <v>0</v>
      </c>
      <c r="P925" t="n">
        <v>0</v>
      </c>
      <c r="Q925" t="n">
        <v>0</v>
      </c>
      <c r="R925" s="2" t="inlineStr"/>
    </row>
    <row r="926" ht="15" customHeight="1">
      <c r="A926" t="inlineStr">
        <is>
          <t>A 64643-2023</t>
        </is>
      </c>
      <c r="B926" s="1" t="n">
        <v>45281</v>
      </c>
      <c r="C926" s="1" t="n">
        <v>46042</v>
      </c>
      <c r="D926" t="inlineStr">
        <is>
          <t>JÄMTLANDS LÄN</t>
        </is>
      </c>
      <c r="E926" t="inlineStr">
        <is>
          <t>BRÄCKE</t>
        </is>
      </c>
      <c r="G926" t="n">
        <v>0.6</v>
      </c>
      <c r="H926" t="n">
        <v>0</v>
      </c>
      <c r="I926" t="n">
        <v>0</v>
      </c>
      <c r="J926" t="n">
        <v>0</v>
      </c>
      <c r="K926" t="n">
        <v>0</v>
      </c>
      <c r="L926" t="n">
        <v>0</v>
      </c>
      <c r="M926" t="n">
        <v>0</v>
      </c>
      <c r="N926" t="n">
        <v>0</v>
      </c>
      <c r="O926" t="n">
        <v>0</v>
      </c>
      <c r="P926" t="n">
        <v>0</v>
      </c>
      <c r="Q926" t="n">
        <v>0</v>
      </c>
      <c r="R926" s="2" t="inlineStr"/>
    </row>
    <row r="927" ht="15" customHeight="1">
      <c r="A927" t="inlineStr">
        <is>
          <t>A 50223-2023</t>
        </is>
      </c>
      <c r="B927" s="1" t="n">
        <v>45215.94747685185</v>
      </c>
      <c r="C927" s="1" t="n">
        <v>46042</v>
      </c>
      <c r="D927" t="inlineStr">
        <is>
          <t>JÄMTLANDS LÄN</t>
        </is>
      </c>
      <c r="E927" t="inlineStr">
        <is>
          <t>BRÄCKE</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33854-2025</t>
        </is>
      </c>
      <c r="B928" s="1" t="n">
        <v>45842.51112268519</v>
      </c>
      <c r="C928" s="1" t="n">
        <v>46042</v>
      </c>
      <c r="D928" t="inlineStr">
        <is>
          <t>JÄMTLANDS LÄN</t>
        </is>
      </c>
      <c r="E928" t="inlineStr">
        <is>
          <t>BRÄCKE</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48816-2022</t>
        </is>
      </c>
      <c r="B929" s="1" t="n">
        <v>44859</v>
      </c>
      <c r="C929" s="1" t="n">
        <v>46042</v>
      </c>
      <c r="D929" t="inlineStr">
        <is>
          <t>JÄMTLANDS LÄN</t>
        </is>
      </c>
      <c r="E929" t="inlineStr">
        <is>
          <t>BRÄCKE</t>
        </is>
      </c>
      <c r="G929" t="n">
        <v>13.3</v>
      </c>
      <c r="H929" t="n">
        <v>0</v>
      </c>
      <c r="I929" t="n">
        <v>0</v>
      </c>
      <c r="J929" t="n">
        <v>0</v>
      </c>
      <c r="K929" t="n">
        <v>0</v>
      </c>
      <c r="L929" t="n">
        <v>0</v>
      </c>
      <c r="M929" t="n">
        <v>0</v>
      </c>
      <c r="N929" t="n">
        <v>0</v>
      </c>
      <c r="O929" t="n">
        <v>0</v>
      </c>
      <c r="P929" t="n">
        <v>0</v>
      </c>
      <c r="Q929" t="n">
        <v>0</v>
      </c>
      <c r="R929" s="2" t="inlineStr"/>
    </row>
    <row r="930" ht="15" customHeight="1">
      <c r="A930" t="inlineStr">
        <is>
          <t>A 33868-2025</t>
        </is>
      </c>
      <c r="B930" s="1" t="n">
        <v>45842.53967592592</v>
      </c>
      <c r="C930" s="1" t="n">
        <v>46042</v>
      </c>
      <c r="D930" t="inlineStr">
        <is>
          <t>JÄMTLANDS LÄN</t>
        </is>
      </c>
      <c r="E930" t="inlineStr">
        <is>
          <t>BRÄCKE</t>
        </is>
      </c>
      <c r="F930" t="inlineStr">
        <is>
          <t>Övriga Aktiebolag</t>
        </is>
      </c>
      <c r="G930" t="n">
        <v>0.8</v>
      </c>
      <c r="H930" t="n">
        <v>0</v>
      </c>
      <c r="I930" t="n">
        <v>0</v>
      </c>
      <c r="J930" t="n">
        <v>0</v>
      </c>
      <c r="K930" t="n">
        <v>0</v>
      </c>
      <c r="L930" t="n">
        <v>0</v>
      </c>
      <c r="M930" t="n">
        <v>0</v>
      </c>
      <c r="N930" t="n">
        <v>0</v>
      </c>
      <c r="O930" t="n">
        <v>0</v>
      </c>
      <c r="P930" t="n">
        <v>0</v>
      </c>
      <c r="Q930" t="n">
        <v>0</v>
      </c>
      <c r="R930" s="2" t="inlineStr"/>
    </row>
    <row r="931" ht="15" customHeight="1">
      <c r="A931" t="inlineStr">
        <is>
          <t>A 33900-2025</t>
        </is>
      </c>
      <c r="B931" s="1" t="n">
        <v>45842.59454861111</v>
      </c>
      <c r="C931" s="1" t="n">
        <v>46042</v>
      </c>
      <c r="D931" t="inlineStr">
        <is>
          <t>JÄMTLANDS LÄN</t>
        </is>
      </c>
      <c r="E931" t="inlineStr">
        <is>
          <t>BRÄCKE</t>
        </is>
      </c>
      <c r="G931" t="n">
        <v>4.5</v>
      </c>
      <c r="H931" t="n">
        <v>0</v>
      </c>
      <c r="I931" t="n">
        <v>0</v>
      </c>
      <c r="J931" t="n">
        <v>0</v>
      </c>
      <c r="K931" t="n">
        <v>0</v>
      </c>
      <c r="L931" t="n">
        <v>0</v>
      </c>
      <c r="M931" t="n">
        <v>0</v>
      </c>
      <c r="N931" t="n">
        <v>0</v>
      </c>
      <c r="O931" t="n">
        <v>0</v>
      </c>
      <c r="P931" t="n">
        <v>0</v>
      </c>
      <c r="Q931" t="n">
        <v>0</v>
      </c>
      <c r="R931" s="2" t="inlineStr"/>
    </row>
    <row r="932" ht="15" customHeight="1">
      <c r="A932" t="inlineStr">
        <is>
          <t>A 29314-2021</t>
        </is>
      </c>
      <c r="B932" s="1" t="n">
        <v>44361</v>
      </c>
      <c r="C932" s="1" t="n">
        <v>46042</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24195-2023</t>
        </is>
      </c>
      <c r="B933" s="1" t="n">
        <v>45079</v>
      </c>
      <c r="C933" s="1" t="n">
        <v>46042</v>
      </c>
      <c r="D933" t="inlineStr">
        <is>
          <t>JÄMTLANDS LÄN</t>
        </is>
      </c>
      <c r="E933" t="inlineStr">
        <is>
          <t>BRÄCKE</t>
        </is>
      </c>
      <c r="G933" t="n">
        <v>1.5</v>
      </c>
      <c r="H933" t="n">
        <v>0</v>
      </c>
      <c r="I933" t="n">
        <v>0</v>
      </c>
      <c r="J933" t="n">
        <v>0</v>
      </c>
      <c r="K933" t="n">
        <v>0</v>
      </c>
      <c r="L933" t="n">
        <v>0</v>
      </c>
      <c r="M933" t="n">
        <v>0</v>
      </c>
      <c r="N933" t="n">
        <v>0</v>
      </c>
      <c r="O933" t="n">
        <v>0</v>
      </c>
      <c r="P933" t="n">
        <v>0</v>
      </c>
      <c r="Q933" t="n">
        <v>0</v>
      </c>
      <c r="R933" s="2" t="inlineStr"/>
    </row>
    <row r="934" ht="15" customHeight="1">
      <c r="A934" t="inlineStr">
        <is>
          <t>A 34189-2025</t>
        </is>
      </c>
      <c r="B934" s="1" t="n">
        <v>45845.61555555555</v>
      </c>
      <c r="C934" s="1" t="n">
        <v>46042</v>
      </c>
      <c r="D934" t="inlineStr">
        <is>
          <t>JÄMTLANDS LÄN</t>
        </is>
      </c>
      <c r="E934" t="inlineStr">
        <is>
          <t>BRÄCKE</t>
        </is>
      </c>
      <c r="G934" t="n">
        <v>1.5</v>
      </c>
      <c r="H934" t="n">
        <v>0</v>
      </c>
      <c r="I934" t="n">
        <v>0</v>
      </c>
      <c r="J934" t="n">
        <v>0</v>
      </c>
      <c r="K934" t="n">
        <v>0</v>
      </c>
      <c r="L934" t="n">
        <v>0</v>
      </c>
      <c r="M934" t="n">
        <v>0</v>
      </c>
      <c r="N934" t="n">
        <v>0</v>
      </c>
      <c r="O934" t="n">
        <v>0</v>
      </c>
      <c r="P934" t="n">
        <v>0</v>
      </c>
      <c r="Q934" t="n">
        <v>0</v>
      </c>
      <c r="R934" s="2" t="inlineStr"/>
    </row>
    <row r="935" ht="15" customHeight="1">
      <c r="A935" t="inlineStr">
        <is>
          <t>A 3389-2024</t>
        </is>
      </c>
      <c r="B935" s="1" t="n">
        <v>45317.9409837963</v>
      </c>
      <c r="C935" s="1" t="n">
        <v>46042</v>
      </c>
      <c r="D935" t="inlineStr">
        <is>
          <t>JÄMTLANDS LÄN</t>
        </is>
      </c>
      <c r="E935" t="inlineStr">
        <is>
          <t>BRÄCKE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33937-2025</t>
        </is>
      </c>
      <c r="B936" s="1" t="n">
        <v>45842.63650462963</v>
      </c>
      <c r="C936" s="1" t="n">
        <v>46042</v>
      </c>
      <c r="D936" t="inlineStr">
        <is>
          <t>JÄMTLANDS LÄN</t>
        </is>
      </c>
      <c r="E936" t="inlineStr">
        <is>
          <t>BRÄCKE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49646-2023</t>
        </is>
      </c>
      <c r="B937" s="1" t="n">
        <v>45211</v>
      </c>
      <c r="C937" s="1" t="n">
        <v>46042</v>
      </c>
      <c r="D937" t="inlineStr">
        <is>
          <t>JÄMTLANDS LÄN</t>
        </is>
      </c>
      <c r="E937" t="inlineStr">
        <is>
          <t>BRÄCKE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47070-2025</t>
        </is>
      </c>
      <c r="B938" s="1" t="n">
        <v>45929.63621527778</v>
      </c>
      <c r="C938" s="1" t="n">
        <v>46042</v>
      </c>
      <c r="D938" t="inlineStr">
        <is>
          <t>JÄMTLANDS LÄN</t>
        </is>
      </c>
      <c r="E938" t="inlineStr">
        <is>
          <t>BRÄCKE</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8780-2025</t>
        </is>
      </c>
      <c r="B939" s="1" t="n">
        <v>45712.615625</v>
      </c>
      <c r="C939" s="1" t="n">
        <v>46042</v>
      </c>
      <c r="D939" t="inlineStr">
        <is>
          <t>JÄMTLANDS LÄN</t>
        </is>
      </c>
      <c r="E939" t="inlineStr">
        <is>
          <t>BRÄCKE</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33776-2025</t>
        </is>
      </c>
      <c r="B940" s="1" t="n">
        <v>45842.39412037037</v>
      </c>
      <c r="C940" s="1" t="n">
        <v>46042</v>
      </c>
      <c r="D940" t="inlineStr">
        <is>
          <t>JÄMTLANDS LÄN</t>
        </is>
      </c>
      <c r="E940" t="inlineStr">
        <is>
          <t>BRÄCKE</t>
        </is>
      </c>
      <c r="F940" t="inlineStr">
        <is>
          <t>Övriga Aktiebolag</t>
        </is>
      </c>
      <c r="G940" t="n">
        <v>0.8</v>
      </c>
      <c r="H940" t="n">
        <v>0</v>
      </c>
      <c r="I940" t="n">
        <v>0</v>
      </c>
      <c r="J940" t="n">
        <v>0</v>
      </c>
      <c r="K940" t="n">
        <v>0</v>
      </c>
      <c r="L940" t="n">
        <v>0</v>
      </c>
      <c r="M940" t="n">
        <v>0</v>
      </c>
      <c r="N940" t="n">
        <v>0</v>
      </c>
      <c r="O940" t="n">
        <v>0</v>
      </c>
      <c r="P940" t="n">
        <v>0</v>
      </c>
      <c r="Q940" t="n">
        <v>0</v>
      </c>
      <c r="R940" s="2" t="inlineStr"/>
    </row>
    <row r="941" ht="15" customHeight="1">
      <c r="A941" t="inlineStr">
        <is>
          <t>A 46625-2025</t>
        </is>
      </c>
      <c r="B941" s="1" t="n">
        <v>45926.44857638889</v>
      </c>
      <c r="C941" s="1" t="n">
        <v>46042</v>
      </c>
      <c r="D941" t="inlineStr">
        <is>
          <t>JÄMTLANDS LÄN</t>
        </is>
      </c>
      <c r="E941" t="inlineStr">
        <is>
          <t>BRÄCKE</t>
        </is>
      </c>
      <c r="G941" t="n">
        <v>4</v>
      </c>
      <c r="H941" t="n">
        <v>0</v>
      </c>
      <c r="I941" t="n">
        <v>0</v>
      </c>
      <c r="J941" t="n">
        <v>0</v>
      </c>
      <c r="K941" t="n">
        <v>0</v>
      </c>
      <c r="L941" t="n">
        <v>0</v>
      </c>
      <c r="M941" t="n">
        <v>0</v>
      </c>
      <c r="N941" t="n">
        <v>0</v>
      </c>
      <c r="O941" t="n">
        <v>0</v>
      </c>
      <c r="P941" t="n">
        <v>0</v>
      </c>
      <c r="Q941" t="n">
        <v>0</v>
      </c>
      <c r="R941" s="2" t="inlineStr"/>
    </row>
    <row r="942" ht="15" customHeight="1">
      <c r="A942" t="inlineStr">
        <is>
          <t>A 17209-2023</t>
        </is>
      </c>
      <c r="B942" s="1" t="n">
        <v>45034</v>
      </c>
      <c r="C942" s="1" t="n">
        <v>46042</v>
      </c>
      <c r="D942" t="inlineStr">
        <is>
          <t>JÄMTLANDS LÄN</t>
        </is>
      </c>
      <c r="E942" t="inlineStr">
        <is>
          <t>BRÄCKE</t>
        </is>
      </c>
      <c r="G942" t="n">
        <v>11.1</v>
      </c>
      <c r="H942" t="n">
        <v>0</v>
      </c>
      <c r="I942" t="n">
        <v>0</v>
      </c>
      <c r="J942" t="n">
        <v>0</v>
      </c>
      <c r="K942" t="n">
        <v>0</v>
      </c>
      <c r="L942" t="n">
        <v>0</v>
      </c>
      <c r="M942" t="n">
        <v>0</v>
      </c>
      <c r="N942" t="n">
        <v>0</v>
      </c>
      <c r="O942" t="n">
        <v>0</v>
      </c>
      <c r="P942" t="n">
        <v>0</v>
      </c>
      <c r="Q942" t="n">
        <v>0</v>
      </c>
      <c r="R942" s="2" t="inlineStr"/>
    </row>
    <row r="943" ht="15" customHeight="1">
      <c r="A943" t="inlineStr">
        <is>
          <t>A 20879-2023</t>
        </is>
      </c>
      <c r="B943" s="1" t="n">
        <v>45058.94399305555</v>
      </c>
      <c r="C943" s="1" t="n">
        <v>46042</v>
      </c>
      <c r="D943" t="inlineStr">
        <is>
          <t>JÄMTLANDS LÄN</t>
        </is>
      </c>
      <c r="E943" t="inlineStr">
        <is>
          <t>BRÄCKE</t>
        </is>
      </c>
      <c r="F943" t="inlineStr">
        <is>
          <t>Naturvårdsverket</t>
        </is>
      </c>
      <c r="G943" t="n">
        <v>0.9</v>
      </c>
      <c r="H943" t="n">
        <v>0</v>
      </c>
      <c r="I943" t="n">
        <v>0</v>
      </c>
      <c r="J943" t="n">
        <v>0</v>
      </c>
      <c r="K943" t="n">
        <v>0</v>
      </c>
      <c r="L943" t="n">
        <v>0</v>
      </c>
      <c r="M943" t="n">
        <v>0</v>
      </c>
      <c r="N943" t="n">
        <v>0</v>
      </c>
      <c r="O943" t="n">
        <v>0</v>
      </c>
      <c r="P943" t="n">
        <v>0</v>
      </c>
      <c r="Q943" t="n">
        <v>0</v>
      </c>
      <c r="R943" s="2" t="inlineStr"/>
    </row>
    <row r="944" ht="15" customHeight="1">
      <c r="A944" t="inlineStr">
        <is>
          <t>A 18965-2025</t>
        </is>
      </c>
      <c r="B944" s="1" t="n">
        <v>45764.53155092592</v>
      </c>
      <c r="C944" s="1" t="n">
        <v>46042</v>
      </c>
      <c r="D944" t="inlineStr">
        <is>
          <t>JÄMTLANDS LÄN</t>
        </is>
      </c>
      <c r="E944" t="inlineStr">
        <is>
          <t>BRÄCKE</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33956-2025</t>
        </is>
      </c>
      <c r="B945" s="1" t="n">
        <v>45842.67746527777</v>
      </c>
      <c r="C945" s="1" t="n">
        <v>46042</v>
      </c>
      <c r="D945" t="inlineStr">
        <is>
          <t>JÄMTLANDS LÄN</t>
        </is>
      </c>
      <c r="E945" t="inlineStr">
        <is>
          <t>BRÄCKE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18982-2025</t>
        </is>
      </c>
      <c r="B946" s="1" t="n">
        <v>45764.55288194444</v>
      </c>
      <c r="C946" s="1" t="n">
        <v>46042</v>
      </c>
      <c r="D946" t="inlineStr">
        <is>
          <t>JÄMTLANDS LÄN</t>
        </is>
      </c>
      <c r="E946" t="inlineStr">
        <is>
          <t>BRÄCKE</t>
        </is>
      </c>
      <c r="F946" t="inlineStr">
        <is>
          <t>SCA</t>
        </is>
      </c>
      <c r="G946" t="n">
        <v>10.3</v>
      </c>
      <c r="H946" t="n">
        <v>0</v>
      </c>
      <c r="I946" t="n">
        <v>0</v>
      </c>
      <c r="J946" t="n">
        <v>0</v>
      </c>
      <c r="K946" t="n">
        <v>0</v>
      </c>
      <c r="L946" t="n">
        <v>0</v>
      </c>
      <c r="M946" t="n">
        <v>0</v>
      </c>
      <c r="N946" t="n">
        <v>0</v>
      </c>
      <c r="O946" t="n">
        <v>0</v>
      </c>
      <c r="P946" t="n">
        <v>0</v>
      </c>
      <c r="Q946" t="n">
        <v>0</v>
      </c>
      <c r="R946" s="2" t="inlineStr"/>
    </row>
    <row r="947" ht="15" customHeight="1">
      <c r="A947" t="inlineStr">
        <is>
          <t>A 34087-2025</t>
        </is>
      </c>
      <c r="B947" s="1" t="n">
        <v>45845.46913194445</v>
      </c>
      <c r="C947" s="1" t="n">
        <v>46042</v>
      </c>
      <c r="D947" t="inlineStr">
        <is>
          <t>JÄMTLANDS LÄN</t>
        </is>
      </c>
      <c r="E947" t="inlineStr">
        <is>
          <t>BRÄCKE</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43785-2022</t>
        </is>
      </c>
      <c r="B948" s="1" t="n">
        <v>44837</v>
      </c>
      <c r="C948" s="1" t="n">
        <v>46042</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33873-2025</t>
        </is>
      </c>
      <c r="B949" s="1" t="n">
        <v>45842.54912037037</v>
      </c>
      <c r="C949" s="1" t="n">
        <v>46042</v>
      </c>
      <c r="D949" t="inlineStr">
        <is>
          <t>JÄMTLANDS LÄN</t>
        </is>
      </c>
      <c r="E949" t="inlineStr">
        <is>
          <t>BRÄCKE</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47120-2025</t>
        </is>
      </c>
      <c r="B950" s="1" t="n">
        <v>45929.67829861111</v>
      </c>
      <c r="C950" s="1" t="n">
        <v>46042</v>
      </c>
      <c r="D950" t="inlineStr">
        <is>
          <t>JÄMTLANDS LÄN</t>
        </is>
      </c>
      <c r="E950" t="inlineStr">
        <is>
          <t>BRÄCKE</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33902-2025</t>
        </is>
      </c>
      <c r="B951" s="1" t="n">
        <v>45842.59513888889</v>
      </c>
      <c r="C951" s="1" t="n">
        <v>46042</v>
      </c>
      <c r="D951" t="inlineStr">
        <is>
          <t>JÄMTLANDS LÄN</t>
        </is>
      </c>
      <c r="E951" t="inlineStr">
        <is>
          <t>BRÄCKE</t>
        </is>
      </c>
      <c r="G951" t="n">
        <v>1.4</v>
      </c>
      <c r="H951" t="n">
        <v>0</v>
      </c>
      <c r="I951" t="n">
        <v>0</v>
      </c>
      <c r="J951" t="n">
        <v>0</v>
      </c>
      <c r="K951" t="n">
        <v>0</v>
      </c>
      <c r="L951" t="n">
        <v>0</v>
      </c>
      <c r="M951" t="n">
        <v>0</v>
      </c>
      <c r="N951" t="n">
        <v>0</v>
      </c>
      <c r="O951" t="n">
        <v>0</v>
      </c>
      <c r="P951" t="n">
        <v>0</v>
      </c>
      <c r="Q951" t="n">
        <v>0</v>
      </c>
      <c r="R951" s="2" t="inlineStr"/>
    </row>
    <row r="952" ht="15" customHeight="1">
      <c r="A952" t="inlineStr">
        <is>
          <t>A 24056-2022</t>
        </is>
      </c>
      <c r="B952" s="1" t="n">
        <v>44724.938125</v>
      </c>
      <c r="C952" s="1" t="n">
        <v>46042</v>
      </c>
      <c r="D952" t="inlineStr">
        <is>
          <t>JÄMTLANDS LÄN</t>
        </is>
      </c>
      <c r="E952" t="inlineStr">
        <is>
          <t>BRÄCKE</t>
        </is>
      </c>
      <c r="G952" t="n">
        <v>1.4</v>
      </c>
      <c r="H952" t="n">
        <v>0</v>
      </c>
      <c r="I952" t="n">
        <v>0</v>
      </c>
      <c r="J952" t="n">
        <v>0</v>
      </c>
      <c r="K952" t="n">
        <v>0</v>
      </c>
      <c r="L952" t="n">
        <v>0</v>
      </c>
      <c r="M952" t="n">
        <v>0</v>
      </c>
      <c r="N952" t="n">
        <v>0</v>
      </c>
      <c r="O952" t="n">
        <v>0</v>
      </c>
      <c r="P952" t="n">
        <v>0</v>
      </c>
      <c r="Q952" t="n">
        <v>0</v>
      </c>
      <c r="R952" s="2" t="inlineStr"/>
    </row>
    <row r="953" ht="15" customHeight="1">
      <c r="A953" t="inlineStr">
        <is>
          <t>A 31558-2024</t>
        </is>
      </c>
      <c r="B953" s="1" t="n">
        <v>45505</v>
      </c>
      <c r="C953" s="1" t="n">
        <v>46042</v>
      </c>
      <c r="D953" t="inlineStr">
        <is>
          <t>JÄMTLANDS LÄN</t>
        </is>
      </c>
      <c r="E953" t="inlineStr">
        <is>
          <t>BRÄCKE</t>
        </is>
      </c>
      <c r="G953" t="n">
        <v>1.1</v>
      </c>
      <c r="H953" t="n">
        <v>0</v>
      </c>
      <c r="I953" t="n">
        <v>0</v>
      </c>
      <c r="J953" t="n">
        <v>0</v>
      </c>
      <c r="K953" t="n">
        <v>0</v>
      </c>
      <c r="L953" t="n">
        <v>0</v>
      </c>
      <c r="M953" t="n">
        <v>0</v>
      </c>
      <c r="N953" t="n">
        <v>0</v>
      </c>
      <c r="O953" t="n">
        <v>0</v>
      </c>
      <c r="P953" t="n">
        <v>0</v>
      </c>
      <c r="Q953" t="n">
        <v>0</v>
      </c>
      <c r="R953" s="2" t="inlineStr"/>
    </row>
    <row r="954" ht="15" customHeight="1">
      <c r="A954" t="inlineStr">
        <is>
          <t>A 2245-2025</t>
        </is>
      </c>
      <c r="B954" s="1" t="n">
        <v>45673.49019675926</v>
      </c>
      <c r="C954" s="1" t="n">
        <v>46042</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33796-2025</t>
        </is>
      </c>
      <c r="B955" s="1" t="n">
        <v>45842.43670138889</v>
      </c>
      <c r="C955" s="1" t="n">
        <v>46042</v>
      </c>
      <c r="D955" t="inlineStr">
        <is>
          <t>JÄMTLANDS LÄN</t>
        </is>
      </c>
      <c r="E955" t="inlineStr">
        <is>
          <t>BRÄCKE</t>
        </is>
      </c>
      <c r="G955" t="n">
        <v>1.3</v>
      </c>
      <c r="H955" t="n">
        <v>0</v>
      </c>
      <c r="I955" t="n">
        <v>0</v>
      </c>
      <c r="J955" t="n">
        <v>0</v>
      </c>
      <c r="K955" t="n">
        <v>0</v>
      </c>
      <c r="L955" t="n">
        <v>0</v>
      </c>
      <c r="M955" t="n">
        <v>0</v>
      </c>
      <c r="N955" t="n">
        <v>0</v>
      </c>
      <c r="O955" t="n">
        <v>0</v>
      </c>
      <c r="P955" t="n">
        <v>0</v>
      </c>
      <c r="Q955" t="n">
        <v>0</v>
      </c>
      <c r="R955" s="2" t="inlineStr"/>
    </row>
    <row r="956" ht="15" customHeight="1">
      <c r="A956" t="inlineStr">
        <is>
          <t>A 2774-2025</t>
        </is>
      </c>
      <c r="B956" s="1" t="n">
        <v>45677.51086805556</v>
      </c>
      <c r="C956" s="1" t="n">
        <v>46042</v>
      </c>
      <c r="D956" t="inlineStr">
        <is>
          <t>JÄMTLANDS LÄN</t>
        </is>
      </c>
      <c r="E956" t="inlineStr">
        <is>
          <t>BRÄCKE</t>
        </is>
      </c>
      <c r="F956" t="inlineStr">
        <is>
          <t>SCA</t>
        </is>
      </c>
      <c r="G956" t="n">
        <v>11.4</v>
      </c>
      <c r="H956" t="n">
        <v>0</v>
      </c>
      <c r="I956" t="n">
        <v>0</v>
      </c>
      <c r="J956" t="n">
        <v>0</v>
      </c>
      <c r="K956" t="n">
        <v>0</v>
      </c>
      <c r="L956" t="n">
        <v>0</v>
      </c>
      <c r="M956" t="n">
        <v>0</v>
      </c>
      <c r="N956" t="n">
        <v>0</v>
      </c>
      <c r="O956" t="n">
        <v>0</v>
      </c>
      <c r="P956" t="n">
        <v>0</v>
      </c>
      <c r="Q956" t="n">
        <v>0</v>
      </c>
      <c r="R956" s="2" t="inlineStr"/>
      <c r="U956">
        <f>HYPERLINK("https://klasma.github.io/Logging_2305/knärot/A 2774-2025 karta knärot.png", "A 2774-2025")</f>
        <v/>
      </c>
      <c r="V956">
        <f>HYPERLINK("https://klasma.github.io/Logging_2305/klagomål/A 2774-2025 FSC-klagomål.docx", "A 2774-2025")</f>
        <v/>
      </c>
      <c r="W956">
        <f>HYPERLINK("https://klasma.github.io/Logging_2305/klagomålsmail/A 2774-2025 FSC-klagomål mail.docx", "A 2774-2025")</f>
        <v/>
      </c>
      <c r="X956">
        <f>HYPERLINK("https://klasma.github.io/Logging_2305/tillsyn/A 2774-2025 tillsynsbegäran.docx", "A 2774-2025")</f>
        <v/>
      </c>
      <c r="Y956">
        <f>HYPERLINK("https://klasma.github.io/Logging_2305/tillsynsmail/A 2774-2025 tillsynsbegäran mail.docx", "A 2774-2025")</f>
        <v/>
      </c>
    </row>
    <row r="957" ht="15" customHeight="1">
      <c r="A957" t="inlineStr">
        <is>
          <t>A 34155-2025</t>
        </is>
      </c>
      <c r="B957" s="1" t="n">
        <v>45845.57334490741</v>
      </c>
      <c r="C957" s="1" t="n">
        <v>46042</v>
      </c>
      <c r="D957" t="inlineStr">
        <is>
          <t>JÄMTLANDS LÄN</t>
        </is>
      </c>
      <c r="E957" t="inlineStr">
        <is>
          <t>BRÄCKE</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47320-2025</t>
        </is>
      </c>
      <c r="B958" s="1" t="n">
        <v>45930.55255787037</v>
      </c>
      <c r="C958" s="1" t="n">
        <v>46042</v>
      </c>
      <c r="D958" t="inlineStr">
        <is>
          <t>JÄMTLANDS LÄN</t>
        </is>
      </c>
      <c r="E958" t="inlineStr">
        <is>
          <t>BRÄCKE</t>
        </is>
      </c>
      <c r="G958" t="n">
        <v>1.9</v>
      </c>
      <c r="H958" t="n">
        <v>0</v>
      </c>
      <c r="I958" t="n">
        <v>0</v>
      </c>
      <c r="J958" t="n">
        <v>0</v>
      </c>
      <c r="K958" t="n">
        <v>0</v>
      </c>
      <c r="L958" t="n">
        <v>0</v>
      </c>
      <c r="M958" t="n">
        <v>0</v>
      </c>
      <c r="N958" t="n">
        <v>0</v>
      </c>
      <c r="O958" t="n">
        <v>0</v>
      </c>
      <c r="P958" t="n">
        <v>0</v>
      </c>
      <c r="Q958" t="n">
        <v>0</v>
      </c>
      <c r="R958" s="2" t="inlineStr"/>
    </row>
    <row r="959" ht="15" customHeight="1">
      <c r="A959" t="inlineStr">
        <is>
          <t>A 47318-2025</t>
        </is>
      </c>
      <c r="B959" s="1" t="n">
        <v>45930.55251157407</v>
      </c>
      <c r="C959" s="1" t="n">
        <v>46042</v>
      </c>
      <c r="D959" t="inlineStr">
        <is>
          <t>JÄMTLANDS LÄN</t>
        </is>
      </c>
      <c r="E959" t="inlineStr">
        <is>
          <t>BRÄCKE</t>
        </is>
      </c>
      <c r="G959" t="n">
        <v>0.4</v>
      </c>
      <c r="H959" t="n">
        <v>0</v>
      </c>
      <c r="I959" t="n">
        <v>0</v>
      </c>
      <c r="J959" t="n">
        <v>0</v>
      </c>
      <c r="K959" t="n">
        <v>0</v>
      </c>
      <c r="L959" t="n">
        <v>0</v>
      </c>
      <c r="M959" t="n">
        <v>0</v>
      </c>
      <c r="N959" t="n">
        <v>0</v>
      </c>
      <c r="O959" t="n">
        <v>0</v>
      </c>
      <c r="P959" t="n">
        <v>0</v>
      </c>
      <c r="Q959" t="n">
        <v>0</v>
      </c>
      <c r="R959" s="2" t="inlineStr"/>
    </row>
    <row r="960" ht="15" customHeight="1">
      <c r="A960" t="inlineStr">
        <is>
          <t>A 47319-2025</t>
        </is>
      </c>
      <c r="B960" s="1" t="n">
        <v>45930.55253472222</v>
      </c>
      <c r="C960" s="1" t="n">
        <v>46042</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47439-2025</t>
        </is>
      </c>
      <c r="B961" s="1" t="n">
        <v>45930.63744212963</v>
      </c>
      <c r="C961" s="1" t="n">
        <v>46042</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34460-2025</t>
        </is>
      </c>
      <c r="B962" s="1" t="n">
        <v>45847.34458333333</v>
      </c>
      <c r="C962" s="1" t="n">
        <v>46042</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34338-2025</t>
        </is>
      </c>
      <c r="B963" s="1" t="n">
        <v>45846.45711805556</v>
      </c>
      <c r="C963" s="1" t="n">
        <v>46042</v>
      </c>
      <c r="D963" t="inlineStr">
        <is>
          <t>JÄMTLANDS LÄN</t>
        </is>
      </c>
      <c r="E963" t="inlineStr">
        <is>
          <t>BRÄCKE</t>
        </is>
      </c>
      <c r="G963" t="n">
        <v>13.3</v>
      </c>
      <c r="H963" t="n">
        <v>0</v>
      </c>
      <c r="I963" t="n">
        <v>0</v>
      </c>
      <c r="J963" t="n">
        <v>0</v>
      </c>
      <c r="K963" t="n">
        <v>0</v>
      </c>
      <c r="L963" t="n">
        <v>0</v>
      </c>
      <c r="M963" t="n">
        <v>0</v>
      </c>
      <c r="N963" t="n">
        <v>0</v>
      </c>
      <c r="O963" t="n">
        <v>0</v>
      </c>
      <c r="P963" t="n">
        <v>0</v>
      </c>
      <c r="Q963" t="n">
        <v>0</v>
      </c>
      <c r="R963" s="2" t="inlineStr"/>
    </row>
    <row r="964" ht="15" customHeight="1">
      <c r="A964" t="inlineStr">
        <is>
          <t>A 20624-2023</t>
        </is>
      </c>
      <c r="B964" s="1" t="n">
        <v>45057.94346064814</v>
      </c>
      <c r="C964" s="1" t="n">
        <v>46042</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34294-2025</t>
        </is>
      </c>
      <c r="B965" s="1" t="n">
        <v>45846.34422453704</v>
      </c>
      <c r="C965" s="1" t="n">
        <v>46042</v>
      </c>
      <c r="D965" t="inlineStr">
        <is>
          <t>JÄMTLANDS LÄN</t>
        </is>
      </c>
      <c r="E965" t="inlineStr">
        <is>
          <t>BRÄCKE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47474-2025</t>
        </is>
      </c>
      <c r="B966" s="1" t="n">
        <v>45930.67776620371</v>
      </c>
      <c r="C966" s="1" t="n">
        <v>46042</v>
      </c>
      <c r="D966" t="inlineStr">
        <is>
          <t>JÄMTLANDS LÄN</t>
        </is>
      </c>
      <c r="E966" t="inlineStr">
        <is>
          <t>BRÄCKE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47714-2025</t>
        </is>
      </c>
      <c r="B967" s="1" t="n">
        <v>45931.61553240741</v>
      </c>
      <c r="C967" s="1" t="n">
        <v>46042</v>
      </c>
      <c r="D967" t="inlineStr">
        <is>
          <t>JÄMTLANDS LÄN</t>
        </is>
      </c>
      <c r="E967" t="inlineStr">
        <is>
          <t>BRÄCKE</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64302-2023</t>
        </is>
      </c>
      <c r="B968" s="1" t="n">
        <v>45280</v>
      </c>
      <c r="C968" s="1" t="n">
        <v>46042</v>
      </c>
      <c r="D968" t="inlineStr">
        <is>
          <t>JÄMTLANDS LÄN</t>
        </is>
      </c>
      <c r="E968" t="inlineStr">
        <is>
          <t>BRÄCKE</t>
        </is>
      </c>
      <c r="G968" t="n">
        <v>0.6</v>
      </c>
      <c r="H968" t="n">
        <v>0</v>
      </c>
      <c r="I968" t="n">
        <v>0</v>
      </c>
      <c r="J968" t="n">
        <v>0</v>
      </c>
      <c r="K968" t="n">
        <v>0</v>
      </c>
      <c r="L968" t="n">
        <v>0</v>
      </c>
      <c r="M968" t="n">
        <v>0</v>
      </c>
      <c r="N968" t="n">
        <v>0</v>
      </c>
      <c r="O968" t="n">
        <v>0</v>
      </c>
      <c r="P968" t="n">
        <v>0</v>
      </c>
      <c r="Q968" t="n">
        <v>0</v>
      </c>
      <c r="R968" s="2" t="inlineStr"/>
    </row>
    <row r="969" ht="15" customHeight="1">
      <c r="A969" t="inlineStr">
        <is>
          <t>A 27197-2025</t>
        </is>
      </c>
      <c r="B969" s="1" t="n">
        <v>45812.38596064815</v>
      </c>
      <c r="C969" s="1" t="n">
        <v>46042</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34469-2025</t>
        </is>
      </c>
      <c r="B970" s="1" t="n">
        <v>45847.34608796296</v>
      </c>
      <c r="C970" s="1" t="n">
        <v>46042</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34322-2025</t>
        </is>
      </c>
      <c r="B971" s="1" t="n">
        <v>45846.42747685185</v>
      </c>
      <c r="C971" s="1" t="n">
        <v>46042</v>
      </c>
      <c r="D971" t="inlineStr">
        <is>
          <t>JÄMTLANDS LÄN</t>
        </is>
      </c>
      <c r="E971" t="inlineStr">
        <is>
          <t>BRÄCKE</t>
        </is>
      </c>
      <c r="F971" t="inlineStr">
        <is>
          <t>SCA</t>
        </is>
      </c>
      <c r="G971" t="n">
        <v>32.6</v>
      </c>
      <c r="H971" t="n">
        <v>0</v>
      </c>
      <c r="I971" t="n">
        <v>0</v>
      </c>
      <c r="J971" t="n">
        <v>0</v>
      </c>
      <c r="K971" t="n">
        <v>0</v>
      </c>
      <c r="L971" t="n">
        <v>0</v>
      </c>
      <c r="M971" t="n">
        <v>0</v>
      </c>
      <c r="N971" t="n">
        <v>0</v>
      </c>
      <c r="O971" t="n">
        <v>0</v>
      </c>
      <c r="P971" t="n">
        <v>0</v>
      </c>
      <c r="Q971" t="n">
        <v>0</v>
      </c>
      <c r="R971" s="2" t="inlineStr"/>
    </row>
    <row r="972" ht="15" customHeight="1">
      <c r="A972" t="inlineStr">
        <is>
          <t>A 34613-2025</t>
        </is>
      </c>
      <c r="B972" s="1" t="n">
        <v>45847.67751157407</v>
      </c>
      <c r="C972" s="1" t="n">
        <v>46042</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34614-2025</t>
        </is>
      </c>
      <c r="B973" s="1" t="n">
        <v>45847.67768518518</v>
      </c>
      <c r="C973" s="1" t="n">
        <v>46042</v>
      </c>
      <c r="D973" t="inlineStr">
        <is>
          <t>JÄMTLANDS LÄN</t>
        </is>
      </c>
      <c r="E973" t="inlineStr">
        <is>
          <t>BRÄCKE</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54986-2023</t>
        </is>
      </c>
      <c r="B974" s="1" t="n">
        <v>45236.96729166667</v>
      </c>
      <c r="C974" s="1" t="n">
        <v>46042</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9970-2025</t>
        </is>
      </c>
      <c r="B975" s="1" t="n">
        <v>45719.38614583333</v>
      </c>
      <c r="C975" s="1" t="n">
        <v>46042</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45691-2022</t>
        </is>
      </c>
      <c r="B976" s="1" t="n">
        <v>44845.95319444445</v>
      </c>
      <c r="C976" s="1" t="n">
        <v>46042</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8739-2025</t>
        </is>
      </c>
      <c r="B977" s="1" t="n">
        <v>45712.55239583334</v>
      </c>
      <c r="C977" s="1" t="n">
        <v>46042</v>
      </c>
      <c r="D977" t="inlineStr">
        <is>
          <t>JÄMTLANDS LÄN</t>
        </is>
      </c>
      <c r="E977" t="inlineStr">
        <is>
          <t>BRÄCKE</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31526-2024</t>
        </is>
      </c>
      <c r="B978" s="1" t="n">
        <v>45505.95956018518</v>
      </c>
      <c r="C978" s="1" t="n">
        <v>46042</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34518-2025</t>
        </is>
      </c>
      <c r="B979" s="1" t="n">
        <v>45847.46910879629</v>
      </c>
      <c r="C979" s="1" t="n">
        <v>46042</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47230-2025</t>
        </is>
      </c>
      <c r="B980" s="1" t="n">
        <v>45930.40326388889</v>
      </c>
      <c r="C980" s="1" t="n">
        <v>46042</v>
      </c>
      <c r="D980" t="inlineStr">
        <is>
          <t>JÄMTLANDS LÄN</t>
        </is>
      </c>
      <c r="E980" t="inlineStr">
        <is>
          <t>BRÄCKE</t>
        </is>
      </c>
      <c r="G980" t="n">
        <v>2.1</v>
      </c>
      <c r="H980" t="n">
        <v>0</v>
      </c>
      <c r="I980" t="n">
        <v>0</v>
      </c>
      <c r="J980" t="n">
        <v>0</v>
      </c>
      <c r="K980" t="n">
        <v>0</v>
      </c>
      <c r="L980" t="n">
        <v>0</v>
      </c>
      <c r="M980" t="n">
        <v>0</v>
      </c>
      <c r="N980" t="n">
        <v>0</v>
      </c>
      <c r="O980" t="n">
        <v>0</v>
      </c>
      <c r="P980" t="n">
        <v>0</v>
      </c>
      <c r="Q980" t="n">
        <v>0</v>
      </c>
      <c r="R980" s="2" t="inlineStr"/>
    </row>
    <row r="981" ht="15" customHeight="1">
      <c r="A981" t="inlineStr">
        <is>
          <t>A 47235-2025</t>
        </is>
      </c>
      <c r="B981" s="1" t="n">
        <v>45930.40729166667</v>
      </c>
      <c r="C981" s="1" t="n">
        <v>46042</v>
      </c>
      <c r="D981" t="inlineStr">
        <is>
          <t>JÄMTLANDS LÄN</t>
        </is>
      </c>
      <c r="E981" t="inlineStr">
        <is>
          <t>BRÄCKE</t>
        </is>
      </c>
      <c r="G981" t="n">
        <v>5.8</v>
      </c>
      <c r="H981" t="n">
        <v>0</v>
      </c>
      <c r="I981" t="n">
        <v>0</v>
      </c>
      <c r="J981" t="n">
        <v>0</v>
      </c>
      <c r="K981" t="n">
        <v>0</v>
      </c>
      <c r="L981" t="n">
        <v>0</v>
      </c>
      <c r="M981" t="n">
        <v>0</v>
      </c>
      <c r="N981" t="n">
        <v>0</v>
      </c>
      <c r="O981" t="n">
        <v>0</v>
      </c>
      <c r="P981" t="n">
        <v>0</v>
      </c>
      <c r="Q981" t="n">
        <v>0</v>
      </c>
      <c r="R981" s="2" t="inlineStr"/>
    </row>
    <row r="982" ht="15" customHeight="1">
      <c r="A982" t="inlineStr">
        <is>
          <t>A 24588-2025</t>
        </is>
      </c>
      <c r="B982" s="1" t="n">
        <v>45798.53157407408</v>
      </c>
      <c r="C982" s="1" t="n">
        <v>46042</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46623-2022</t>
        </is>
      </c>
      <c r="B983" s="1" t="n">
        <v>44848.95137731481</v>
      </c>
      <c r="C983" s="1" t="n">
        <v>46042</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4914-2025</t>
        </is>
      </c>
      <c r="B984" s="1" t="n">
        <v>45688.68173611111</v>
      </c>
      <c r="C984" s="1" t="n">
        <v>46042</v>
      </c>
      <c r="D984" t="inlineStr">
        <is>
          <t>JÄMTLANDS LÄN</t>
        </is>
      </c>
      <c r="E984" t="inlineStr">
        <is>
          <t>BRÄCKE</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5621-2025</t>
        </is>
      </c>
      <c r="B985" s="1" t="n">
        <v>45693.6357175926</v>
      </c>
      <c r="C985" s="1" t="n">
        <v>46042</v>
      </c>
      <c r="D985" t="inlineStr">
        <is>
          <t>JÄMTLANDS LÄN</t>
        </is>
      </c>
      <c r="E985" t="inlineStr">
        <is>
          <t>BRÄCKE</t>
        </is>
      </c>
      <c r="F985" t="inlineStr">
        <is>
          <t>SCA</t>
        </is>
      </c>
      <c r="G985" t="n">
        <v>8.4</v>
      </c>
      <c r="H985" t="n">
        <v>0</v>
      </c>
      <c r="I985" t="n">
        <v>0</v>
      </c>
      <c r="J985" t="n">
        <v>0</v>
      </c>
      <c r="K985" t="n">
        <v>0</v>
      </c>
      <c r="L985" t="n">
        <v>0</v>
      </c>
      <c r="M985" t="n">
        <v>0</v>
      </c>
      <c r="N985" t="n">
        <v>0</v>
      </c>
      <c r="O985" t="n">
        <v>0</v>
      </c>
      <c r="P985" t="n">
        <v>0</v>
      </c>
      <c r="Q985" t="n">
        <v>0</v>
      </c>
      <c r="R985" s="2" t="inlineStr"/>
    </row>
    <row r="986" ht="15" customHeight="1">
      <c r="A986" t="inlineStr">
        <is>
          <t>A 5618-2025</t>
        </is>
      </c>
      <c r="B986" s="1" t="n">
        <v>45693.61509259259</v>
      </c>
      <c r="C986" s="1" t="n">
        <v>46042</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34983-2025</t>
        </is>
      </c>
      <c r="B987" s="1" t="n">
        <v>45849.71234953704</v>
      </c>
      <c r="C987" s="1" t="n">
        <v>46042</v>
      </c>
      <c r="D987" t="inlineStr">
        <is>
          <t>JÄMTLANDS LÄN</t>
        </is>
      </c>
      <c r="E987" t="inlineStr">
        <is>
          <t>BRÄCKE</t>
        </is>
      </c>
      <c r="G987" t="n">
        <v>2.8</v>
      </c>
      <c r="H987" t="n">
        <v>0</v>
      </c>
      <c r="I987" t="n">
        <v>0</v>
      </c>
      <c r="J987" t="n">
        <v>0</v>
      </c>
      <c r="K987" t="n">
        <v>0</v>
      </c>
      <c r="L987" t="n">
        <v>0</v>
      </c>
      <c r="M987" t="n">
        <v>0</v>
      </c>
      <c r="N987" t="n">
        <v>0</v>
      </c>
      <c r="O987" t="n">
        <v>0</v>
      </c>
      <c r="P987" t="n">
        <v>0</v>
      </c>
      <c r="Q987" t="n">
        <v>0</v>
      </c>
      <c r="R987" s="2" t="inlineStr"/>
    </row>
    <row r="988" ht="15" customHeight="1">
      <c r="A988" t="inlineStr">
        <is>
          <t>A 34680-2025</t>
        </is>
      </c>
      <c r="B988" s="1" t="n">
        <v>45848.42799768518</v>
      </c>
      <c r="C988" s="1" t="n">
        <v>46042</v>
      </c>
      <c r="D988" t="inlineStr">
        <is>
          <t>JÄMTLANDS LÄN</t>
        </is>
      </c>
      <c r="E988" t="inlineStr">
        <is>
          <t>BRÄCKE</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34828-2025</t>
        </is>
      </c>
      <c r="B989" s="1" t="n">
        <v>45849.38579861111</v>
      </c>
      <c r="C989" s="1" t="n">
        <v>46042</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34746-2025</t>
        </is>
      </c>
      <c r="B990" s="1" t="n">
        <v>45848.61505787037</v>
      </c>
      <c r="C990" s="1" t="n">
        <v>46042</v>
      </c>
      <c r="D990" t="inlineStr">
        <is>
          <t>JÄMTLANDS LÄN</t>
        </is>
      </c>
      <c r="E990" t="inlineStr">
        <is>
          <t>BRÄCKE</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34648-2025</t>
        </is>
      </c>
      <c r="B991" s="1" t="n">
        <v>45848.34487268519</v>
      </c>
      <c r="C991" s="1" t="n">
        <v>46042</v>
      </c>
      <c r="D991" t="inlineStr">
        <is>
          <t>JÄMTLANDS LÄN</t>
        </is>
      </c>
      <c r="E991" t="inlineStr">
        <is>
          <t>BRÄCKE</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53260-2024</t>
        </is>
      </c>
      <c r="B992" s="1" t="n">
        <v>45614</v>
      </c>
      <c r="C992" s="1" t="n">
        <v>46042</v>
      </c>
      <c r="D992" t="inlineStr">
        <is>
          <t>JÄMTLANDS LÄN</t>
        </is>
      </c>
      <c r="E992" t="inlineStr">
        <is>
          <t>BRÄCKE</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59416-2023</t>
        </is>
      </c>
      <c r="B993" s="1" t="n">
        <v>45253</v>
      </c>
      <c r="C993" s="1" t="n">
        <v>46042</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34783-2025</t>
        </is>
      </c>
      <c r="B994" s="1" t="n">
        <v>45848.67740740741</v>
      </c>
      <c r="C994" s="1" t="n">
        <v>46042</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34773-2025</t>
        </is>
      </c>
      <c r="B995" s="1" t="n">
        <v>45848.65672453704</v>
      </c>
      <c r="C995" s="1" t="n">
        <v>46042</v>
      </c>
      <c r="D995" t="inlineStr">
        <is>
          <t>JÄMTLANDS LÄN</t>
        </is>
      </c>
      <c r="E995" t="inlineStr">
        <is>
          <t>BRÄCKE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49709-2024</t>
        </is>
      </c>
      <c r="B996" s="1" t="n">
        <v>45596.69858796296</v>
      </c>
      <c r="C996" s="1" t="n">
        <v>46042</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47873-2025</t>
        </is>
      </c>
      <c r="B997" s="1" t="n">
        <v>45932.4528587963</v>
      </c>
      <c r="C997" s="1" t="n">
        <v>46042</v>
      </c>
      <c r="D997" t="inlineStr">
        <is>
          <t>JÄMTLANDS LÄN</t>
        </is>
      </c>
      <c r="E997" t="inlineStr">
        <is>
          <t>BRÄCKE</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47868-2025</t>
        </is>
      </c>
      <c r="B998" s="1" t="n">
        <v>45932.44094907407</v>
      </c>
      <c r="C998" s="1" t="n">
        <v>46042</v>
      </c>
      <c r="D998" t="inlineStr">
        <is>
          <t>JÄMTLANDS LÄN</t>
        </is>
      </c>
      <c r="E998" t="inlineStr">
        <is>
          <t>BRÄCKE</t>
        </is>
      </c>
      <c r="F998" t="inlineStr">
        <is>
          <t>Kyrkan</t>
        </is>
      </c>
      <c r="G998" t="n">
        <v>5.9</v>
      </c>
      <c r="H998" t="n">
        <v>0</v>
      </c>
      <c r="I998" t="n">
        <v>0</v>
      </c>
      <c r="J998" t="n">
        <v>0</v>
      </c>
      <c r="K998" t="n">
        <v>0</v>
      </c>
      <c r="L998" t="n">
        <v>0</v>
      </c>
      <c r="M998" t="n">
        <v>0</v>
      </c>
      <c r="N998" t="n">
        <v>0</v>
      </c>
      <c r="O998" t="n">
        <v>0</v>
      </c>
      <c r="P998" t="n">
        <v>0</v>
      </c>
      <c r="Q998" t="n">
        <v>0</v>
      </c>
      <c r="R998" s="2" t="inlineStr"/>
    </row>
    <row r="999" ht="15" customHeight="1">
      <c r="A999" t="inlineStr">
        <is>
          <t>A 34912-2025</t>
        </is>
      </c>
      <c r="B999" s="1" t="n">
        <v>45849.5378587963</v>
      </c>
      <c r="C999" s="1" t="n">
        <v>46042</v>
      </c>
      <c r="D999" t="inlineStr">
        <is>
          <t>JÄMTLANDS LÄN</t>
        </is>
      </c>
      <c r="E999" t="inlineStr">
        <is>
          <t>BRÄCKE</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17568-2023</t>
        </is>
      </c>
      <c r="B1000" s="1" t="n">
        <v>45036</v>
      </c>
      <c r="C1000" s="1" t="n">
        <v>46042</v>
      </c>
      <c r="D1000" t="inlineStr">
        <is>
          <t>JÄMTLANDS LÄN</t>
        </is>
      </c>
      <c r="E1000" t="inlineStr">
        <is>
          <t>BRÄCKE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34786-2025</t>
        </is>
      </c>
      <c r="B1001" s="1" t="n">
        <v>45848.67784722222</v>
      </c>
      <c r="C1001" s="1" t="n">
        <v>46042</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49185-2024</t>
        </is>
      </c>
      <c r="B1002" s="1" t="n">
        <v>45595.34466435185</v>
      </c>
      <c r="C1002" s="1" t="n">
        <v>46042</v>
      </c>
      <c r="D1002" t="inlineStr">
        <is>
          <t>JÄMTLANDS LÄN</t>
        </is>
      </c>
      <c r="E1002" t="inlineStr">
        <is>
          <t>BRÄCKE</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35060-2025</t>
        </is>
      </c>
      <c r="B1003" s="1" t="n">
        <v>45852.42747685185</v>
      </c>
      <c r="C1003" s="1" t="n">
        <v>46042</v>
      </c>
      <c r="D1003" t="inlineStr">
        <is>
          <t>JÄMTLANDS LÄN</t>
        </is>
      </c>
      <c r="E1003" t="inlineStr">
        <is>
          <t>BRÄCKE</t>
        </is>
      </c>
      <c r="F1003" t="inlineStr">
        <is>
          <t>SCA</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57011-2022</t>
        </is>
      </c>
      <c r="B1004" s="1" t="n">
        <v>44894</v>
      </c>
      <c r="C1004" s="1" t="n">
        <v>46042</v>
      </c>
      <c r="D1004" t="inlineStr">
        <is>
          <t>JÄMTLANDS LÄN</t>
        </is>
      </c>
      <c r="E1004" t="inlineStr">
        <is>
          <t>BRÄCKE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29107-2025</t>
        </is>
      </c>
      <c r="B1005" s="1" t="n">
        <v>45821.58030092593</v>
      </c>
      <c r="C1005" s="1" t="n">
        <v>46042</v>
      </c>
      <c r="D1005" t="inlineStr">
        <is>
          <t>JÄMTLANDS LÄN</t>
        </is>
      </c>
      <c r="E1005" t="inlineStr">
        <is>
          <t>BRÄCKE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44855-2025</t>
        </is>
      </c>
      <c r="B1006" s="1" t="n">
        <v>45918</v>
      </c>
      <c r="C1006" s="1" t="n">
        <v>46042</v>
      </c>
      <c r="D1006" t="inlineStr">
        <is>
          <t>JÄMTLANDS LÄN</t>
        </is>
      </c>
      <c r="E1006" t="inlineStr">
        <is>
          <t>BRÄCKE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48177-2025</t>
        </is>
      </c>
      <c r="B1007" s="1" t="n">
        <v>45933.44846064815</v>
      </c>
      <c r="C1007" s="1" t="n">
        <v>46042</v>
      </c>
      <c r="D1007" t="inlineStr">
        <is>
          <t>JÄMTLANDS LÄN</t>
        </is>
      </c>
      <c r="E1007" t="inlineStr">
        <is>
          <t>BRÄCKE</t>
        </is>
      </c>
      <c r="F1007" t="inlineStr">
        <is>
          <t>SCA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38862-2024</t>
        </is>
      </c>
      <c r="B1008" s="1" t="n">
        <v>45547.63063657407</v>
      </c>
      <c r="C1008" s="1" t="n">
        <v>46042</v>
      </c>
      <c r="D1008" t="inlineStr">
        <is>
          <t>JÄMTLANDS LÄN</t>
        </is>
      </c>
      <c r="E1008" t="inlineStr">
        <is>
          <t>BRÄCKE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35229-2025</t>
        </is>
      </c>
      <c r="B1009" s="1" t="n">
        <v>45853.59420138889</v>
      </c>
      <c r="C1009" s="1" t="n">
        <v>46042</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57412-2023</t>
        </is>
      </c>
      <c r="B1010" s="1" t="n">
        <v>45245</v>
      </c>
      <c r="C1010" s="1" t="n">
        <v>46042</v>
      </c>
      <c r="D1010" t="inlineStr">
        <is>
          <t>JÄMTLANDS LÄN</t>
        </is>
      </c>
      <c r="E1010" t="inlineStr">
        <is>
          <t>BRÄCKE</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57419-2023</t>
        </is>
      </c>
      <c r="B1011" s="1" t="n">
        <v>45245.96983796296</v>
      </c>
      <c r="C1011" s="1" t="n">
        <v>46042</v>
      </c>
      <c r="D1011" t="inlineStr">
        <is>
          <t>JÄMTLANDS LÄN</t>
        </is>
      </c>
      <c r="E1011" t="inlineStr">
        <is>
          <t>BRÄCKE</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35325-2025</t>
        </is>
      </c>
      <c r="B1012" s="1" t="n">
        <v>45854.52606481482</v>
      </c>
      <c r="C1012" s="1" t="n">
        <v>46042</v>
      </c>
      <c r="D1012" t="inlineStr">
        <is>
          <t>JÄMTLANDS LÄN</t>
        </is>
      </c>
      <c r="E1012" t="inlineStr">
        <is>
          <t>BRÄCKE</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41647-2023</t>
        </is>
      </c>
      <c r="B1013" s="1" t="n">
        <v>45175.95690972222</v>
      </c>
      <c r="C1013" s="1" t="n">
        <v>46042</v>
      </c>
      <c r="D1013" t="inlineStr">
        <is>
          <t>JÄMTLANDS LÄN</t>
        </is>
      </c>
      <c r="E1013" t="inlineStr">
        <is>
          <t>BRÄCKE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35324-2025</t>
        </is>
      </c>
      <c r="B1014" s="1" t="n">
        <v>45854.51079861111</v>
      </c>
      <c r="C1014" s="1" t="n">
        <v>46042</v>
      </c>
      <c r="D1014" t="inlineStr">
        <is>
          <t>JÄMTLANDS LÄN</t>
        </is>
      </c>
      <c r="E1014" t="inlineStr">
        <is>
          <t>BRÄCKE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35326-2025</t>
        </is>
      </c>
      <c r="B1015" s="1" t="n">
        <v>45854.52724537037</v>
      </c>
      <c r="C1015" s="1" t="n">
        <v>46042</v>
      </c>
      <c r="D1015" t="inlineStr">
        <is>
          <t>JÄMTLANDS LÄN</t>
        </is>
      </c>
      <c r="E1015" t="inlineStr">
        <is>
          <t>BRÄCKE</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10110-2025</t>
        </is>
      </c>
      <c r="B1016" s="1" t="n">
        <v>45719.58855324074</v>
      </c>
      <c r="C1016" s="1" t="n">
        <v>46042</v>
      </c>
      <c r="D1016" t="inlineStr">
        <is>
          <t>JÄMTLANDS LÄN</t>
        </is>
      </c>
      <c r="E1016" t="inlineStr">
        <is>
          <t>BRÄCKE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47826-2025</t>
        </is>
      </c>
      <c r="B1017" s="1" t="n">
        <v>45932.34487268519</v>
      </c>
      <c r="C1017" s="1" t="n">
        <v>46042</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35445-2025</t>
        </is>
      </c>
      <c r="B1018" s="1" t="n">
        <v>45855.53196759259</v>
      </c>
      <c r="C1018" s="1" t="n">
        <v>46042</v>
      </c>
      <c r="D1018" t="inlineStr">
        <is>
          <t>JÄMTLANDS LÄN</t>
        </is>
      </c>
      <c r="E1018" t="inlineStr">
        <is>
          <t>BRÄCKE</t>
        </is>
      </c>
      <c r="F1018" t="inlineStr">
        <is>
          <t>SCA</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35327-2025</t>
        </is>
      </c>
      <c r="B1019" s="1" t="n">
        <v>45854.5283449074</v>
      </c>
      <c r="C1019" s="1" t="n">
        <v>46042</v>
      </c>
      <c r="D1019" t="inlineStr">
        <is>
          <t>JÄMTLANDS LÄN</t>
        </is>
      </c>
      <c r="E1019" t="inlineStr">
        <is>
          <t>BRÄCKE</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35331-2025</t>
        </is>
      </c>
      <c r="B1020" s="1" t="n">
        <v>45854.57344907407</v>
      </c>
      <c r="C1020" s="1" t="n">
        <v>46042</v>
      </c>
      <c r="D1020" t="inlineStr">
        <is>
          <t>JÄMTLANDS LÄN</t>
        </is>
      </c>
      <c r="E1020" t="inlineStr">
        <is>
          <t>BRÄCKE</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48067-2025</t>
        </is>
      </c>
      <c r="B1021" s="1" t="n">
        <v>45932.69829861111</v>
      </c>
      <c r="C1021" s="1" t="n">
        <v>46042</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15944-2025</t>
        </is>
      </c>
      <c r="B1022" s="1" t="n">
        <v>45749.48545138889</v>
      </c>
      <c r="C1022" s="1" t="n">
        <v>46042</v>
      </c>
      <c r="D1022" t="inlineStr">
        <is>
          <t>JÄMTLANDS LÄN</t>
        </is>
      </c>
      <c r="E1022" t="inlineStr">
        <is>
          <t>BRÄCKE</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53608-2024</t>
        </is>
      </c>
      <c r="B1023" s="1" t="n">
        <v>45614</v>
      </c>
      <c r="C1023" s="1" t="n">
        <v>46042</v>
      </c>
      <c r="D1023" t="inlineStr">
        <is>
          <t>JÄMTLANDS LÄN</t>
        </is>
      </c>
      <c r="E1023" t="inlineStr">
        <is>
          <t>BRÄCKE</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52127-2023</t>
        </is>
      </c>
      <c r="B1024" s="1" t="n">
        <v>45223.96543981481</v>
      </c>
      <c r="C1024" s="1" t="n">
        <v>46042</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35642-2025</t>
        </is>
      </c>
      <c r="B1025" s="1" t="n">
        <v>45859.48991898148</v>
      </c>
      <c r="C1025" s="1" t="n">
        <v>46042</v>
      </c>
      <c r="D1025" t="inlineStr">
        <is>
          <t>JÄMTLANDS LÄN</t>
        </is>
      </c>
      <c r="E1025" t="inlineStr">
        <is>
          <t>BRÄCKE</t>
        </is>
      </c>
      <c r="F1025" t="inlineStr">
        <is>
          <t>SCA</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35668-2025</t>
        </is>
      </c>
      <c r="B1026" s="1" t="n">
        <v>45859.61552083334</v>
      </c>
      <c r="C1026" s="1" t="n">
        <v>46042</v>
      </c>
      <c r="D1026" t="inlineStr">
        <is>
          <t>JÄMTLANDS LÄN</t>
        </is>
      </c>
      <c r="E1026" t="inlineStr">
        <is>
          <t>BRÄCKE</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48660-2025</t>
        </is>
      </c>
      <c r="B1027" s="1" t="n">
        <v>45936.56836805555</v>
      </c>
      <c r="C1027" s="1" t="n">
        <v>46042</v>
      </c>
      <c r="D1027" t="inlineStr">
        <is>
          <t>JÄMTLANDS LÄN</t>
        </is>
      </c>
      <c r="E1027" t="inlineStr">
        <is>
          <t>BRÄCKE</t>
        </is>
      </c>
      <c r="F1027" t="inlineStr">
        <is>
          <t>Övriga Aktiebolag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22841-2025</t>
        </is>
      </c>
      <c r="B1028" s="1" t="n">
        <v>45789</v>
      </c>
      <c r="C1028" s="1" t="n">
        <v>46042</v>
      </c>
      <c r="D1028" t="inlineStr">
        <is>
          <t>JÄMTLANDS LÄN</t>
        </is>
      </c>
      <c r="E1028" t="inlineStr">
        <is>
          <t>BRÄCKE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48706-2025</t>
        </is>
      </c>
      <c r="B1029" s="1" t="n">
        <v>45936.62423611111</v>
      </c>
      <c r="C1029" s="1" t="n">
        <v>46042</v>
      </c>
      <c r="D1029" t="inlineStr">
        <is>
          <t>JÄMTLANDS LÄN</t>
        </is>
      </c>
      <c r="E1029" t="inlineStr">
        <is>
          <t>BRÄCKE</t>
        </is>
      </c>
      <c r="F1029" t="inlineStr">
        <is>
          <t>Övriga Aktiebolag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29456-2024</t>
        </is>
      </c>
      <c r="B1030" s="1" t="n">
        <v>45483.96898148148</v>
      </c>
      <c r="C1030" s="1" t="n">
        <v>46042</v>
      </c>
      <c r="D1030" t="inlineStr">
        <is>
          <t>JÄMTLANDS LÄN</t>
        </is>
      </c>
      <c r="E1030" t="inlineStr">
        <is>
          <t>BRÄCKE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29460-2024</t>
        </is>
      </c>
      <c r="B1031" s="1" t="n">
        <v>45483.96952546296</v>
      </c>
      <c r="C1031" s="1" t="n">
        <v>46042</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35731-2025</t>
        </is>
      </c>
      <c r="B1032" s="1" t="n">
        <v>45860.46923611111</v>
      </c>
      <c r="C1032" s="1" t="n">
        <v>46042</v>
      </c>
      <c r="D1032" t="inlineStr">
        <is>
          <t>JÄMTLANDS LÄN</t>
        </is>
      </c>
      <c r="E1032" t="inlineStr">
        <is>
          <t>BRÄCKE</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16634-2025</t>
        </is>
      </c>
      <c r="B1033" s="1" t="n">
        <v>45754.3653125</v>
      </c>
      <c r="C1033" s="1" t="n">
        <v>46042</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35395-2024</t>
        </is>
      </c>
      <c r="B1034" s="1" t="n">
        <v>45531.403125</v>
      </c>
      <c r="C1034" s="1" t="n">
        <v>46042</v>
      </c>
      <c r="D1034" t="inlineStr">
        <is>
          <t>JÄMTLANDS LÄN</t>
        </is>
      </c>
      <c r="E1034" t="inlineStr">
        <is>
          <t>BRÄCKE</t>
        </is>
      </c>
      <c r="F1034" t="inlineStr">
        <is>
          <t>SCA</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35400-2024</t>
        </is>
      </c>
      <c r="B1035" s="1" t="n">
        <v>45531.40457175926</v>
      </c>
      <c r="C1035" s="1" t="n">
        <v>46042</v>
      </c>
      <c r="D1035" t="inlineStr">
        <is>
          <t>JÄMTLANDS LÄN</t>
        </is>
      </c>
      <c r="E1035" t="inlineStr">
        <is>
          <t>BRÄCKE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48562-2025</t>
        </is>
      </c>
      <c r="B1036" s="1" t="n">
        <v>45936.43636574074</v>
      </c>
      <c r="C1036" s="1" t="n">
        <v>46042</v>
      </c>
      <c r="D1036" t="inlineStr">
        <is>
          <t>JÄMTLANDS LÄN</t>
        </is>
      </c>
      <c r="E1036" t="inlineStr">
        <is>
          <t>BRÄCKE</t>
        </is>
      </c>
      <c r="F1036" t="inlineStr">
        <is>
          <t>Övriga Aktiebolag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49292-2025</t>
        </is>
      </c>
      <c r="B1037" s="1" t="n">
        <v>45938.53203703704</v>
      </c>
      <c r="C1037" s="1" t="n">
        <v>46042</v>
      </c>
      <c r="D1037" t="inlineStr">
        <is>
          <t>JÄMTLANDS LÄN</t>
        </is>
      </c>
      <c r="E1037" t="inlineStr">
        <is>
          <t>BRÄCKE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48851-2025</t>
        </is>
      </c>
      <c r="B1038" s="1" t="n">
        <v>45937.42969907408</v>
      </c>
      <c r="C1038" s="1" t="n">
        <v>46042</v>
      </c>
      <c r="D1038" t="inlineStr">
        <is>
          <t>JÄMTLANDS LÄN</t>
        </is>
      </c>
      <c r="E1038" t="inlineStr">
        <is>
          <t>BRÄCKE</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35766-2023</t>
        </is>
      </c>
      <c r="B1039" s="1" t="n">
        <v>45147</v>
      </c>
      <c r="C1039" s="1" t="n">
        <v>46042</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49260-2025</t>
        </is>
      </c>
      <c r="B1040" s="1" t="n">
        <v>45938.49702546297</v>
      </c>
      <c r="C1040" s="1" t="n">
        <v>46042</v>
      </c>
      <c r="D1040" t="inlineStr">
        <is>
          <t>JÄMTLANDS LÄN</t>
        </is>
      </c>
      <c r="E1040" t="inlineStr">
        <is>
          <t>BRÄCKE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7943-2025</t>
        </is>
      </c>
      <c r="B1041" s="1" t="n">
        <v>45707.40697916667</v>
      </c>
      <c r="C1041" s="1" t="n">
        <v>46042</v>
      </c>
      <c r="D1041" t="inlineStr">
        <is>
          <t>JÄMTLANDS LÄN</t>
        </is>
      </c>
      <c r="E1041" t="inlineStr">
        <is>
          <t>BRÄCKE</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50220-2023</t>
        </is>
      </c>
      <c r="B1042" s="1" t="n">
        <v>45215</v>
      </c>
      <c r="C1042" s="1" t="n">
        <v>46042</v>
      </c>
      <c r="D1042" t="inlineStr">
        <is>
          <t>JÄMTLANDS LÄN</t>
        </is>
      </c>
      <c r="E1042" t="inlineStr">
        <is>
          <t>BRÄCKE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31888-2024</t>
        </is>
      </c>
      <c r="B1043" s="1" t="n">
        <v>45509</v>
      </c>
      <c r="C1043" s="1" t="n">
        <v>46042</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26100-2021</t>
        </is>
      </c>
      <c r="B1044" s="1" t="n">
        <v>44344.93584490741</v>
      </c>
      <c r="C1044" s="1" t="n">
        <v>46042</v>
      </c>
      <c r="D1044" t="inlineStr">
        <is>
          <t>JÄMTLANDS LÄN</t>
        </is>
      </c>
      <c r="E1044" t="inlineStr">
        <is>
          <t>BRÄCKE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48982-2025</t>
        </is>
      </c>
      <c r="B1045" s="1" t="n">
        <v>45937.57377314815</v>
      </c>
      <c r="C1045" s="1" t="n">
        <v>46042</v>
      </c>
      <c r="D1045" t="inlineStr">
        <is>
          <t>JÄMTLANDS LÄN</t>
        </is>
      </c>
      <c r="E1045" t="inlineStr">
        <is>
          <t>BRÄCKE</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35712-2025</t>
        </is>
      </c>
      <c r="B1046" s="1" t="n">
        <v>45860.40660879629</v>
      </c>
      <c r="C1046" s="1" t="n">
        <v>46042</v>
      </c>
      <c r="D1046" t="inlineStr">
        <is>
          <t>JÄMTLANDS LÄN</t>
        </is>
      </c>
      <c r="E1046" t="inlineStr">
        <is>
          <t>BRÄCKE</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23687-2022</t>
        </is>
      </c>
      <c r="B1047" s="1" t="n">
        <v>44721</v>
      </c>
      <c r="C1047" s="1" t="n">
        <v>46042</v>
      </c>
      <c r="D1047" t="inlineStr">
        <is>
          <t>JÄMTLANDS LÄN</t>
        </is>
      </c>
      <c r="E1047" t="inlineStr">
        <is>
          <t>BRÄCKE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49276-2025</t>
        </is>
      </c>
      <c r="B1048" s="1" t="n">
        <v>45938.50738425926</v>
      </c>
      <c r="C1048" s="1" t="n">
        <v>46042</v>
      </c>
      <c r="D1048" t="inlineStr">
        <is>
          <t>JÄMTLANDS LÄN</t>
        </is>
      </c>
      <c r="E1048" t="inlineStr">
        <is>
          <t>BRÄCKE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50840-2023</t>
        </is>
      </c>
      <c r="B1049" s="1" t="n">
        <v>45217</v>
      </c>
      <c r="C1049" s="1" t="n">
        <v>46042</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35880-2025</t>
        </is>
      </c>
      <c r="B1050" s="1" t="n">
        <v>45862.38334490741</v>
      </c>
      <c r="C1050" s="1" t="n">
        <v>46042</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49255-2025</t>
        </is>
      </c>
      <c r="B1051" s="1" t="n">
        <v>45938.49164351852</v>
      </c>
      <c r="C1051" s="1" t="n">
        <v>46042</v>
      </c>
      <c r="D1051" t="inlineStr">
        <is>
          <t>JÄMTLANDS LÄN</t>
        </is>
      </c>
      <c r="E1051" t="inlineStr">
        <is>
          <t>BRÄCKE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35906-2025</t>
        </is>
      </c>
      <c r="B1052" s="1" t="n">
        <v>45862.51081018519</v>
      </c>
      <c r="C1052" s="1" t="n">
        <v>46042</v>
      </c>
      <c r="D1052" t="inlineStr">
        <is>
          <t>JÄMTLANDS LÄN</t>
        </is>
      </c>
      <c r="E1052" t="inlineStr">
        <is>
          <t>BRÄCKE</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35879-2025</t>
        </is>
      </c>
      <c r="B1053" s="1" t="n">
        <v>45862.37929398148</v>
      </c>
      <c r="C1053" s="1" t="n">
        <v>46042</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49666-2025</t>
        </is>
      </c>
      <c r="B1054" s="1" t="n">
        <v>45939.63657407407</v>
      </c>
      <c r="C1054" s="1" t="n">
        <v>46042</v>
      </c>
      <c r="D1054" t="inlineStr">
        <is>
          <t>JÄMTLANDS LÄN</t>
        </is>
      </c>
      <c r="E1054" t="inlineStr">
        <is>
          <t>BRÄCKE</t>
        </is>
      </c>
      <c r="F1054" t="inlineStr">
        <is>
          <t>SCA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35908-2025</t>
        </is>
      </c>
      <c r="B1055" s="1" t="n">
        <v>45862.51113425926</v>
      </c>
      <c r="C1055" s="1" t="n">
        <v>46042</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49046-2025</t>
        </is>
      </c>
      <c r="B1056" s="1" t="n">
        <v>45937.63693287037</v>
      </c>
      <c r="C1056" s="1" t="n">
        <v>46042</v>
      </c>
      <c r="D1056" t="inlineStr">
        <is>
          <t>JÄMTLANDS LÄN</t>
        </is>
      </c>
      <c r="E1056" t="inlineStr">
        <is>
          <t>BRÄCKE</t>
        </is>
      </c>
      <c r="F1056" t="inlineStr">
        <is>
          <t>SCA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36223-2025</t>
        </is>
      </c>
      <c r="B1057" s="1" t="n">
        <v>45867.51101851852</v>
      </c>
      <c r="C1057" s="1" t="n">
        <v>46042</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36034-2025</t>
        </is>
      </c>
      <c r="B1058" s="1" t="n">
        <v>45865.64755787037</v>
      </c>
      <c r="C1058" s="1" t="n">
        <v>46042</v>
      </c>
      <c r="D1058" t="inlineStr">
        <is>
          <t>JÄMTLANDS LÄN</t>
        </is>
      </c>
      <c r="E1058" t="inlineStr">
        <is>
          <t>BRÄCKE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2581-2025</t>
        </is>
      </c>
      <c r="B1059" s="1" t="n">
        <v>45674.67771990741</v>
      </c>
      <c r="C1059" s="1" t="n">
        <v>46042</v>
      </c>
      <c r="D1059" t="inlineStr">
        <is>
          <t>JÄMTLANDS LÄN</t>
        </is>
      </c>
      <c r="E1059" t="inlineStr">
        <is>
          <t>BRÄCKE</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49826-2025</t>
        </is>
      </c>
      <c r="B1060" s="1" t="n">
        <v>45940.44829861111</v>
      </c>
      <c r="C1060" s="1" t="n">
        <v>46042</v>
      </c>
      <c r="D1060" t="inlineStr">
        <is>
          <t>JÄMTLANDS LÄN</t>
        </is>
      </c>
      <c r="E1060" t="inlineStr">
        <is>
          <t>BRÄCKE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50214-2025</t>
        </is>
      </c>
      <c r="B1061" s="1" t="n">
        <v>45943.67826388889</v>
      </c>
      <c r="C1061" s="1" t="n">
        <v>46042</v>
      </c>
      <c r="D1061" t="inlineStr">
        <is>
          <t>JÄMTLANDS LÄN</t>
        </is>
      </c>
      <c r="E1061" t="inlineStr">
        <is>
          <t>BRÄCKE</t>
        </is>
      </c>
      <c r="F1061" t="inlineStr">
        <is>
          <t>SCA</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36222-2025</t>
        </is>
      </c>
      <c r="B1062" s="1" t="n">
        <v>45867.51087962963</v>
      </c>
      <c r="C1062" s="1" t="n">
        <v>46042</v>
      </c>
      <c r="D1062" t="inlineStr">
        <is>
          <t>JÄMTLANDS LÄN</t>
        </is>
      </c>
      <c r="E1062" t="inlineStr">
        <is>
          <t>BRÄCKE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41923-2023</t>
        </is>
      </c>
      <c r="B1063" s="1" t="n">
        <v>45176</v>
      </c>
      <c r="C1063" s="1" t="n">
        <v>46042</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36169-2025</t>
        </is>
      </c>
      <c r="B1064" s="1" t="n">
        <v>45867.38596064815</v>
      </c>
      <c r="C1064" s="1" t="n">
        <v>46042</v>
      </c>
      <c r="D1064" t="inlineStr">
        <is>
          <t>JÄMTLANDS LÄN</t>
        </is>
      </c>
      <c r="E1064" t="inlineStr">
        <is>
          <t>BRÄCKE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54568-2022</t>
        </is>
      </c>
      <c r="B1065" s="1" t="n">
        <v>44882.95480324074</v>
      </c>
      <c r="C1065" s="1" t="n">
        <v>46042</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36508-2025</t>
        </is>
      </c>
      <c r="B1066" s="1" t="n">
        <v>45869.57351851852</v>
      </c>
      <c r="C1066" s="1" t="n">
        <v>46042</v>
      </c>
      <c r="D1066" t="inlineStr">
        <is>
          <t>JÄMTLANDS LÄN</t>
        </is>
      </c>
      <c r="E1066" t="inlineStr">
        <is>
          <t>BRÄCKE</t>
        </is>
      </c>
      <c r="F1066" t="inlineStr">
        <is>
          <t>SCA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29323-2023</t>
        </is>
      </c>
      <c r="B1067" s="1" t="n">
        <v>45105</v>
      </c>
      <c r="C1067" s="1" t="n">
        <v>46042</v>
      </c>
      <c r="D1067" t="inlineStr">
        <is>
          <t>JÄMTLANDS LÄN</t>
        </is>
      </c>
      <c r="E1067" t="inlineStr">
        <is>
          <t>BRÄCKE</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50016-2025</t>
        </is>
      </c>
      <c r="B1068" s="1" t="n">
        <v>45943.35318287037</v>
      </c>
      <c r="C1068" s="1" t="n">
        <v>46042</v>
      </c>
      <c r="D1068" t="inlineStr">
        <is>
          <t>JÄMTLANDS LÄN</t>
        </is>
      </c>
      <c r="E1068" t="inlineStr">
        <is>
          <t>BRÄCKE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25676-2023</t>
        </is>
      </c>
      <c r="B1069" s="1" t="n">
        <v>45089.93925925926</v>
      </c>
      <c r="C1069" s="1" t="n">
        <v>46042</v>
      </c>
      <c r="D1069" t="inlineStr">
        <is>
          <t>JÄMTLANDS LÄN</t>
        </is>
      </c>
      <c r="E1069" t="inlineStr">
        <is>
          <t>BRÄCKE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39930-2022</t>
        </is>
      </c>
      <c r="B1070" s="1" t="n">
        <v>44819</v>
      </c>
      <c r="C1070" s="1" t="n">
        <v>46042</v>
      </c>
      <c r="D1070" t="inlineStr">
        <is>
          <t>JÄMTLANDS LÄN</t>
        </is>
      </c>
      <c r="E1070" t="inlineStr">
        <is>
          <t>BRÄCKE</t>
        </is>
      </c>
      <c r="F1070" t="inlineStr">
        <is>
          <t>SCA</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36507-2025</t>
        </is>
      </c>
      <c r="B1071" s="1" t="n">
        <v>45869.57335648148</v>
      </c>
      <c r="C1071" s="1" t="n">
        <v>46042</v>
      </c>
      <c r="D1071" t="inlineStr">
        <is>
          <t>JÄMTLANDS LÄN</t>
        </is>
      </c>
      <c r="E1071" t="inlineStr">
        <is>
          <t>BRÄCKE</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50216-2025</t>
        </is>
      </c>
      <c r="B1072" s="1" t="n">
        <v>45943.67859953704</v>
      </c>
      <c r="C1072" s="1" t="n">
        <v>46042</v>
      </c>
      <c r="D1072" t="inlineStr">
        <is>
          <t>JÄMTLANDS LÄN</t>
        </is>
      </c>
      <c r="E1072" t="inlineStr">
        <is>
          <t>BRÄCKE</t>
        </is>
      </c>
      <c r="F1072" t="inlineStr">
        <is>
          <t>SCA</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36386-2025</t>
        </is>
      </c>
      <c r="B1073" s="1" t="n">
        <v>45868.59412037037</v>
      </c>
      <c r="C1073" s="1" t="n">
        <v>46042</v>
      </c>
      <c r="D1073" t="inlineStr">
        <is>
          <t>JÄMTLANDS LÄN</t>
        </is>
      </c>
      <c r="E1073" t="inlineStr">
        <is>
          <t>BRÄCKE</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50079-2025</t>
        </is>
      </c>
      <c r="B1074" s="1" t="n">
        <v>45943.46916666667</v>
      </c>
      <c r="C1074" s="1" t="n">
        <v>46042</v>
      </c>
      <c r="D1074" t="inlineStr">
        <is>
          <t>JÄMTLANDS LÄN</t>
        </is>
      </c>
      <c r="E1074" t="inlineStr">
        <is>
          <t>BRÄCKE</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36311-2025</t>
        </is>
      </c>
      <c r="B1075" s="1" t="n">
        <v>45868.34434027778</v>
      </c>
      <c r="C1075" s="1" t="n">
        <v>46042</v>
      </c>
      <c r="D1075" t="inlineStr">
        <is>
          <t>JÄMTLANDS LÄN</t>
        </is>
      </c>
      <c r="E1075" t="inlineStr">
        <is>
          <t>BRÄCKE</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50257-2025</t>
        </is>
      </c>
      <c r="B1076" s="1" t="n">
        <v>45944.34462962963</v>
      </c>
      <c r="C1076" s="1" t="n">
        <v>46042</v>
      </c>
      <c r="D1076" t="inlineStr">
        <is>
          <t>JÄMTLANDS LÄN</t>
        </is>
      </c>
      <c r="E1076" t="inlineStr">
        <is>
          <t>BRÄCKE</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50271-2025</t>
        </is>
      </c>
      <c r="B1077" s="1" t="n">
        <v>45944.35690972222</v>
      </c>
      <c r="C1077" s="1" t="n">
        <v>46042</v>
      </c>
      <c r="D1077" t="inlineStr">
        <is>
          <t>JÄMTLANDS LÄN</t>
        </is>
      </c>
      <c r="E1077" t="inlineStr">
        <is>
          <t>BRÄCKE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36534-2025</t>
        </is>
      </c>
      <c r="B1078" s="1" t="n">
        <v>45869.61495370371</v>
      </c>
      <c r="C1078" s="1" t="n">
        <v>46042</v>
      </c>
      <c r="D1078" t="inlineStr">
        <is>
          <t>JÄMTLANDS LÄN</t>
        </is>
      </c>
      <c r="E1078" t="inlineStr">
        <is>
          <t>BRÄCKE</t>
        </is>
      </c>
      <c r="F1078" t="inlineStr">
        <is>
          <t>SCA</t>
        </is>
      </c>
      <c r="G1078" t="n">
        <v>22.1</v>
      </c>
      <c r="H1078" t="n">
        <v>0</v>
      </c>
      <c r="I1078" t="n">
        <v>0</v>
      </c>
      <c r="J1078" t="n">
        <v>0</v>
      </c>
      <c r="K1078" t="n">
        <v>0</v>
      </c>
      <c r="L1078" t="n">
        <v>0</v>
      </c>
      <c r="M1078" t="n">
        <v>0</v>
      </c>
      <c r="N1078" t="n">
        <v>0</v>
      </c>
      <c r="O1078" t="n">
        <v>0</v>
      </c>
      <c r="P1078" t="n">
        <v>0</v>
      </c>
      <c r="Q1078" t="n">
        <v>0</v>
      </c>
      <c r="R1078" s="2" t="inlineStr"/>
    </row>
    <row r="1079" ht="15" customHeight="1">
      <c r="A1079" t="inlineStr">
        <is>
          <t>A 58776-2023</t>
        </is>
      </c>
      <c r="B1079" s="1" t="n">
        <v>45251.96740740741</v>
      </c>
      <c r="C1079" s="1" t="n">
        <v>46042</v>
      </c>
      <c r="D1079" t="inlineStr">
        <is>
          <t>JÄMTLANDS LÄN</t>
        </is>
      </c>
      <c r="E1079" t="inlineStr">
        <is>
          <t>BRÄCKE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17905-2025</t>
        </is>
      </c>
      <c r="B1080" s="1" t="n">
        <v>45758.71907407408</v>
      </c>
      <c r="C1080" s="1" t="n">
        <v>46042</v>
      </c>
      <c r="D1080" t="inlineStr">
        <is>
          <t>JÄMTLANDS LÄN</t>
        </is>
      </c>
      <c r="E1080" t="inlineStr">
        <is>
          <t>BRÄCKE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50272-2025</t>
        </is>
      </c>
      <c r="B1081" s="1" t="n">
        <v>45944.365</v>
      </c>
      <c r="C1081" s="1" t="n">
        <v>46042</v>
      </c>
      <c r="D1081" t="inlineStr">
        <is>
          <t>JÄMTLANDS LÄN</t>
        </is>
      </c>
      <c r="E1081" t="inlineStr">
        <is>
          <t>BRÄCKE</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50262-2025</t>
        </is>
      </c>
      <c r="B1082" s="1" t="n">
        <v>45944.34542824074</v>
      </c>
      <c r="C1082" s="1" t="n">
        <v>46042</v>
      </c>
      <c r="D1082" t="inlineStr">
        <is>
          <t>JÄMTLANDS LÄN</t>
        </is>
      </c>
      <c r="E1082" t="inlineStr">
        <is>
          <t>BRÄCKE</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39662-2024</t>
        </is>
      </c>
      <c r="B1083" s="1" t="n">
        <v>45552.51068287037</v>
      </c>
      <c r="C1083" s="1" t="n">
        <v>46042</v>
      </c>
      <c r="D1083" t="inlineStr">
        <is>
          <t>JÄMTLANDS LÄN</t>
        </is>
      </c>
      <c r="E1083" t="inlineStr">
        <is>
          <t>BRÄCKE</t>
        </is>
      </c>
      <c r="F1083" t="inlineStr">
        <is>
          <t>SCA</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50256-2025</t>
        </is>
      </c>
      <c r="B1084" s="1" t="n">
        <v>45944.34435185185</v>
      </c>
      <c r="C1084" s="1" t="n">
        <v>46042</v>
      </c>
      <c r="D1084" t="inlineStr">
        <is>
          <t>JÄMTLANDS LÄN</t>
        </is>
      </c>
      <c r="E1084" t="inlineStr">
        <is>
          <t>BRÄCKE</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50263-2025</t>
        </is>
      </c>
      <c r="B1085" s="1" t="n">
        <v>45944.34545138889</v>
      </c>
      <c r="C1085" s="1" t="n">
        <v>46042</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50669-2025</t>
        </is>
      </c>
      <c r="B1086" s="1" t="n">
        <v>45945.70633101852</v>
      </c>
      <c r="C1086" s="1" t="n">
        <v>46042</v>
      </c>
      <c r="D1086" t="inlineStr">
        <is>
          <t>JÄMTLANDS LÄN</t>
        </is>
      </c>
      <c r="E1086" t="inlineStr">
        <is>
          <t>BRÄCKE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51204-2025</t>
        </is>
      </c>
      <c r="B1087" s="1" t="n">
        <v>45947.63607638889</v>
      </c>
      <c r="C1087" s="1" t="n">
        <v>46042</v>
      </c>
      <c r="D1087" t="inlineStr">
        <is>
          <t>JÄMTLANDS LÄN</t>
        </is>
      </c>
      <c r="E1087" t="inlineStr">
        <is>
          <t>BRÄCKE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51205-2025</t>
        </is>
      </c>
      <c r="B1088" s="1" t="n">
        <v>45947.63615740741</v>
      </c>
      <c r="C1088" s="1" t="n">
        <v>46042</v>
      </c>
      <c r="D1088" t="inlineStr">
        <is>
          <t>JÄMTLANDS LÄN</t>
        </is>
      </c>
      <c r="E1088" t="inlineStr">
        <is>
          <t>BRÄCKE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58461-2023</t>
        </is>
      </c>
      <c r="B1089" s="1" t="n">
        <v>45250</v>
      </c>
      <c r="C1089" s="1" t="n">
        <v>46042</v>
      </c>
      <c r="D1089" t="inlineStr">
        <is>
          <t>JÄMTLANDS LÄN</t>
        </is>
      </c>
      <c r="E1089" t="inlineStr">
        <is>
          <t>BRÄCKE</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58467-2023</t>
        </is>
      </c>
      <c r="B1090" s="1" t="n">
        <v>45250.96192129629</v>
      </c>
      <c r="C1090" s="1" t="n">
        <v>46042</v>
      </c>
      <c r="D1090" t="inlineStr">
        <is>
          <t>JÄMTLANDS LÄN</t>
        </is>
      </c>
      <c r="E1090" t="inlineStr">
        <is>
          <t>BRÄCKE</t>
        </is>
      </c>
      <c r="F1090" t="inlineStr">
        <is>
          <t>SCA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50722-2025</t>
        </is>
      </c>
      <c r="B1091" s="1" t="n">
        <v>45946.34673611111</v>
      </c>
      <c r="C1091" s="1" t="n">
        <v>46042</v>
      </c>
      <c r="D1091" t="inlineStr">
        <is>
          <t>JÄMTLANDS LÄN</t>
        </is>
      </c>
      <c r="E1091" t="inlineStr">
        <is>
          <t>BRÄCKE</t>
        </is>
      </c>
      <c r="F1091" t="inlineStr">
        <is>
          <t>SCA</t>
        </is>
      </c>
      <c r="G1091" t="n">
        <v>22.7</v>
      </c>
      <c r="H1091" t="n">
        <v>0</v>
      </c>
      <c r="I1091" t="n">
        <v>0</v>
      </c>
      <c r="J1091" t="n">
        <v>0</v>
      </c>
      <c r="K1091" t="n">
        <v>0</v>
      </c>
      <c r="L1091" t="n">
        <v>0</v>
      </c>
      <c r="M1091" t="n">
        <v>0</v>
      </c>
      <c r="N1091" t="n">
        <v>0</v>
      </c>
      <c r="O1091" t="n">
        <v>0</v>
      </c>
      <c r="P1091" t="n">
        <v>0</v>
      </c>
      <c r="Q1091" t="n">
        <v>0</v>
      </c>
      <c r="R1091" s="2" t="inlineStr"/>
    </row>
    <row r="1092" ht="15" customHeight="1">
      <c r="A1092" t="inlineStr">
        <is>
          <t>A 2483-2025</t>
        </is>
      </c>
      <c r="B1092" s="1" t="n">
        <v>45673</v>
      </c>
      <c r="C1092" s="1" t="n">
        <v>46042</v>
      </c>
      <c r="D1092" t="inlineStr">
        <is>
          <t>JÄMTLANDS LÄN</t>
        </is>
      </c>
      <c r="E1092" t="inlineStr">
        <is>
          <t>BRÄCKE</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4887-2025</t>
        </is>
      </c>
      <c r="B1093" s="1" t="n">
        <v>45688.67800925926</v>
      </c>
      <c r="C1093" s="1" t="n">
        <v>46042</v>
      </c>
      <c r="D1093" t="inlineStr">
        <is>
          <t>JÄMTLANDS LÄN</t>
        </is>
      </c>
      <c r="E1093" t="inlineStr">
        <is>
          <t>BRÄCKE</t>
        </is>
      </c>
      <c r="F1093" t="inlineStr">
        <is>
          <t>SCA</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4893-2025</t>
        </is>
      </c>
      <c r="B1094" s="1" t="n">
        <v>45688.67871527778</v>
      </c>
      <c r="C1094" s="1" t="n">
        <v>46042</v>
      </c>
      <c r="D1094" t="inlineStr">
        <is>
          <t>JÄMTLANDS LÄN</t>
        </is>
      </c>
      <c r="E1094" t="inlineStr">
        <is>
          <t>BRÄCKE</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54328-2023</t>
        </is>
      </c>
      <c r="B1095" s="1" t="n">
        <v>45232.95774305556</v>
      </c>
      <c r="C1095" s="1" t="n">
        <v>46042</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37117-2025</t>
        </is>
      </c>
      <c r="B1096" s="1" t="n">
        <v>45875.51163194444</v>
      </c>
      <c r="C1096" s="1" t="n">
        <v>46042</v>
      </c>
      <c r="D1096" t="inlineStr">
        <is>
          <t>JÄMTLANDS LÄN</t>
        </is>
      </c>
      <c r="E1096" t="inlineStr">
        <is>
          <t>BRÄCKE</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37116-2025</t>
        </is>
      </c>
      <c r="B1097" s="1" t="n">
        <v>45875.51150462963</v>
      </c>
      <c r="C1097" s="1" t="n">
        <v>46042</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37093-2025</t>
        </is>
      </c>
      <c r="B1098" s="1" t="n">
        <v>45875.46909722222</v>
      </c>
      <c r="C1098" s="1" t="n">
        <v>46042</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37185-2025</t>
        </is>
      </c>
      <c r="B1099" s="1" t="n">
        <v>45875.63608796296</v>
      </c>
      <c r="C1099" s="1" t="n">
        <v>46042</v>
      </c>
      <c r="D1099" t="inlineStr">
        <is>
          <t>JÄMTLANDS LÄN</t>
        </is>
      </c>
      <c r="E1099" t="inlineStr">
        <is>
          <t>BRÄCKE</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37074-2025</t>
        </is>
      </c>
      <c r="B1100" s="1" t="n">
        <v>45875.40717592592</v>
      </c>
      <c r="C1100" s="1" t="n">
        <v>46042</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29314-2021</t>
        </is>
      </c>
      <c r="B1101" s="1" t="n">
        <v>44361</v>
      </c>
      <c r="C1101" s="1" t="n">
        <v>46042</v>
      </c>
      <c r="D1101" t="inlineStr">
        <is>
          <t>JÄMTLANDS LÄN</t>
        </is>
      </c>
      <c r="E1101" t="inlineStr">
        <is>
          <t>BRÄCKE</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36970-2025</t>
        </is>
      </c>
      <c r="B1102" s="1" t="n">
        <v>45874.63700231481</v>
      </c>
      <c r="C1102" s="1" t="n">
        <v>46042</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8422-2022</t>
        </is>
      </c>
      <c r="B1103" s="1" t="n">
        <v>44610</v>
      </c>
      <c r="C1103" s="1" t="n">
        <v>46042</v>
      </c>
      <c r="D1103" t="inlineStr">
        <is>
          <t>JÄMTLANDS LÄN</t>
        </is>
      </c>
      <c r="E1103" t="inlineStr">
        <is>
          <t>BRÄCKE</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37459-2025</t>
        </is>
      </c>
      <c r="B1104" s="1" t="n">
        <v>45877.57327546296</v>
      </c>
      <c r="C1104" s="1" t="n">
        <v>46042</v>
      </c>
      <c r="D1104" t="inlineStr">
        <is>
          <t>JÄMTLANDS LÄN</t>
        </is>
      </c>
      <c r="E1104" t="inlineStr">
        <is>
          <t>BRÄCKE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37405-2025</t>
        </is>
      </c>
      <c r="B1105" s="1" t="n">
        <v>45877.44858796296</v>
      </c>
      <c r="C1105" s="1" t="n">
        <v>46042</v>
      </c>
      <c r="D1105" t="inlineStr">
        <is>
          <t>JÄMTLANDS LÄN</t>
        </is>
      </c>
      <c r="E1105" t="inlineStr">
        <is>
          <t>BRÄCKE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51612-2025</t>
        </is>
      </c>
      <c r="B1106" s="1" t="n">
        <v>45951.39751157408</v>
      </c>
      <c r="C1106" s="1" t="n">
        <v>46042</v>
      </c>
      <c r="D1106" t="inlineStr">
        <is>
          <t>JÄMTLANDS LÄN</t>
        </is>
      </c>
      <c r="E1106" t="inlineStr">
        <is>
          <t>BRÄCKE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51616-2025</t>
        </is>
      </c>
      <c r="B1107" s="1" t="n">
        <v>45951.40637731482</v>
      </c>
      <c r="C1107" s="1" t="n">
        <v>46042</v>
      </c>
      <c r="D1107" t="inlineStr">
        <is>
          <t>JÄMTLANDS LÄN</t>
        </is>
      </c>
      <c r="E1107" t="inlineStr">
        <is>
          <t>BRÄCKE</t>
        </is>
      </c>
      <c r="G1107" t="n">
        <v>18.9</v>
      </c>
      <c r="H1107" t="n">
        <v>0</v>
      </c>
      <c r="I1107" t="n">
        <v>0</v>
      </c>
      <c r="J1107" t="n">
        <v>0</v>
      </c>
      <c r="K1107" t="n">
        <v>0</v>
      </c>
      <c r="L1107" t="n">
        <v>0</v>
      </c>
      <c r="M1107" t="n">
        <v>0</v>
      </c>
      <c r="N1107" t="n">
        <v>0</v>
      </c>
      <c r="O1107" t="n">
        <v>0</v>
      </c>
      <c r="P1107" t="n">
        <v>0</v>
      </c>
      <c r="Q1107" t="n">
        <v>0</v>
      </c>
      <c r="R1107" s="2" t="inlineStr"/>
    </row>
    <row r="1108" ht="15" customHeight="1">
      <c r="A1108" t="inlineStr">
        <is>
          <t>A 37464-2025</t>
        </is>
      </c>
      <c r="B1108" s="1" t="n">
        <v>45877.57395833333</v>
      </c>
      <c r="C1108" s="1" t="n">
        <v>46042</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51574-2025</t>
        </is>
      </c>
      <c r="B1109" s="1" t="n">
        <v>45951.34423611111</v>
      </c>
      <c r="C1109" s="1" t="n">
        <v>46042</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37377-2025</t>
        </is>
      </c>
      <c r="B1110" s="1" t="n">
        <v>45877.3653125</v>
      </c>
      <c r="C1110" s="1" t="n">
        <v>46042</v>
      </c>
      <c r="D1110" t="inlineStr">
        <is>
          <t>JÄMTLANDS LÄN</t>
        </is>
      </c>
      <c r="E1110" t="inlineStr">
        <is>
          <t>BRÄCKE</t>
        </is>
      </c>
      <c r="F1110" t="inlineStr">
        <is>
          <t>SCA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51614-2025</t>
        </is>
      </c>
      <c r="B1111" s="1" t="n">
        <v>45951.40204861111</v>
      </c>
      <c r="C1111" s="1" t="n">
        <v>46042</v>
      </c>
      <c r="D1111" t="inlineStr">
        <is>
          <t>JÄMTLANDS LÄN</t>
        </is>
      </c>
      <c r="E1111" t="inlineStr">
        <is>
          <t>BRÄCKE</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37394-2025</t>
        </is>
      </c>
      <c r="B1112" s="1" t="n">
        <v>45877.4275462963</v>
      </c>
      <c r="C1112" s="1" t="n">
        <v>46042</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37412-2025</t>
        </is>
      </c>
      <c r="B1113" s="1" t="n">
        <v>45877.46915509259</v>
      </c>
      <c r="C1113" s="1" t="n">
        <v>46042</v>
      </c>
      <c r="D1113" t="inlineStr">
        <is>
          <t>JÄMTLANDS LÄN</t>
        </is>
      </c>
      <c r="E1113" t="inlineStr">
        <is>
          <t>BRÄCKE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37403-2025</t>
        </is>
      </c>
      <c r="B1114" s="1" t="n">
        <v>45877.44828703703</v>
      </c>
      <c r="C1114" s="1" t="n">
        <v>46042</v>
      </c>
      <c r="D1114" t="inlineStr">
        <is>
          <t>JÄMTLANDS LÄN</t>
        </is>
      </c>
      <c r="E1114" t="inlineStr">
        <is>
          <t>BRÄCKE</t>
        </is>
      </c>
      <c r="F1114" t="inlineStr">
        <is>
          <t>SCA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37411-2025</t>
        </is>
      </c>
      <c r="B1115" s="1" t="n">
        <v>45877.46912037037</v>
      </c>
      <c r="C1115" s="1" t="n">
        <v>46042</v>
      </c>
      <c r="D1115" t="inlineStr">
        <is>
          <t>JÄMTLANDS LÄN</t>
        </is>
      </c>
      <c r="E1115" t="inlineStr">
        <is>
          <t>BRÄCKE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37460-2025</t>
        </is>
      </c>
      <c r="B1116" s="1" t="n">
        <v>45877.57342592593</v>
      </c>
      <c r="C1116" s="1" t="n">
        <v>46042</v>
      </c>
      <c r="D1116" t="inlineStr">
        <is>
          <t>JÄMTLANDS LÄN</t>
        </is>
      </c>
      <c r="E1116" t="inlineStr">
        <is>
          <t>BRÄCKE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51452-2025</t>
        </is>
      </c>
      <c r="B1117" s="1" t="n">
        <v>45950.59430555555</v>
      </c>
      <c r="C1117" s="1" t="n">
        <v>46042</v>
      </c>
      <c r="D1117" t="inlineStr">
        <is>
          <t>JÄMTLANDS LÄN</t>
        </is>
      </c>
      <c r="E1117" t="inlineStr">
        <is>
          <t>BRÄCKE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37241-2025</t>
        </is>
      </c>
      <c r="B1118" s="1" t="n">
        <v>45876.38599537037</v>
      </c>
      <c r="C1118" s="1" t="n">
        <v>46042</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51620-2025</t>
        </is>
      </c>
      <c r="B1119" s="1" t="n">
        <v>45951.4128125</v>
      </c>
      <c r="C1119" s="1" t="n">
        <v>46042</v>
      </c>
      <c r="D1119" t="inlineStr">
        <is>
          <t>JÄMTLANDS LÄN</t>
        </is>
      </c>
      <c r="E1119" t="inlineStr">
        <is>
          <t>BRÄCKE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51623-2025</t>
        </is>
      </c>
      <c r="B1120" s="1" t="n">
        <v>45951.41578703704</v>
      </c>
      <c r="C1120" s="1" t="n">
        <v>46042</v>
      </c>
      <c r="D1120" t="inlineStr">
        <is>
          <t>JÄMTLANDS LÄN</t>
        </is>
      </c>
      <c r="E1120" t="inlineStr">
        <is>
          <t>BRÄCKE</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37423-2025</t>
        </is>
      </c>
      <c r="B1121" s="1" t="n">
        <v>45877.48996527777</v>
      </c>
      <c r="C1121" s="1" t="n">
        <v>46042</v>
      </c>
      <c r="D1121" t="inlineStr">
        <is>
          <t>JÄMTLANDS LÄN</t>
        </is>
      </c>
      <c r="E1121" t="inlineStr">
        <is>
          <t>BRÄCKE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51619-2025</t>
        </is>
      </c>
      <c r="B1122" s="1" t="n">
        <v>45951.41025462963</v>
      </c>
      <c r="C1122" s="1" t="n">
        <v>46042</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51625-2025</t>
        </is>
      </c>
      <c r="B1123" s="1" t="n">
        <v>45951.41704861111</v>
      </c>
      <c r="C1123" s="1" t="n">
        <v>46042</v>
      </c>
      <c r="D1123" t="inlineStr">
        <is>
          <t>JÄMTLANDS LÄN</t>
        </is>
      </c>
      <c r="E1123" t="inlineStr">
        <is>
          <t>BRÄCKE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40765-2023</t>
        </is>
      </c>
      <c r="B1124" s="1" t="n">
        <v>45170</v>
      </c>
      <c r="C1124" s="1" t="n">
        <v>46042</v>
      </c>
      <c r="D1124" t="inlineStr">
        <is>
          <t>JÄMTLANDS LÄN</t>
        </is>
      </c>
      <c r="E1124" t="inlineStr">
        <is>
          <t>BRÄCKE</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37974-2025</t>
        </is>
      </c>
      <c r="B1125" s="1" t="n">
        <v>45881.67743055556</v>
      </c>
      <c r="C1125" s="1" t="n">
        <v>46042</v>
      </c>
      <c r="D1125" t="inlineStr">
        <is>
          <t>JÄMTLANDS LÄN</t>
        </is>
      </c>
      <c r="E1125" t="inlineStr">
        <is>
          <t>BRÄCKE</t>
        </is>
      </c>
      <c r="F1125" t="inlineStr">
        <is>
          <t>SCA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51777-2025</t>
        </is>
      </c>
      <c r="B1126" s="1" t="n">
        <v>45951.65680555555</v>
      </c>
      <c r="C1126" s="1" t="n">
        <v>46042</v>
      </c>
      <c r="D1126" t="inlineStr">
        <is>
          <t>JÄMTLANDS LÄN</t>
        </is>
      </c>
      <c r="E1126" t="inlineStr">
        <is>
          <t>BRÄCKE</t>
        </is>
      </c>
      <c r="F1126" t="inlineStr">
        <is>
          <t>SCA</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58082-2023</t>
        </is>
      </c>
      <c r="B1127" s="1" t="n">
        <v>45247.96538194444</v>
      </c>
      <c r="C1127" s="1" t="n">
        <v>46042</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58083-2023</t>
        </is>
      </c>
      <c r="B1128" s="1" t="n">
        <v>45247</v>
      </c>
      <c r="C1128" s="1" t="n">
        <v>46042</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37887-2025</t>
        </is>
      </c>
      <c r="B1129" s="1" t="n">
        <v>45881.51099537037</v>
      </c>
      <c r="C1129" s="1" t="n">
        <v>46042</v>
      </c>
      <c r="D1129" t="inlineStr">
        <is>
          <t>JÄMTLANDS LÄN</t>
        </is>
      </c>
      <c r="E1129" t="inlineStr">
        <is>
          <t>BRÄCKE</t>
        </is>
      </c>
      <c r="F1129" t="inlineStr">
        <is>
          <t>SCA</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37585-2025</t>
        </is>
      </c>
      <c r="B1130" s="1" t="n">
        <v>45880.40076388889</v>
      </c>
      <c r="C1130" s="1" t="n">
        <v>46042</v>
      </c>
      <c r="D1130" t="inlineStr">
        <is>
          <t>JÄMTLANDS LÄN</t>
        </is>
      </c>
      <c r="E1130" t="inlineStr">
        <is>
          <t>BRÄCKE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22986-2023</t>
        </is>
      </c>
      <c r="B1131" s="1" t="n">
        <v>45072.94140046297</v>
      </c>
      <c r="C1131" s="1" t="n">
        <v>46042</v>
      </c>
      <c r="D1131" t="inlineStr">
        <is>
          <t>JÄMTLANDS LÄN</t>
        </is>
      </c>
      <c r="E1131" t="inlineStr">
        <is>
          <t>BRÄCKE</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52202-2025</t>
        </is>
      </c>
      <c r="B1132" s="1" t="n">
        <v>45953.40715277778</v>
      </c>
      <c r="C1132" s="1" t="n">
        <v>46042</v>
      </c>
      <c r="D1132" t="inlineStr">
        <is>
          <t>JÄMTLANDS LÄN</t>
        </is>
      </c>
      <c r="E1132" t="inlineStr">
        <is>
          <t>BRÄCKE</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37709-2025</t>
        </is>
      </c>
      <c r="B1133" s="1" t="n">
        <v>45880.59458333333</v>
      </c>
      <c r="C1133" s="1" t="n">
        <v>46042</v>
      </c>
      <c r="D1133" t="inlineStr">
        <is>
          <t>JÄMTLANDS LÄN</t>
        </is>
      </c>
      <c r="E1133" t="inlineStr">
        <is>
          <t>BRÄCKE</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1799-2024</t>
        </is>
      </c>
      <c r="B1134" s="1" t="n">
        <v>45307</v>
      </c>
      <c r="C1134" s="1" t="n">
        <v>46042</v>
      </c>
      <c r="D1134" t="inlineStr">
        <is>
          <t>JÄMTLANDS LÄN</t>
        </is>
      </c>
      <c r="E1134" t="inlineStr">
        <is>
          <t>BRÄCKE</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37938-2025</t>
        </is>
      </c>
      <c r="B1135" s="1" t="n">
        <v>45880</v>
      </c>
      <c r="C1135" s="1" t="n">
        <v>46042</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51965-2025</t>
        </is>
      </c>
      <c r="B1136" s="1" t="n">
        <v>45952.55327546296</v>
      </c>
      <c r="C1136" s="1" t="n">
        <v>46042</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50151-2023</t>
        </is>
      </c>
      <c r="B1137" s="1" t="n">
        <v>45208</v>
      </c>
      <c r="C1137" s="1" t="n">
        <v>46042</v>
      </c>
      <c r="D1137" t="inlineStr">
        <is>
          <t>JÄMTLANDS LÄN</t>
        </is>
      </c>
      <c r="E1137" t="inlineStr">
        <is>
          <t>BRÄCKE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52157-2025</t>
        </is>
      </c>
      <c r="B1138" s="1" t="n">
        <v>45953.3558912037</v>
      </c>
      <c r="C1138" s="1" t="n">
        <v>46042</v>
      </c>
      <c r="D1138" t="inlineStr">
        <is>
          <t>JÄMTLANDS LÄN</t>
        </is>
      </c>
      <c r="E1138" t="inlineStr">
        <is>
          <t>BRÄCKE</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38030-2025</t>
        </is>
      </c>
      <c r="B1139" s="1" t="n">
        <v>45882.36521990741</v>
      </c>
      <c r="C1139" s="1" t="n">
        <v>46042</v>
      </c>
      <c r="D1139" t="inlineStr">
        <is>
          <t>JÄMTLANDS LÄN</t>
        </is>
      </c>
      <c r="E1139" t="inlineStr">
        <is>
          <t>BRÄCKE</t>
        </is>
      </c>
      <c r="F1139" t="inlineStr">
        <is>
          <t>SCA</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51858-2025</t>
        </is>
      </c>
      <c r="B1140" s="1" t="n">
        <v>45952.36511574074</v>
      </c>
      <c r="C1140" s="1" t="n">
        <v>46042</v>
      </c>
      <c r="D1140" t="inlineStr">
        <is>
          <t>JÄMTLANDS LÄN</t>
        </is>
      </c>
      <c r="E1140" t="inlineStr">
        <is>
          <t>BRÄCKE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38324-2025</t>
        </is>
      </c>
      <c r="B1141" s="1" t="n">
        <v>45883.49037037037</v>
      </c>
      <c r="C1141" s="1" t="n">
        <v>46042</v>
      </c>
      <c r="D1141" t="inlineStr">
        <is>
          <t>JÄMTLANDS LÄN</t>
        </is>
      </c>
      <c r="E1141" t="inlineStr">
        <is>
          <t>BRÄCKE</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52344-2025</t>
        </is>
      </c>
      <c r="B1142" s="1" t="n">
        <v>45953.71978009259</v>
      </c>
      <c r="C1142" s="1" t="n">
        <v>46042</v>
      </c>
      <c r="D1142" t="inlineStr">
        <is>
          <t>JÄMTLANDS LÄN</t>
        </is>
      </c>
      <c r="E1142" t="inlineStr">
        <is>
          <t>BRÄCKE</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38072-2025</t>
        </is>
      </c>
      <c r="B1143" s="1" t="n">
        <v>45882</v>
      </c>
      <c r="C1143" s="1" t="n">
        <v>46042</v>
      </c>
      <c r="D1143" t="inlineStr">
        <is>
          <t>JÄMTLANDS LÄN</t>
        </is>
      </c>
      <c r="E1143" t="inlineStr">
        <is>
          <t>BRÄCKE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52342-2025</t>
        </is>
      </c>
      <c r="B1144" s="1" t="n">
        <v>45953.71928240741</v>
      </c>
      <c r="C1144" s="1" t="n">
        <v>46042</v>
      </c>
      <c r="D1144" t="inlineStr">
        <is>
          <t>JÄMTLANDS LÄN</t>
        </is>
      </c>
      <c r="E1144" t="inlineStr">
        <is>
          <t>BRÄCKE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52343-2025</t>
        </is>
      </c>
      <c r="B1145" s="1" t="n">
        <v>45953.71953703704</v>
      </c>
      <c r="C1145" s="1" t="n">
        <v>46042</v>
      </c>
      <c r="D1145" t="inlineStr">
        <is>
          <t>JÄMTLANDS LÄN</t>
        </is>
      </c>
      <c r="E1145" t="inlineStr">
        <is>
          <t>BRÄCKE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52345-2025</t>
        </is>
      </c>
      <c r="B1146" s="1" t="n">
        <v>45953.71998842592</v>
      </c>
      <c r="C1146" s="1" t="n">
        <v>46042</v>
      </c>
      <c r="D1146" t="inlineStr">
        <is>
          <t>JÄMTLANDS LÄN</t>
        </is>
      </c>
      <c r="E1146" t="inlineStr">
        <is>
          <t>BRÄCKE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52346-2025</t>
        </is>
      </c>
      <c r="B1147" s="1" t="n">
        <v>45953</v>
      </c>
      <c r="C1147" s="1" t="n">
        <v>46042</v>
      </c>
      <c r="D1147" t="inlineStr">
        <is>
          <t>JÄMTLANDS LÄN</t>
        </is>
      </c>
      <c r="E1147" t="inlineStr">
        <is>
          <t>BRÄCKE</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52347-2025</t>
        </is>
      </c>
      <c r="B1148" s="1" t="n">
        <v>45953.72041666666</v>
      </c>
      <c r="C1148" s="1" t="n">
        <v>46042</v>
      </c>
      <c r="D1148" t="inlineStr">
        <is>
          <t>JÄMTLANDS LÄN</t>
        </is>
      </c>
      <c r="E1148" t="inlineStr">
        <is>
          <t>BRÄCKE</t>
        </is>
      </c>
      <c r="F1148" t="inlineStr">
        <is>
          <t>SCA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38304-2025</t>
        </is>
      </c>
      <c r="B1149" s="1" t="n">
        <v>45883.46912037037</v>
      </c>
      <c r="C1149" s="1" t="n">
        <v>46042</v>
      </c>
      <c r="D1149" t="inlineStr">
        <is>
          <t>JÄMTLANDS LÄN</t>
        </is>
      </c>
      <c r="E1149" t="inlineStr">
        <is>
          <t>BRÄCKE</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38361-2025</t>
        </is>
      </c>
      <c r="B1150" s="1" t="n">
        <v>45883.53303240741</v>
      </c>
      <c r="C1150" s="1" t="n">
        <v>46042</v>
      </c>
      <c r="D1150" t="inlineStr">
        <is>
          <t>JÄMTLANDS LÄN</t>
        </is>
      </c>
      <c r="E1150" t="inlineStr">
        <is>
          <t>BRÄCKE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38456-2025</t>
        </is>
      </c>
      <c r="B1151" s="1" t="n">
        <v>45883.69831018519</v>
      </c>
      <c r="C1151" s="1" t="n">
        <v>46042</v>
      </c>
      <c r="D1151" t="inlineStr">
        <is>
          <t>JÄMTLANDS LÄN</t>
        </is>
      </c>
      <c r="E1151" t="inlineStr">
        <is>
          <t>BRÄCKE</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38326-2025</t>
        </is>
      </c>
      <c r="B1152" s="1" t="n">
        <v>45883.49070601852</v>
      </c>
      <c r="C1152" s="1" t="n">
        <v>46042</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38333-2025</t>
        </is>
      </c>
      <c r="B1153" s="1" t="n">
        <v>45883.49164351852</v>
      </c>
      <c r="C1153" s="1" t="n">
        <v>46042</v>
      </c>
      <c r="D1153" t="inlineStr">
        <is>
          <t>JÄMTLANDS LÄN</t>
        </is>
      </c>
      <c r="E1153" t="inlineStr">
        <is>
          <t>BRÄCKE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38459-2025</t>
        </is>
      </c>
      <c r="B1154" s="1" t="n">
        <v>45883.71927083333</v>
      </c>
      <c r="C1154" s="1" t="n">
        <v>46042</v>
      </c>
      <c r="D1154" t="inlineStr">
        <is>
          <t>JÄMTLANDS LÄN</t>
        </is>
      </c>
      <c r="E1154" t="inlineStr">
        <is>
          <t>BRÄCKE</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51839-2025</t>
        </is>
      </c>
      <c r="B1155" s="1" t="n">
        <v>45952.34472222222</v>
      </c>
      <c r="C1155" s="1" t="n">
        <v>46042</v>
      </c>
      <c r="D1155" t="inlineStr">
        <is>
          <t>JÄMTLANDS LÄN</t>
        </is>
      </c>
      <c r="E1155" t="inlineStr">
        <is>
          <t>BRÄCKE</t>
        </is>
      </c>
      <c r="F1155" t="inlineStr">
        <is>
          <t>SCA</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38095-2025</t>
        </is>
      </c>
      <c r="B1156" s="1" t="n">
        <v>45882.49050925926</v>
      </c>
      <c r="C1156" s="1" t="n">
        <v>46042</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51964-2025</t>
        </is>
      </c>
      <c r="B1157" s="1" t="n">
        <v>45952.55321759259</v>
      </c>
      <c r="C1157" s="1" t="n">
        <v>46042</v>
      </c>
      <c r="D1157" t="inlineStr">
        <is>
          <t>JÄMTLANDS LÄN</t>
        </is>
      </c>
      <c r="E1157" t="inlineStr">
        <is>
          <t>BRÄCKE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48433-2023</t>
        </is>
      </c>
      <c r="B1158" s="1" t="n">
        <v>45205</v>
      </c>
      <c r="C1158" s="1" t="n">
        <v>46042</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38381-2025</t>
        </is>
      </c>
      <c r="B1159" s="1" t="n">
        <v>45883.57380787037</v>
      </c>
      <c r="C1159" s="1" t="n">
        <v>46042</v>
      </c>
      <c r="D1159" t="inlineStr">
        <is>
          <t>JÄMTLANDS LÄN</t>
        </is>
      </c>
      <c r="E1159" t="inlineStr">
        <is>
          <t>BRÄCKE</t>
        </is>
      </c>
      <c r="G1159" t="n">
        <v>11.1</v>
      </c>
      <c r="H1159" t="n">
        <v>0</v>
      </c>
      <c r="I1159" t="n">
        <v>0</v>
      </c>
      <c r="J1159" t="n">
        <v>0</v>
      </c>
      <c r="K1159" t="n">
        <v>0</v>
      </c>
      <c r="L1159" t="n">
        <v>0</v>
      </c>
      <c r="M1159" t="n">
        <v>0</v>
      </c>
      <c r="N1159" t="n">
        <v>0</v>
      </c>
      <c r="O1159" t="n">
        <v>0</v>
      </c>
      <c r="P1159" t="n">
        <v>0</v>
      </c>
      <c r="Q1159" t="n">
        <v>0</v>
      </c>
      <c r="R1159" s="2" t="inlineStr"/>
    </row>
    <row r="1160" ht="15" customHeight="1">
      <c r="A1160" t="inlineStr">
        <is>
          <t>A 48473-2023</t>
        </is>
      </c>
      <c r="B1160" s="1" t="n">
        <v>45206.95770833334</v>
      </c>
      <c r="C1160" s="1" t="n">
        <v>46042</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38329-2025</t>
        </is>
      </c>
      <c r="B1161" s="1" t="n">
        <v>45883.49111111111</v>
      </c>
      <c r="C1161" s="1" t="n">
        <v>46042</v>
      </c>
      <c r="D1161" t="inlineStr">
        <is>
          <t>JÄMTLANDS LÄN</t>
        </is>
      </c>
      <c r="E1161" t="inlineStr">
        <is>
          <t>BRÄCKE</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38123-2025</t>
        </is>
      </c>
      <c r="B1162" s="1" t="n">
        <v>45882.55259259259</v>
      </c>
      <c r="C1162" s="1" t="n">
        <v>46042</v>
      </c>
      <c r="D1162" t="inlineStr">
        <is>
          <t>JÄMTLANDS LÄN</t>
        </is>
      </c>
      <c r="E1162" t="inlineStr">
        <is>
          <t>BRÄCKE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38378-2025</t>
        </is>
      </c>
      <c r="B1163" s="1" t="n">
        <v>45883.57368055556</v>
      </c>
      <c r="C1163" s="1" t="n">
        <v>46042</v>
      </c>
      <c r="D1163" t="inlineStr">
        <is>
          <t>JÄMTLANDS LÄN</t>
        </is>
      </c>
      <c r="E1163" t="inlineStr">
        <is>
          <t>BRÄCKE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38391-2025</t>
        </is>
      </c>
      <c r="B1164" s="1" t="n">
        <v>45883.57501157407</v>
      </c>
      <c r="C1164" s="1" t="n">
        <v>46042</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19342-2025</t>
        </is>
      </c>
      <c r="B1165" s="1" t="n">
        <v>45769.59520833333</v>
      </c>
      <c r="C1165" s="1" t="n">
        <v>46042</v>
      </c>
      <c r="D1165" t="inlineStr">
        <is>
          <t>JÄMTLANDS LÄN</t>
        </is>
      </c>
      <c r="E1165" t="inlineStr">
        <is>
          <t>BRÄCKE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52468-2025</t>
        </is>
      </c>
      <c r="B1166" s="1" t="n">
        <v>45954.44833333333</v>
      </c>
      <c r="C1166" s="1" t="n">
        <v>46042</v>
      </c>
      <c r="D1166" t="inlineStr">
        <is>
          <t>JÄMTLANDS LÄN</t>
        </is>
      </c>
      <c r="E1166" t="inlineStr">
        <is>
          <t>BRÄCKE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38328-2025</t>
        </is>
      </c>
      <c r="B1167" s="1" t="n">
        <v>45883.4909837963</v>
      </c>
      <c r="C1167" s="1" t="n">
        <v>46042</v>
      </c>
      <c r="D1167" t="inlineStr">
        <is>
          <t>JÄMTLANDS LÄN</t>
        </is>
      </c>
      <c r="E1167" t="inlineStr">
        <is>
          <t>BRÄCKE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38358-2025</t>
        </is>
      </c>
      <c r="B1168" s="1" t="n">
        <v>45883.5327662037</v>
      </c>
      <c r="C1168" s="1" t="n">
        <v>46042</v>
      </c>
      <c r="D1168" t="inlineStr">
        <is>
          <t>JÄMTLANDS LÄN</t>
        </is>
      </c>
      <c r="E1168" t="inlineStr">
        <is>
          <t>BRÄCKE</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38025-2025</t>
        </is>
      </c>
      <c r="B1169" s="1" t="n">
        <v>45882.34527777778</v>
      </c>
      <c r="C1169" s="1" t="n">
        <v>46042</v>
      </c>
      <c r="D1169" t="inlineStr">
        <is>
          <t>JÄMTLANDS LÄN</t>
        </is>
      </c>
      <c r="E1169" t="inlineStr">
        <is>
          <t>BRÄCKE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10476-2022</t>
        </is>
      </c>
      <c r="B1170" s="1" t="n">
        <v>44623</v>
      </c>
      <c r="C1170" s="1" t="n">
        <v>46042</v>
      </c>
      <c r="D1170" t="inlineStr">
        <is>
          <t>JÄMTLANDS LÄN</t>
        </is>
      </c>
      <c r="E1170" t="inlineStr">
        <is>
          <t>BRÄCKE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10542-2022</t>
        </is>
      </c>
      <c r="B1171" s="1" t="n">
        <v>44623.92204861111</v>
      </c>
      <c r="C1171" s="1" t="n">
        <v>46042</v>
      </c>
      <c r="D1171" t="inlineStr">
        <is>
          <t>JÄMTLANDS LÄN</t>
        </is>
      </c>
      <c r="E1171" t="inlineStr">
        <is>
          <t>BRÄCKE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38245-2025</t>
        </is>
      </c>
      <c r="B1172" s="1" t="n">
        <v>45883.36563657408</v>
      </c>
      <c r="C1172" s="1" t="n">
        <v>46042</v>
      </c>
      <c r="D1172" t="inlineStr">
        <is>
          <t>JÄMTLANDS LÄN</t>
        </is>
      </c>
      <c r="E1172" t="inlineStr">
        <is>
          <t>BRÄCKE</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52771-2025</t>
        </is>
      </c>
      <c r="B1173" s="1" t="n">
        <v>45957.41019675926</v>
      </c>
      <c r="C1173" s="1" t="n">
        <v>46042</v>
      </c>
      <c r="D1173" t="inlineStr">
        <is>
          <t>JÄMTLANDS LÄN</t>
        </is>
      </c>
      <c r="E1173" t="inlineStr">
        <is>
          <t>BRÄCKE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38353-2025</t>
        </is>
      </c>
      <c r="B1174" s="1" t="n">
        <v>45883.53201388889</v>
      </c>
      <c r="C1174" s="1" t="n">
        <v>46042</v>
      </c>
      <c r="D1174" t="inlineStr">
        <is>
          <t>JÄMTLANDS LÄN</t>
        </is>
      </c>
      <c r="E1174" t="inlineStr">
        <is>
          <t>BRÄCKE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37824-2025</t>
        </is>
      </c>
      <c r="B1175" s="1" t="n">
        <v>45881.40686342592</v>
      </c>
      <c r="C1175" s="1" t="n">
        <v>46042</v>
      </c>
      <c r="D1175" t="inlineStr">
        <is>
          <t>JÄMTLANDS LÄN</t>
        </is>
      </c>
      <c r="E1175" t="inlineStr">
        <is>
          <t>BRÄCKE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32636-2024</t>
        </is>
      </c>
      <c r="B1176" s="1" t="n">
        <v>45513.96137731482</v>
      </c>
      <c r="C1176" s="1" t="n">
        <v>46042</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52991-2025</t>
        </is>
      </c>
      <c r="B1177" s="1" t="n">
        <v>45957.71960648148</v>
      </c>
      <c r="C1177" s="1" t="n">
        <v>46042</v>
      </c>
      <c r="D1177" t="inlineStr">
        <is>
          <t>JÄMTLANDS LÄN</t>
        </is>
      </c>
      <c r="E1177" t="inlineStr">
        <is>
          <t>BRÄCKE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38278-2025</t>
        </is>
      </c>
      <c r="B1178" s="1" t="n">
        <v>45883.41405092592</v>
      </c>
      <c r="C1178" s="1" t="n">
        <v>46042</v>
      </c>
      <c r="D1178" t="inlineStr">
        <is>
          <t>JÄMTLANDS LÄN</t>
        </is>
      </c>
      <c r="E1178" t="inlineStr">
        <is>
          <t>BRÄCKE</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49861-2022</t>
        </is>
      </c>
      <c r="B1179" s="1" t="n">
        <v>44862</v>
      </c>
      <c r="C1179" s="1" t="n">
        <v>46042</v>
      </c>
      <c r="D1179" t="inlineStr">
        <is>
          <t>JÄMTLANDS LÄN</t>
        </is>
      </c>
      <c r="E1179" t="inlineStr">
        <is>
          <t>BRÄCKE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38352-2025</t>
        </is>
      </c>
      <c r="B1180" s="1" t="n">
        <v>45883.53186342592</v>
      </c>
      <c r="C1180" s="1" t="n">
        <v>46042</v>
      </c>
      <c r="D1180" t="inlineStr">
        <is>
          <t>JÄMTLANDS LÄN</t>
        </is>
      </c>
      <c r="E1180" t="inlineStr">
        <is>
          <t>BRÄCKE</t>
        </is>
      </c>
      <c r="F1180" t="inlineStr">
        <is>
          <t>SCA</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38379-2025</t>
        </is>
      </c>
      <c r="B1181" s="1" t="n">
        <v>45883.57377314815</v>
      </c>
      <c r="C1181" s="1" t="n">
        <v>46042</v>
      </c>
      <c r="D1181" t="inlineStr">
        <is>
          <t>JÄMTLANDS LÄN</t>
        </is>
      </c>
      <c r="E1181" t="inlineStr">
        <is>
          <t>BRÄCKE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20003-2024</t>
        </is>
      </c>
      <c r="B1182" s="1" t="n">
        <v>45433.94275462963</v>
      </c>
      <c r="C1182" s="1" t="n">
        <v>46042</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20009-2024</t>
        </is>
      </c>
      <c r="B1183" s="1" t="n">
        <v>45433.94325231481</v>
      </c>
      <c r="C1183" s="1" t="n">
        <v>46042</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52476-2025</t>
        </is>
      </c>
      <c r="B1184" s="1" t="n">
        <v>45954.46921296296</v>
      </c>
      <c r="C1184" s="1" t="n">
        <v>46042</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38461-2025</t>
        </is>
      </c>
      <c r="B1185" s="1" t="n">
        <v>45883.71962962963</v>
      </c>
      <c r="C1185" s="1" t="n">
        <v>46042</v>
      </c>
      <c r="D1185" t="inlineStr">
        <is>
          <t>JÄMTLANDS LÄN</t>
        </is>
      </c>
      <c r="E1185" t="inlineStr">
        <is>
          <t>BRÄCKE</t>
        </is>
      </c>
      <c r="F1185" t="inlineStr">
        <is>
          <t>SCA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38241-2025</t>
        </is>
      </c>
      <c r="B1186" s="1" t="n">
        <v>45883.36541666667</v>
      </c>
      <c r="C1186" s="1" t="n">
        <v>46042</v>
      </c>
      <c r="D1186" t="inlineStr">
        <is>
          <t>JÄMTLANDS LÄN</t>
        </is>
      </c>
      <c r="E1186" t="inlineStr">
        <is>
          <t>BRÄCKE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52798-2025</t>
        </is>
      </c>
      <c r="B1187" s="1" t="n">
        <v>45957.44013888889</v>
      </c>
      <c r="C1187" s="1" t="n">
        <v>46042</v>
      </c>
      <c r="D1187" t="inlineStr">
        <is>
          <t>JÄMTLANDS LÄN</t>
        </is>
      </c>
      <c r="E1187" t="inlineStr">
        <is>
          <t>BRÄCKE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22116-2024</t>
        </is>
      </c>
      <c r="B1188" s="1" t="n">
        <v>45443.95230324074</v>
      </c>
      <c r="C1188" s="1" t="n">
        <v>46042</v>
      </c>
      <c r="D1188" t="inlineStr">
        <is>
          <t>JÄMTLANDS LÄN</t>
        </is>
      </c>
      <c r="E1188" t="inlineStr">
        <is>
          <t>BRÄCKE</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52781-2025</t>
        </is>
      </c>
      <c r="B1189" s="1" t="n">
        <v>45957.4228125</v>
      </c>
      <c r="C1189" s="1" t="n">
        <v>46042</v>
      </c>
      <c r="D1189" t="inlineStr">
        <is>
          <t>JÄMTLANDS LÄN</t>
        </is>
      </c>
      <c r="E1189" t="inlineStr">
        <is>
          <t>BRÄCKE</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53139-2025</t>
        </is>
      </c>
      <c r="B1190" s="1" t="n">
        <v>45958.47019675926</v>
      </c>
      <c r="C1190" s="1" t="n">
        <v>46042</v>
      </c>
      <c r="D1190" t="inlineStr">
        <is>
          <t>JÄMTLANDS LÄN</t>
        </is>
      </c>
      <c r="E1190" t="inlineStr">
        <is>
          <t>BRÄCKE</t>
        </is>
      </c>
      <c r="F1190" t="inlineStr">
        <is>
          <t>Övriga Aktiebolag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57066-2024</t>
        </is>
      </c>
      <c r="B1191" s="1" t="n">
        <v>45629.35359953704</v>
      </c>
      <c r="C1191" s="1" t="n">
        <v>46042</v>
      </c>
      <c r="D1191" t="inlineStr">
        <is>
          <t>JÄMTLANDS LÄN</t>
        </is>
      </c>
      <c r="E1191" t="inlineStr">
        <is>
          <t>BRÄCKE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61171-2025</t>
        </is>
      </c>
      <c r="B1192" s="1" t="n">
        <v>46000.57232638889</v>
      </c>
      <c r="C1192" s="1" t="n">
        <v>46042</v>
      </c>
      <c r="D1192" t="inlineStr">
        <is>
          <t>JÄMTLANDS LÄN</t>
        </is>
      </c>
      <c r="E1192" t="inlineStr">
        <is>
          <t>BRÄCKE</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61787-2023</t>
        </is>
      </c>
      <c r="B1193" s="1" t="n">
        <v>45265.95765046297</v>
      </c>
      <c r="C1193" s="1" t="n">
        <v>46042</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61489-2025</t>
        </is>
      </c>
      <c r="B1194" s="1" t="n">
        <v>46001.63672453703</v>
      </c>
      <c r="C1194" s="1" t="n">
        <v>46042</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61226-2025</t>
        </is>
      </c>
      <c r="B1195" s="1" t="n">
        <v>46000.63048611111</v>
      </c>
      <c r="C1195" s="1" t="n">
        <v>46042</v>
      </c>
      <c r="D1195" t="inlineStr">
        <is>
          <t>JÄMTLANDS LÄN</t>
        </is>
      </c>
      <c r="E1195" t="inlineStr">
        <is>
          <t>BRÄCKE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782-2025</t>
        </is>
      </c>
      <c r="B1196" s="1" t="n">
        <v>45665.48423611111</v>
      </c>
      <c r="C1196" s="1" t="n">
        <v>46042</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38847-2025</t>
        </is>
      </c>
      <c r="B1197" s="1" t="n">
        <v>45887.54438657407</v>
      </c>
      <c r="C1197" s="1" t="n">
        <v>46042</v>
      </c>
      <c r="D1197" t="inlineStr">
        <is>
          <t>JÄMTLANDS LÄN</t>
        </is>
      </c>
      <c r="E1197" t="inlineStr">
        <is>
          <t>BRÄCKE</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54447-2023</t>
        </is>
      </c>
      <c r="B1198" s="1" t="n">
        <v>45233.44271990741</v>
      </c>
      <c r="C1198" s="1" t="n">
        <v>46042</v>
      </c>
      <c r="D1198" t="inlineStr">
        <is>
          <t>JÄMTLANDS LÄN</t>
        </is>
      </c>
      <c r="E1198" t="inlineStr">
        <is>
          <t>BRÄCKE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41936-2023</t>
        </is>
      </c>
      <c r="B1199" s="1" t="n">
        <v>45176.94594907408</v>
      </c>
      <c r="C1199" s="1" t="n">
        <v>46042</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53138-2025</t>
        </is>
      </c>
      <c r="B1200" s="1" t="n">
        <v>45958.47013888889</v>
      </c>
      <c r="C1200" s="1" t="n">
        <v>46042</v>
      </c>
      <c r="D1200" t="inlineStr">
        <is>
          <t>JÄMTLANDS LÄN</t>
        </is>
      </c>
      <c r="E1200" t="inlineStr">
        <is>
          <t>BRÄCKE</t>
        </is>
      </c>
      <c r="F1200" t="inlineStr">
        <is>
          <t>Övriga Aktiebolag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53210-2025</t>
        </is>
      </c>
      <c r="B1201" s="1" t="n">
        <v>45958.59469907408</v>
      </c>
      <c r="C1201" s="1" t="n">
        <v>46042</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53168-2025</t>
        </is>
      </c>
      <c r="B1202" s="1" t="n">
        <v>45958.51083333333</v>
      </c>
      <c r="C1202" s="1" t="n">
        <v>46042</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61190-2025</t>
        </is>
      </c>
      <c r="B1203" s="1" t="n">
        <v>46000.59221064814</v>
      </c>
      <c r="C1203" s="1" t="n">
        <v>46042</v>
      </c>
      <c r="D1203" t="inlineStr">
        <is>
          <t>JÄMTLANDS LÄN</t>
        </is>
      </c>
      <c r="E1203" t="inlineStr">
        <is>
          <t>BRÄCKE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61196-2025</t>
        </is>
      </c>
      <c r="B1204" s="1" t="n">
        <v>46000.60346064815</v>
      </c>
      <c r="C1204" s="1" t="n">
        <v>46042</v>
      </c>
      <c r="D1204" t="inlineStr">
        <is>
          <t>JÄMTLANDS LÄN</t>
        </is>
      </c>
      <c r="E1204" t="inlineStr">
        <is>
          <t>BRÄCKE</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53140-2025</t>
        </is>
      </c>
      <c r="B1205" s="1" t="n">
        <v>45958.4703125</v>
      </c>
      <c r="C1205" s="1" t="n">
        <v>46042</v>
      </c>
      <c r="D1205" t="inlineStr">
        <is>
          <t>JÄMTLANDS LÄN</t>
        </is>
      </c>
      <c r="E1205" t="inlineStr">
        <is>
          <t>BRÄCKE</t>
        </is>
      </c>
      <c r="F1205" t="inlineStr">
        <is>
          <t>Övriga Aktiebolag</t>
        </is>
      </c>
      <c r="G1205" t="n">
        <v>12.1</v>
      </c>
      <c r="H1205" t="n">
        <v>0</v>
      </c>
      <c r="I1205" t="n">
        <v>0</v>
      </c>
      <c r="J1205" t="n">
        <v>0</v>
      </c>
      <c r="K1205" t="n">
        <v>0</v>
      </c>
      <c r="L1205" t="n">
        <v>0</v>
      </c>
      <c r="M1205" t="n">
        <v>0</v>
      </c>
      <c r="N1205" t="n">
        <v>0</v>
      </c>
      <c r="O1205" t="n">
        <v>0</v>
      </c>
      <c r="P1205" t="n">
        <v>0</v>
      </c>
      <c r="Q1205" t="n">
        <v>0</v>
      </c>
      <c r="R1205" s="2" t="inlineStr"/>
    </row>
    <row r="1206" ht="15" customHeight="1">
      <c r="A1206" t="inlineStr">
        <is>
          <t>A 53352-2025</t>
        </is>
      </c>
      <c r="B1206" s="1" t="n">
        <v>45959.44840277778</v>
      </c>
      <c r="C1206" s="1" t="n">
        <v>46042</v>
      </c>
      <c r="D1206" t="inlineStr">
        <is>
          <t>JÄMTLANDS LÄN</t>
        </is>
      </c>
      <c r="E1206" t="inlineStr">
        <is>
          <t>BRÄCKE</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59419-2023</t>
        </is>
      </c>
      <c r="B1207" s="1" t="n">
        <v>45253.96864583333</v>
      </c>
      <c r="C1207" s="1" t="n">
        <v>46042</v>
      </c>
      <c r="D1207" t="inlineStr">
        <is>
          <t>JÄMTLANDS LÄN</t>
        </is>
      </c>
      <c r="E1207" t="inlineStr">
        <is>
          <t>BRÄCKE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8865-2023</t>
        </is>
      </c>
      <c r="B1208" s="1" t="n">
        <v>44978</v>
      </c>
      <c r="C1208" s="1" t="n">
        <v>46042</v>
      </c>
      <c r="D1208" t="inlineStr">
        <is>
          <t>JÄMTLANDS LÄN</t>
        </is>
      </c>
      <c r="E1208" t="inlineStr">
        <is>
          <t>BRÄCKE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53197-2025</t>
        </is>
      </c>
      <c r="B1209" s="1" t="n">
        <v>45958.57358796296</v>
      </c>
      <c r="C1209" s="1" t="n">
        <v>46042</v>
      </c>
      <c r="D1209" t="inlineStr">
        <is>
          <t>JÄMTLANDS LÄN</t>
        </is>
      </c>
      <c r="E1209" t="inlineStr">
        <is>
          <t>BRÄCKE</t>
        </is>
      </c>
      <c r="F1209" t="inlineStr">
        <is>
          <t>SCA</t>
        </is>
      </c>
      <c r="G1209" t="n">
        <v>43.4</v>
      </c>
      <c r="H1209" t="n">
        <v>0</v>
      </c>
      <c r="I1209" t="n">
        <v>0</v>
      </c>
      <c r="J1209" t="n">
        <v>0</v>
      </c>
      <c r="K1209" t="n">
        <v>0</v>
      </c>
      <c r="L1209" t="n">
        <v>0</v>
      </c>
      <c r="M1209" t="n">
        <v>0</v>
      </c>
      <c r="N1209" t="n">
        <v>0</v>
      </c>
      <c r="O1209" t="n">
        <v>0</v>
      </c>
      <c r="P1209" t="n">
        <v>0</v>
      </c>
      <c r="Q1209" t="n">
        <v>0</v>
      </c>
      <c r="R1209" s="2" t="inlineStr"/>
    </row>
    <row r="1210" ht="15" customHeight="1">
      <c r="A1210" t="inlineStr">
        <is>
          <t>A 53270-2025</t>
        </is>
      </c>
      <c r="B1210" s="1" t="n">
        <v>45958.70261574074</v>
      </c>
      <c r="C1210" s="1" t="n">
        <v>46042</v>
      </c>
      <c r="D1210" t="inlineStr">
        <is>
          <t>JÄMTLANDS LÄN</t>
        </is>
      </c>
      <c r="E1210" t="inlineStr">
        <is>
          <t>BRÄCKE</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53185-2025</t>
        </is>
      </c>
      <c r="B1211" s="1" t="n">
        <v>45958.55537037037</v>
      </c>
      <c r="C1211" s="1" t="n">
        <v>46042</v>
      </c>
      <c r="D1211" t="inlineStr">
        <is>
          <t>JÄMTLANDS LÄN</t>
        </is>
      </c>
      <c r="E1211" t="inlineStr">
        <is>
          <t>BRÄCKE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53114-2025</t>
        </is>
      </c>
      <c r="B1212" s="1" t="n">
        <v>45958.44440972222</v>
      </c>
      <c r="C1212" s="1" t="n">
        <v>46042</v>
      </c>
      <c r="D1212" t="inlineStr">
        <is>
          <t>JÄMTLANDS LÄN</t>
        </is>
      </c>
      <c r="E1212" t="inlineStr">
        <is>
          <t>BRÄCKE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53169-2025</t>
        </is>
      </c>
      <c r="B1213" s="1" t="n">
        <v>45958.51101851852</v>
      </c>
      <c r="C1213" s="1" t="n">
        <v>46042</v>
      </c>
      <c r="D1213" t="inlineStr">
        <is>
          <t>JÄMTLANDS LÄN</t>
        </is>
      </c>
      <c r="E1213" t="inlineStr">
        <is>
          <t>BRÄCKE</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8958-2023</t>
        </is>
      </c>
      <c r="B1214" s="1" t="n">
        <v>44979.47976851852</v>
      </c>
      <c r="C1214" s="1" t="n">
        <v>46042</v>
      </c>
      <c r="D1214" t="inlineStr">
        <is>
          <t>JÄMTLANDS LÄN</t>
        </is>
      </c>
      <c r="E1214" t="inlineStr">
        <is>
          <t>BRÄCKE</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53943-2025</t>
        </is>
      </c>
      <c r="B1215" s="1" t="n">
        <v>45961.48997685185</v>
      </c>
      <c r="C1215" s="1" t="n">
        <v>46042</v>
      </c>
      <c r="D1215" t="inlineStr">
        <is>
          <t>JÄMTLANDS LÄN</t>
        </is>
      </c>
      <c r="E1215" t="inlineStr">
        <is>
          <t>BRÄCKE</t>
        </is>
      </c>
      <c r="F1215" t="inlineStr">
        <is>
          <t>SCA</t>
        </is>
      </c>
      <c r="G1215" t="n">
        <v>14.2</v>
      </c>
      <c r="H1215" t="n">
        <v>0</v>
      </c>
      <c r="I1215" t="n">
        <v>0</v>
      </c>
      <c r="J1215" t="n">
        <v>0</v>
      </c>
      <c r="K1215" t="n">
        <v>0</v>
      </c>
      <c r="L1215" t="n">
        <v>0</v>
      </c>
      <c r="M1215" t="n">
        <v>0</v>
      </c>
      <c r="N1215" t="n">
        <v>0</v>
      </c>
      <c r="O1215" t="n">
        <v>0</v>
      </c>
      <c r="P1215" t="n">
        <v>0</v>
      </c>
      <c r="Q1215" t="n">
        <v>0</v>
      </c>
      <c r="R1215" s="2" t="inlineStr"/>
    </row>
    <row r="1216" ht="15" customHeight="1">
      <c r="A1216" t="inlineStr">
        <is>
          <t>A 6768-2023</t>
        </is>
      </c>
      <c r="B1216" s="1" t="n">
        <v>44966.93079861111</v>
      </c>
      <c r="C1216" s="1" t="n">
        <v>46042</v>
      </c>
      <c r="D1216" t="inlineStr">
        <is>
          <t>JÄMTLANDS LÄN</t>
        </is>
      </c>
      <c r="E1216" t="inlineStr">
        <is>
          <t>BRÄCKE</t>
        </is>
      </c>
      <c r="G1216" t="n">
        <v>3.4</v>
      </c>
      <c r="H1216" t="n">
        <v>0</v>
      </c>
      <c r="I1216" t="n">
        <v>0</v>
      </c>
      <c r="J1216" t="n">
        <v>0</v>
      </c>
      <c r="K1216" t="n">
        <v>0</v>
      </c>
      <c r="L1216" t="n">
        <v>0</v>
      </c>
      <c r="M1216" t="n">
        <v>0</v>
      </c>
      <c r="N1216" t="n">
        <v>0</v>
      </c>
      <c r="O1216" t="n">
        <v>0</v>
      </c>
      <c r="P1216" t="n">
        <v>0</v>
      </c>
      <c r="Q1216" t="n">
        <v>0</v>
      </c>
      <c r="R1216" s="2" t="inlineStr"/>
      <c r="U1216">
        <f>HYPERLINK("https://klasma.github.io/Logging_2305/knärot/A 6768-2023 karta knärot.png", "A 6768-2023")</f>
        <v/>
      </c>
      <c r="V1216">
        <f>HYPERLINK("https://klasma.github.io/Logging_2305/klagomål/A 6768-2023 FSC-klagomål.docx", "A 6768-2023")</f>
        <v/>
      </c>
      <c r="W1216">
        <f>HYPERLINK("https://klasma.github.io/Logging_2305/klagomålsmail/A 6768-2023 FSC-klagomål mail.docx", "A 6768-2023")</f>
        <v/>
      </c>
      <c r="X1216">
        <f>HYPERLINK("https://klasma.github.io/Logging_2305/tillsyn/A 6768-2023 tillsynsbegäran.docx", "A 6768-2023")</f>
        <v/>
      </c>
      <c r="Y1216">
        <f>HYPERLINK("https://klasma.github.io/Logging_2305/tillsynsmail/A 6768-2023 tillsynsbegäran mail.docx", "A 6768-2023")</f>
        <v/>
      </c>
    </row>
    <row r="1217" ht="15" customHeight="1">
      <c r="A1217" t="inlineStr">
        <is>
          <t>A 54010-2025</t>
        </is>
      </c>
      <c r="B1217" s="1" t="n">
        <v>45961.6153125</v>
      </c>
      <c r="C1217" s="1" t="n">
        <v>46042</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54011-2025</t>
        </is>
      </c>
      <c r="B1218" s="1" t="n">
        <v>45961.61545138889</v>
      </c>
      <c r="C1218" s="1" t="n">
        <v>46042</v>
      </c>
      <c r="D1218" t="inlineStr">
        <is>
          <t>JÄMTLANDS LÄN</t>
        </is>
      </c>
      <c r="E1218" t="inlineStr">
        <is>
          <t>BRÄCKE</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61903-2025</t>
        </is>
      </c>
      <c r="B1219" s="1" t="n">
        <v>46003.46973379629</v>
      </c>
      <c r="C1219" s="1" t="n">
        <v>46042</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61859-2025</t>
        </is>
      </c>
      <c r="B1220" s="1" t="n">
        <v>46003.38662037037</v>
      </c>
      <c r="C1220" s="1" t="n">
        <v>46042</v>
      </c>
      <c r="D1220" t="inlineStr">
        <is>
          <t>JÄMTLANDS LÄN</t>
        </is>
      </c>
      <c r="E1220" t="inlineStr">
        <is>
          <t>BRÄCKE</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54007-2025</t>
        </is>
      </c>
      <c r="B1221" s="1" t="n">
        <v>45961.61497685185</v>
      </c>
      <c r="C1221" s="1" t="n">
        <v>46042</v>
      </c>
      <c r="D1221" t="inlineStr">
        <is>
          <t>JÄMTLANDS LÄN</t>
        </is>
      </c>
      <c r="E1221" t="inlineStr">
        <is>
          <t>BRÄCKE</t>
        </is>
      </c>
      <c r="F1221" t="inlineStr">
        <is>
          <t>SCA</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45758-2024</t>
        </is>
      </c>
      <c r="B1222" s="1" t="n">
        <v>45579.6357175926</v>
      </c>
      <c r="C1222" s="1" t="n">
        <v>46042</v>
      </c>
      <c r="D1222" t="inlineStr">
        <is>
          <t>JÄMTLANDS LÄN</t>
        </is>
      </c>
      <c r="E1222" t="inlineStr">
        <is>
          <t>BRÄCKE</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48770-2023</t>
        </is>
      </c>
      <c r="B1223" s="1" t="n">
        <v>45208.9489699074</v>
      </c>
      <c r="C1223" s="1" t="n">
        <v>46042</v>
      </c>
      <c r="D1223" t="inlineStr">
        <is>
          <t>JÄMTLANDS LÄN</t>
        </is>
      </c>
      <c r="E1223" t="inlineStr">
        <is>
          <t>BRÄCKE</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48435-2023</t>
        </is>
      </c>
      <c r="B1224" s="1" t="n">
        <v>45205</v>
      </c>
      <c r="C1224" s="1" t="n">
        <v>46042</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48480-2023</t>
        </is>
      </c>
      <c r="B1225" s="1" t="n">
        <v>45206.95831018518</v>
      </c>
      <c r="C1225" s="1" t="n">
        <v>46042</v>
      </c>
      <c r="D1225" t="inlineStr">
        <is>
          <t>JÄMTLANDS LÄN</t>
        </is>
      </c>
      <c r="E1225" t="inlineStr">
        <is>
          <t>BRÄCKE</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45807-2024</t>
        </is>
      </c>
      <c r="B1226" s="1" t="n">
        <v>45579.69815972223</v>
      </c>
      <c r="C1226" s="1" t="n">
        <v>46042</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61587-2025</t>
        </is>
      </c>
      <c r="B1227" s="1" t="n">
        <v>46002.34481481482</v>
      </c>
      <c r="C1227" s="1" t="n">
        <v>46042</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52610-2024</t>
        </is>
      </c>
      <c r="B1228" s="1" t="n">
        <v>45609.78957175926</v>
      </c>
      <c r="C1228" s="1" t="n">
        <v>46042</v>
      </c>
      <c r="D1228" t="inlineStr">
        <is>
          <t>JÄMTLANDS LÄN</t>
        </is>
      </c>
      <c r="E1228" t="inlineStr">
        <is>
          <t>BRÄCKE</t>
        </is>
      </c>
      <c r="G1228" t="n">
        <v>16.7</v>
      </c>
      <c r="H1228" t="n">
        <v>0</v>
      </c>
      <c r="I1228" t="n">
        <v>0</v>
      </c>
      <c r="J1228" t="n">
        <v>0</v>
      </c>
      <c r="K1228" t="n">
        <v>0</v>
      </c>
      <c r="L1228" t="n">
        <v>0</v>
      </c>
      <c r="M1228" t="n">
        <v>0</v>
      </c>
      <c r="N1228" t="n">
        <v>0</v>
      </c>
      <c r="O1228" t="n">
        <v>0</v>
      </c>
      <c r="P1228" t="n">
        <v>0</v>
      </c>
      <c r="Q1228" t="n">
        <v>0</v>
      </c>
      <c r="R1228" s="2" t="inlineStr"/>
    </row>
    <row r="1229" ht="15" customHeight="1">
      <c r="A1229" t="inlineStr">
        <is>
          <t>A 55468-2024</t>
        </is>
      </c>
      <c r="B1229" s="1" t="n">
        <v>45622.43024305555</v>
      </c>
      <c r="C1229" s="1" t="n">
        <v>46042</v>
      </c>
      <c r="D1229" t="inlineStr">
        <is>
          <t>JÄMTLANDS LÄN</t>
        </is>
      </c>
      <c r="E1229" t="inlineStr">
        <is>
          <t>BRÄCKE</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62022-2025</t>
        </is>
      </c>
      <c r="B1230" s="1" t="n">
        <v>46003.69835648148</v>
      </c>
      <c r="C1230" s="1" t="n">
        <v>46042</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54009-2025</t>
        </is>
      </c>
      <c r="B1231" s="1" t="n">
        <v>45961.61516203704</v>
      </c>
      <c r="C1231" s="1" t="n">
        <v>46042</v>
      </c>
      <c r="D1231" t="inlineStr">
        <is>
          <t>JÄMTLANDS LÄN</t>
        </is>
      </c>
      <c r="E1231" t="inlineStr">
        <is>
          <t>BRÄCKE</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39937-2022</t>
        </is>
      </c>
      <c r="B1232" s="1" t="n">
        <v>44819.9487962963</v>
      </c>
      <c r="C1232" s="1" t="n">
        <v>46042</v>
      </c>
      <c r="D1232" t="inlineStr">
        <is>
          <t>JÄMTLANDS LÄN</t>
        </is>
      </c>
      <c r="E1232" t="inlineStr">
        <is>
          <t>BRÄCKE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4121-2025</t>
        </is>
      </c>
      <c r="B1233" s="1" t="n">
        <v>45685.26607638889</v>
      </c>
      <c r="C1233" s="1" t="n">
        <v>46042</v>
      </c>
      <c r="D1233" t="inlineStr">
        <is>
          <t>JÄMTLANDS LÄN</t>
        </is>
      </c>
      <c r="E1233" t="inlineStr">
        <is>
          <t>BRÄCKE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62023-2025</t>
        </is>
      </c>
      <c r="B1234" s="1" t="n">
        <v>46003.69858796296</v>
      </c>
      <c r="C1234" s="1" t="n">
        <v>46042</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60954-2023</t>
        </is>
      </c>
      <c r="B1235" s="1" t="n">
        <v>45261.45638888889</v>
      </c>
      <c r="C1235" s="1" t="n">
        <v>46042</v>
      </c>
      <c r="D1235" t="inlineStr">
        <is>
          <t>JÄMTLANDS LÄN</t>
        </is>
      </c>
      <c r="E1235" t="inlineStr">
        <is>
          <t>BRÄCKE</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61862-2025</t>
        </is>
      </c>
      <c r="B1236" s="1" t="n">
        <v>46003.38708333333</v>
      </c>
      <c r="C1236" s="1" t="n">
        <v>46042</v>
      </c>
      <c r="D1236" t="inlineStr">
        <is>
          <t>JÄMTLANDS LÄN</t>
        </is>
      </c>
      <c r="E1236" t="inlineStr">
        <is>
          <t>BRÄCKE</t>
        </is>
      </c>
      <c r="F1236" t="inlineStr">
        <is>
          <t>SCA</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53829-2025</t>
        </is>
      </c>
      <c r="B1237" s="1" t="n">
        <v>45961.34475694445</v>
      </c>
      <c r="C1237" s="1" t="n">
        <v>46042</v>
      </c>
      <c r="D1237" t="inlineStr">
        <is>
          <t>JÄMTLANDS LÄN</t>
        </is>
      </c>
      <c r="E1237" t="inlineStr">
        <is>
          <t>BRÄCKE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53844-2025</t>
        </is>
      </c>
      <c r="B1238" s="1" t="n">
        <v>45961.36488425926</v>
      </c>
      <c r="C1238" s="1" t="n">
        <v>46042</v>
      </c>
      <c r="D1238" t="inlineStr">
        <is>
          <t>JÄMTLANDS LÄN</t>
        </is>
      </c>
      <c r="E1238" t="inlineStr">
        <is>
          <t>BRÄCKE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53868-2025</t>
        </is>
      </c>
      <c r="B1239" s="1" t="n">
        <v>45961.38594907407</v>
      </c>
      <c r="C1239" s="1" t="n">
        <v>46042</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61827-2025</t>
        </is>
      </c>
      <c r="B1240" s="1" t="n">
        <v>46003.33991898148</v>
      </c>
      <c r="C1240" s="1" t="n">
        <v>46042</v>
      </c>
      <c r="D1240" t="inlineStr">
        <is>
          <t>JÄMTLANDS LÄN</t>
        </is>
      </c>
      <c r="E1240" t="inlineStr">
        <is>
          <t>BRÄCKE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28903-2021</t>
        </is>
      </c>
      <c r="B1241" s="1" t="n">
        <v>44357</v>
      </c>
      <c r="C1241" s="1" t="n">
        <v>46042</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24053-2022</t>
        </is>
      </c>
      <c r="B1242" s="1" t="n">
        <v>44724.93731481482</v>
      </c>
      <c r="C1242" s="1" t="n">
        <v>46042</v>
      </c>
      <c r="D1242" t="inlineStr">
        <is>
          <t>JÄMTLANDS LÄN</t>
        </is>
      </c>
      <c r="E1242" t="inlineStr">
        <is>
          <t>BRÄCKE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62406-2025</t>
        </is>
      </c>
      <c r="B1243" s="1" t="n">
        <v>46007.4287962963</v>
      </c>
      <c r="C1243" s="1" t="n">
        <v>46042</v>
      </c>
      <c r="D1243" t="inlineStr">
        <is>
          <t>JÄMTLANDS LÄN</t>
        </is>
      </c>
      <c r="E1243" t="inlineStr">
        <is>
          <t>BRÄCKE</t>
        </is>
      </c>
      <c r="F1243" t="inlineStr">
        <is>
          <t>Övriga Aktiebolag</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62445-2025</t>
        </is>
      </c>
      <c r="B1244" s="1" t="n">
        <v>46007.484375</v>
      </c>
      <c r="C1244" s="1" t="n">
        <v>46042</v>
      </c>
      <c r="D1244" t="inlineStr">
        <is>
          <t>JÄMTLANDS LÄN</t>
        </is>
      </c>
      <c r="E1244" t="inlineStr">
        <is>
          <t>BRÄCKE</t>
        </is>
      </c>
      <c r="F1244" t="inlineStr">
        <is>
          <t>Övriga Aktiebolag</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62457-2025</t>
        </is>
      </c>
      <c r="B1245" s="1" t="n">
        <v>46007.50248842593</v>
      </c>
      <c r="C1245" s="1" t="n">
        <v>46042</v>
      </c>
      <c r="D1245" t="inlineStr">
        <is>
          <t>JÄMTLANDS LÄN</t>
        </is>
      </c>
      <c r="E1245" t="inlineStr">
        <is>
          <t>BRÄCKE</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62460-2025</t>
        </is>
      </c>
      <c r="B1246" s="1" t="n">
        <v>46007.50479166667</v>
      </c>
      <c r="C1246" s="1" t="n">
        <v>46042</v>
      </c>
      <c r="D1246" t="inlineStr">
        <is>
          <t>JÄMTLANDS LÄN</t>
        </is>
      </c>
      <c r="E1246" t="inlineStr">
        <is>
          <t>BRÄCKE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54160-2025</t>
        </is>
      </c>
      <c r="B1247" s="1" t="n">
        <v>45964.50528935185</v>
      </c>
      <c r="C1247" s="1" t="n">
        <v>46042</v>
      </c>
      <c r="D1247" t="inlineStr">
        <is>
          <t>JÄMTLANDS LÄN</t>
        </is>
      </c>
      <c r="E1247" t="inlineStr">
        <is>
          <t>BRÄCKE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62546-2025</t>
        </is>
      </c>
      <c r="B1248" s="1" t="n">
        <v>46007.6616087963</v>
      </c>
      <c r="C1248" s="1" t="n">
        <v>46042</v>
      </c>
      <c r="D1248" t="inlineStr">
        <is>
          <t>JÄMTLANDS LÄN</t>
        </is>
      </c>
      <c r="E1248" t="inlineStr">
        <is>
          <t>BRÄCKE</t>
        </is>
      </c>
      <c r="G1248" t="n">
        <v>14.1</v>
      </c>
      <c r="H1248" t="n">
        <v>0</v>
      </c>
      <c r="I1248" t="n">
        <v>0</v>
      </c>
      <c r="J1248" t="n">
        <v>0</v>
      </c>
      <c r="K1248" t="n">
        <v>0</v>
      </c>
      <c r="L1248" t="n">
        <v>0</v>
      </c>
      <c r="M1248" t="n">
        <v>0</v>
      </c>
      <c r="N1248" t="n">
        <v>0</v>
      </c>
      <c r="O1248" t="n">
        <v>0</v>
      </c>
      <c r="P1248" t="n">
        <v>0</v>
      </c>
      <c r="Q1248" t="n">
        <v>0</v>
      </c>
      <c r="R1248" s="2" t="inlineStr"/>
    </row>
    <row r="1249" ht="15" customHeight="1">
      <c r="A1249" t="inlineStr">
        <is>
          <t>A 54316-2025</t>
        </is>
      </c>
      <c r="B1249" s="1" t="n">
        <v>45965.32975694445</v>
      </c>
      <c r="C1249" s="1" t="n">
        <v>46042</v>
      </c>
      <c r="D1249" t="inlineStr">
        <is>
          <t>JÄMTLANDS LÄN</t>
        </is>
      </c>
      <c r="E1249" t="inlineStr">
        <is>
          <t>BRÄCKE</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54372-2025</t>
        </is>
      </c>
      <c r="B1250" s="1" t="n">
        <v>45965.41297453704</v>
      </c>
      <c r="C1250" s="1" t="n">
        <v>46042</v>
      </c>
      <c r="D1250" t="inlineStr">
        <is>
          <t>JÄMTLANDS LÄN</t>
        </is>
      </c>
      <c r="E1250" t="inlineStr">
        <is>
          <t>BRÄCKE</t>
        </is>
      </c>
      <c r="F1250" t="inlineStr">
        <is>
          <t>Övriga Aktiebolag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54158-2025</t>
        </is>
      </c>
      <c r="B1251" s="1" t="n">
        <v>45964.50181712963</v>
      </c>
      <c r="C1251" s="1" t="n">
        <v>46042</v>
      </c>
      <c r="D1251" t="inlineStr">
        <is>
          <t>JÄMTLANDS LÄN</t>
        </is>
      </c>
      <c r="E1251" t="inlineStr">
        <is>
          <t>BRÄCKE</t>
        </is>
      </c>
      <c r="G1251" t="n">
        <v>10.6</v>
      </c>
      <c r="H1251" t="n">
        <v>0</v>
      </c>
      <c r="I1251" t="n">
        <v>0</v>
      </c>
      <c r="J1251" t="n">
        <v>0</v>
      </c>
      <c r="K1251" t="n">
        <v>0</v>
      </c>
      <c r="L1251" t="n">
        <v>0</v>
      </c>
      <c r="M1251" t="n">
        <v>0</v>
      </c>
      <c r="N1251" t="n">
        <v>0</v>
      </c>
      <c r="O1251" t="n">
        <v>0</v>
      </c>
      <c r="P1251" t="n">
        <v>0</v>
      </c>
      <c r="Q1251" t="n">
        <v>0</v>
      </c>
      <c r="R1251" s="2" t="inlineStr"/>
    </row>
    <row r="1252" ht="15" customHeight="1">
      <c r="A1252" t="inlineStr">
        <is>
          <t>A 54315-2025</t>
        </is>
      </c>
      <c r="B1252" s="1" t="n">
        <v>45965.32789351852</v>
      </c>
      <c r="C1252" s="1" t="n">
        <v>46042</v>
      </c>
      <c r="D1252" t="inlineStr">
        <is>
          <t>JÄMTLANDS LÄN</t>
        </is>
      </c>
      <c r="E1252" t="inlineStr">
        <is>
          <t>BRÄCKE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62261-2025</t>
        </is>
      </c>
      <c r="B1253" s="1" t="n">
        <v>46006.61622685185</v>
      </c>
      <c r="C1253" s="1" t="n">
        <v>46042</v>
      </c>
      <c r="D1253" t="inlineStr">
        <is>
          <t>JÄMTLANDS LÄN</t>
        </is>
      </c>
      <c r="E1253" t="inlineStr">
        <is>
          <t>BRÄCKE</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231-2025</t>
        </is>
      </c>
      <c r="B1254" s="1" t="n">
        <v>45660.36972222223</v>
      </c>
      <c r="C1254" s="1" t="n">
        <v>46042</v>
      </c>
      <c r="D1254" t="inlineStr">
        <is>
          <t>JÄMTLANDS LÄN</t>
        </is>
      </c>
      <c r="E1254" t="inlineStr">
        <is>
          <t>BRÄCKE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278-2025</t>
        </is>
      </c>
      <c r="B1255" s="1" t="n">
        <v>45660.49075231481</v>
      </c>
      <c r="C1255" s="1" t="n">
        <v>46042</v>
      </c>
      <c r="D1255" t="inlineStr">
        <is>
          <t>JÄMTLANDS LÄN</t>
        </is>
      </c>
      <c r="E1255" t="inlineStr">
        <is>
          <t>BRÄCKE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62233-2025</t>
        </is>
      </c>
      <c r="B1256" s="1" t="n">
        <v>46006.59424768519</v>
      </c>
      <c r="C1256" s="1" t="n">
        <v>46042</v>
      </c>
      <c r="D1256" t="inlineStr">
        <is>
          <t>JÄMTLANDS LÄN</t>
        </is>
      </c>
      <c r="E1256" t="inlineStr">
        <is>
          <t>BRÄCKE</t>
        </is>
      </c>
      <c r="F1256" t="inlineStr">
        <is>
          <t>SCA</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54422-2025</t>
        </is>
      </c>
      <c r="B1257" s="1" t="n">
        <v>45965.48649305556</v>
      </c>
      <c r="C1257" s="1" t="n">
        <v>46042</v>
      </c>
      <c r="D1257" t="inlineStr">
        <is>
          <t>JÄMTLANDS LÄN</t>
        </is>
      </c>
      <c r="E1257" t="inlineStr">
        <is>
          <t>BRÄCKE</t>
        </is>
      </c>
      <c r="F1257" t="inlineStr">
        <is>
          <t>Övriga Aktiebolag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16059-2024</t>
        </is>
      </c>
      <c r="B1258" s="1" t="n">
        <v>45406.04950231482</v>
      </c>
      <c r="C1258" s="1" t="n">
        <v>46042</v>
      </c>
      <c r="D1258" t="inlineStr">
        <is>
          <t>JÄMTLANDS LÄN</t>
        </is>
      </c>
      <c r="E1258" t="inlineStr">
        <is>
          <t>BRÄCKE</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12889-2024</t>
        </is>
      </c>
      <c r="B1259" s="1" t="n">
        <v>45385</v>
      </c>
      <c r="C1259" s="1" t="n">
        <v>46042</v>
      </c>
      <c r="D1259" t="inlineStr">
        <is>
          <t>JÄMTLANDS LÄN</t>
        </is>
      </c>
      <c r="E1259" t="inlineStr">
        <is>
          <t>BRÄCKE</t>
        </is>
      </c>
      <c r="F1259" t="inlineStr">
        <is>
          <t>Kyrkan</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54323-2025</t>
        </is>
      </c>
      <c r="B1260" s="1" t="n">
        <v>45965.34454861111</v>
      </c>
      <c r="C1260" s="1" t="n">
        <v>46042</v>
      </c>
      <c r="D1260" t="inlineStr">
        <is>
          <t>JÄMTLANDS LÄN</t>
        </is>
      </c>
      <c r="E1260" t="inlineStr">
        <is>
          <t>BRÄCKE</t>
        </is>
      </c>
      <c r="F1260" t="inlineStr">
        <is>
          <t>SCA</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6622-2025</t>
        </is>
      </c>
      <c r="B1261" s="1" t="n">
        <v>45700.36594907408</v>
      </c>
      <c r="C1261" s="1" t="n">
        <v>46042</v>
      </c>
      <c r="D1261" t="inlineStr">
        <is>
          <t>JÄMTLANDS LÄN</t>
        </is>
      </c>
      <c r="E1261" t="inlineStr">
        <is>
          <t>BRÄCKE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54257-2025</t>
        </is>
      </c>
      <c r="B1262" s="1" t="n">
        <v>45964.65732638889</v>
      </c>
      <c r="C1262" s="1" t="n">
        <v>46042</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62464-2025</t>
        </is>
      </c>
      <c r="B1263" s="1" t="n">
        <v>46007.50673611111</v>
      </c>
      <c r="C1263" s="1" t="n">
        <v>46042</v>
      </c>
      <c r="D1263" t="inlineStr">
        <is>
          <t>JÄMTLANDS LÄN</t>
        </is>
      </c>
      <c r="E1263" t="inlineStr">
        <is>
          <t>BRÄCKE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62389-2025</t>
        </is>
      </c>
      <c r="B1264" s="1" t="n">
        <v>46007.38496527778</v>
      </c>
      <c r="C1264" s="1" t="n">
        <v>46042</v>
      </c>
      <c r="D1264" t="inlineStr">
        <is>
          <t>JÄMTLANDS LÄN</t>
        </is>
      </c>
      <c r="E1264" t="inlineStr">
        <is>
          <t>BRÄCKE</t>
        </is>
      </c>
      <c r="F1264" t="inlineStr">
        <is>
          <t>Övriga Aktiebolag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21117-2023</t>
        </is>
      </c>
      <c r="B1265" s="1" t="n">
        <v>45061</v>
      </c>
      <c r="C1265" s="1" t="n">
        <v>46042</v>
      </c>
      <c r="D1265" t="inlineStr">
        <is>
          <t>JÄMTLANDS LÄN</t>
        </is>
      </c>
      <c r="E1265" t="inlineStr">
        <is>
          <t>BRÄCKE</t>
        </is>
      </c>
      <c r="F1265" t="inlineStr">
        <is>
          <t>SCA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14178-2021</t>
        </is>
      </c>
      <c r="B1266" s="1" t="n">
        <v>44278</v>
      </c>
      <c r="C1266" s="1" t="n">
        <v>46042</v>
      </c>
      <c r="D1266" t="inlineStr">
        <is>
          <t>JÄMTLANDS LÄN</t>
        </is>
      </c>
      <c r="E1266" t="inlineStr">
        <is>
          <t>BRÄCKE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62063-2025</t>
        </is>
      </c>
      <c r="B1267" s="1" t="n">
        <v>46006.34462962963</v>
      </c>
      <c r="C1267" s="1" t="n">
        <v>46042</v>
      </c>
      <c r="D1267" t="inlineStr">
        <is>
          <t>JÄMTLANDS LÄN</t>
        </is>
      </c>
      <c r="E1267" t="inlineStr">
        <is>
          <t>BRÄCKE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62466-2025</t>
        </is>
      </c>
      <c r="B1268" s="1" t="n">
        <v>46007.50883101852</v>
      </c>
      <c r="C1268" s="1" t="n">
        <v>46042</v>
      </c>
      <c r="D1268" t="inlineStr">
        <is>
          <t>JÄMTLANDS LÄN</t>
        </is>
      </c>
      <c r="E1268" t="inlineStr">
        <is>
          <t>BRÄCKE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62511-2025</t>
        </is>
      </c>
      <c r="B1269" s="1" t="n">
        <v>46007.59884259259</v>
      </c>
      <c r="C1269" s="1" t="n">
        <v>46042</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26350-2023</t>
        </is>
      </c>
      <c r="B1270" s="1" t="n">
        <v>45091.9421412037</v>
      </c>
      <c r="C1270" s="1" t="n">
        <v>46042</v>
      </c>
      <c r="D1270" t="inlineStr">
        <is>
          <t>JÄMTLANDS LÄN</t>
        </is>
      </c>
      <c r="E1270" t="inlineStr">
        <is>
          <t>BRÄCKE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61662-2022</t>
        </is>
      </c>
      <c r="B1271" s="1" t="n">
        <v>44916.96359953703</v>
      </c>
      <c r="C1271" s="1" t="n">
        <v>46042</v>
      </c>
      <c r="D1271" t="inlineStr">
        <is>
          <t>JÄMTLANDS LÄN</t>
        </is>
      </c>
      <c r="E1271" t="inlineStr">
        <is>
          <t>BRÄCKE</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15262-2025</t>
        </is>
      </c>
      <c r="B1272" s="1" t="n">
        <v>45744.65693287037</v>
      </c>
      <c r="C1272" s="1" t="n">
        <v>46042</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62236-2025</t>
        </is>
      </c>
      <c r="B1273" s="1" t="n">
        <v>46006.59461805555</v>
      </c>
      <c r="C1273" s="1" t="n">
        <v>46042</v>
      </c>
      <c r="D1273" t="inlineStr">
        <is>
          <t>JÄMTLANDS LÄN</t>
        </is>
      </c>
      <c r="E1273" t="inlineStr">
        <is>
          <t>BRÄCKE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40410-2023</t>
        </is>
      </c>
      <c r="B1274" s="1" t="n">
        <v>45169</v>
      </c>
      <c r="C1274" s="1" t="n">
        <v>46042</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62265-2025</t>
        </is>
      </c>
      <c r="B1275" s="1" t="n">
        <v>46006.61657407408</v>
      </c>
      <c r="C1275" s="1" t="n">
        <v>46042</v>
      </c>
      <c r="D1275" t="inlineStr">
        <is>
          <t>JÄMTLANDS LÄN</t>
        </is>
      </c>
      <c r="E1275" t="inlineStr">
        <is>
          <t>BRÄCKE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62535-2025</t>
        </is>
      </c>
      <c r="B1276" s="1" t="n">
        <v>46007.63792824074</v>
      </c>
      <c r="C1276" s="1" t="n">
        <v>46042</v>
      </c>
      <c r="D1276" t="inlineStr">
        <is>
          <t>JÄMTLANDS LÄN</t>
        </is>
      </c>
      <c r="E1276" t="inlineStr">
        <is>
          <t>BRÄCKE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62536-2025</t>
        </is>
      </c>
      <c r="B1277" s="1" t="n">
        <v>46007.63947916667</v>
      </c>
      <c r="C1277" s="1" t="n">
        <v>46042</v>
      </c>
      <c r="D1277" t="inlineStr">
        <is>
          <t>JÄMTLANDS LÄN</t>
        </is>
      </c>
      <c r="E1277" t="inlineStr">
        <is>
          <t>BRÄCKE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62533-2025</t>
        </is>
      </c>
      <c r="B1278" s="1" t="n">
        <v>46007.63633101852</v>
      </c>
      <c r="C1278" s="1" t="n">
        <v>46042</v>
      </c>
      <c r="D1278" t="inlineStr">
        <is>
          <t>JÄMTLANDS LÄN</t>
        </is>
      </c>
      <c r="E1278" t="inlineStr">
        <is>
          <t>BRÄCKE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62499-2025</t>
        </is>
      </c>
      <c r="B1279" s="1" t="n">
        <v>46007.58229166667</v>
      </c>
      <c r="C1279" s="1" t="n">
        <v>46042</v>
      </c>
      <c r="D1279" t="inlineStr">
        <is>
          <t>JÄMTLANDS LÄN</t>
        </is>
      </c>
      <c r="E1279" t="inlineStr">
        <is>
          <t>BRÄCKE</t>
        </is>
      </c>
      <c r="F1279" t="inlineStr">
        <is>
          <t>Övriga Aktiebolag</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55069-2025</t>
        </is>
      </c>
      <c r="B1280" s="1" t="n">
        <v>45967.72344907407</v>
      </c>
      <c r="C1280" s="1" t="n">
        <v>46042</v>
      </c>
      <c r="D1280" t="inlineStr">
        <is>
          <t>JÄMTLANDS LÄN</t>
        </is>
      </c>
      <c r="E1280" t="inlineStr">
        <is>
          <t>BRÄCKE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54741-2025</t>
        </is>
      </c>
      <c r="B1281" s="1" t="n">
        <v>45966.57350694444</v>
      </c>
      <c r="C1281" s="1" t="n">
        <v>46042</v>
      </c>
      <c r="D1281" t="inlineStr">
        <is>
          <t>JÄMTLANDS LÄN</t>
        </is>
      </c>
      <c r="E1281" t="inlineStr">
        <is>
          <t>BRÄCKE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44445-2022</t>
        </is>
      </c>
      <c r="B1282" s="1" t="n">
        <v>44839.95482638889</v>
      </c>
      <c r="C1282" s="1" t="n">
        <v>46042</v>
      </c>
      <c r="D1282" t="inlineStr">
        <is>
          <t>JÄMTLANDS LÄN</t>
        </is>
      </c>
      <c r="E1282" t="inlineStr">
        <is>
          <t>BRÄCKE</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62950-2025</t>
        </is>
      </c>
      <c r="B1283" s="1" t="n">
        <v>46009.44737268519</v>
      </c>
      <c r="C1283" s="1" t="n">
        <v>46042</v>
      </c>
      <c r="D1283" t="inlineStr">
        <is>
          <t>JÄMTLANDS LÄN</t>
        </is>
      </c>
      <c r="E1283" t="inlineStr">
        <is>
          <t>BRÄCKE</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54887-2025</t>
        </is>
      </c>
      <c r="B1284" s="1" t="n">
        <v>45967.34484953704</v>
      </c>
      <c r="C1284" s="1" t="n">
        <v>46042</v>
      </c>
      <c r="D1284" t="inlineStr">
        <is>
          <t>JÄMTLANDS LÄN</t>
        </is>
      </c>
      <c r="E1284" t="inlineStr">
        <is>
          <t>BRÄCKE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54886-2025</t>
        </is>
      </c>
      <c r="B1285" s="1" t="n">
        <v>45967.34481481482</v>
      </c>
      <c r="C1285" s="1" t="n">
        <v>46042</v>
      </c>
      <c r="D1285" t="inlineStr">
        <is>
          <t>JÄMTLANDS LÄN</t>
        </is>
      </c>
      <c r="E1285" t="inlineStr">
        <is>
          <t>BRÄCKE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54888-2025</t>
        </is>
      </c>
      <c r="B1286" s="1" t="n">
        <v>45967.34487268519</v>
      </c>
      <c r="C1286" s="1" t="n">
        <v>46042</v>
      </c>
      <c r="D1286" t="inlineStr">
        <is>
          <t>JÄMTLANDS LÄN</t>
        </is>
      </c>
      <c r="E1286" t="inlineStr">
        <is>
          <t>BRÄCKE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62625-2025</t>
        </is>
      </c>
      <c r="B1287" s="1" t="n">
        <v>46008.34506944445</v>
      </c>
      <c r="C1287" s="1" t="n">
        <v>46042</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60654-2024</t>
        </is>
      </c>
      <c r="B1288" s="1" t="n">
        <v>45644</v>
      </c>
      <c r="C1288" s="1" t="n">
        <v>46042</v>
      </c>
      <c r="D1288" t="inlineStr">
        <is>
          <t>JÄMTLANDS LÄN</t>
        </is>
      </c>
      <c r="E1288" t="inlineStr">
        <is>
          <t>BRÄCKE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54775-2025</t>
        </is>
      </c>
      <c r="B1289" s="1" t="n">
        <v>45966.61333333333</v>
      </c>
      <c r="C1289" s="1" t="n">
        <v>46042</v>
      </c>
      <c r="D1289" t="inlineStr">
        <is>
          <t>JÄMTLANDS LÄN</t>
        </is>
      </c>
      <c r="E1289" t="inlineStr">
        <is>
          <t>BRÄCKE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54793-2025</t>
        </is>
      </c>
      <c r="B1290" s="1" t="n">
        <v>45966.63584490741</v>
      </c>
      <c r="C1290" s="1" t="n">
        <v>46042</v>
      </c>
      <c r="D1290" t="inlineStr">
        <is>
          <t>JÄMTLANDS LÄN</t>
        </is>
      </c>
      <c r="E1290" t="inlineStr">
        <is>
          <t>BRÄCKE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54885-2025</t>
        </is>
      </c>
      <c r="B1291" s="1" t="n">
        <v>45967.34465277778</v>
      </c>
      <c r="C1291" s="1" t="n">
        <v>46042</v>
      </c>
      <c r="D1291" t="inlineStr">
        <is>
          <t>JÄMTLANDS LÄN</t>
        </is>
      </c>
      <c r="E1291" t="inlineStr">
        <is>
          <t>BRÄCKE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62943-2025</t>
        </is>
      </c>
      <c r="B1292" s="1" t="n">
        <v>46009.43425925926</v>
      </c>
      <c r="C1292" s="1" t="n">
        <v>46042</v>
      </c>
      <c r="D1292" t="inlineStr">
        <is>
          <t>JÄMTLANDS LÄN</t>
        </is>
      </c>
      <c r="E1292" t="inlineStr">
        <is>
          <t>BRÄCKE</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54904-2025</t>
        </is>
      </c>
      <c r="B1293" s="1" t="n">
        <v>45967.36640046296</v>
      </c>
      <c r="C1293" s="1" t="n">
        <v>46042</v>
      </c>
      <c r="D1293" t="inlineStr">
        <is>
          <t>JÄMTLANDS LÄN</t>
        </is>
      </c>
      <c r="E1293" t="inlineStr">
        <is>
          <t>BRÄCKE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23443-2022</t>
        </is>
      </c>
      <c r="B1294" s="1" t="n">
        <v>44720.94112268519</v>
      </c>
      <c r="C1294" s="1" t="n">
        <v>46042</v>
      </c>
      <c r="D1294" t="inlineStr">
        <is>
          <t>JÄMTLANDS LÄN</t>
        </is>
      </c>
      <c r="E1294" t="inlineStr">
        <is>
          <t>BRÄCKE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62997-2025</t>
        </is>
      </c>
      <c r="B1295" s="1" t="n">
        <v>46009.55484953704</v>
      </c>
      <c r="C1295" s="1" t="n">
        <v>46042</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11548-2023</t>
        </is>
      </c>
      <c r="B1296" s="1" t="n">
        <v>44993.9484837963</v>
      </c>
      <c r="C1296" s="1" t="n">
        <v>46042</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54642-2025</t>
        </is>
      </c>
      <c r="B1297" s="1" t="n">
        <v>45966.36555555555</v>
      </c>
      <c r="C1297" s="1" t="n">
        <v>46042</v>
      </c>
      <c r="D1297" t="inlineStr">
        <is>
          <t>JÄMTLANDS LÄN</t>
        </is>
      </c>
      <c r="E1297" t="inlineStr">
        <is>
          <t>BRÄCKE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31467-2023</t>
        </is>
      </c>
      <c r="B1298" s="1" t="n">
        <v>45104</v>
      </c>
      <c r="C1298" s="1" t="n">
        <v>46042</v>
      </c>
      <c r="D1298" t="inlineStr">
        <is>
          <t>JÄMTLANDS LÄN</t>
        </is>
      </c>
      <c r="E1298" t="inlineStr">
        <is>
          <t>BRÄCKE</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55028-2025</t>
        </is>
      </c>
      <c r="B1299" s="1" t="n">
        <v>45967.63650462963</v>
      </c>
      <c r="C1299" s="1" t="n">
        <v>46042</v>
      </c>
      <c r="D1299" t="inlineStr">
        <is>
          <t>JÄMTLANDS LÄN</t>
        </is>
      </c>
      <c r="E1299" t="inlineStr">
        <is>
          <t>BRÄCKE</t>
        </is>
      </c>
      <c r="F1299" t="inlineStr">
        <is>
          <t>SCA</t>
        </is>
      </c>
      <c r="G1299" t="n">
        <v>16.4</v>
      </c>
      <c r="H1299" t="n">
        <v>0</v>
      </c>
      <c r="I1299" t="n">
        <v>0</v>
      </c>
      <c r="J1299" t="n">
        <v>0</v>
      </c>
      <c r="K1299" t="n">
        <v>0</v>
      </c>
      <c r="L1299" t="n">
        <v>0</v>
      </c>
      <c r="M1299" t="n">
        <v>0</v>
      </c>
      <c r="N1299" t="n">
        <v>0</v>
      </c>
      <c r="O1299" t="n">
        <v>0</v>
      </c>
      <c r="P1299" t="n">
        <v>0</v>
      </c>
      <c r="Q1299" t="n">
        <v>0</v>
      </c>
      <c r="R1299" s="2" t="inlineStr"/>
    </row>
    <row r="1300" ht="15" customHeight="1">
      <c r="A1300" t="inlineStr">
        <is>
          <t>A 54681-2025</t>
        </is>
      </c>
      <c r="B1300" s="1" t="n">
        <v>45966.42777777778</v>
      </c>
      <c r="C1300" s="1" t="n">
        <v>46042</v>
      </c>
      <c r="D1300" t="inlineStr">
        <is>
          <t>JÄMTLANDS LÄN</t>
        </is>
      </c>
      <c r="E1300" t="inlineStr">
        <is>
          <t>BRÄCKE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55485-2025</t>
        </is>
      </c>
      <c r="B1301" s="1" t="n">
        <v>45971.5733912037</v>
      </c>
      <c r="C1301" s="1" t="n">
        <v>46042</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63319-2025</t>
        </is>
      </c>
      <c r="B1302" s="1" t="n">
        <v>46010.63584490741</v>
      </c>
      <c r="C1302" s="1" t="n">
        <v>46042</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49291-2024</t>
        </is>
      </c>
      <c r="B1303" s="1" t="n">
        <v>45595.53299768519</v>
      </c>
      <c r="C1303" s="1" t="n">
        <v>46042</v>
      </c>
      <c r="D1303" t="inlineStr">
        <is>
          <t>JÄMTLANDS LÄN</t>
        </is>
      </c>
      <c r="E1303" t="inlineStr">
        <is>
          <t>BRÄCKE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55388-2025</t>
        </is>
      </c>
      <c r="B1304" s="1" t="n">
        <v>45971.43935185186</v>
      </c>
      <c r="C1304" s="1" t="n">
        <v>46042</v>
      </c>
      <c r="D1304" t="inlineStr">
        <is>
          <t>JÄMTLANDS LÄN</t>
        </is>
      </c>
      <c r="E1304" t="inlineStr">
        <is>
          <t>BRÄCKE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47186-2023</t>
        </is>
      </c>
      <c r="B1305" s="1" t="n">
        <v>45201</v>
      </c>
      <c r="C1305" s="1" t="n">
        <v>46042</v>
      </c>
      <c r="D1305" t="inlineStr">
        <is>
          <t>JÄMTLANDS LÄN</t>
        </is>
      </c>
      <c r="E1305" t="inlineStr">
        <is>
          <t>BRÄCKE</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55149-2025</t>
        </is>
      </c>
      <c r="B1306" s="1" t="n">
        <v>45968.44840277778</v>
      </c>
      <c r="C1306" s="1" t="n">
        <v>46042</v>
      </c>
      <c r="D1306" t="inlineStr">
        <is>
          <t>JÄMTLANDS LÄN</t>
        </is>
      </c>
      <c r="E1306" t="inlineStr">
        <is>
          <t>BRÄCKE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55367-2025</t>
        </is>
      </c>
      <c r="B1307" s="1" t="n">
        <v>45971.41381944445</v>
      </c>
      <c r="C1307" s="1" t="n">
        <v>46042</v>
      </c>
      <c r="D1307" t="inlineStr">
        <is>
          <t>JÄMTLANDS LÄN</t>
        </is>
      </c>
      <c r="E1307" t="inlineStr">
        <is>
          <t>BRÄCKE</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26910-2024</t>
        </is>
      </c>
      <c r="B1308" s="1" t="n">
        <v>45470.76403935185</v>
      </c>
      <c r="C1308" s="1" t="n">
        <v>46042</v>
      </c>
      <c r="D1308" t="inlineStr">
        <is>
          <t>JÄMTLANDS LÄN</t>
        </is>
      </c>
      <c r="E1308" t="inlineStr">
        <is>
          <t>BRÄCKE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20095-2023</t>
        </is>
      </c>
      <c r="B1309" s="1" t="n">
        <v>45054.94199074074</v>
      </c>
      <c r="C1309" s="1" t="n">
        <v>46042</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20100-2023</t>
        </is>
      </c>
      <c r="B1310" s="1" t="n">
        <v>45054.94239583334</v>
      </c>
      <c r="C1310" s="1" t="n">
        <v>46042</v>
      </c>
      <c r="D1310" t="inlineStr">
        <is>
          <t>JÄMTLANDS LÄN</t>
        </is>
      </c>
      <c r="E1310" t="inlineStr">
        <is>
          <t>BRÄCKE</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20101-2023</t>
        </is>
      </c>
      <c r="B1311" s="1" t="n">
        <v>45054.94247685185</v>
      </c>
      <c r="C1311" s="1" t="n">
        <v>46042</v>
      </c>
      <c r="D1311" t="inlineStr">
        <is>
          <t>JÄMTLANDS LÄN</t>
        </is>
      </c>
      <c r="E1311" t="inlineStr">
        <is>
          <t>BRÄCKE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55524-2025</t>
        </is>
      </c>
      <c r="B1312" s="1" t="n">
        <v>45971.61523148148</v>
      </c>
      <c r="C1312" s="1" t="n">
        <v>46042</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55138-2025</t>
        </is>
      </c>
      <c r="B1313" s="1" t="n">
        <v>45968.42784722222</v>
      </c>
      <c r="C1313" s="1" t="n">
        <v>46042</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33172-2023</t>
        </is>
      </c>
      <c r="B1314" s="1" t="n">
        <v>45126.94283564815</v>
      </c>
      <c r="C1314" s="1" t="n">
        <v>46042</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55457-2025</t>
        </is>
      </c>
      <c r="B1315" s="1" t="n">
        <v>45971.51321759259</v>
      </c>
      <c r="C1315" s="1" t="n">
        <v>46042</v>
      </c>
      <c r="D1315" t="inlineStr">
        <is>
          <t>JÄMTLANDS LÄN</t>
        </is>
      </c>
      <c r="E1315" t="inlineStr">
        <is>
          <t>BRÄCKE</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10510-2025</t>
        </is>
      </c>
      <c r="B1316" s="1" t="n">
        <v>45721.40363425926</v>
      </c>
      <c r="C1316" s="1" t="n">
        <v>46042</v>
      </c>
      <c r="D1316" t="inlineStr">
        <is>
          <t>JÄMTLANDS LÄN</t>
        </is>
      </c>
      <c r="E1316" t="inlineStr">
        <is>
          <t>BRÄCKE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10606-2025</t>
        </is>
      </c>
      <c r="B1317" s="1" t="n">
        <v>45721.59429398148</v>
      </c>
      <c r="C1317" s="1" t="n">
        <v>46042</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55382-2025</t>
        </is>
      </c>
      <c r="B1318" s="1" t="n">
        <v>45971.42909722222</v>
      </c>
      <c r="C1318" s="1" t="n">
        <v>46042</v>
      </c>
      <c r="D1318" t="inlineStr">
        <is>
          <t>JÄMTLANDS LÄN</t>
        </is>
      </c>
      <c r="E1318" t="inlineStr">
        <is>
          <t>BRÄCKE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55733-2025</t>
        </is>
      </c>
      <c r="B1319" s="1" t="n">
        <v>45972.55298611111</v>
      </c>
      <c r="C1319" s="1" t="n">
        <v>46042</v>
      </c>
      <c r="D1319" t="inlineStr">
        <is>
          <t>JÄMTLANDS LÄN</t>
        </is>
      </c>
      <c r="E1319" t="inlineStr">
        <is>
          <t>BRÄCKE</t>
        </is>
      </c>
      <c r="F1319" t="inlineStr">
        <is>
          <t>SCA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29028-2024</t>
        </is>
      </c>
      <c r="B1320" s="1" t="n">
        <v>45481.59387731482</v>
      </c>
      <c r="C1320" s="1" t="n">
        <v>46042</v>
      </c>
      <c r="D1320" t="inlineStr">
        <is>
          <t>JÄMTLANDS LÄN</t>
        </is>
      </c>
      <c r="E1320" t="inlineStr">
        <is>
          <t>BRÄCKE</t>
        </is>
      </c>
      <c r="F1320" t="inlineStr">
        <is>
          <t>Övriga Aktiebolag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44753-2022</t>
        </is>
      </c>
      <c r="B1321" s="1" t="n">
        <v>44840</v>
      </c>
      <c r="C1321" s="1" t="n">
        <v>46042</v>
      </c>
      <c r="D1321" t="inlineStr">
        <is>
          <t>JÄMTLANDS LÄN</t>
        </is>
      </c>
      <c r="E1321" t="inlineStr">
        <is>
          <t>BRÄCKE</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45005-2023</t>
        </is>
      </c>
      <c r="B1322" s="1" t="n">
        <v>45190</v>
      </c>
      <c r="C1322" s="1" t="n">
        <v>46042</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55654-2025</t>
        </is>
      </c>
      <c r="B1323" s="1" t="n">
        <v>45972.38594907407</v>
      </c>
      <c r="C1323" s="1" t="n">
        <v>46042</v>
      </c>
      <c r="D1323" t="inlineStr">
        <is>
          <t>JÄMTLANDS LÄN</t>
        </is>
      </c>
      <c r="E1323" t="inlineStr">
        <is>
          <t>BRÄCKE</t>
        </is>
      </c>
      <c r="F1323" t="inlineStr">
        <is>
          <t>SCA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55880-2025</t>
        </is>
      </c>
      <c r="B1324" s="1" t="n">
        <v>45973.36510416667</v>
      </c>
      <c r="C1324" s="1" t="n">
        <v>46042</v>
      </c>
      <c r="D1324" t="inlineStr">
        <is>
          <t>JÄMTLANDS LÄN</t>
        </is>
      </c>
      <c r="E1324" t="inlineStr">
        <is>
          <t>BRÄCKE</t>
        </is>
      </c>
      <c r="F1324" t="inlineStr">
        <is>
          <t>SCA</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6399-2021</t>
        </is>
      </c>
      <c r="B1325" s="1" t="n">
        <v>44232</v>
      </c>
      <c r="C1325" s="1" t="n">
        <v>46042</v>
      </c>
      <c r="D1325" t="inlineStr">
        <is>
          <t>JÄMTLANDS LÄN</t>
        </is>
      </c>
      <c r="E1325" t="inlineStr">
        <is>
          <t>BRÄCKE</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63641-2025</t>
        </is>
      </c>
      <c r="B1326" s="1" t="n">
        <v>46014.40689814815</v>
      </c>
      <c r="C1326" s="1" t="n">
        <v>46042</v>
      </c>
      <c r="D1326" t="inlineStr">
        <is>
          <t>JÄMTLANDS LÄN</t>
        </is>
      </c>
      <c r="E1326" t="inlineStr">
        <is>
          <t>BRÄCKE</t>
        </is>
      </c>
      <c r="F1326" t="inlineStr">
        <is>
          <t>SCA</t>
        </is>
      </c>
      <c r="G1326" t="n">
        <v>17.7</v>
      </c>
      <c r="H1326" t="n">
        <v>0</v>
      </c>
      <c r="I1326" t="n">
        <v>0</v>
      </c>
      <c r="J1326" t="n">
        <v>0</v>
      </c>
      <c r="K1326" t="n">
        <v>0</v>
      </c>
      <c r="L1326" t="n">
        <v>0</v>
      </c>
      <c r="M1326" t="n">
        <v>0</v>
      </c>
      <c r="N1326" t="n">
        <v>0</v>
      </c>
      <c r="O1326" t="n">
        <v>0</v>
      </c>
      <c r="P1326" t="n">
        <v>0</v>
      </c>
      <c r="Q1326" t="n">
        <v>0</v>
      </c>
      <c r="R1326" s="2" t="inlineStr"/>
    </row>
    <row r="1327" ht="15" customHeight="1">
      <c r="A1327" t="inlineStr">
        <is>
          <t>A 55636-2025</t>
        </is>
      </c>
      <c r="B1327" s="1" t="n">
        <v>45972.345</v>
      </c>
      <c r="C1327" s="1" t="n">
        <v>46042</v>
      </c>
      <c r="D1327" t="inlineStr">
        <is>
          <t>JÄMTLANDS LÄN</t>
        </is>
      </c>
      <c r="E1327" t="inlineStr">
        <is>
          <t>BRÄCKE</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32961-2022</t>
        </is>
      </c>
      <c r="B1328" s="1" t="n">
        <v>44784.92487268519</v>
      </c>
      <c r="C1328" s="1" t="n">
        <v>46042</v>
      </c>
      <c r="D1328" t="inlineStr">
        <is>
          <t>JÄMTLANDS LÄN</t>
        </is>
      </c>
      <c r="E1328" t="inlineStr">
        <is>
          <t>BRÄCKE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63089-2025</t>
        </is>
      </c>
      <c r="B1329" s="1" t="n">
        <v>46009.67777777778</v>
      </c>
      <c r="C1329" s="1" t="n">
        <v>46042</v>
      </c>
      <c r="D1329" t="inlineStr">
        <is>
          <t>JÄMTLANDS LÄN</t>
        </is>
      </c>
      <c r="E1329" t="inlineStr">
        <is>
          <t>BRÄCKE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55905-2025</t>
        </is>
      </c>
      <c r="B1330" s="1" t="n">
        <v>45973.39108796296</v>
      </c>
      <c r="C1330" s="1" t="n">
        <v>46042</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35424-2023</t>
        </is>
      </c>
      <c r="B1331" s="1" t="n">
        <v>45146.6240625</v>
      </c>
      <c r="C1331" s="1" t="n">
        <v>46042</v>
      </c>
      <c r="D1331" t="inlineStr">
        <is>
          <t>JÄMTLANDS LÄN</t>
        </is>
      </c>
      <c r="E1331" t="inlineStr">
        <is>
          <t>BRÄCKE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56535-2025</t>
        </is>
      </c>
      <c r="B1332" s="1" t="n">
        <v>45975.46998842592</v>
      </c>
      <c r="C1332" s="1" t="n">
        <v>46042</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2954-2023</t>
        </is>
      </c>
      <c r="B1333" s="1" t="n">
        <v>44945.62861111111</v>
      </c>
      <c r="C1333" s="1" t="n">
        <v>46042</v>
      </c>
      <c r="D1333" t="inlineStr">
        <is>
          <t>JÄMTLANDS LÄN</t>
        </is>
      </c>
      <c r="E1333" t="inlineStr">
        <is>
          <t>BRÄCKE</t>
        </is>
      </c>
      <c r="F1333" t="inlineStr">
        <is>
          <t>Övriga Aktiebolag</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51809-2023</t>
        </is>
      </c>
      <c r="B1334" s="1" t="n">
        <v>45222.96574074074</v>
      </c>
      <c r="C1334" s="1" t="n">
        <v>46042</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56431-2025</t>
        </is>
      </c>
      <c r="B1335" s="1" t="n">
        <v>45975.34625</v>
      </c>
      <c r="C1335" s="1" t="n">
        <v>46042</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20760-2024</t>
        </is>
      </c>
      <c r="B1336" s="1" t="n">
        <v>45436.92543981481</v>
      </c>
      <c r="C1336" s="1" t="n">
        <v>46042</v>
      </c>
      <c r="D1336" t="inlineStr">
        <is>
          <t>JÄMTLANDS LÄN</t>
        </is>
      </c>
      <c r="E1336" t="inlineStr">
        <is>
          <t>BRÄCKE</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56309-2025</t>
        </is>
      </c>
      <c r="B1337" s="1" t="n">
        <v>45974.61491898148</v>
      </c>
      <c r="C1337" s="1" t="n">
        <v>46042</v>
      </c>
      <c r="D1337" t="inlineStr">
        <is>
          <t>JÄMTLANDS LÄN</t>
        </is>
      </c>
      <c r="E1337" t="inlineStr">
        <is>
          <t>BRÄCKE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56448-2025</t>
        </is>
      </c>
      <c r="B1338" s="1" t="n">
        <v>45975.34862268518</v>
      </c>
      <c r="C1338" s="1" t="n">
        <v>46042</v>
      </c>
      <c r="D1338" t="inlineStr">
        <is>
          <t>JÄMTLANDS LÄN</t>
        </is>
      </c>
      <c r="E1338" t="inlineStr">
        <is>
          <t>BRÄCKE</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56449-2025</t>
        </is>
      </c>
      <c r="B1339" s="1" t="n">
        <v>45975.34864583334</v>
      </c>
      <c r="C1339" s="1" t="n">
        <v>46042</v>
      </c>
      <c r="D1339" t="inlineStr">
        <is>
          <t>JÄMTLANDS LÄN</t>
        </is>
      </c>
      <c r="E1339" t="inlineStr">
        <is>
          <t>BRÄCKE</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1863-2022</t>
        </is>
      </c>
      <c r="B1340" s="1" t="n">
        <v>44574</v>
      </c>
      <c r="C1340" s="1" t="n">
        <v>46042</v>
      </c>
      <c r="D1340" t="inlineStr">
        <is>
          <t>JÄMTLANDS LÄN</t>
        </is>
      </c>
      <c r="E1340" t="inlineStr">
        <is>
          <t>BRÄCKE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1865-2022</t>
        </is>
      </c>
      <c r="B1341" s="1" t="n">
        <v>44574</v>
      </c>
      <c r="C1341" s="1" t="n">
        <v>46042</v>
      </c>
      <c r="D1341" t="inlineStr">
        <is>
          <t>JÄMTLANDS LÄN</t>
        </is>
      </c>
      <c r="E1341" t="inlineStr">
        <is>
          <t>BRÄCKE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7756-2025</t>
        </is>
      </c>
      <c r="B1342" s="1" t="n">
        <v>45706.51079861111</v>
      </c>
      <c r="C1342" s="1" t="n">
        <v>46042</v>
      </c>
      <c r="D1342" t="inlineStr">
        <is>
          <t>JÄMTLANDS LÄN</t>
        </is>
      </c>
      <c r="E1342" t="inlineStr">
        <is>
          <t>BRÄCKE</t>
        </is>
      </c>
      <c r="F1342" t="inlineStr">
        <is>
          <t>SCA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7757-2025</t>
        </is>
      </c>
      <c r="B1343" s="1" t="n">
        <v>45706.51085648148</v>
      </c>
      <c r="C1343" s="1" t="n">
        <v>46042</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56738-2025</t>
        </is>
      </c>
      <c r="B1344" s="1" t="n">
        <v>45978.34487268519</v>
      </c>
      <c r="C1344" s="1" t="n">
        <v>46042</v>
      </c>
      <c r="D1344" t="inlineStr">
        <is>
          <t>JÄMTLANDS LÄN</t>
        </is>
      </c>
      <c r="E1344" t="inlineStr">
        <is>
          <t>BRÄCKE</t>
        </is>
      </c>
      <c r="F1344" t="inlineStr">
        <is>
          <t>SCA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56739-2025</t>
        </is>
      </c>
      <c r="B1345" s="1" t="n">
        <v>45978.34491898148</v>
      </c>
      <c r="C1345" s="1" t="n">
        <v>46042</v>
      </c>
      <c r="D1345" t="inlineStr">
        <is>
          <t>JÄMTLANDS LÄN</t>
        </is>
      </c>
      <c r="E1345" t="inlineStr">
        <is>
          <t>BRÄCKE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57036-2025</t>
        </is>
      </c>
      <c r="B1346" s="1" t="n">
        <v>45979.34494212963</v>
      </c>
      <c r="C1346" s="1" t="n">
        <v>46042</v>
      </c>
      <c r="D1346" t="inlineStr">
        <is>
          <t>JÄMTLANDS LÄN</t>
        </is>
      </c>
      <c r="E1346" t="inlineStr">
        <is>
          <t>BRÄCKE</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63820-2025</t>
        </is>
      </c>
      <c r="B1347" s="1" t="n">
        <v>46020.3547800926</v>
      </c>
      <c r="C1347" s="1" t="n">
        <v>46042</v>
      </c>
      <c r="D1347" t="inlineStr">
        <is>
          <t>JÄMTLANDS LÄN</t>
        </is>
      </c>
      <c r="E1347" t="inlineStr">
        <is>
          <t>BRÄCKE</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5482-2025</t>
        </is>
      </c>
      <c r="B1348" s="1" t="n">
        <v>45693.34427083333</v>
      </c>
      <c r="C1348" s="1" t="n">
        <v>46042</v>
      </c>
      <c r="D1348" t="inlineStr">
        <is>
          <t>JÄMTLANDS LÄN</t>
        </is>
      </c>
      <c r="E1348" t="inlineStr">
        <is>
          <t>BRÄCKE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14266-2025</t>
        </is>
      </c>
      <c r="B1349" s="1" t="n">
        <v>45740.63572916666</v>
      </c>
      <c r="C1349" s="1" t="n">
        <v>46042</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40791-2024</t>
        </is>
      </c>
      <c r="B1350" s="1" t="n">
        <v>45558.50222222223</v>
      </c>
      <c r="C1350" s="1" t="n">
        <v>46042</v>
      </c>
      <c r="D1350" t="inlineStr">
        <is>
          <t>JÄMTLANDS LÄN</t>
        </is>
      </c>
      <c r="E1350" t="inlineStr">
        <is>
          <t>BRÄCKE</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57139-2025</t>
        </is>
      </c>
      <c r="B1351" s="1" t="n">
        <v>45979.48126157407</v>
      </c>
      <c r="C1351" s="1" t="n">
        <v>46042</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63803-2025</t>
        </is>
      </c>
      <c r="B1352" s="1" t="n">
        <v>46019.91809027778</v>
      </c>
      <c r="C1352" s="1" t="n">
        <v>46042</v>
      </c>
      <c r="D1352" t="inlineStr">
        <is>
          <t>JÄMTLANDS LÄN</t>
        </is>
      </c>
      <c r="E1352" t="inlineStr">
        <is>
          <t>BRÄCKE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63809-2025</t>
        </is>
      </c>
      <c r="B1353" s="1" t="n">
        <v>46020.31028935185</v>
      </c>
      <c r="C1353" s="1" t="n">
        <v>46042</v>
      </c>
      <c r="D1353" t="inlineStr">
        <is>
          <t>JÄMTLANDS LÄN</t>
        </is>
      </c>
      <c r="E1353" t="inlineStr">
        <is>
          <t>BRÄCKE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57623-2024</t>
        </is>
      </c>
      <c r="B1354" s="1" t="n">
        <v>45630.55260416667</v>
      </c>
      <c r="C1354" s="1" t="n">
        <v>46042</v>
      </c>
      <c r="D1354" t="inlineStr">
        <is>
          <t>JÄMTLANDS LÄN</t>
        </is>
      </c>
      <c r="E1354" t="inlineStr">
        <is>
          <t>BRÄCKE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57272-2025</t>
        </is>
      </c>
      <c r="B1355" s="1" t="n">
        <v>45979.67814814814</v>
      </c>
      <c r="C1355" s="1" t="n">
        <v>46042</v>
      </c>
      <c r="D1355" t="inlineStr">
        <is>
          <t>JÄMTLANDS LÄN</t>
        </is>
      </c>
      <c r="E1355" t="inlineStr">
        <is>
          <t>BRÄCKE</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63821-2025</t>
        </is>
      </c>
      <c r="B1356" s="1" t="n">
        <v>46020.3550462963</v>
      </c>
      <c r="C1356" s="1" t="n">
        <v>46042</v>
      </c>
      <c r="D1356" t="inlineStr">
        <is>
          <t>JÄMTLANDS LÄN</t>
        </is>
      </c>
      <c r="E1356" t="inlineStr">
        <is>
          <t>BRÄCKE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48416-2024</t>
        </is>
      </c>
      <c r="B1357" s="1" t="n">
        <v>45590.64153935185</v>
      </c>
      <c r="C1357" s="1" t="n">
        <v>46042</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43910-2023</t>
        </is>
      </c>
      <c r="B1358" s="1" t="n">
        <v>45182</v>
      </c>
      <c r="C1358" s="1" t="n">
        <v>46042</v>
      </c>
      <c r="D1358" t="inlineStr">
        <is>
          <t>JÄMTLANDS LÄN</t>
        </is>
      </c>
      <c r="E1358" t="inlineStr">
        <is>
          <t>BRÄCKE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5536-2025</t>
        </is>
      </c>
      <c r="B1359" s="1" t="n">
        <v>45693.44846064815</v>
      </c>
      <c r="C1359" s="1" t="n">
        <v>46042</v>
      </c>
      <c r="D1359" t="inlineStr">
        <is>
          <t>JÄMTLANDS LÄN</t>
        </is>
      </c>
      <c r="E1359" t="inlineStr">
        <is>
          <t>BRÄCKE</t>
        </is>
      </c>
      <c r="F1359" t="inlineStr">
        <is>
          <t>SCA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5537-2025</t>
        </is>
      </c>
      <c r="B1360" s="1" t="n">
        <v>45693.44858796296</v>
      </c>
      <c r="C1360" s="1" t="n">
        <v>46042</v>
      </c>
      <c r="D1360" t="inlineStr">
        <is>
          <t>JÄMTLANDS LÄN</t>
        </is>
      </c>
      <c r="E1360" t="inlineStr">
        <is>
          <t>BRÄCKE</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14868-2021</t>
        </is>
      </c>
      <c r="B1361" s="1" t="n">
        <v>44280</v>
      </c>
      <c r="C1361" s="1" t="n">
        <v>46042</v>
      </c>
      <c r="D1361" t="inlineStr">
        <is>
          <t>JÄMTLANDS LÄN</t>
        </is>
      </c>
      <c r="E1361" t="inlineStr">
        <is>
          <t>BRÄCKE</t>
        </is>
      </c>
      <c r="F1361" t="inlineStr">
        <is>
          <t>SCA</t>
        </is>
      </c>
      <c r="G1361" t="n">
        <v>10.8</v>
      </c>
      <c r="H1361" t="n">
        <v>0</v>
      </c>
      <c r="I1361" t="n">
        <v>0</v>
      </c>
      <c r="J1361" t="n">
        <v>0</v>
      </c>
      <c r="K1361" t="n">
        <v>0</v>
      </c>
      <c r="L1361" t="n">
        <v>0</v>
      </c>
      <c r="M1361" t="n">
        <v>0</v>
      </c>
      <c r="N1361" t="n">
        <v>0</v>
      </c>
      <c r="O1361" t="n">
        <v>0</v>
      </c>
      <c r="P1361" t="n">
        <v>0</v>
      </c>
      <c r="Q1361" t="n">
        <v>0</v>
      </c>
      <c r="R1361" s="2" t="inlineStr"/>
    </row>
    <row r="1362" ht="15" customHeight="1">
      <c r="A1362" t="inlineStr">
        <is>
          <t>A 57050-2025</t>
        </is>
      </c>
      <c r="B1362" s="1" t="n">
        <v>45979.34721064815</v>
      </c>
      <c r="C1362" s="1" t="n">
        <v>46042</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57133-2025</t>
        </is>
      </c>
      <c r="B1363" s="1" t="n">
        <v>45979.4744212963</v>
      </c>
      <c r="C1363" s="1" t="n">
        <v>46042</v>
      </c>
      <c r="D1363" t="inlineStr">
        <is>
          <t>JÄMTLANDS LÄN</t>
        </is>
      </c>
      <c r="E1363" t="inlineStr">
        <is>
          <t>BRÄCKE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56807-2025</t>
        </is>
      </c>
      <c r="B1364" s="1" t="n">
        <v>45978.44863425926</v>
      </c>
      <c r="C1364" s="1" t="n">
        <v>46042</v>
      </c>
      <c r="D1364" t="inlineStr">
        <is>
          <t>JÄMTLANDS LÄN</t>
        </is>
      </c>
      <c r="E1364" t="inlineStr">
        <is>
          <t>BRÄCKE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63822-2025</t>
        </is>
      </c>
      <c r="B1365" s="1" t="n">
        <v>46020.35534722222</v>
      </c>
      <c r="C1365" s="1" t="n">
        <v>46042</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57038-2025</t>
        </is>
      </c>
      <c r="B1366" s="1" t="n">
        <v>45979.34527777778</v>
      </c>
      <c r="C1366" s="1" t="n">
        <v>46042</v>
      </c>
      <c r="D1366" t="inlineStr">
        <is>
          <t>JÄMTLANDS LÄN</t>
        </is>
      </c>
      <c r="E1366" t="inlineStr">
        <is>
          <t>BRÄCKE</t>
        </is>
      </c>
      <c r="F1366" t="inlineStr">
        <is>
          <t>SCA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57084-2025</t>
        </is>
      </c>
      <c r="B1367" s="1" t="n">
        <v>45979.41707175926</v>
      </c>
      <c r="C1367" s="1" t="n">
        <v>46042</v>
      </c>
      <c r="D1367" t="inlineStr">
        <is>
          <t>JÄMTLANDS LÄN</t>
        </is>
      </c>
      <c r="E1367" t="inlineStr">
        <is>
          <t>BRÄCKE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27280-2024</t>
        </is>
      </c>
      <c r="B1368" s="1" t="n">
        <v>45471.92576388889</v>
      </c>
      <c r="C1368" s="1" t="n">
        <v>46042</v>
      </c>
      <c r="D1368" t="inlineStr">
        <is>
          <t>JÄMTLANDS LÄN</t>
        </is>
      </c>
      <c r="E1368" t="inlineStr">
        <is>
          <t>BRÄCKE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57334-2025</t>
        </is>
      </c>
      <c r="B1369" s="1" t="n">
        <v>45980.345</v>
      </c>
      <c r="C1369" s="1" t="n">
        <v>46042</v>
      </c>
      <c r="D1369" t="inlineStr">
        <is>
          <t>JÄMTLANDS LÄN</t>
        </is>
      </c>
      <c r="E1369" t="inlineStr">
        <is>
          <t>BRÄCKE</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57607-2025</t>
        </is>
      </c>
      <c r="B1370" s="1" t="n">
        <v>45981</v>
      </c>
      <c r="C1370" s="1" t="n">
        <v>46042</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57354-2025</t>
        </is>
      </c>
      <c r="B1371" s="1" t="n">
        <v>45980.36532407408</v>
      </c>
      <c r="C1371" s="1" t="n">
        <v>46042</v>
      </c>
      <c r="D1371" t="inlineStr">
        <is>
          <t>JÄMTLANDS LÄN</t>
        </is>
      </c>
      <c r="E1371" t="inlineStr">
        <is>
          <t>BRÄCKE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45414-2024</t>
        </is>
      </c>
      <c r="B1372" s="1" t="n">
        <v>45576.5943287037</v>
      </c>
      <c r="C1372" s="1" t="n">
        <v>46042</v>
      </c>
      <c r="D1372" t="inlineStr">
        <is>
          <t>JÄMTLANDS LÄN</t>
        </is>
      </c>
      <c r="E1372" t="inlineStr">
        <is>
          <t>BRÄCKE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57616-2025</t>
        </is>
      </c>
      <c r="B1373" s="1" t="n">
        <v>45981.34456018519</v>
      </c>
      <c r="C1373" s="1" t="n">
        <v>46042</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21086-2024</t>
        </is>
      </c>
      <c r="B1374" s="1" t="n">
        <v>45439.92791666667</v>
      </c>
      <c r="C1374" s="1" t="n">
        <v>46042</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57352-2025</t>
        </is>
      </c>
      <c r="B1375" s="1" t="n">
        <v>45980.36506944444</v>
      </c>
      <c r="C1375" s="1" t="n">
        <v>46042</v>
      </c>
      <c r="D1375" t="inlineStr">
        <is>
          <t>JÄMTLANDS LÄN</t>
        </is>
      </c>
      <c r="E1375" t="inlineStr">
        <is>
          <t>BRÄCKE</t>
        </is>
      </c>
      <c r="F1375" t="inlineStr">
        <is>
          <t>SCA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11550-2023</t>
        </is>
      </c>
      <c r="B1376" s="1" t="n">
        <v>44993</v>
      </c>
      <c r="C1376" s="1" t="n">
        <v>46042</v>
      </c>
      <c r="D1376" t="inlineStr">
        <is>
          <t>JÄMTLANDS LÄN</t>
        </is>
      </c>
      <c r="E1376" t="inlineStr">
        <is>
          <t>BRÄCKE</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14838-2025</t>
        </is>
      </c>
      <c r="B1377" s="1" t="n">
        <v>45743.38582175926</v>
      </c>
      <c r="C1377" s="1" t="n">
        <v>46042</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57417-2023</t>
        </is>
      </c>
      <c r="B1378" s="1" t="n">
        <v>45245.96966435185</v>
      </c>
      <c r="C1378" s="1" t="n">
        <v>46042</v>
      </c>
      <c r="D1378" t="inlineStr">
        <is>
          <t>JÄMTLANDS LÄN</t>
        </is>
      </c>
      <c r="E1378" t="inlineStr">
        <is>
          <t>BRÄCKE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57850-2025</t>
        </is>
      </c>
      <c r="B1379" s="1" t="n">
        <v>45981.6360300926</v>
      </c>
      <c r="C1379" s="1" t="n">
        <v>46042</v>
      </c>
      <c r="D1379" t="inlineStr">
        <is>
          <t>JÄMTLANDS LÄN</t>
        </is>
      </c>
      <c r="E1379" t="inlineStr">
        <is>
          <t>BRÄCKE</t>
        </is>
      </c>
      <c r="F1379" t="inlineStr">
        <is>
          <t>SCA</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10103-2025</t>
        </is>
      </c>
      <c r="B1380" s="1" t="n">
        <v>45719.57978009259</v>
      </c>
      <c r="C1380" s="1" t="n">
        <v>46042</v>
      </c>
      <c r="D1380" t="inlineStr">
        <is>
          <t>JÄMTLANDS LÄN</t>
        </is>
      </c>
      <c r="E1380" t="inlineStr">
        <is>
          <t>BRÄCKE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59405-2022</t>
        </is>
      </c>
      <c r="B1381" s="1" t="n">
        <v>44906</v>
      </c>
      <c r="C1381" s="1" t="n">
        <v>46042</v>
      </c>
      <c r="D1381" t="inlineStr">
        <is>
          <t>JÄMTLANDS LÄN</t>
        </is>
      </c>
      <c r="E1381" t="inlineStr">
        <is>
          <t>BRÄCKE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20014-2022</t>
        </is>
      </c>
      <c r="B1382" s="1" t="n">
        <v>44697.64387731482</v>
      </c>
      <c r="C1382" s="1" t="n">
        <v>46042</v>
      </c>
      <c r="D1382" t="inlineStr">
        <is>
          <t>JÄMTLANDS LÄN</t>
        </is>
      </c>
      <c r="E1382" t="inlineStr">
        <is>
          <t>BRÄCKE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276-2026</t>
        </is>
      </c>
      <c r="B1383" s="1" t="n">
        <v>46027.469375</v>
      </c>
      <c r="C1383" s="1" t="n">
        <v>46042</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37957-2021</t>
        </is>
      </c>
      <c r="B1384" s="1" t="n">
        <v>44403</v>
      </c>
      <c r="C1384" s="1" t="n">
        <v>46042</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21366-2021</t>
        </is>
      </c>
      <c r="B1385" s="1" t="n">
        <v>44320</v>
      </c>
      <c r="C1385" s="1" t="n">
        <v>46042</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41311-2024</t>
        </is>
      </c>
      <c r="B1386" s="1" t="n">
        <v>45559.63569444444</v>
      </c>
      <c r="C1386" s="1" t="n">
        <v>46042</v>
      </c>
      <c r="D1386" t="inlineStr">
        <is>
          <t>JÄMTLANDS LÄN</t>
        </is>
      </c>
      <c r="E1386" t="inlineStr">
        <is>
          <t>BRÄCKE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41315-2024</t>
        </is>
      </c>
      <c r="B1387" s="1" t="n">
        <v>45559.63628472222</v>
      </c>
      <c r="C1387" s="1" t="n">
        <v>46042</v>
      </c>
      <c r="D1387" t="inlineStr">
        <is>
          <t>JÄMTLANDS LÄN</t>
        </is>
      </c>
      <c r="E1387" t="inlineStr">
        <is>
          <t>BRÄCKE</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261-2026</t>
        </is>
      </c>
      <c r="B1388" s="1" t="n">
        <v>46027.44835648148</v>
      </c>
      <c r="C1388" s="1" t="n">
        <v>46042</v>
      </c>
      <c r="D1388" t="inlineStr">
        <is>
          <t>JÄMTLANDS LÄN</t>
        </is>
      </c>
      <c r="E1388" t="inlineStr">
        <is>
          <t>BRÄCKE</t>
        </is>
      </c>
      <c r="F1388" t="inlineStr">
        <is>
          <t>SCA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262-2026</t>
        </is>
      </c>
      <c r="B1389" s="1" t="n">
        <v>46027.44850694444</v>
      </c>
      <c r="C1389" s="1" t="n">
        <v>46042</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13033-2023</t>
        </is>
      </c>
      <c r="B1390" s="1" t="n">
        <v>45001</v>
      </c>
      <c r="C1390" s="1" t="n">
        <v>46042</v>
      </c>
      <c r="D1390" t="inlineStr">
        <is>
          <t>JÄMTLANDS LÄN</t>
        </is>
      </c>
      <c r="E1390" t="inlineStr">
        <is>
          <t>BRÄCKE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57948-2025</t>
        </is>
      </c>
      <c r="B1391" s="1" t="n">
        <v>45982.34452546296</v>
      </c>
      <c r="C1391" s="1" t="n">
        <v>46042</v>
      </c>
      <c r="D1391" t="inlineStr">
        <is>
          <t>JÄMTLANDS LÄN</t>
        </is>
      </c>
      <c r="E1391" t="inlineStr">
        <is>
          <t>BRÄCKE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26522-2024</t>
        </is>
      </c>
      <c r="B1392" s="1" t="n">
        <v>45469</v>
      </c>
      <c r="C1392" s="1" t="n">
        <v>46042</v>
      </c>
      <c r="D1392" t="inlineStr">
        <is>
          <t>JÄMTLANDS LÄN</t>
        </is>
      </c>
      <c r="E1392" t="inlineStr">
        <is>
          <t>BRÄCKE</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277-2026</t>
        </is>
      </c>
      <c r="B1393" s="1" t="n">
        <v>46027.46945601852</v>
      </c>
      <c r="C1393" s="1" t="n">
        <v>46042</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3865-2025</t>
        </is>
      </c>
      <c r="B1394" s="1" t="n">
        <v>45684.31815972222</v>
      </c>
      <c r="C1394" s="1" t="n">
        <v>46042</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20157-2025</t>
        </is>
      </c>
      <c r="B1395" s="1" t="n">
        <v>45772.56060185185</v>
      </c>
      <c r="C1395" s="1" t="n">
        <v>46042</v>
      </c>
      <c r="D1395" t="inlineStr">
        <is>
          <t>JÄMTLANDS LÄN</t>
        </is>
      </c>
      <c r="E1395" t="inlineStr">
        <is>
          <t>BRÄCKE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53941-2022</t>
        </is>
      </c>
      <c r="B1396" s="1" t="n">
        <v>44880</v>
      </c>
      <c r="C1396" s="1" t="n">
        <v>46042</v>
      </c>
      <c r="D1396" t="inlineStr">
        <is>
          <t>JÄMTLANDS LÄN</t>
        </is>
      </c>
      <c r="E1396" t="inlineStr">
        <is>
          <t>BRÄCKE</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46597-2022</t>
        </is>
      </c>
      <c r="B1397" s="1" t="n">
        <v>44848</v>
      </c>
      <c r="C1397" s="1" t="n">
        <v>46042</v>
      </c>
      <c r="D1397" t="inlineStr">
        <is>
          <t>JÄMTLANDS LÄN</t>
        </is>
      </c>
      <c r="E1397" t="inlineStr">
        <is>
          <t>BRÄCKE</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46042</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63651-2025</t>
        </is>
      </c>
      <c r="B1399" s="1" t="n">
        <v>46014</v>
      </c>
      <c r="C1399" s="1" t="n">
        <v>46042</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58091-2025</t>
        </is>
      </c>
      <c r="B1400" s="1" t="n">
        <v>45982.57381944444</v>
      </c>
      <c r="C1400" s="1" t="n">
        <v>46042</v>
      </c>
      <c r="D1400" t="inlineStr">
        <is>
          <t>JÄMTLANDS LÄN</t>
        </is>
      </c>
      <c r="E1400" t="inlineStr">
        <is>
          <t>BRÄCKE</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53724-2024</t>
        </is>
      </c>
      <c r="B1401" s="1" t="n">
        <v>45615.45042824074</v>
      </c>
      <c r="C1401" s="1" t="n">
        <v>46042</v>
      </c>
      <c r="D1401" t="inlineStr">
        <is>
          <t>JÄMTLANDS LÄN</t>
        </is>
      </c>
      <c r="E1401" t="inlineStr">
        <is>
          <t>BRÄCKE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58495-2025</t>
        </is>
      </c>
      <c r="B1402" s="1" t="n">
        <v>45985.67776620371</v>
      </c>
      <c r="C1402" s="1" t="n">
        <v>46042</v>
      </c>
      <c r="D1402" t="inlineStr">
        <is>
          <t>JÄMTLANDS LÄN</t>
        </is>
      </c>
      <c r="E1402" t="inlineStr">
        <is>
          <t>BRÄCKE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58351-2025</t>
        </is>
      </c>
      <c r="B1403" s="1" t="n">
        <v>45985.5109375</v>
      </c>
      <c r="C1403" s="1" t="n">
        <v>46042</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58132-2025</t>
        </is>
      </c>
      <c r="B1404" s="1" t="n">
        <v>45982.61650462963</v>
      </c>
      <c r="C1404" s="1" t="n">
        <v>46042</v>
      </c>
      <c r="D1404" t="inlineStr">
        <is>
          <t>JÄMTLANDS LÄN</t>
        </is>
      </c>
      <c r="E1404" t="inlineStr">
        <is>
          <t>BRÄCKE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58762-2025</t>
        </is>
      </c>
      <c r="B1405" s="1" t="n">
        <v>45986.6568287037</v>
      </c>
      <c r="C1405" s="1" t="n">
        <v>46042</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49189-2024</t>
        </is>
      </c>
      <c r="B1406" s="1" t="n">
        <v>45595.34502314815</v>
      </c>
      <c r="C1406" s="1" t="n">
        <v>46042</v>
      </c>
      <c r="D1406" t="inlineStr">
        <is>
          <t>JÄMTLANDS LÄN</t>
        </is>
      </c>
      <c r="E1406" t="inlineStr">
        <is>
          <t>BRÄCKE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58826-2025</t>
        </is>
      </c>
      <c r="B1407" s="1" t="n">
        <v>45987.346875</v>
      </c>
      <c r="C1407" s="1" t="n">
        <v>46042</v>
      </c>
      <c r="D1407" t="inlineStr">
        <is>
          <t>JÄMTLANDS LÄN</t>
        </is>
      </c>
      <c r="E1407" t="inlineStr">
        <is>
          <t>BRÄCKE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54863-2024</t>
        </is>
      </c>
      <c r="B1408" s="1" t="n">
        <v>45618.59431712963</v>
      </c>
      <c r="C1408" s="1" t="n">
        <v>46042</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54865-2024</t>
        </is>
      </c>
      <c r="B1409" s="1" t="n">
        <v>45618.59471064815</v>
      </c>
      <c r="C1409" s="1" t="n">
        <v>46042</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58854-2025</t>
        </is>
      </c>
      <c r="B1410" s="1" t="n">
        <v>45987.40699074074</v>
      </c>
      <c r="C1410" s="1" t="n">
        <v>46042</v>
      </c>
      <c r="D1410" t="inlineStr">
        <is>
          <t>JÄMTLANDS LÄN</t>
        </is>
      </c>
      <c r="E1410" t="inlineStr">
        <is>
          <t>BRÄCKE</t>
        </is>
      </c>
      <c r="F1410" t="inlineStr">
        <is>
          <t>SCA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58618-2025</t>
        </is>
      </c>
      <c r="B1411" s="1" t="n">
        <v>45986.46935185185</v>
      </c>
      <c r="C1411" s="1" t="n">
        <v>46042</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58972-2025</t>
        </is>
      </c>
      <c r="B1412" s="1" t="n">
        <v>45987</v>
      </c>
      <c r="C1412" s="1" t="n">
        <v>46042</v>
      </c>
      <c r="D1412" t="inlineStr">
        <is>
          <t>JÄMTLANDS LÄN</t>
        </is>
      </c>
      <c r="E1412" t="inlineStr">
        <is>
          <t>BRÄCKE</t>
        </is>
      </c>
      <c r="F1412" t="inlineStr">
        <is>
          <t>SCA</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24214-2023</t>
        </is>
      </c>
      <c r="B1413" s="1" t="n">
        <v>45079.5752199074</v>
      </c>
      <c r="C1413" s="1" t="n">
        <v>46042</v>
      </c>
      <c r="D1413" t="inlineStr">
        <is>
          <t>JÄMTLANDS LÄN</t>
        </is>
      </c>
      <c r="E1413" t="inlineStr">
        <is>
          <t>BRÄCKE</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19584-2024</t>
        </is>
      </c>
      <c r="B1414" s="1" t="n">
        <v>45429</v>
      </c>
      <c r="C1414" s="1" t="n">
        <v>46042</v>
      </c>
      <c r="D1414" t="inlineStr">
        <is>
          <t>JÄMTLANDS LÄN</t>
        </is>
      </c>
      <c r="E1414" t="inlineStr">
        <is>
          <t>BRÄCKE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23081-2024</t>
        </is>
      </c>
      <c r="B1415" s="1" t="n">
        <v>45450.50152777778</v>
      </c>
      <c r="C1415" s="1" t="n">
        <v>46042</v>
      </c>
      <c r="D1415" t="inlineStr">
        <is>
          <t>JÄMTLANDS LÄN</t>
        </is>
      </c>
      <c r="E1415" t="inlineStr">
        <is>
          <t>BRÄCKE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30569-2024</t>
        </is>
      </c>
      <c r="B1416" s="1" t="n">
        <v>45492.95690972222</v>
      </c>
      <c r="C1416" s="1" t="n">
        <v>46042</v>
      </c>
      <c r="D1416" t="inlineStr">
        <is>
          <t>JÄMTLANDS LÄN</t>
        </is>
      </c>
      <c r="E1416" t="inlineStr">
        <is>
          <t>BRÄCKE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47746-2024</t>
        </is>
      </c>
      <c r="B1417" s="1" t="n">
        <v>45588.53438657407</v>
      </c>
      <c r="C1417" s="1" t="n">
        <v>46042</v>
      </c>
      <c r="D1417" t="inlineStr">
        <is>
          <t>JÄMTLANDS LÄN</t>
        </is>
      </c>
      <c r="E1417" t="inlineStr">
        <is>
          <t>BRÄCKE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496-2026</t>
        </is>
      </c>
      <c r="B1418" s="1" t="n">
        <v>46029.43114583333</v>
      </c>
      <c r="C1418" s="1" t="n">
        <v>46042</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32229-2023</t>
        </is>
      </c>
      <c r="B1419" s="1" t="n">
        <v>45119.94334490741</v>
      </c>
      <c r="C1419" s="1" t="n">
        <v>46042</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58957-2025</t>
        </is>
      </c>
      <c r="B1420" s="1" t="n">
        <v>45987.59512731482</v>
      </c>
      <c r="C1420" s="1" t="n">
        <v>46042</v>
      </c>
      <c r="D1420" t="inlineStr">
        <is>
          <t>JÄMTLANDS LÄN</t>
        </is>
      </c>
      <c r="E1420" t="inlineStr">
        <is>
          <t>BRÄCKE</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40394-2023</t>
        </is>
      </c>
      <c r="B1421" s="1" t="n">
        <v>45169.93751157408</v>
      </c>
      <c r="C1421" s="1" t="n">
        <v>46042</v>
      </c>
      <c r="D1421" t="inlineStr">
        <is>
          <t>JÄMTLANDS LÄN</t>
        </is>
      </c>
      <c r="E1421" t="inlineStr">
        <is>
          <t>BRÄCKE</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34409-2021</t>
        </is>
      </c>
      <c r="B1422" s="1" t="n">
        <v>44379</v>
      </c>
      <c r="C1422" s="1" t="n">
        <v>46042</v>
      </c>
      <c r="D1422" t="inlineStr">
        <is>
          <t>JÄMTLANDS LÄN</t>
        </is>
      </c>
      <c r="E1422" t="inlineStr">
        <is>
          <t>BRÄCKE</t>
        </is>
      </c>
      <c r="F1422" t="inlineStr">
        <is>
          <t>SCA</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58744-2025</t>
        </is>
      </c>
      <c r="B1423" s="1" t="n">
        <v>45986.6365162037</v>
      </c>
      <c r="C1423" s="1" t="n">
        <v>46042</v>
      </c>
      <c r="D1423" t="inlineStr">
        <is>
          <t>JÄMTLANDS LÄN</t>
        </is>
      </c>
      <c r="E1423" t="inlineStr">
        <is>
          <t>BRÄCKE</t>
        </is>
      </c>
      <c r="F1423" t="inlineStr">
        <is>
          <t>SCA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31520-2022</t>
        </is>
      </c>
      <c r="B1424" s="1" t="n">
        <v>44774.94930555556</v>
      </c>
      <c r="C1424" s="1" t="n">
        <v>46042</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998-2026</t>
        </is>
      </c>
      <c r="B1425" s="1" t="n">
        <v>46030.59447916667</v>
      </c>
      <c r="C1425" s="1" t="n">
        <v>46042</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52760-2023</t>
        </is>
      </c>
      <c r="B1426" s="1" t="n">
        <v>45225</v>
      </c>
      <c r="C1426" s="1" t="n">
        <v>46042</v>
      </c>
      <c r="D1426" t="inlineStr">
        <is>
          <t>JÄMTLANDS LÄN</t>
        </is>
      </c>
      <c r="E1426" t="inlineStr">
        <is>
          <t>BRÄCKE</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30287-2024</t>
        </is>
      </c>
      <c r="B1427" s="1" t="n">
        <v>45490.6452199074</v>
      </c>
      <c r="C1427" s="1" t="n">
        <v>46042</v>
      </c>
      <c r="D1427" t="inlineStr">
        <is>
          <t>JÄMTLANDS LÄN</t>
        </is>
      </c>
      <c r="E1427" t="inlineStr">
        <is>
          <t>BRÄCKE</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962-2026</t>
        </is>
      </c>
      <c r="B1428" s="1" t="n">
        <v>46030.55704861111</v>
      </c>
      <c r="C1428" s="1" t="n">
        <v>46042</v>
      </c>
      <c r="D1428" t="inlineStr">
        <is>
          <t>JÄMTLANDS LÄN</t>
        </is>
      </c>
      <c r="E1428" t="inlineStr">
        <is>
          <t>BRÄCKE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974-2026</t>
        </is>
      </c>
      <c r="B1429" s="1" t="n">
        <v>46030.56853009259</v>
      </c>
      <c r="C1429" s="1" t="n">
        <v>46042</v>
      </c>
      <c r="D1429" t="inlineStr">
        <is>
          <t>JÄMTLANDS LÄN</t>
        </is>
      </c>
      <c r="E1429" t="inlineStr">
        <is>
          <t>BRÄCKE</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24026-2024</t>
        </is>
      </c>
      <c r="B1430" s="1" t="n">
        <v>45456.45159722222</v>
      </c>
      <c r="C1430" s="1" t="n">
        <v>46042</v>
      </c>
      <c r="D1430" t="inlineStr">
        <is>
          <t>JÄMTLANDS LÄN</t>
        </is>
      </c>
      <c r="E1430" t="inlineStr">
        <is>
          <t>BRÄCKE</t>
        </is>
      </c>
      <c r="F1430" t="inlineStr">
        <is>
          <t>Övriga Aktiebolag</t>
        </is>
      </c>
      <c r="G1430" t="n">
        <v>23.7</v>
      </c>
      <c r="H1430" t="n">
        <v>0</v>
      </c>
      <c r="I1430" t="n">
        <v>0</v>
      </c>
      <c r="J1430" t="n">
        <v>0</v>
      </c>
      <c r="K1430" t="n">
        <v>0</v>
      </c>
      <c r="L1430" t="n">
        <v>0</v>
      </c>
      <c r="M1430" t="n">
        <v>0</v>
      </c>
      <c r="N1430" t="n">
        <v>0</v>
      </c>
      <c r="O1430" t="n">
        <v>0</v>
      </c>
      <c r="P1430" t="n">
        <v>0</v>
      </c>
      <c r="Q1430" t="n">
        <v>0</v>
      </c>
      <c r="R1430" s="2" t="inlineStr"/>
    </row>
    <row r="1431" ht="15" customHeight="1">
      <c r="A1431" t="inlineStr">
        <is>
          <t>A 1080-2026</t>
        </is>
      </c>
      <c r="B1431" s="1" t="n">
        <v>46029</v>
      </c>
      <c r="C1431" s="1" t="n">
        <v>46042</v>
      </c>
      <c r="D1431" t="inlineStr">
        <is>
          <t>JÄMTLANDS LÄN</t>
        </is>
      </c>
      <c r="E1431" t="inlineStr">
        <is>
          <t>BRÄCKE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59323-2025</t>
        </is>
      </c>
      <c r="B1432" s="1" t="n">
        <v>45989.34443287037</v>
      </c>
      <c r="C1432" s="1" t="n">
        <v>46042</v>
      </c>
      <c r="D1432" t="inlineStr">
        <is>
          <t>JÄMTLANDS LÄN</t>
        </is>
      </c>
      <c r="E1432" t="inlineStr">
        <is>
          <t>BRÄCKE</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1226-2026</t>
        </is>
      </c>
      <c r="B1433" s="1" t="n">
        <v>46031.40679398148</v>
      </c>
      <c r="C1433" s="1" t="n">
        <v>46042</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104-2025</t>
        </is>
      </c>
      <c r="B1434" s="1" t="n">
        <v>45659</v>
      </c>
      <c r="C1434" s="1" t="n">
        <v>46042</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9706-2025</t>
        </is>
      </c>
      <c r="B1435" s="1" t="n">
        <v>45716.3858912037</v>
      </c>
      <c r="C1435" s="1" t="n">
        <v>46042</v>
      </c>
      <c r="D1435" t="inlineStr">
        <is>
          <t>JÄMTLANDS LÄN</t>
        </is>
      </c>
      <c r="E1435" t="inlineStr">
        <is>
          <t>BRÄCKE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51827-2023</t>
        </is>
      </c>
      <c r="B1436" s="1" t="n">
        <v>45222.96791666667</v>
      </c>
      <c r="C1436" s="1" t="n">
        <v>46042</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51378-2024</t>
        </is>
      </c>
      <c r="B1437" s="1" t="n">
        <v>45604.38572916666</v>
      </c>
      <c r="C1437" s="1" t="n">
        <v>46042</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59285-2025</t>
        </is>
      </c>
      <c r="B1438" s="1" t="n">
        <v>45988.73943287037</v>
      </c>
      <c r="C1438" s="1" t="n">
        <v>46042</v>
      </c>
      <c r="D1438" t="inlineStr">
        <is>
          <t>JÄMTLANDS LÄN</t>
        </is>
      </c>
      <c r="E1438" t="inlineStr">
        <is>
          <t>BRÄCKE</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24531-2022</t>
        </is>
      </c>
      <c r="B1439" s="1" t="n">
        <v>44726</v>
      </c>
      <c r="C1439" s="1" t="n">
        <v>46042</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51195-2024</t>
        </is>
      </c>
      <c r="B1440" s="1" t="n">
        <v>45603.61532407408</v>
      </c>
      <c r="C1440" s="1" t="n">
        <v>46042</v>
      </c>
      <c r="D1440" t="inlineStr">
        <is>
          <t>JÄMTLANDS LÄN</t>
        </is>
      </c>
      <c r="E1440" t="inlineStr">
        <is>
          <t>BRÄCKE</t>
        </is>
      </c>
      <c r="F1440" t="inlineStr">
        <is>
          <t>SCA</t>
        </is>
      </c>
      <c r="G1440" t="n">
        <v>17.4</v>
      </c>
      <c r="H1440" t="n">
        <v>0</v>
      </c>
      <c r="I1440" t="n">
        <v>0</v>
      </c>
      <c r="J1440" t="n">
        <v>0</v>
      </c>
      <c r="K1440" t="n">
        <v>0</v>
      </c>
      <c r="L1440" t="n">
        <v>0</v>
      </c>
      <c r="M1440" t="n">
        <v>0</v>
      </c>
      <c r="N1440" t="n">
        <v>0</v>
      </c>
      <c r="O1440" t="n">
        <v>0</v>
      </c>
      <c r="P1440" t="n">
        <v>0</v>
      </c>
      <c r="Q1440" t="n">
        <v>0</v>
      </c>
      <c r="R1440" s="2" t="inlineStr"/>
    </row>
    <row r="1441" ht="15" customHeight="1">
      <c r="A1441" t="inlineStr">
        <is>
          <t>A 3390-2024</t>
        </is>
      </c>
      <c r="B1441" s="1" t="n">
        <v>45317.94108796296</v>
      </c>
      <c r="C1441" s="1" t="n">
        <v>46042</v>
      </c>
      <c r="D1441" t="inlineStr">
        <is>
          <t>JÄMTLANDS LÄN</t>
        </is>
      </c>
      <c r="E1441" t="inlineStr">
        <is>
          <t>BRÄCKE</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62674-2021</t>
        </is>
      </c>
      <c r="B1442" s="1" t="n">
        <v>44503.94478009259</v>
      </c>
      <c r="C1442" s="1" t="n">
        <v>46042</v>
      </c>
      <c r="D1442" t="inlineStr">
        <is>
          <t>JÄMTLANDS LÄN</t>
        </is>
      </c>
      <c r="E1442" t="inlineStr">
        <is>
          <t>BRÄCKE</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30479-2022</t>
        </is>
      </c>
      <c r="B1443" s="1" t="n">
        <v>44761.94013888889</v>
      </c>
      <c r="C1443" s="1" t="n">
        <v>46042</v>
      </c>
      <c r="D1443" t="inlineStr">
        <is>
          <t>JÄMTLANDS LÄN</t>
        </is>
      </c>
      <c r="E1443" t="inlineStr">
        <is>
          <t>BRÄCKE</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16317-2025</t>
        </is>
      </c>
      <c r="B1444" s="1" t="n">
        <v>45751.3480787037</v>
      </c>
      <c r="C1444" s="1" t="n">
        <v>46042</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55997-2024</t>
        </is>
      </c>
      <c r="B1445" s="1" t="n">
        <v>45623.6984837963</v>
      </c>
      <c r="C1445" s="1" t="n">
        <v>46042</v>
      </c>
      <c r="D1445" t="inlineStr">
        <is>
          <t>JÄMTLANDS LÄN</t>
        </is>
      </c>
      <c r="E1445" t="inlineStr">
        <is>
          <t>BRÄCKE</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53113-2022</t>
        </is>
      </c>
      <c r="B1446" s="1" t="n">
        <v>44873</v>
      </c>
      <c r="C1446" s="1" t="n">
        <v>46042</v>
      </c>
      <c r="D1446" t="inlineStr">
        <is>
          <t>JÄMTLANDS LÄN</t>
        </is>
      </c>
      <c r="E1446" t="inlineStr">
        <is>
          <t>BRÄCKE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1227-2026</t>
        </is>
      </c>
      <c r="B1447" s="1" t="n">
        <v>46031.40693287037</v>
      </c>
      <c r="C1447" s="1" t="n">
        <v>46042</v>
      </c>
      <c r="D1447" t="inlineStr">
        <is>
          <t>JÄMTLANDS LÄN</t>
        </is>
      </c>
      <c r="E1447" t="inlineStr">
        <is>
          <t>BRÄCKE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1811-2026</t>
        </is>
      </c>
      <c r="B1448" s="1" t="n">
        <v>46035.34351851852</v>
      </c>
      <c r="C1448" s="1" t="n">
        <v>46042</v>
      </c>
      <c r="D1448" t="inlineStr">
        <is>
          <t>JÄMTLANDS LÄN</t>
        </is>
      </c>
      <c r="E1448" t="inlineStr">
        <is>
          <t>BRÄCKE</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3528-2024</t>
        </is>
      </c>
      <c r="B1449" s="1" t="n">
        <v>45320</v>
      </c>
      <c r="C1449" s="1" t="n">
        <v>46042</v>
      </c>
      <c r="D1449" t="inlineStr">
        <is>
          <t>JÄMTLANDS LÄN</t>
        </is>
      </c>
      <c r="E1449" t="inlineStr">
        <is>
          <t>BRÄCKE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6378-2025</t>
        </is>
      </c>
      <c r="B1450" s="1" t="n">
        <v>45699.40689814815</v>
      </c>
      <c r="C1450" s="1" t="n">
        <v>46042</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18255-2025</t>
        </is>
      </c>
      <c r="B1451" s="1" t="n">
        <v>45762.3446412037</v>
      </c>
      <c r="C1451" s="1" t="n">
        <v>46042</v>
      </c>
      <c r="D1451" t="inlineStr">
        <is>
          <t>JÄMTLANDS LÄN</t>
        </is>
      </c>
      <c r="E1451" t="inlineStr">
        <is>
          <t>BRÄCKE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1816-2026</t>
        </is>
      </c>
      <c r="B1452" s="1" t="n">
        <v>46035.34453703704</v>
      </c>
      <c r="C1452" s="1" t="n">
        <v>46042</v>
      </c>
      <c r="D1452" t="inlineStr">
        <is>
          <t>JÄMTLANDS LÄN</t>
        </is>
      </c>
      <c r="E1452" t="inlineStr">
        <is>
          <t>BRÄCKE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1941-2026</t>
        </is>
      </c>
      <c r="B1453" s="1" t="n">
        <v>46035.59439814815</v>
      </c>
      <c r="C1453" s="1" t="n">
        <v>46042</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10088-2025</t>
        </is>
      </c>
      <c r="B1454" s="1" t="n">
        <v>45719.57335648148</v>
      </c>
      <c r="C1454" s="1" t="n">
        <v>46042</v>
      </c>
      <c r="D1454" t="inlineStr">
        <is>
          <t>JÄMTLANDS LÄN</t>
        </is>
      </c>
      <c r="E1454" t="inlineStr">
        <is>
          <t>BRÄCKE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10106-2025</t>
        </is>
      </c>
      <c r="B1455" s="1" t="n">
        <v>45719.58611111111</v>
      </c>
      <c r="C1455" s="1" t="n">
        <v>46042</v>
      </c>
      <c r="D1455" t="inlineStr">
        <is>
          <t>JÄMTLANDS LÄN</t>
        </is>
      </c>
      <c r="E1455" t="inlineStr">
        <is>
          <t>BRÄCKE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1810-2026</t>
        </is>
      </c>
      <c r="B1456" s="1" t="n">
        <v>46035.33962962963</v>
      </c>
      <c r="C1456" s="1" t="n">
        <v>46042</v>
      </c>
      <c r="D1456" t="inlineStr">
        <is>
          <t>JÄMTLANDS LÄN</t>
        </is>
      </c>
      <c r="E1456" t="inlineStr">
        <is>
          <t>BRÄCKE</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1877-2026</t>
        </is>
      </c>
      <c r="B1457" s="1" t="n">
        <v>46035.46924768519</v>
      </c>
      <c r="C1457" s="1" t="n">
        <v>46042</v>
      </c>
      <c r="D1457" t="inlineStr">
        <is>
          <t>JÄMTLANDS LÄN</t>
        </is>
      </c>
      <c r="E1457" t="inlineStr">
        <is>
          <t>BRÄCKE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1878-2026</t>
        </is>
      </c>
      <c r="B1458" s="1" t="n">
        <v>46035.46946759259</v>
      </c>
      <c r="C1458" s="1" t="n">
        <v>46042</v>
      </c>
      <c r="D1458" t="inlineStr">
        <is>
          <t>JÄMTLANDS LÄN</t>
        </is>
      </c>
      <c r="E1458" t="inlineStr">
        <is>
          <t>BRÄCKE</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1998-2026</t>
        </is>
      </c>
      <c r="B1459" s="1" t="n">
        <v>46035.67759259259</v>
      </c>
      <c r="C1459" s="1" t="n">
        <v>46042</v>
      </c>
      <c r="D1459" t="inlineStr">
        <is>
          <t>JÄMTLANDS LÄN</t>
        </is>
      </c>
      <c r="E1459" t="inlineStr">
        <is>
          <t>BRÄCKE</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11313-2022</t>
        </is>
      </c>
      <c r="B1460" s="1" t="n">
        <v>44629.94712962963</v>
      </c>
      <c r="C1460" s="1" t="n">
        <v>46042</v>
      </c>
      <c r="D1460" t="inlineStr">
        <is>
          <t>JÄMTLANDS LÄN</t>
        </is>
      </c>
      <c r="E1460" t="inlineStr">
        <is>
          <t>BRÄCKE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23747-2021</t>
        </is>
      </c>
      <c r="B1461" s="1" t="n">
        <v>44334</v>
      </c>
      <c r="C1461" s="1" t="n">
        <v>46042</v>
      </c>
      <c r="D1461" t="inlineStr">
        <is>
          <t>JÄMTLANDS LÄN</t>
        </is>
      </c>
      <c r="E1461" t="inlineStr">
        <is>
          <t>BRÄCKE</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13019-2023</t>
        </is>
      </c>
      <c r="B1462" s="1" t="n">
        <v>45001</v>
      </c>
      <c r="C1462" s="1" t="n">
        <v>46042</v>
      </c>
      <c r="D1462" t="inlineStr">
        <is>
          <t>JÄMTLANDS LÄN</t>
        </is>
      </c>
      <c r="E1462" t="inlineStr">
        <is>
          <t>BRÄCKE</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61362-2024</t>
        </is>
      </c>
      <c r="B1463" s="1" t="n">
        <v>45646.3857175926</v>
      </c>
      <c r="C1463" s="1" t="n">
        <v>46042</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49339-2024</t>
        </is>
      </c>
      <c r="B1464" s="1" t="n">
        <v>45595.59420138889</v>
      </c>
      <c r="C1464" s="1" t="n">
        <v>46042</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59542-2025</t>
        </is>
      </c>
      <c r="B1465" s="1" t="n">
        <v>45990.34454861111</v>
      </c>
      <c r="C1465" s="1" t="n">
        <v>46042</v>
      </c>
      <c r="D1465" t="inlineStr">
        <is>
          <t>JÄMTLANDS LÄN</t>
        </is>
      </c>
      <c r="E1465" t="inlineStr">
        <is>
          <t>BRÄCKE</t>
        </is>
      </c>
      <c r="F1465" t="inlineStr">
        <is>
          <t>SCA</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59545-2025</t>
        </is>
      </c>
      <c r="B1466" s="1" t="n">
        <v>45990.34488425926</v>
      </c>
      <c r="C1466" s="1" t="n">
        <v>46042</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59543-2025</t>
        </is>
      </c>
      <c r="B1467" s="1" t="n">
        <v>45990.34466435185</v>
      </c>
      <c r="C1467" s="1" t="n">
        <v>46042</v>
      </c>
      <c r="D1467" t="inlineStr">
        <is>
          <t>JÄMTLANDS LÄN</t>
        </is>
      </c>
      <c r="E1467" t="inlineStr">
        <is>
          <t>BRÄCKE</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60178-2022</t>
        </is>
      </c>
      <c r="B1468" s="1" t="n">
        <v>44909</v>
      </c>
      <c r="C1468" s="1" t="n">
        <v>46042</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22981-2024</t>
        </is>
      </c>
      <c r="B1469" s="1" t="n">
        <v>45449.90369212963</v>
      </c>
      <c r="C1469" s="1" t="n">
        <v>46042</v>
      </c>
      <c r="D1469" t="inlineStr">
        <is>
          <t>JÄMTLANDS LÄN</t>
        </is>
      </c>
      <c r="E1469" t="inlineStr">
        <is>
          <t>BRÄCKE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59544-2025</t>
        </is>
      </c>
      <c r="B1470" s="1" t="n">
        <v>45990.34483796296</v>
      </c>
      <c r="C1470" s="1" t="n">
        <v>46042</v>
      </c>
      <c r="D1470" t="inlineStr">
        <is>
          <t>JÄMTLANDS LÄN</t>
        </is>
      </c>
      <c r="E1470" t="inlineStr">
        <is>
          <t>BRÄCKE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59547-2025</t>
        </is>
      </c>
      <c r="B1471" s="1" t="n">
        <v>45990.34509259259</v>
      </c>
      <c r="C1471" s="1" t="n">
        <v>46042</v>
      </c>
      <c r="D1471" t="inlineStr">
        <is>
          <t>JÄMTLANDS LÄN</t>
        </is>
      </c>
      <c r="E1471" t="inlineStr">
        <is>
          <t>BRÄCKE</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29821-2022</t>
        </is>
      </c>
      <c r="B1472" s="1" t="n">
        <v>44755.94486111111</v>
      </c>
      <c r="C1472" s="1" t="n">
        <v>46042</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16466-2024</t>
        </is>
      </c>
      <c r="B1473" s="1" t="n">
        <v>45408.050625</v>
      </c>
      <c r="C1473" s="1" t="n">
        <v>46042</v>
      </c>
      <c r="D1473" t="inlineStr">
        <is>
          <t>JÄMTLANDS LÄN</t>
        </is>
      </c>
      <c r="E1473" t="inlineStr">
        <is>
          <t>BRÄCKE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59976-2025</t>
        </is>
      </c>
      <c r="B1474" s="1" t="n">
        <v>45993.51091435185</v>
      </c>
      <c r="C1474" s="1" t="n">
        <v>46042</v>
      </c>
      <c r="D1474" t="inlineStr">
        <is>
          <t>JÄMTLANDS LÄN</t>
        </is>
      </c>
      <c r="E1474" t="inlineStr">
        <is>
          <t>BRÄCKE</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60052-2025</t>
        </is>
      </c>
      <c r="B1475" s="1" t="n">
        <v>45993.63590277778</v>
      </c>
      <c r="C1475" s="1" t="n">
        <v>46042</v>
      </c>
      <c r="D1475" t="inlineStr">
        <is>
          <t>JÄMTLANDS LÄN</t>
        </is>
      </c>
      <c r="E1475" t="inlineStr">
        <is>
          <t>BRÄCKE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1942-2026</t>
        </is>
      </c>
      <c r="B1476" s="1" t="n">
        <v>46035.59452546296</v>
      </c>
      <c r="C1476" s="1" t="n">
        <v>46042</v>
      </c>
      <c r="D1476" t="inlineStr">
        <is>
          <t>JÄMTLANDS LÄN</t>
        </is>
      </c>
      <c r="E1476" t="inlineStr">
        <is>
          <t>BRÄCKE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54334-2023</t>
        </is>
      </c>
      <c r="B1477" s="1" t="n">
        <v>45232.95790509259</v>
      </c>
      <c r="C1477" s="1" t="n">
        <v>46042</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31521-2022</t>
        </is>
      </c>
      <c r="B1478" s="1" t="n">
        <v>44774.949375</v>
      </c>
      <c r="C1478" s="1" t="n">
        <v>46042</v>
      </c>
      <c r="D1478" t="inlineStr">
        <is>
          <t>JÄMTLANDS LÄN</t>
        </is>
      </c>
      <c r="E1478" t="inlineStr">
        <is>
          <t>BRÄCKE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60053-2025</t>
        </is>
      </c>
      <c r="B1479" s="1" t="n">
        <v>45993.63614583333</v>
      </c>
      <c r="C1479" s="1" t="n">
        <v>46042</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2684-2026</t>
        </is>
      </c>
      <c r="B1480" s="1" t="n">
        <v>46037.65673611111</v>
      </c>
      <c r="C1480" s="1" t="n">
        <v>46042</v>
      </c>
      <c r="D1480" t="inlineStr">
        <is>
          <t>JÄMTLANDS LÄN</t>
        </is>
      </c>
      <c r="E1480" t="inlineStr">
        <is>
          <t>BRÄCKE</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2310-2026</t>
        </is>
      </c>
      <c r="B1481" s="1" t="n">
        <v>46036.59472222222</v>
      </c>
      <c r="C1481" s="1" t="n">
        <v>46042</v>
      </c>
      <c r="D1481" t="inlineStr">
        <is>
          <t>JÄMTLANDS LÄN</t>
        </is>
      </c>
      <c r="E1481" t="inlineStr">
        <is>
          <t>BRÄCKE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41922-2023</t>
        </is>
      </c>
      <c r="B1482" s="1" t="n">
        <v>45176</v>
      </c>
      <c r="C1482" s="1" t="n">
        <v>46042</v>
      </c>
      <c r="D1482" t="inlineStr">
        <is>
          <t>JÄMTLANDS LÄN</t>
        </is>
      </c>
      <c r="E1482" t="inlineStr">
        <is>
          <t>BRÄCKE</t>
        </is>
      </c>
      <c r="F1482" t="inlineStr">
        <is>
          <t>SCA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60321-2025</t>
        </is>
      </c>
      <c r="B1483" s="1" t="n">
        <v>45994.71998842592</v>
      </c>
      <c r="C1483" s="1" t="n">
        <v>46042</v>
      </c>
      <c r="D1483" t="inlineStr">
        <is>
          <t>JÄMTLANDS LÄN</t>
        </is>
      </c>
      <c r="E1483" t="inlineStr">
        <is>
          <t>BRÄCKE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5005-2025</t>
        </is>
      </c>
      <c r="B1484" s="1" t="n">
        <v>45691.36862268519</v>
      </c>
      <c r="C1484" s="1" t="n">
        <v>46042</v>
      </c>
      <c r="D1484" t="inlineStr">
        <is>
          <t>JÄMTLANDS LÄN</t>
        </is>
      </c>
      <c r="E1484" t="inlineStr">
        <is>
          <t>BRÄCKE</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20667-2022</t>
        </is>
      </c>
      <c r="B1485" s="1" t="n">
        <v>44700.65226851852</v>
      </c>
      <c r="C1485" s="1" t="n">
        <v>46042</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20514-2024</t>
        </is>
      </c>
      <c r="B1486" s="1" t="n">
        <v>45435.94387731481</v>
      </c>
      <c r="C1486" s="1" t="n">
        <v>46042</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60132-2025</t>
        </is>
      </c>
      <c r="B1487" s="1" t="n">
        <v>45994.34591435185</v>
      </c>
      <c r="C1487" s="1" t="n">
        <v>46042</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59914-2022</t>
        </is>
      </c>
      <c r="B1488" s="1" t="n">
        <v>44908.96010416667</v>
      </c>
      <c r="C1488" s="1" t="n">
        <v>46042</v>
      </c>
      <c r="D1488" t="inlineStr">
        <is>
          <t>JÄMTLANDS LÄN</t>
        </is>
      </c>
      <c r="E1488" t="inlineStr">
        <is>
          <t>BRÄCKE</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50813-2024</t>
        </is>
      </c>
      <c r="B1489" s="1" t="n">
        <v>45602</v>
      </c>
      <c r="C1489" s="1" t="n">
        <v>46042</v>
      </c>
      <c r="D1489" t="inlineStr">
        <is>
          <t>JÄMTLANDS LÄN</t>
        </is>
      </c>
      <c r="E1489" t="inlineStr">
        <is>
          <t>BRÄCKE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60432-2025</t>
        </is>
      </c>
      <c r="B1490" s="1" t="n">
        <v>45995.47159722223</v>
      </c>
      <c r="C1490" s="1" t="n">
        <v>46042</v>
      </c>
      <c r="D1490" t="inlineStr">
        <is>
          <t>JÄMTLANDS LÄN</t>
        </is>
      </c>
      <c r="E1490" t="inlineStr">
        <is>
          <t>BRÄCKE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65433-2021</t>
        </is>
      </c>
      <c r="B1491" s="1" t="n">
        <v>44515.93875</v>
      </c>
      <c r="C1491" s="1" t="n">
        <v>46042</v>
      </c>
      <c r="D1491" t="inlineStr">
        <is>
          <t>JÄMTLANDS LÄN</t>
        </is>
      </c>
      <c r="E1491" t="inlineStr">
        <is>
          <t>BRÄCKE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10763-2023</t>
        </is>
      </c>
      <c r="B1492" s="1" t="n">
        <v>44988</v>
      </c>
      <c r="C1492" s="1" t="n">
        <v>46042</v>
      </c>
      <c r="D1492" t="inlineStr">
        <is>
          <t>JÄMTLANDS LÄN</t>
        </is>
      </c>
      <c r="E1492" t="inlineStr">
        <is>
          <t>BRÄCKE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43123-2023</t>
        </is>
      </c>
      <c r="B1493" s="1" t="n">
        <v>45182</v>
      </c>
      <c r="C1493" s="1" t="n">
        <v>46042</v>
      </c>
      <c r="D1493" t="inlineStr">
        <is>
          <t>JÄMTLANDS LÄN</t>
        </is>
      </c>
      <c r="E1493" t="inlineStr">
        <is>
          <t>BRÄCKE</t>
        </is>
      </c>
      <c r="F1493" t="inlineStr">
        <is>
          <t>Naturvårdsverket</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60015-2021</t>
        </is>
      </c>
      <c r="B1494" s="1" t="n">
        <v>44494.94096064815</v>
      </c>
      <c r="C1494" s="1" t="n">
        <v>46042</v>
      </c>
      <c r="D1494" t="inlineStr">
        <is>
          <t>JÄMTLANDS LÄN</t>
        </is>
      </c>
      <c r="E1494" t="inlineStr">
        <is>
          <t>BRÄCKE</t>
        </is>
      </c>
      <c r="G1494" t="n">
        <v>18.7</v>
      </c>
      <c r="H1494" t="n">
        <v>0</v>
      </c>
      <c r="I1494" t="n">
        <v>0</v>
      </c>
      <c r="J1494" t="n">
        <v>0</v>
      </c>
      <c r="K1494" t="n">
        <v>0</v>
      </c>
      <c r="L1494" t="n">
        <v>0</v>
      </c>
      <c r="M1494" t="n">
        <v>0</v>
      </c>
      <c r="N1494" t="n">
        <v>0</v>
      </c>
      <c r="O1494" t="n">
        <v>0</v>
      </c>
      <c r="P1494" t="n">
        <v>0</v>
      </c>
      <c r="Q1494" t="n">
        <v>0</v>
      </c>
      <c r="R1494" s="2" t="inlineStr"/>
    </row>
    <row r="1495" ht="15" customHeight="1">
      <c r="A1495" t="inlineStr">
        <is>
          <t>A 60353-2025</t>
        </is>
      </c>
      <c r="B1495" s="1" t="n">
        <v>45995.30998842593</v>
      </c>
      <c r="C1495" s="1" t="n">
        <v>46042</v>
      </c>
      <c r="D1495" t="inlineStr">
        <is>
          <t>JÄMTLANDS LÄN</t>
        </is>
      </c>
      <c r="E1495" t="inlineStr">
        <is>
          <t>BRÄCKE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60355-2025</t>
        </is>
      </c>
      <c r="B1496" s="1" t="n">
        <v>45995.31350694445</v>
      </c>
      <c r="C1496" s="1" t="n">
        <v>46042</v>
      </c>
      <c r="D1496" t="inlineStr">
        <is>
          <t>JÄMTLANDS LÄN</t>
        </is>
      </c>
      <c r="E1496" t="inlineStr">
        <is>
          <t>BRÄCKE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60377-2025</t>
        </is>
      </c>
      <c r="B1497" s="1" t="n">
        <v>45995.36479166667</v>
      </c>
      <c r="C1497" s="1" t="n">
        <v>46042</v>
      </c>
      <c r="D1497" t="inlineStr">
        <is>
          <t>JÄMTLANDS LÄN</t>
        </is>
      </c>
      <c r="E1497" t="inlineStr">
        <is>
          <t>BRÄCKE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57783-2023</t>
        </is>
      </c>
      <c r="B1498" s="1" t="n">
        <v>45246.96743055555</v>
      </c>
      <c r="C1498" s="1" t="n">
        <v>46042</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1672-2025</t>
        </is>
      </c>
      <c r="B1499" s="1" t="n">
        <v>45670.6781712963</v>
      </c>
      <c r="C1499" s="1" t="n">
        <v>46042</v>
      </c>
      <c r="D1499" t="inlineStr">
        <is>
          <t>JÄMTLANDS LÄN</t>
        </is>
      </c>
      <c r="E1499" t="inlineStr">
        <is>
          <t>BRÄCKE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60295-2025</t>
        </is>
      </c>
      <c r="B1500" s="1" t="n">
        <v>45994.65680555555</v>
      </c>
      <c r="C1500" s="1" t="n">
        <v>46042</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32429-2024</t>
        </is>
      </c>
      <c r="B1501" s="1" t="n">
        <v>45512.92820601852</v>
      </c>
      <c r="C1501" s="1" t="n">
        <v>46042</v>
      </c>
      <c r="D1501" t="inlineStr">
        <is>
          <t>JÄMTLANDS LÄN</t>
        </is>
      </c>
      <c r="E1501" t="inlineStr">
        <is>
          <t>BRÄCKE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47983-2021</t>
        </is>
      </c>
      <c r="B1502" s="1" t="n">
        <v>44448</v>
      </c>
      <c r="C1502" s="1" t="n">
        <v>46042</v>
      </c>
      <c r="D1502" t="inlineStr">
        <is>
          <t>JÄMTLANDS LÄN</t>
        </is>
      </c>
      <c r="E1502" t="inlineStr">
        <is>
          <t>BRÄCKE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49721-2024</t>
        </is>
      </c>
      <c r="B1503" s="1" t="n">
        <v>45596.72841435186</v>
      </c>
      <c r="C1503" s="1" t="n">
        <v>46042</v>
      </c>
      <c r="D1503" t="inlineStr">
        <is>
          <t>JÄMTLANDS LÄN</t>
        </is>
      </c>
      <c r="E1503" t="inlineStr">
        <is>
          <t>BRÄCKE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14601-2025</t>
        </is>
      </c>
      <c r="B1504" s="1" t="n">
        <v>45742.36497685185</v>
      </c>
      <c r="C1504" s="1" t="n">
        <v>46042</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2170-2026</t>
        </is>
      </c>
      <c r="B1505" s="1" t="n">
        <v>46036.44859953703</v>
      </c>
      <c r="C1505" s="1" t="n">
        <v>46042</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62249-2021</t>
        </is>
      </c>
      <c r="B1506" s="1" t="n">
        <v>44503</v>
      </c>
      <c r="C1506" s="1" t="n">
        <v>46042</v>
      </c>
      <c r="D1506" t="inlineStr">
        <is>
          <t>JÄMTLANDS LÄN</t>
        </is>
      </c>
      <c r="E1506" t="inlineStr">
        <is>
          <t>BRÄCKE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2355-2026</t>
        </is>
      </c>
      <c r="B1507" s="1" t="n">
        <v>46036.6362037037</v>
      </c>
      <c r="C1507" s="1" t="n">
        <v>46042</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60248-2025</t>
        </is>
      </c>
      <c r="B1508" s="1" t="n">
        <v>45994.59428240741</v>
      </c>
      <c r="C1508" s="1" t="n">
        <v>46042</v>
      </c>
      <c r="D1508" t="inlineStr">
        <is>
          <t>JÄMTLANDS LÄN</t>
        </is>
      </c>
      <c r="E1508" t="inlineStr">
        <is>
          <t>BRÄCKE</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60221-2025</t>
        </is>
      </c>
      <c r="B1509" s="1" t="n">
        <v>45994.54357638889</v>
      </c>
      <c r="C1509" s="1" t="n">
        <v>46042</v>
      </c>
      <c r="D1509" t="inlineStr">
        <is>
          <t>JÄMTLANDS LÄN</t>
        </is>
      </c>
      <c r="E1509" t="inlineStr">
        <is>
          <t>BRÄCKE</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60220-2025</t>
        </is>
      </c>
      <c r="B1510" s="1" t="n">
        <v>45994</v>
      </c>
      <c r="C1510" s="1" t="n">
        <v>46042</v>
      </c>
      <c r="D1510" t="inlineStr">
        <is>
          <t>JÄMTLANDS LÄN</t>
        </is>
      </c>
      <c r="E1510" t="inlineStr">
        <is>
          <t>BRÄCKE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19615-2025</t>
        </is>
      </c>
      <c r="B1511" s="1" t="n">
        <v>45770.61519675926</v>
      </c>
      <c r="C1511" s="1" t="n">
        <v>46042</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11310-2025</t>
        </is>
      </c>
      <c r="B1512" s="1" t="n">
        <v>45726.44832175926</v>
      </c>
      <c r="C1512" s="1" t="n">
        <v>46042</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6362-2024</t>
        </is>
      </c>
      <c r="B1513" s="1" t="n">
        <v>45338</v>
      </c>
      <c r="C1513" s="1" t="n">
        <v>46042</v>
      </c>
      <c r="D1513" t="inlineStr">
        <is>
          <t>JÄMTLANDS LÄN</t>
        </is>
      </c>
      <c r="E1513" t="inlineStr">
        <is>
          <t>BRÄCKE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3189-2026</t>
        </is>
      </c>
      <c r="B1514" s="1" t="n">
        <v>46041.45987268518</v>
      </c>
      <c r="C1514" s="1" t="n">
        <v>46042</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19996-2024</t>
        </is>
      </c>
      <c r="B1515" s="1" t="n">
        <v>45433.92756944444</v>
      </c>
      <c r="C1515" s="1" t="n">
        <v>46042</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21781-2023</t>
        </is>
      </c>
      <c r="B1516" s="1" t="n">
        <v>45065</v>
      </c>
      <c r="C1516" s="1" t="n">
        <v>46042</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23013-2021</t>
        </is>
      </c>
      <c r="B1517" s="1" t="n">
        <v>44328</v>
      </c>
      <c r="C1517" s="1" t="n">
        <v>46042</v>
      </c>
      <c r="D1517" t="inlineStr">
        <is>
          <t>JÄMTLANDS LÄN</t>
        </is>
      </c>
      <c r="E1517" t="inlineStr">
        <is>
          <t>BRÄCKE</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21637-2021</t>
        </is>
      </c>
      <c r="B1518" s="1" t="n">
        <v>44321</v>
      </c>
      <c r="C1518" s="1" t="n">
        <v>46042</v>
      </c>
      <c r="D1518" t="inlineStr">
        <is>
          <t>JÄMTLANDS LÄN</t>
        </is>
      </c>
      <c r="E1518" t="inlineStr">
        <is>
          <t>BRÄCKE</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57590-2024</t>
        </is>
      </c>
      <c r="B1519" s="1" t="n">
        <v>45630.49729166667</v>
      </c>
      <c r="C1519" s="1" t="n">
        <v>46042</v>
      </c>
      <c r="D1519" t="inlineStr">
        <is>
          <t>JÄMTLANDS LÄN</t>
        </is>
      </c>
      <c r="E1519" t="inlineStr">
        <is>
          <t>BRÄCKE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55667-2023</t>
        </is>
      </c>
      <c r="B1520" s="1" t="n">
        <v>45238.96780092592</v>
      </c>
      <c r="C1520" s="1" t="n">
        <v>46042</v>
      </c>
      <c r="D1520" t="inlineStr">
        <is>
          <t>JÄMTLANDS LÄN</t>
        </is>
      </c>
      <c r="E1520" t="inlineStr">
        <is>
          <t>BRÄCKE</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55668-2023</t>
        </is>
      </c>
      <c r="B1521" s="1" t="n">
        <v>45238</v>
      </c>
      <c r="C1521" s="1" t="n">
        <v>46042</v>
      </c>
      <c r="D1521" t="inlineStr">
        <is>
          <t>JÄMTLANDS LÄN</t>
        </is>
      </c>
      <c r="E1521" t="inlineStr">
        <is>
          <t>BRÄCKE</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60769-2025</t>
        </is>
      </c>
      <c r="B1522" s="1" t="n">
        <v>45999.38702546297</v>
      </c>
      <c r="C1522" s="1" t="n">
        <v>46042</v>
      </c>
      <c r="D1522" t="inlineStr">
        <is>
          <t>JÄMTLANDS LÄN</t>
        </is>
      </c>
      <c r="E1522" t="inlineStr">
        <is>
          <t>BRÄCKE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60762-2025</t>
        </is>
      </c>
      <c r="B1523" s="1" t="n">
        <v>45999.3863425926</v>
      </c>
      <c r="C1523" s="1" t="n">
        <v>46042</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2982-2026</t>
        </is>
      </c>
      <c r="B1524" s="1" t="n">
        <v>46038.62986111111</v>
      </c>
      <c r="C1524" s="1" t="n">
        <v>46042</v>
      </c>
      <c r="D1524" t="inlineStr">
        <is>
          <t>JÄMTLANDS LÄN</t>
        </is>
      </c>
      <c r="E1524" t="inlineStr">
        <is>
          <t>BRÄCKE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3190-2026</t>
        </is>
      </c>
      <c r="B1525" s="1" t="n">
        <v>46041.46190972222</v>
      </c>
      <c r="C1525" s="1" t="n">
        <v>46042</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41694-2025</t>
        </is>
      </c>
      <c r="B1526" s="1" t="n">
        <v>45902</v>
      </c>
      <c r="C1526" s="1" t="n">
        <v>46042</v>
      </c>
      <c r="D1526" t="inlineStr">
        <is>
          <t>JÄMTLANDS LÄN</t>
        </is>
      </c>
      <c r="E1526" t="inlineStr">
        <is>
          <t>BRÄCKE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23064-2024</t>
        </is>
      </c>
      <c r="B1527" s="1" t="n">
        <v>45450.44827546296</v>
      </c>
      <c r="C1527" s="1" t="n">
        <v>46042</v>
      </c>
      <c r="D1527" t="inlineStr">
        <is>
          <t>JÄMTLANDS LÄN</t>
        </is>
      </c>
      <c r="E1527" t="inlineStr">
        <is>
          <t>BRÄCKE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60660-2025</t>
        </is>
      </c>
      <c r="B1528" s="1" t="n">
        <v>45996.48990740741</v>
      </c>
      <c r="C1528" s="1" t="n">
        <v>46042</v>
      </c>
      <c r="D1528" t="inlineStr">
        <is>
          <t>JÄMTLANDS LÄN</t>
        </is>
      </c>
      <c r="E1528" t="inlineStr">
        <is>
          <t>BRÄCKE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37048-2021</t>
        </is>
      </c>
      <c r="B1529" s="1" t="n">
        <v>44393.93534722222</v>
      </c>
      <c r="C1529" s="1" t="n">
        <v>46042</v>
      </c>
      <c r="D1529" t="inlineStr">
        <is>
          <t>JÄMTLANDS LÄN</t>
        </is>
      </c>
      <c r="E1529" t="inlineStr">
        <is>
          <t>BRÄCKE</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25934-2024</t>
        </is>
      </c>
      <c r="B1530" s="1" t="n">
        <v>45467.62287037037</v>
      </c>
      <c r="C1530" s="1" t="n">
        <v>46042</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63534-2023</t>
        </is>
      </c>
      <c r="B1531" s="1" t="n">
        <v>45274.94905092593</v>
      </c>
      <c r="C1531" s="1" t="n">
        <v>46042</v>
      </c>
      <c r="D1531" t="inlineStr">
        <is>
          <t>JÄMTLANDS LÄN</t>
        </is>
      </c>
      <c r="E1531" t="inlineStr">
        <is>
          <t>BRÄCKE</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45577-2023</t>
        </is>
      </c>
      <c r="B1532" s="1" t="n">
        <v>45194</v>
      </c>
      <c r="C1532" s="1" t="n">
        <v>46042</v>
      </c>
      <c r="D1532" t="inlineStr">
        <is>
          <t>JÄMTLANDS LÄN</t>
        </is>
      </c>
      <c r="E1532" t="inlineStr">
        <is>
          <t>BRÄCKE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53522-2023</t>
        </is>
      </c>
      <c r="B1533" s="1" t="n">
        <v>45223</v>
      </c>
      <c r="C1533" s="1" t="n">
        <v>46042</v>
      </c>
      <c r="D1533" t="inlineStr">
        <is>
          <t>JÄMTLANDS LÄN</t>
        </is>
      </c>
      <c r="E1533" t="inlineStr">
        <is>
          <t>BRÄCKE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21380-2024</t>
        </is>
      </c>
      <c r="B1534" s="1" t="n">
        <v>45440</v>
      </c>
      <c r="C1534" s="1" t="n">
        <v>46042</v>
      </c>
      <c r="D1534" t="inlineStr">
        <is>
          <t>JÄMTLANDS LÄN</t>
        </is>
      </c>
      <c r="E1534" t="inlineStr">
        <is>
          <t>BRÄCKE</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21381-2024</t>
        </is>
      </c>
      <c r="B1535" s="1" t="n">
        <v>45440.95402777778</v>
      </c>
      <c r="C1535" s="1" t="n">
        <v>46042</v>
      </c>
      <c r="D1535" t="inlineStr">
        <is>
          <t>JÄMTLANDS LÄN</t>
        </is>
      </c>
      <c r="E1535" t="inlineStr">
        <is>
          <t>BRÄCKE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64037-2023</t>
        </is>
      </c>
      <c r="B1536" s="1" t="n">
        <v>45278.94344907408</v>
      </c>
      <c r="C1536" s="1" t="n">
        <v>46042</v>
      </c>
      <c r="D1536" t="inlineStr">
        <is>
          <t>JÄMTLANDS LÄN</t>
        </is>
      </c>
      <c r="E1536" t="inlineStr">
        <is>
          <t>BRÄCKE</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34137-2023</t>
        </is>
      </c>
      <c r="B1537" s="1" t="n">
        <v>45135</v>
      </c>
      <c r="C1537" s="1" t="n">
        <v>46042</v>
      </c>
      <c r="D1537" t="inlineStr">
        <is>
          <t>JÄMTLANDS LÄN</t>
        </is>
      </c>
      <c r="E1537" t="inlineStr">
        <is>
          <t>BRÄCKE</t>
        </is>
      </c>
      <c r="F1537" t="inlineStr">
        <is>
          <t>SCA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52023-2022</t>
        </is>
      </c>
      <c r="B1538" s="1" t="n">
        <v>44872.95675925926</v>
      </c>
      <c r="C1538" s="1" t="n">
        <v>46042</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30480-2022</t>
        </is>
      </c>
      <c r="B1539" s="1" t="n">
        <v>44761.94019675926</v>
      </c>
      <c r="C1539" s="1" t="n">
        <v>46042</v>
      </c>
      <c r="D1539" t="inlineStr">
        <is>
          <t>JÄMTLANDS LÄN</t>
        </is>
      </c>
      <c r="E1539" t="inlineStr">
        <is>
          <t>BRÄCKE</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2197-2025</t>
        </is>
      </c>
      <c r="B1540" s="1" t="n">
        <v>45673.38782407407</v>
      </c>
      <c r="C1540" s="1" t="n">
        <v>46042</v>
      </c>
      <c r="D1540" t="inlineStr">
        <is>
          <t>JÄMTLANDS LÄN</t>
        </is>
      </c>
      <c r="E1540" t="inlineStr">
        <is>
          <t>BRÄCKE</t>
        </is>
      </c>
      <c r="F1540" t="inlineStr">
        <is>
          <t>SCA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31843-2022</t>
        </is>
      </c>
      <c r="B1541" s="1" t="n">
        <v>44776.94121527778</v>
      </c>
      <c r="C1541" s="1" t="n">
        <v>46042</v>
      </c>
      <c r="D1541" t="inlineStr">
        <is>
          <t>JÄMTLANDS LÄN</t>
        </is>
      </c>
      <c r="E1541" t="inlineStr">
        <is>
          <t>BRÄCKE</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31853-2022</t>
        </is>
      </c>
      <c r="B1542" s="1" t="n">
        <v>44776</v>
      </c>
      <c r="C1542" s="1" t="n">
        <v>46042</v>
      </c>
      <c r="D1542" t="inlineStr">
        <is>
          <t>JÄMTLANDS LÄN</t>
        </is>
      </c>
      <c r="E1542" t="inlineStr">
        <is>
          <t>BRÄCKE</t>
        </is>
      </c>
      <c r="F1542" t="inlineStr">
        <is>
          <t>SCA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16158-2024</t>
        </is>
      </c>
      <c r="B1543" s="1" t="n">
        <v>45406.5909837963</v>
      </c>
      <c r="C1543" s="1" t="n">
        <v>46042</v>
      </c>
      <c r="D1543" t="inlineStr">
        <is>
          <t>JÄMTLANDS LÄN</t>
        </is>
      </c>
      <c r="E1543" t="inlineStr">
        <is>
          <t>BRÄCKE</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46042</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1201-2022</t>
        </is>
      </c>
      <c r="B1545" s="1" t="n">
        <v>44572</v>
      </c>
      <c r="C1545" s="1" t="n">
        <v>46042</v>
      </c>
      <c r="D1545" t="inlineStr">
        <is>
          <t>JÄMTLANDS LÄN</t>
        </is>
      </c>
      <c r="E1545" t="inlineStr">
        <is>
          <t>BRÄCKE</t>
        </is>
      </c>
      <c r="G1545" t="n">
        <v>13.7</v>
      </c>
      <c r="H1545" t="n">
        <v>0</v>
      </c>
      <c r="I1545" t="n">
        <v>0</v>
      </c>
      <c r="J1545" t="n">
        <v>0</v>
      </c>
      <c r="K1545" t="n">
        <v>0</v>
      </c>
      <c r="L1545" t="n">
        <v>0</v>
      </c>
      <c r="M1545" t="n">
        <v>0</v>
      </c>
      <c r="N1545" t="n">
        <v>0</v>
      </c>
      <c r="O1545" t="n">
        <v>0</v>
      </c>
      <c r="P1545" t="n">
        <v>0</v>
      </c>
      <c r="Q1545" t="n">
        <v>0</v>
      </c>
      <c r="R1545" s="2" t="inlineStr"/>
    </row>
    <row r="1546" ht="15" customHeight="1">
      <c r="A1546" t="inlineStr">
        <is>
          <t>A 33998-2023</t>
        </is>
      </c>
      <c r="B1546" s="1" t="n">
        <v>45134</v>
      </c>
      <c r="C1546" s="1" t="n">
        <v>46042</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59047-2022</t>
        </is>
      </c>
      <c r="B1547" s="1" t="n">
        <v>44903.95328703704</v>
      </c>
      <c r="C1547" s="1" t="n">
        <v>46042</v>
      </c>
      <c r="D1547" t="inlineStr">
        <is>
          <t>JÄMTLANDS LÄN</t>
        </is>
      </c>
      <c r="E1547" t="inlineStr">
        <is>
          <t>BRÄCKE</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60435-2023</t>
        </is>
      </c>
      <c r="B1548" s="1" t="n">
        <v>45258</v>
      </c>
      <c r="C1548" s="1" t="n">
        <v>46042</v>
      </c>
      <c r="D1548" t="inlineStr">
        <is>
          <t>JÄMTLANDS LÄN</t>
        </is>
      </c>
      <c r="E1548" t="inlineStr">
        <is>
          <t>BRÄCKE</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14503-2024</t>
        </is>
      </c>
      <c r="B1549" s="1" t="n">
        <v>45394.60408564815</v>
      </c>
      <c r="C1549" s="1" t="n">
        <v>46042</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18036-2025</t>
        </is>
      </c>
      <c r="B1550" s="1" t="n">
        <v>45761.45518518519</v>
      </c>
      <c r="C1550" s="1" t="n">
        <v>46042</v>
      </c>
      <c r="D1550" t="inlineStr">
        <is>
          <t>JÄMTLANDS LÄN</t>
        </is>
      </c>
      <c r="E1550" t="inlineStr">
        <is>
          <t>BRÄCKE</t>
        </is>
      </c>
      <c r="G1550" t="n">
        <v>19.5</v>
      </c>
      <c r="H1550" t="n">
        <v>0</v>
      </c>
      <c r="I1550" t="n">
        <v>0</v>
      </c>
      <c r="J1550" t="n">
        <v>0</v>
      </c>
      <c r="K1550" t="n">
        <v>0</v>
      </c>
      <c r="L1550" t="n">
        <v>0</v>
      </c>
      <c r="M1550" t="n">
        <v>0</v>
      </c>
      <c r="N1550" t="n">
        <v>0</v>
      </c>
      <c r="O1550" t="n">
        <v>0</v>
      </c>
      <c r="P1550" t="n">
        <v>0</v>
      </c>
      <c r="Q1550" t="n">
        <v>0</v>
      </c>
      <c r="R1550" s="2" t="inlineStr"/>
    </row>
    <row r="1551" ht="15" customHeight="1">
      <c r="A1551" t="inlineStr">
        <is>
          <t>A 58767-2023</t>
        </is>
      </c>
      <c r="B1551" s="1" t="n">
        <v>45251.96665509259</v>
      </c>
      <c r="C1551" s="1" t="n">
        <v>46042</v>
      </c>
      <c r="D1551" t="inlineStr">
        <is>
          <t>JÄMTLANDS LÄN</t>
        </is>
      </c>
      <c r="E1551" t="inlineStr">
        <is>
          <t>BRÄCKE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44444-2022</t>
        </is>
      </c>
      <c r="B1552" s="1" t="n">
        <v>44839.95474537037</v>
      </c>
      <c r="C1552" s="1" t="n">
        <v>46042</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17601-2025</t>
        </is>
      </c>
      <c r="B1553" s="1" t="n">
        <v>45757.71991898148</v>
      </c>
      <c r="C1553" s="1" t="n">
        <v>46042</v>
      </c>
      <c r="D1553" t="inlineStr">
        <is>
          <t>JÄMTLANDS LÄN</t>
        </is>
      </c>
      <c r="E1553" t="inlineStr">
        <is>
          <t>BRÄCKE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40775-2023</t>
        </is>
      </c>
      <c r="B1554" s="1" t="n">
        <v>45170.95685185185</v>
      </c>
      <c r="C1554" s="1" t="n">
        <v>46042</v>
      </c>
      <c r="D1554" t="inlineStr">
        <is>
          <t>JÄMTLANDS LÄN</t>
        </is>
      </c>
      <c r="E1554" t="inlineStr">
        <is>
          <t>BRÄCKE</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33773-2024</t>
        </is>
      </c>
      <c r="B1555" s="1" t="n">
        <v>45520</v>
      </c>
      <c r="C1555" s="1" t="n">
        <v>46042</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41314-2024</t>
        </is>
      </c>
      <c r="B1556" s="1" t="n">
        <v>45559.63613425926</v>
      </c>
      <c r="C1556" s="1" t="n">
        <v>46042</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33774-2024</t>
        </is>
      </c>
      <c r="B1557" s="1" t="n">
        <v>45520</v>
      </c>
      <c r="C1557" s="1" t="n">
        <v>46042</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34873-2021</t>
        </is>
      </c>
      <c r="B1558" s="1" t="n">
        <v>44382</v>
      </c>
      <c r="C1558" s="1" t="n">
        <v>46042</v>
      </c>
      <c r="D1558" t="inlineStr">
        <is>
          <t>JÄMTLANDS LÄN</t>
        </is>
      </c>
      <c r="E1558" t="inlineStr">
        <is>
          <t>BRÄCKE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19386-2025</t>
        </is>
      </c>
      <c r="B1559" s="1" t="n">
        <v>45769.65719907408</v>
      </c>
      <c r="C1559" s="1" t="n">
        <v>46042</v>
      </c>
      <c r="D1559" t="inlineStr">
        <is>
          <t>JÄMTLANDS LÄN</t>
        </is>
      </c>
      <c r="E1559" t="inlineStr">
        <is>
          <t>BRÄCKE</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56732-2022</t>
        </is>
      </c>
      <c r="B1560" s="1" t="n">
        <v>44893.94966435185</v>
      </c>
      <c r="C1560" s="1" t="n">
        <v>46042</v>
      </c>
      <c r="D1560" t="inlineStr">
        <is>
          <t>JÄMTLANDS LÄN</t>
        </is>
      </c>
      <c r="E1560" t="inlineStr">
        <is>
          <t>BRÄCKE</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63292-2023</t>
        </is>
      </c>
      <c r="B1561" s="1" t="n">
        <v>45273.94680555556</v>
      </c>
      <c r="C1561" s="1" t="n">
        <v>46042</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29189-2024</t>
        </is>
      </c>
      <c r="B1562" s="1" t="n">
        <v>45482.55164351852</v>
      </c>
      <c r="C1562" s="1" t="n">
        <v>46042</v>
      </c>
      <c r="D1562" t="inlineStr">
        <is>
          <t>JÄMTLANDS LÄN</t>
        </is>
      </c>
      <c r="E1562" t="inlineStr">
        <is>
          <t>BRÄCKE</t>
        </is>
      </c>
      <c r="F1562" t="inlineStr">
        <is>
          <t>Övriga Aktiebolag</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6516-2024</t>
        </is>
      </c>
      <c r="B1563" s="1" t="n">
        <v>45341</v>
      </c>
      <c r="C1563" s="1" t="n">
        <v>46042</v>
      </c>
      <c r="D1563" t="inlineStr">
        <is>
          <t>JÄMTLANDS LÄN</t>
        </is>
      </c>
      <c r="E1563" t="inlineStr">
        <is>
          <t>BRÄCKE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52846-2022</t>
        </is>
      </c>
      <c r="B1564" s="1" t="n">
        <v>44875</v>
      </c>
      <c r="C1564" s="1" t="n">
        <v>46042</v>
      </c>
      <c r="D1564" t="inlineStr">
        <is>
          <t>JÄMTLANDS LÄN</t>
        </is>
      </c>
      <c r="E1564" t="inlineStr">
        <is>
          <t>BRÄCKE</t>
        </is>
      </c>
      <c r="F1564" t="inlineStr">
        <is>
          <t>Övriga Aktiebolag</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54524-2022</t>
        </is>
      </c>
      <c r="B1565" s="1" t="n">
        <v>44882.74364583333</v>
      </c>
      <c r="C1565" s="1" t="n">
        <v>46042</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57798-2023</t>
        </is>
      </c>
      <c r="B1566" s="1" t="n">
        <v>45246.96893518518</v>
      </c>
      <c r="C1566" s="1" t="n">
        <v>46042</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40430-2023</t>
        </is>
      </c>
      <c r="B1567" s="1" t="n">
        <v>45169</v>
      </c>
      <c r="C1567" s="1" t="n">
        <v>46042</v>
      </c>
      <c r="D1567" t="inlineStr">
        <is>
          <t>JÄMTLANDS LÄN</t>
        </is>
      </c>
      <c r="E1567" t="inlineStr">
        <is>
          <t>BRÄCKE</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56499-2023</t>
        </is>
      </c>
      <c r="B1568" s="1" t="n">
        <v>45237</v>
      </c>
      <c r="C1568" s="1" t="n">
        <v>46042</v>
      </c>
      <c r="D1568" t="inlineStr">
        <is>
          <t>JÄMTLANDS LÄN</t>
        </is>
      </c>
      <c r="E1568" t="inlineStr">
        <is>
          <t>BRÄCKE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56525-2023</t>
        </is>
      </c>
      <c r="B1569" s="1" t="n">
        <v>45243.56650462963</v>
      </c>
      <c r="C1569" s="1" t="n">
        <v>46042</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45381-2024</t>
        </is>
      </c>
      <c r="B1570" s="1" t="n">
        <v>45576.53155092592</v>
      </c>
      <c r="C1570" s="1" t="n">
        <v>46042</v>
      </c>
      <c r="D1570" t="inlineStr">
        <is>
          <t>JÄMTLANDS LÄN</t>
        </is>
      </c>
      <c r="E1570" t="inlineStr">
        <is>
          <t>BRÄCKE</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13166-2024</t>
        </is>
      </c>
      <c r="B1571" s="1" t="n">
        <v>45386.40141203703</v>
      </c>
      <c r="C1571" s="1" t="n">
        <v>46042</v>
      </c>
      <c r="D1571" t="inlineStr">
        <is>
          <t>JÄMTLANDS LÄN</t>
        </is>
      </c>
      <c r="E1571" t="inlineStr">
        <is>
          <t>BRÄCKE</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13180-2024</t>
        </is>
      </c>
      <c r="B1572" s="1" t="n">
        <v>45386.43207175926</v>
      </c>
      <c r="C1572" s="1" t="n">
        <v>46042</v>
      </c>
      <c r="D1572" t="inlineStr">
        <is>
          <t>JÄMTLANDS LÄN</t>
        </is>
      </c>
      <c r="E1572" t="inlineStr">
        <is>
          <t>BRÄCKE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36209-2023</t>
        </is>
      </c>
      <c r="B1573" s="1" t="n">
        <v>45149</v>
      </c>
      <c r="C1573" s="1" t="n">
        <v>46042</v>
      </c>
      <c r="D1573" t="inlineStr">
        <is>
          <t>JÄMTLANDS LÄN</t>
        </is>
      </c>
      <c r="E1573" t="inlineStr">
        <is>
          <t>BRÄCKE</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57088-2024</t>
        </is>
      </c>
      <c r="B1574" s="1" t="n">
        <v>45629.35652777777</v>
      </c>
      <c r="C1574" s="1" t="n">
        <v>46042</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18982-2022</t>
        </is>
      </c>
      <c r="B1575" s="1" t="n">
        <v>44690.92626157407</v>
      </c>
      <c r="C1575" s="1" t="n">
        <v>46042</v>
      </c>
      <c r="D1575" t="inlineStr">
        <is>
          <t>JÄMTLANDS LÄN</t>
        </is>
      </c>
      <c r="E1575" t="inlineStr">
        <is>
          <t>BRÄCKE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13906-2025</t>
        </is>
      </c>
      <c r="B1576" s="1" t="n">
        <v>45737.6359375</v>
      </c>
      <c r="C1576" s="1" t="n">
        <v>46042</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52754-2023</t>
        </is>
      </c>
      <c r="B1577" s="1" t="n">
        <v>45225.96831018518</v>
      </c>
      <c r="C1577" s="1" t="n">
        <v>46042</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52712-2022</t>
        </is>
      </c>
      <c r="B1578" s="1" t="n">
        <v>44874</v>
      </c>
      <c r="C1578" s="1" t="n">
        <v>46042</v>
      </c>
      <c r="D1578" t="inlineStr">
        <is>
          <t>JÄMTLANDS LÄN</t>
        </is>
      </c>
      <c r="E1578" t="inlineStr">
        <is>
          <t>BRÄCKE</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52713-2022</t>
        </is>
      </c>
      <c r="B1579" s="1" t="n">
        <v>44874.95504629629</v>
      </c>
      <c r="C1579" s="1" t="n">
        <v>46042</v>
      </c>
      <c r="D1579" t="inlineStr">
        <is>
          <t>JÄMTLANDS LÄN</t>
        </is>
      </c>
      <c r="E1579" t="inlineStr">
        <is>
          <t>BRÄCKE</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41175-2023</t>
        </is>
      </c>
      <c r="B1580" s="1" t="n">
        <v>45170</v>
      </c>
      <c r="C1580" s="1" t="n">
        <v>46042</v>
      </c>
      <c r="D1580" t="inlineStr">
        <is>
          <t>JÄMTLANDS LÄN</t>
        </is>
      </c>
      <c r="E1580" t="inlineStr">
        <is>
          <t>BRÄCKE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41183-2023</t>
        </is>
      </c>
      <c r="B1581" s="1" t="n">
        <v>45170</v>
      </c>
      <c r="C1581" s="1" t="n">
        <v>46042</v>
      </c>
      <c r="D1581" t="inlineStr">
        <is>
          <t>JÄMTLANDS LÄN</t>
        </is>
      </c>
      <c r="E1581" t="inlineStr">
        <is>
          <t>BRÄCKE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56656-2022</t>
        </is>
      </c>
      <c r="B1582" s="1" t="n">
        <v>44893</v>
      </c>
      <c r="C1582" s="1" t="n">
        <v>46042</v>
      </c>
      <c r="D1582" t="inlineStr">
        <is>
          <t>JÄMTLANDS LÄN</t>
        </is>
      </c>
      <c r="E1582" t="inlineStr">
        <is>
          <t>BRÄCKE</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45436-2022</t>
        </is>
      </c>
      <c r="B1583" s="1" t="n">
        <v>44844.95355324074</v>
      </c>
      <c r="C1583" s="1" t="n">
        <v>46042</v>
      </c>
      <c r="D1583" t="inlineStr">
        <is>
          <t>JÄMTLANDS LÄN</t>
        </is>
      </c>
      <c r="E1583" t="inlineStr">
        <is>
          <t>BRÄCKE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51559-2022</t>
        </is>
      </c>
      <c r="B1584" s="1" t="n">
        <v>44869</v>
      </c>
      <c r="C1584" s="1" t="n">
        <v>46042</v>
      </c>
      <c r="D1584" t="inlineStr">
        <is>
          <t>JÄMTLANDS LÄN</t>
        </is>
      </c>
      <c r="E1584" t="inlineStr">
        <is>
          <t>BRÄCKE</t>
        </is>
      </c>
      <c r="F1584" t="inlineStr">
        <is>
          <t>SCA</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5340-2025</t>
        </is>
      </c>
      <c r="B1585" s="1" t="n">
        <v>45692.55248842593</v>
      </c>
      <c r="C1585" s="1" t="n">
        <v>46042</v>
      </c>
      <c r="D1585" t="inlineStr">
        <is>
          <t>JÄMTLANDS LÄN</t>
        </is>
      </c>
      <c r="E1585" t="inlineStr">
        <is>
          <t>BRÄCKE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48784-2024</t>
        </is>
      </c>
      <c r="B1586" s="1" t="n">
        <v>45593.63570601852</v>
      </c>
      <c r="C1586" s="1" t="n">
        <v>46042</v>
      </c>
      <c r="D1586" t="inlineStr">
        <is>
          <t>JÄMTLANDS LÄN</t>
        </is>
      </c>
      <c r="E1586" t="inlineStr">
        <is>
          <t>BRÄCKE</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41401-2023</t>
        </is>
      </c>
      <c r="B1587" s="1" t="n">
        <v>45174</v>
      </c>
      <c r="C1587" s="1" t="n">
        <v>46042</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19486-2023</t>
        </is>
      </c>
      <c r="B1588" s="1" t="n">
        <v>45049</v>
      </c>
      <c r="C1588" s="1" t="n">
        <v>46042</v>
      </c>
      <c r="D1588" t="inlineStr">
        <is>
          <t>JÄMTLANDS LÄN</t>
        </is>
      </c>
      <c r="E1588" t="inlineStr">
        <is>
          <t>BRÄCKE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12036-2023</t>
        </is>
      </c>
      <c r="B1589" s="1" t="n">
        <v>44995</v>
      </c>
      <c r="C1589" s="1" t="n">
        <v>46042</v>
      </c>
      <c r="D1589" t="inlineStr">
        <is>
          <t>JÄMTLANDS LÄN</t>
        </is>
      </c>
      <c r="E1589" t="inlineStr">
        <is>
          <t>BRÄCKE</t>
        </is>
      </c>
      <c r="G1589" t="n">
        <v>16.3</v>
      </c>
      <c r="H1589" t="n">
        <v>0</v>
      </c>
      <c r="I1589" t="n">
        <v>0</v>
      </c>
      <c r="J1589" t="n">
        <v>0</v>
      </c>
      <c r="K1589" t="n">
        <v>0</v>
      </c>
      <c r="L1589" t="n">
        <v>0</v>
      </c>
      <c r="M1589" t="n">
        <v>0</v>
      </c>
      <c r="N1589" t="n">
        <v>0</v>
      </c>
      <c r="O1589" t="n">
        <v>0</v>
      </c>
      <c r="P1589" t="n">
        <v>0</v>
      </c>
      <c r="Q1589" t="n">
        <v>0</v>
      </c>
      <c r="R1589" s="2" t="inlineStr"/>
    </row>
    <row r="1590" ht="15" customHeight="1">
      <c r="A1590" t="inlineStr">
        <is>
          <t>A 63716-2023</t>
        </is>
      </c>
      <c r="B1590" s="1" t="n">
        <v>45275</v>
      </c>
      <c r="C1590" s="1" t="n">
        <v>46042</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3697-2025</t>
        </is>
      </c>
      <c r="B1591" s="1" t="n">
        <v>45681.46973379629</v>
      </c>
      <c r="C1591" s="1" t="n">
        <v>46042</v>
      </c>
      <c r="D1591" t="inlineStr">
        <is>
          <t>JÄMTLANDS LÄN</t>
        </is>
      </c>
      <c r="E1591" t="inlineStr">
        <is>
          <t>BRÄCKE</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56822-2022</t>
        </is>
      </c>
      <c r="B1592" s="1" t="n">
        <v>44894.44673611111</v>
      </c>
      <c r="C1592" s="1" t="n">
        <v>46042</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18641-2024</t>
        </is>
      </c>
      <c r="B1593" s="1" t="n">
        <v>45425.9666087963</v>
      </c>
      <c r="C1593" s="1" t="n">
        <v>46042</v>
      </c>
      <c r="D1593" t="inlineStr">
        <is>
          <t>JÄMTLANDS LÄN</t>
        </is>
      </c>
      <c r="E1593" t="inlineStr">
        <is>
          <t>BRÄCKE</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58848-2024</t>
        </is>
      </c>
      <c r="B1594" s="1" t="n">
        <v>45636.38657407407</v>
      </c>
      <c r="C1594" s="1" t="n">
        <v>46042</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50260-2024</t>
        </is>
      </c>
      <c r="B1595" s="1" t="n">
        <v>45600</v>
      </c>
      <c r="C1595" s="1" t="n">
        <v>46042</v>
      </c>
      <c r="D1595" t="inlineStr">
        <is>
          <t>JÄMTLANDS LÄN</t>
        </is>
      </c>
      <c r="E1595" t="inlineStr">
        <is>
          <t>BRÄCKE</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35506-2023</t>
        </is>
      </c>
      <c r="B1596" s="1" t="n">
        <v>45146</v>
      </c>
      <c r="C1596" s="1" t="n">
        <v>46042</v>
      </c>
      <c r="D1596" t="inlineStr">
        <is>
          <t>JÄMTLANDS LÄN</t>
        </is>
      </c>
      <c r="E1596" t="inlineStr">
        <is>
          <t>BRÄCKE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15201-2024</t>
        </is>
      </c>
      <c r="B1597" s="1" t="n">
        <v>45400.43778935185</v>
      </c>
      <c r="C1597" s="1" t="n">
        <v>46042</v>
      </c>
      <c r="D1597" t="inlineStr">
        <is>
          <t>JÄMTLANDS LÄN</t>
        </is>
      </c>
      <c r="E1597" t="inlineStr">
        <is>
          <t>BRÄCKE</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23444-2022</t>
        </is>
      </c>
      <c r="B1598" s="1" t="n">
        <v>44720.94118055556</v>
      </c>
      <c r="C1598" s="1" t="n">
        <v>46042</v>
      </c>
      <c r="D1598" t="inlineStr">
        <is>
          <t>JÄMTLANDS LÄN</t>
        </is>
      </c>
      <c r="E1598" t="inlineStr">
        <is>
          <t>BRÄCKE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29003-2024</t>
        </is>
      </c>
      <c r="B1599" s="1" t="n">
        <v>45481.52758101852</v>
      </c>
      <c r="C1599" s="1" t="n">
        <v>46042</v>
      </c>
      <c r="D1599" t="inlineStr">
        <is>
          <t>JÄMTLANDS LÄN</t>
        </is>
      </c>
      <c r="E1599" t="inlineStr">
        <is>
          <t>BRÄCKE</t>
        </is>
      </c>
      <c r="F1599" t="inlineStr">
        <is>
          <t>Övriga Aktiebolag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54274-2022</t>
        </is>
      </c>
      <c r="B1600" s="1" t="n">
        <v>44879</v>
      </c>
      <c r="C1600" s="1" t="n">
        <v>46042</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37239-2023</t>
        </is>
      </c>
      <c r="B1601" s="1" t="n">
        <v>45155.95373842592</v>
      </c>
      <c r="C1601" s="1" t="n">
        <v>46042</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3247-2025</t>
        </is>
      </c>
      <c r="B1602" s="1" t="n">
        <v>45679.5315625</v>
      </c>
      <c r="C1602" s="1" t="n">
        <v>46042</v>
      </c>
      <c r="D1602" t="inlineStr">
        <is>
          <t>JÄMTLANDS LÄN</t>
        </is>
      </c>
      <c r="E1602" t="inlineStr">
        <is>
          <t>BRÄCKE</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3249-2025</t>
        </is>
      </c>
      <c r="B1603" s="1" t="n">
        <v>45679.53177083333</v>
      </c>
      <c r="C1603" s="1" t="n">
        <v>46042</v>
      </c>
      <c r="D1603" t="inlineStr">
        <is>
          <t>JÄMTLANDS LÄN</t>
        </is>
      </c>
      <c r="E1603" t="inlineStr">
        <is>
          <t>BRÄCKE</t>
        </is>
      </c>
      <c r="F1603" t="inlineStr">
        <is>
          <t>SCA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29325-2022</t>
        </is>
      </c>
      <c r="B1604" s="1" t="n">
        <v>44751.94157407407</v>
      </c>
      <c r="C1604" s="1" t="n">
        <v>46042</v>
      </c>
      <c r="D1604" t="inlineStr">
        <is>
          <t>JÄMTLANDS LÄN</t>
        </is>
      </c>
      <c r="E1604" t="inlineStr">
        <is>
          <t>BRÄCKE</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60417-2022</t>
        </is>
      </c>
      <c r="B1605" s="1" t="n">
        <v>44910.97158564815</v>
      </c>
      <c r="C1605" s="1" t="n">
        <v>46042</v>
      </c>
      <c r="D1605" t="inlineStr">
        <is>
          <t>JÄMTLANDS LÄN</t>
        </is>
      </c>
      <c r="E1605" t="inlineStr">
        <is>
          <t>BRÄCKE</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29130-2024</t>
        </is>
      </c>
      <c r="B1606" s="1" t="n">
        <v>45482.35856481481</v>
      </c>
      <c r="C1606" s="1" t="n">
        <v>46042</v>
      </c>
      <c r="D1606" t="inlineStr">
        <is>
          <t>JÄMTLANDS LÄN</t>
        </is>
      </c>
      <c r="E1606" t="inlineStr">
        <is>
          <t>BRÄCKE</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50609-2023</t>
        </is>
      </c>
      <c r="B1607" s="1" t="n">
        <v>45217</v>
      </c>
      <c r="C1607" s="1" t="n">
        <v>46042</v>
      </c>
      <c r="D1607" t="inlineStr">
        <is>
          <t>JÄMTLANDS LÄN</t>
        </is>
      </c>
      <c r="E1607" t="inlineStr">
        <is>
          <t>BRÄCKE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3020-2023</t>
        </is>
      </c>
      <c r="B1608" s="1" t="n">
        <v>44945.9396412037</v>
      </c>
      <c r="C1608" s="1" t="n">
        <v>46042</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3032-2023</t>
        </is>
      </c>
      <c r="B1609" s="1" t="n">
        <v>44945.9412962963</v>
      </c>
      <c r="C1609" s="1" t="n">
        <v>46042</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45010-2023</t>
        </is>
      </c>
      <c r="B1610" s="1" t="n">
        <v>45190.96116898148</v>
      </c>
      <c r="C1610" s="1" t="n">
        <v>46042</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45013-2023</t>
        </is>
      </c>
      <c r="B1611" s="1" t="n">
        <v>45190.96158564815</v>
      </c>
      <c r="C1611" s="1" t="n">
        <v>46042</v>
      </c>
      <c r="D1611" t="inlineStr">
        <is>
          <t>JÄMTLANDS LÄN</t>
        </is>
      </c>
      <c r="E1611" t="inlineStr">
        <is>
          <t>BRÄCKE</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38007-2024</t>
        </is>
      </c>
      <c r="B1612" s="1" t="n">
        <v>45544.62063657407</v>
      </c>
      <c r="C1612" s="1" t="n">
        <v>46042</v>
      </c>
      <c r="D1612" t="inlineStr">
        <is>
          <t>JÄMTLANDS LÄN</t>
        </is>
      </c>
      <c r="E1612" t="inlineStr">
        <is>
          <t>BRÄCKE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57069-2024</t>
        </is>
      </c>
      <c r="B1613" s="1" t="n">
        <v>45629.35391203704</v>
      </c>
      <c r="C1613" s="1" t="n">
        <v>46042</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20803-2021</t>
        </is>
      </c>
      <c r="B1614" s="1" t="n">
        <v>44316</v>
      </c>
      <c r="C1614" s="1" t="n">
        <v>46042</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10532-2022</t>
        </is>
      </c>
      <c r="B1615" s="1" t="n">
        <v>44623</v>
      </c>
      <c r="C1615" s="1" t="n">
        <v>46042</v>
      </c>
      <c r="D1615" t="inlineStr">
        <is>
          <t>JÄMTLANDS LÄN</t>
        </is>
      </c>
      <c r="E1615" t="inlineStr">
        <is>
          <t>BRÄCKE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58728-2022</t>
        </is>
      </c>
      <c r="B1616" s="1" t="n">
        <v>44902</v>
      </c>
      <c r="C1616" s="1" t="n">
        <v>46042</v>
      </c>
      <c r="D1616" t="inlineStr">
        <is>
          <t>JÄMTLANDS LÄN</t>
        </is>
      </c>
      <c r="E1616" t="inlineStr">
        <is>
          <t>BRÄCKE</t>
        </is>
      </c>
      <c r="G1616" t="n">
        <v>21.5</v>
      </c>
      <c r="H1616" t="n">
        <v>0</v>
      </c>
      <c r="I1616" t="n">
        <v>0</v>
      </c>
      <c r="J1616" t="n">
        <v>0</v>
      </c>
      <c r="K1616" t="n">
        <v>0</v>
      </c>
      <c r="L1616" t="n">
        <v>0</v>
      </c>
      <c r="M1616" t="n">
        <v>0</v>
      </c>
      <c r="N1616" t="n">
        <v>0</v>
      </c>
      <c r="O1616" t="n">
        <v>0</v>
      </c>
      <c r="P1616" t="n">
        <v>0</v>
      </c>
      <c r="Q1616" t="n">
        <v>0</v>
      </c>
      <c r="R1616" s="2" t="inlineStr"/>
    </row>
    <row r="1617" ht="15" customHeight="1">
      <c r="A1617" t="inlineStr">
        <is>
          <t>A 45722-2024</t>
        </is>
      </c>
      <c r="B1617" s="1" t="n">
        <v>45579.59447916667</v>
      </c>
      <c r="C1617" s="1" t="n">
        <v>46042</v>
      </c>
      <c r="D1617" t="inlineStr">
        <is>
          <t>JÄMTLANDS LÄN</t>
        </is>
      </c>
      <c r="E1617" t="inlineStr">
        <is>
          <t>BRÄCKE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17420-2024</t>
        </is>
      </c>
      <c r="B1618" s="1" t="n">
        <v>45414.96395833333</v>
      </c>
      <c r="C1618" s="1" t="n">
        <v>46042</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26458-2022</t>
        </is>
      </c>
      <c r="B1619" s="1" t="n">
        <v>44739.34201388889</v>
      </c>
      <c r="C1619" s="1" t="n">
        <v>46042</v>
      </c>
      <c r="D1619" t="inlineStr">
        <is>
          <t>JÄMTLANDS LÄN</t>
        </is>
      </c>
      <c r="E1619" t="inlineStr">
        <is>
          <t>BRÄCKE</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61973-2024</t>
        </is>
      </c>
      <c r="B1620" s="1" t="n">
        <v>45653.61484953704</v>
      </c>
      <c r="C1620" s="1" t="n">
        <v>46042</v>
      </c>
      <c r="D1620" t="inlineStr">
        <is>
          <t>JÄMTLANDS LÄN</t>
        </is>
      </c>
      <c r="E1620" t="inlineStr">
        <is>
          <t>BRÄCKE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64034-2023</t>
        </is>
      </c>
      <c r="B1621" s="1" t="n">
        <v>45278.94321759259</v>
      </c>
      <c r="C1621" s="1" t="n">
        <v>46042</v>
      </c>
      <c r="D1621" t="inlineStr">
        <is>
          <t>JÄMTLANDS LÄN</t>
        </is>
      </c>
      <c r="E1621" t="inlineStr">
        <is>
          <t>BRÄCKE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13554-2024</t>
        </is>
      </c>
      <c r="B1622" s="1" t="n">
        <v>45387</v>
      </c>
      <c r="C1622" s="1" t="n">
        <v>46042</v>
      </c>
      <c r="D1622" t="inlineStr">
        <is>
          <t>JÄMTLANDS LÄN</t>
        </is>
      </c>
      <c r="E1622" t="inlineStr">
        <is>
          <t>BRÄCKE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12640-2025</t>
        </is>
      </c>
      <c r="B1623" s="1" t="n">
        <v>45733.38606481482</v>
      </c>
      <c r="C1623" s="1" t="n">
        <v>46042</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41552-2024</t>
        </is>
      </c>
      <c r="B1624" s="1" t="n">
        <v>45560.51988425926</v>
      </c>
      <c r="C1624" s="1" t="n">
        <v>46042</v>
      </c>
      <c r="D1624" t="inlineStr">
        <is>
          <t>JÄMTLANDS LÄN</t>
        </is>
      </c>
      <c r="E1624" t="inlineStr">
        <is>
          <t>BRÄCKE</t>
        </is>
      </c>
      <c r="F1624" t="inlineStr">
        <is>
          <t>Övriga Aktiebolag</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24718-2022</t>
        </is>
      </c>
      <c r="B1625" s="1" t="n">
        <v>44727.94221064815</v>
      </c>
      <c r="C1625" s="1" t="n">
        <v>46042</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24726-2022</t>
        </is>
      </c>
      <c r="B1626" s="1" t="n">
        <v>44727</v>
      </c>
      <c r="C1626" s="1" t="n">
        <v>46042</v>
      </c>
      <c r="D1626" t="inlineStr">
        <is>
          <t>JÄMTLANDS LÄN</t>
        </is>
      </c>
      <c r="E1626" t="inlineStr">
        <is>
          <t>BRÄCKE</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35244-2021</t>
        </is>
      </c>
      <c r="B1627" s="1" t="n">
        <v>44384.58844907407</v>
      </c>
      <c r="C1627" s="1" t="n">
        <v>46042</v>
      </c>
      <c r="D1627" t="inlineStr">
        <is>
          <t>JÄMTLANDS LÄN</t>
        </is>
      </c>
      <c r="E1627" t="inlineStr">
        <is>
          <t>BRÄCKE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53152-2024</t>
        </is>
      </c>
      <c r="B1628" s="1" t="n">
        <v>45611.62123842593</v>
      </c>
      <c r="C1628" s="1" t="n">
        <v>46042</v>
      </c>
      <c r="D1628" t="inlineStr">
        <is>
          <t>JÄMTLANDS LÄN</t>
        </is>
      </c>
      <c r="E1628" t="inlineStr">
        <is>
          <t>BRÄCKE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38336-2024</t>
        </is>
      </c>
      <c r="B1629" s="1" t="n">
        <v>45545.68386574074</v>
      </c>
      <c r="C1629" s="1" t="n">
        <v>46042</v>
      </c>
      <c r="D1629" t="inlineStr">
        <is>
          <t>JÄMTLANDS LÄN</t>
        </is>
      </c>
      <c r="E1629" t="inlineStr">
        <is>
          <t>BRÄCKE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3248-2025</t>
        </is>
      </c>
      <c r="B1630" s="1" t="n">
        <v>45679.53173611111</v>
      </c>
      <c r="C1630" s="1" t="n">
        <v>46042</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4365-2023</t>
        </is>
      </c>
      <c r="B1631" s="1" t="n">
        <v>44954</v>
      </c>
      <c r="C1631" s="1" t="n">
        <v>46042</v>
      </c>
      <c r="D1631" t="inlineStr">
        <is>
          <t>JÄMTLANDS LÄN</t>
        </is>
      </c>
      <c r="E1631" t="inlineStr">
        <is>
          <t>BRÄCKE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51821-2023</t>
        </is>
      </c>
      <c r="B1632" s="1" t="n">
        <v>45222</v>
      </c>
      <c r="C1632" s="1" t="n">
        <v>46042</v>
      </c>
      <c r="D1632" t="inlineStr">
        <is>
          <t>JÄMTLANDS LÄN</t>
        </is>
      </c>
      <c r="E1632" t="inlineStr">
        <is>
          <t>BRÄCKE</t>
        </is>
      </c>
      <c r="F1632" t="inlineStr">
        <is>
          <t>SCA</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42480-2024</t>
        </is>
      </c>
      <c r="B1633" s="1" t="n">
        <v>45565.49185185185</v>
      </c>
      <c r="C1633" s="1" t="n">
        <v>46042</v>
      </c>
      <c r="D1633" t="inlineStr">
        <is>
          <t>JÄMTLANDS LÄN</t>
        </is>
      </c>
      <c r="E1633" t="inlineStr">
        <is>
          <t>BRÄCKE</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28796-2023</t>
        </is>
      </c>
      <c r="B1634" s="1" t="n">
        <v>45096</v>
      </c>
      <c r="C1634" s="1" t="n">
        <v>46042</v>
      </c>
      <c r="D1634" t="inlineStr">
        <is>
          <t>JÄMTLANDS LÄN</t>
        </is>
      </c>
      <c r="E1634" t="inlineStr">
        <is>
          <t>BRÄCKE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20513-2024</t>
        </is>
      </c>
      <c r="B1635" s="1" t="n">
        <v>45435.94380787037</v>
      </c>
      <c r="C1635" s="1" t="n">
        <v>46042</v>
      </c>
      <c r="D1635" t="inlineStr">
        <is>
          <t>JÄMTLANDS LÄN</t>
        </is>
      </c>
      <c r="E1635" t="inlineStr">
        <is>
          <t>BRÄCKE</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51042-2023</t>
        </is>
      </c>
      <c r="B1636" s="1" t="n">
        <v>45218.62233796297</v>
      </c>
      <c r="C1636" s="1" t="n">
        <v>46042</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36497-2023</t>
        </is>
      </c>
      <c r="B1637" s="1" t="n">
        <v>45152</v>
      </c>
      <c r="C1637" s="1" t="n">
        <v>46042</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26444-2022</t>
        </is>
      </c>
      <c r="B1638" s="1" t="n">
        <v>44738.93929398148</v>
      </c>
      <c r="C1638" s="1" t="n">
        <v>46042</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22980-2024</t>
        </is>
      </c>
      <c r="B1639" s="1" t="n">
        <v>45449.90008101852</v>
      </c>
      <c r="C1639" s="1" t="n">
        <v>46042</v>
      </c>
      <c r="D1639" t="inlineStr">
        <is>
          <t>JÄMTLANDS LÄN</t>
        </is>
      </c>
      <c r="E1639" t="inlineStr">
        <is>
          <t>BRÄCKE</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57605-2024</t>
        </is>
      </c>
      <c r="B1640" s="1" t="n">
        <v>45630.53201388889</v>
      </c>
      <c r="C1640" s="1" t="n">
        <v>46042</v>
      </c>
      <c r="D1640" t="inlineStr">
        <is>
          <t>JÄMTLANDS LÄN</t>
        </is>
      </c>
      <c r="E1640" t="inlineStr">
        <is>
          <t>BRÄCKE</t>
        </is>
      </c>
      <c r="F1640" t="inlineStr">
        <is>
          <t>SCA</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60870-2023</t>
        </is>
      </c>
      <c r="B1641" s="1" t="n">
        <v>45260.96667824074</v>
      </c>
      <c r="C1641" s="1" t="n">
        <v>46042</v>
      </c>
      <c r="D1641" t="inlineStr">
        <is>
          <t>JÄMTLANDS LÄN</t>
        </is>
      </c>
      <c r="E1641" t="inlineStr">
        <is>
          <t>BRÄCKE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38943-2024</t>
        </is>
      </c>
      <c r="B1642" s="1" t="n">
        <v>45548.34490740741</v>
      </c>
      <c r="C1642" s="1" t="n">
        <v>46042</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30487-2024</t>
        </is>
      </c>
      <c r="B1643" s="1" t="n">
        <v>45491.95027777777</v>
      </c>
      <c r="C1643" s="1" t="n">
        <v>46042</v>
      </c>
      <c r="D1643" t="inlineStr">
        <is>
          <t>JÄMTLANDS LÄN</t>
        </is>
      </c>
      <c r="E1643" t="inlineStr">
        <is>
          <t>BRÄCKE</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48080-2023</t>
        </is>
      </c>
      <c r="B1644" s="1" t="n">
        <v>45204.94569444445</v>
      </c>
      <c r="C1644" s="1" t="n">
        <v>46042</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35252-2021</t>
        </is>
      </c>
      <c r="B1645" s="1" t="n">
        <v>44384.59356481482</v>
      </c>
      <c r="C1645" s="1" t="n">
        <v>46042</v>
      </c>
      <c r="D1645" t="inlineStr">
        <is>
          <t>JÄMTLANDS LÄN</t>
        </is>
      </c>
      <c r="E1645" t="inlineStr">
        <is>
          <t>BRÄCKE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25718-2024</t>
        </is>
      </c>
      <c r="B1646" s="1" t="n">
        <v>45463.94467592592</v>
      </c>
      <c r="C1646" s="1" t="n">
        <v>46042</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56493-2024</t>
        </is>
      </c>
      <c r="B1647" s="1" t="n">
        <v>45625.49034722222</v>
      </c>
      <c r="C1647" s="1" t="n">
        <v>46042</v>
      </c>
      <c r="D1647" t="inlineStr">
        <is>
          <t>JÄMTLANDS LÄN</t>
        </is>
      </c>
      <c r="E1647" t="inlineStr">
        <is>
          <t>BRÄCKE</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31566-2024</t>
        </is>
      </c>
      <c r="B1648" s="1" t="n">
        <v>45505.96675925926</v>
      </c>
      <c r="C1648" s="1" t="n">
        <v>46042</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14510-2025</t>
        </is>
      </c>
      <c r="B1649" s="1" t="n">
        <v>45741.63628472222</v>
      </c>
      <c r="C1649" s="1" t="n">
        <v>46042</v>
      </c>
      <c r="D1649" t="inlineStr">
        <is>
          <t>JÄMTLANDS LÄN</t>
        </is>
      </c>
      <c r="E1649" t="inlineStr">
        <is>
          <t>BRÄCKE</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14511-2025</t>
        </is>
      </c>
      <c r="B1650" s="1" t="n">
        <v>45741.63643518519</v>
      </c>
      <c r="C1650" s="1" t="n">
        <v>46042</v>
      </c>
      <c r="D1650" t="inlineStr">
        <is>
          <t>JÄMTLANDS LÄN</t>
        </is>
      </c>
      <c r="E1650" t="inlineStr">
        <is>
          <t>BRÄCKE</t>
        </is>
      </c>
      <c r="F1650" t="inlineStr">
        <is>
          <t>SCA</t>
        </is>
      </c>
      <c r="G1650" t="n">
        <v>19.5</v>
      </c>
      <c r="H1650" t="n">
        <v>0</v>
      </c>
      <c r="I1650" t="n">
        <v>0</v>
      </c>
      <c r="J1650" t="n">
        <v>0</v>
      </c>
      <c r="K1650" t="n">
        <v>0</v>
      </c>
      <c r="L1650" t="n">
        <v>0</v>
      </c>
      <c r="M1650" t="n">
        <v>0</v>
      </c>
      <c r="N1650" t="n">
        <v>0</v>
      </c>
      <c r="O1650" t="n">
        <v>0</v>
      </c>
      <c r="P1650" t="n">
        <v>0</v>
      </c>
      <c r="Q1650" t="n">
        <v>0</v>
      </c>
      <c r="R1650" s="2" t="inlineStr"/>
    </row>
    <row r="1651" ht="15" customHeight="1">
      <c r="A1651" t="inlineStr">
        <is>
          <t>A 11830-2024</t>
        </is>
      </c>
      <c r="B1651" s="1" t="n">
        <v>45376.35451388889</v>
      </c>
      <c r="C1651" s="1" t="n">
        <v>46042</v>
      </c>
      <c r="D1651" t="inlineStr">
        <is>
          <t>JÄMTLANDS LÄN</t>
        </is>
      </c>
      <c r="E1651" t="inlineStr">
        <is>
          <t>BRÄCKE</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60325-2021</t>
        </is>
      </c>
      <c r="B1652" s="1" t="n">
        <v>44495.94054398148</v>
      </c>
      <c r="C1652" s="1" t="n">
        <v>46042</v>
      </c>
      <c r="D1652" t="inlineStr">
        <is>
          <t>JÄMTLANDS LÄN</t>
        </is>
      </c>
      <c r="E1652" t="inlineStr">
        <is>
          <t>BRÄCKE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45342-2023</t>
        </is>
      </c>
      <c r="B1653" s="1" t="n">
        <v>45191.93817129629</v>
      </c>
      <c r="C1653" s="1" t="n">
        <v>46042</v>
      </c>
      <c r="D1653" t="inlineStr">
        <is>
          <t>JÄMTLANDS LÄN</t>
        </is>
      </c>
      <c r="E1653" t="inlineStr">
        <is>
          <t>BRÄCKE</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47500-2023</t>
        </is>
      </c>
      <c r="B1654" s="1" t="n">
        <v>45202.9425</v>
      </c>
      <c r="C1654" s="1" t="n">
        <v>46042</v>
      </c>
      <c r="D1654" t="inlineStr">
        <is>
          <t>JÄMTLANDS LÄN</t>
        </is>
      </c>
      <c r="E1654" t="inlineStr">
        <is>
          <t>BRÄCKE</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61415-2021</t>
        </is>
      </c>
      <c r="B1655" s="1" t="n">
        <v>44500.93565972222</v>
      </c>
      <c r="C1655" s="1" t="n">
        <v>46042</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48507-2023</t>
        </is>
      </c>
      <c r="B1656" s="1" t="n">
        <v>45207.94034722223</v>
      </c>
      <c r="C1656" s="1" t="n">
        <v>46042</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31713-2024</t>
        </is>
      </c>
      <c r="B1657" s="1" t="n">
        <v>45508.95126157408</v>
      </c>
      <c r="C1657" s="1" t="n">
        <v>46042</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43789-2022</t>
        </is>
      </c>
      <c r="B1658" s="1" t="n">
        <v>44837</v>
      </c>
      <c r="C1658" s="1" t="n">
        <v>46042</v>
      </c>
      <c r="D1658" t="inlineStr">
        <is>
          <t>JÄMTLANDS LÄN</t>
        </is>
      </c>
      <c r="E1658" t="inlineStr">
        <is>
          <t>BRÄCKE</t>
        </is>
      </c>
      <c r="F1658" t="inlineStr">
        <is>
          <t>SCA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6788-2025</t>
        </is>
      </c>
      <c r="B1659" s="1" t="n">
        <v>45700.65692129629</v>
      </c>
      <c r="C1659" s="1" t="n">
        <v>46042</v>
      </c>
      <c r="D1659" t="inlineStr">
        <is>
          <t>JÄMTLANDS LÄN</t>
        </is>
      </c>
      <c r="E1659" t="inlineStr">
        <is>
          <t>BRÄCKE</t>
        </is>
      </c>
      <c r="F1659" t="inlineStr">
        <is>
          <t>SCA</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51432-2023</t>
        </is>
      </c>
      <c r="B1660" s="1" t="n">
        <v>45219.96431712963</v>
      </c>
      <c r="C1660" s="1" t="n">
        <v>46042</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20532-2025</t>
        </is>
      </c>
      <c r="B1661" s="1" t="n">
        <v>45775.61515046296</v>
      </c>
      <c r="C1661" s="1" t="n">
        <v>46042</v>
      </c>
      <c r="D1661" t="inlineStr">
        <is>
          <t>JÄMTLANDS LÄN</t>
        </is>
      </c>
      <c r="E1661" t="inlineStr">
        <is>
          <t>BRÄCKE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59008-2024</t>
        </is>
      </c>
      <c r="B1662" s="1" t="n">
        <v>45636.65724537037</v>
      </c>
      <c r="C1662" s="1" t="n">
        <v>46042</v>
      </c>
      <c r="D1662" t="inlineStr">
        <is>
          <t>JÄMTLANDS LÄN</t>
        </is>
      </c>
      <c r="E1662" t="inlineStr">
        <is>
          <t>BRÄCKE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11093-2024</t>
        </is>
      </c>
      <c r="B1663" s="1" t="n">
        <v>45370.94986111111</v>
      </c>
      <c r="C1663" s="1" t="n">
        <v>46042</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31470-2023</t>
        </is>
      </c>
      <c r="B1664" s="1" t="n">
        <v>45104</v>
      </c>
      <c r="C1664" s="1" t="n">
        <v>46042</v>
      </c>
      <c r="D1664" t="inlineStr">
        <is>
          <t>JÄMTLANDS LÄN</t>
        </is>
      </c>
      <c r="E1664" t="inlineStr">
        <is>
          <t>BRÄCKE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28135-2024</t>
        </is>
      </c>
      <c r="B1665" s="1" t="n">
        <v>45476</v>
      </c>
      <c r="C1665" s="1" t="n">
        <v>46042</v>
      </c>
      <c r="D1665" t="inlineStr">
        <is>
          <t>JÄMTLANDS LÄN</t>
        </is>
      </c>
      <c r="E1665" t="inlineStr">
        <is>
          <t>BRÄCKE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10130-2022</t>
        </is>
      </c>
      <c r="B1666" s="1" t="n">
        <v>44621.94561342592</v>
      </c>
      <c r="C1666" s="1" t="n">
        <v>46042</v>
      </c>
      <c r="D1666" t="inlineStr">
        <is>
          <t>JÄMTLANDS LÄN</t>
        </is>
      </c>
      <c r="E1666" t="inlineStr">
        <is>
          <t>BRÄCKE</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30488-2024</t>
        </is>
      </c>
      <c r="B1667" s="1" t="n">
        <v>45491.95037037037</v>
      </c>
      <c r="C1667" s="1" t="n">
        <v>46042</v>
      </c>
      <c r="D1667" t="inlineStr">
        <is>
          <t>JÄMTLANDS LÄN</t>
        </is>
      </c>
      <c r="E1667" t="inlineStr">
        <is>
          <t>BRÄCKE</t>
        </is>
      </c>
      <c r="F1667" t="inlineStr">
        <is>
          <t>Naturvårdsverket</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55520-2022</t>
        </is>
      </c>
      <c r="B1668" s="1" t="n">
        <v>44887</v>
      </c>
      <c r="C1668" s="1" t="n">
        <v>46042</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55529-2022</t>
        </is>
      </c>
      <c r="B1669" s="1" t="n">
        <v>44887.95256944445</v>
      </c>
      <c r="C1669" s="1" t="n">
        <v>46042</v>
      </c>
      <c r="D1669" t="inlineStr">
        <is>
          <t>JÄMTLANDS LÄN</t>
        </is>
      </c>
      <c r="E1669" t="inlineStr">
        <is>
          <t>BRÄCKE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52529-2024</t>
        </is>
      </c>
      <c r="B1670" s="1" t="n">
        <v>45609.61483796296</v>
      </c>
      <c r="C1670" s="1" t="n">
        <v>46042</v>
      </c>
      <c r="D1670" t="inlineStr">
        <is>
          <t>JÄMTLANDS LÄN</t>
        </is>
      </c>
      <c r="E1670" t="inlineStr">
        <is>
          <t>BRÄCKE</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44694-2023</t>
        </is>
      </c>
      <c r="B1671" s="1" t="n">
        <v>45189.92251157408</v>
      </c>
      <c r="C1671" s="1" t="n">
        <v>46042</v>
      </c>
      <c r="D1671" t="inlineStr">
        <is>
          <t>JÄMTLANDS LÄN</t>
        </is>
      </c>
      <c r="E1671" t="inlineStr">
        <is>
          <t>BRÄCKE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54451-2023</t>
        </is>
      </c>
      <c r="B1672" s="1" t="n">
        <v>45233.44581018519</v>
      </c>
      <c r="C1672" s="1" t="n">
        <v>46042</v>
      </c>
      <c r="D1672" t="inlineStr">
        <is>
          <t>JÄMTLANDS LÄN</t>
        </is>
      </c>
      <c r="E1672" t="inlineStr">
        <is>
          <t>BRÄCKE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1881-2024</t>
        </is>
      </c>
      <c r="B1673" s="1" t="n">
        <v>45307.96266203704</v>
      </c>
      <c r="C1673" s="1" t="n">
        <v>46042</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4122-2025</t>
        </is>
      </c>
      <c r="B1674" s="1" t="n">
        <v>45685.26828703703</v>
      </c>
      <c r="C1674" s="1" t="n">
        <v>46042</v>
      </c>
      <c r="D1674" t="inlineStr">
        <is>
          <t>JÄMTLANDS LÄN</t>
        </is>
      </c>
      <c r="E1674" t="inlineStr">
        <is>
          <t>BRÄCKE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52983-2022</t>
        </is>
      </c>
      <c r="B1675" s="1" t="n">
        <v>44875.92745370371</v>
      </c>
      <c r="C1675" s="1" t="n">
        <v>46042</v>
      </c>
      <c r="D1675" t="inlineStr">
        <is>
          <t>JÄMTLANDS LÄN</t>
        </is>
      </c>
      <c r="E1675" t="inlineStr">
        <is>
          <t>BRÄCKE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49591-2024</t>
        </is>
      </c>
      <c r="B1676" s="1" t="n">
        <v>45596.5525</v>
      </c>
      <c r="C1676" s="1" t="n">
        <v>46042</v>
      </c>
      <c r="D1676" t="inlineStr">
        <is>
          <t>JÄMTLANDS LÄN</t>
        </is>
      </c>
      <c r="E1676" t="inlineStr">
        <is>
          <t>BRÄCKE</t>
        </is>
      </c>
      <c r="F1676" t="inlineStr">
        <is>
          <t>SCA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22985-2023</t>
        </is>
      </c>
      <c r="B1677" s="1" t="n">
        <v>45072</v>
      </c>
      <c r="C1677" s="1" t="n">
        <v>46042</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49307-2024</t>
        </is>
      </c>
      <c r="B1678" s="1" t="n">
        <v>45595.55241898148</v>
      </c>
      <c r="C1678" s="1" t="n">
        <v>46042</v>
      </c>
      <c r="D1678" t="inlineStr">
        <is>
          <t>JÄMTLANDS LÄN</t>
        </is>
      </c>
      <c r="E1678" t="inlineStr">
        <is>
          <t>BRÄCKE</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8253-2024</t>
        </is>
      </c>
      <c r="B1679" s="1" t="n">
        <v>45350</v>
      </c>
      <c r="C1679" s="1" t="n">
        <v>46042</v>
      </c>
      <c r="D1679" t="inlineStr">
        <is>
          <t>JÄMTLANDS LÄN</t>
        </is>
      </c>
      <c r="E1679" t="inlineStr">
        <is>
          <t>BRÄCKE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23746-2021</t>
        </is>
      </c>
      <c r="B1680" s="1" t="n">
        <v>44334.93716435185</v>
      </c>
      <c r="C1680" s="1" t="n">
        <v>46042</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26665-2021</t>
        </is>
      </c>
      <c r="B1681" s="1" t="n">
        <v>44348</v>
      </c>
      <c r="C1681" s="1" t="n">
        <v>46042</v>
      </c>
      <c r="D1681" t="inlineStr">
        <is>
          <t>JÄMTLANDS LÄN</t>
        </is>
      </c>
      <c r="E1681" t="inlineStr">
        <is>
          <t>BRÄCKE</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41313-2024</t>
        </is>
      </c>
      <c r="B1682" s="1" t="n">
        <v>45559.6359837963</v>
      </c>
      <c r="C1682" s="1" t="n">
        <v>46042</v>
      </c>
      <c r="D1682" t="inlineStr">
        <is>
          <t>JÄMTLANDS LÄN</t>
        </is>
      </c>
      <c r="E1682" t="inlineStr">
        <is>
          <t>BRÄCKE</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59932-2022</t>
        </is>
      </c>
      <c r="B1683" s="1" t="n">
        <v>44909.36262731482</v>
      </c>
      <c r="C1683" s="1" t="n">
        <v>46042</v>
      </c>
      <c r="D1683" t="inlineStr">
        <is>
          <t>JÄMTLANDS LÄN</t>
        </is>
      </c>
      <c r="E1683" t="inlineStr">
        <is>
          <t>BRÄCKE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24049-2023</t>
        </is>
      </c>
      <c r="B1684" s="1" t="n">
        <v>45078.93966435185</v>
      </c>
      <c r="C1684" s="1" t="n">
        <v>46042</v>
      </c>
      <c r="D1684" t="inlineStr">
        <is>
          <t>JÄMTLANDS LÄN</t>
        </is>
      </c>
      <c r="E1684" t="inlineStr">
        <is>
          <t>BRÄCKE</t>
        </is>
      </c>
      <c r="G1684" t="n">
        <v>15.2</v>
      </c>
      <c r="H1684" t="n">
        <v>0</v>
      </c>
      <c r="I1684" t="n">
        <v>0</v>
      </c>
      <c r="J1684" t="n">
        <v>0</v>
      </c>
      <c r="K1684" t="n">
        <v>0</v>
      </c>
      <c r="L1684" t="n">
        <v>0</v>
      </c>
      <c r="M1684" t="n">
        <v>0</v>
      </c>
      <c r="N1684" t="n">
        <v>0</v>
      </c>
      <c r="O1684" t="n">
        <v>0</v>
      </c>
      <c r="P1684" t="n">
        <v>0</v>
      </c>
      <c r="Q1684" t="n">
        <v>0</v>
      </c>
      <c r="R1684" s="2" t="inlineStr"/>
    </row>
    <row r="1685" ht="15" customHeight="1">
      <c r="A1685" t="inlineStr">
        <is>
          <t>A 17313-2025</t>
        </is>
      </c>
      <c r="B1685" s="1" t="n">
        <v>45756.61498842593</v>
      </c>
      <c r="C1685" s="1" t="n">
        <v>46042</v>
      </c>
      <c r="D1685" t="inlineStr">
        <is>
          <t>JÄMTLANDS LÄN</t>
        </is>
      </c>
      <c r="E1685" t="inlineStr">
        <is>
          <t>BRÄCKE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35564-2021</t>
        </is>
      </c>
      <c r="B1686" s="1" t="n">
        <v>44385.93597222222</v>
      </c>
      <c r="C1686" s="1" t="n">
        <v>46042</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15779-2025</t>
        </is>
      </c>
      <c r="B1687" s="1" t="n">
        <v>45748.60634259259</v>
      </c>
      <c r="C1687" s="1" t="n">
        <v>46042</v>
      </c>
      <c r="D1687" t="inlineStr">
        <is>
          <t>JÄMTLANDS LÄN</t>
        </is>
      </c>
      <c r="E1687" t="inlineStr">
        <is>
          <t>BRÄCKE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10309-2023</t>
        </is>
      </c>
      <c r="B1688" s="1" t="n">
        <v>44986</v>
      </c>
      <c r="C1688" s="1" t="n">
        <v>46042</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16322-2025</t>
        </is>
      </c>
      <c r="B1689" s="1" t="n">
        <v>45751.34886574074</v>
      </c>
      <c r="C1689" s="1" t="n">
        <v>46042</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30685-2024</t>
        </is>
      </c>
      <c r="B1690" s="1" t="n">
        <v>45495.95159722222</v>
      </c>
      <c r="C1690" s="1" t="n">
        <v>46042</v>
      </c>
      <c r="D1690" t="inlineStr">
        <is>
          <t>JÄMTLANDS LÄN</t>
        </is>
      </c>
      <c r="E1690" t="inlineStr">
        <is>
          <t>BRÄCKE</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54571-2021</t>
        </is>
      </c>
      <c r="B1691" s="1" t="n">
        <v>44473</v>
      </c>
      <c r="C1691" s="1" t="n">
        <v>46042</v>
      </c>
      <c r="D1691" t="inlineStr">
        <is>
          <t>JÄMTLANDS LÄN</t>
        </is>
      </c>
      <c r="E1691" t="inlineStr">
        <is>
          <t>BRÄCKE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23640-2024</t>
        </is>
      </c>
      <c r="B1692" s="1" t="n">
        <v>45454.49516203703</v>
      </c>
      <c r="C1692" s="1" t="n">
        <v>46042</v>
      </c>
      <c r="D1692" t="inlineStr">
        <is>
          <t>JÄMTLANDS LÄN</t>
        </is>
      </c>
      <c r="E1692" t="inlineStr">
        <is>
          <t>BRÄCKE</t>
        </is>
      </c>
      <c r="G1692" t="n">
        <v>19.4</v>
      </c>
      <c r="H1692" t="n">
        <v>0</v>
      </c>
      <c r="I1692" t="n">
        <v>0</v>
      </c>
      <c r="J1692" t="n">
        <v>0</v>
      </c>
      <c r="K1692" t="n">
        <v>0</v>
      </c>
      <c r="L1692" t="n">
        <v>0</v>
      </c>
      <c r="M1692" t="n">
        <v>0</v>
      </c>
      <c r="N1692" t="n">
        <v>0</v>
      </c>
      <c r="O1692" t="n">
        <v>0</v>
      </c>
      <c r="P1692" t="n">
        <v>0</v>
      </c>
      <c r="Q1692" t="n">
        <v>0</v>
      </c>
      <c r="R1692" s="2" t="inlineStr"/>
    </row>
    <row r="1693" ht="15" customHeight="1">
      <c r="A1693" t="inlineStr">
        <is>
          <t>A 46860-2023</t>
        </is>
      </c>
      <c r="B1693" s="1" t="n">
        <v>45200.12724537037</v>
      </c>
      <c r="C1693" s="1" t="n">
        <v>46042</v>
      </c>
      <c r="D1693" t="inlineStr">
        <is>
          <t>JÄMTLANDS LÄN</t>
        </is>
      </c>
      <c r="E1693" t="inlineStr">
        <is>
          <t>BRÄCKE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21183-2023</t>
        </is>
      </c>
      <c r="B1694" s="1" t="n">
        <v>45058</v>
      </c>
      <c r="C1694" s="1" t="n">
        <v>46042</v>
      </c>
      <c r="D1694" t="inlineStr">
        <is>
          <t>JÄMTLANDS LÄN</t>
        </is>
      </c>
      <c r="E1694" t="inlineStr">
        <is>
          <t>BRÄCKE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61663-2022</t>
        </is>
      </c>
      <c r="B1695" s="1" t="n">
        <v>44916</v>
      </c>
      <c r="C1695" s="1" t="n">
        <v>46042</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58079-2023</t>
        </is>
      </c>
      <c r="B1696" s="1" t="n">
        <v>45247.96510416667</v>
      </c>
      <c r="C1696" s="1" t="n">
        <v>46042</v>
      </c>
      <c r="D1696" t="inlineStr">
        <is>
          <t>JÄMTLANDS LÄN</t>
        </is>
      </c>
      <c r="E1696" t="inlineStr">
        <is>
          <t>BRÄCKE</t>
        </is>
      </c>
      <c r="F1696" t="inlineStr">
        <is>
          <t>SCA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46952-2021</t>
        </is>
      </c>
      <c r="B1697" s="1" t="n">
        <v>44446</v>
      </c>
      <c r="C1697" s="1" t="n">
        <v>46042</v>
      </c>
      <c r="D1697" t="inlineStr">
        <is>
          <t>JÄMTLANDS LÄN</t>
        </is>
      </c>
      <c r="E1697" t="inlineStr">
        <is>
          <t>BRÄCKE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39122-2024</t>
        </is>
      </c>
      <c r="B1698" s="1" t="n">
        <v>45548.5940162037</v>
      </c>
      <c r="C1698" s="1" t="n">
        <v>46042</v>
      </c>
      <c r="D1698" t="inlineStr">
        <is>
          <t>JÄMTLANDS LÄN</t>
        </is>
      </c>
      <c r="E1698" t="inlineStr">
        <is>
          <t>BRÄCKE</t>
        </is>
      </c>
      <c r="F1698" t="inlineStr">
        <is>
          <t>SCA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11699-2025</t>
        </is>
      </c>
      <c r="B1699" s="1" t="n">
        <v>45727.57402777778</v>
      </c>
      <c r="C1699" s="1" t="n">
        <v>46042</v>
      </c>
      <c r="D1699" t="inlineStr">
        <is>
          <t>JÄMTLANDS LÄN</t>
        </is>
      </c>
      <c r="E1699" t="inlineStr">
        <is>
          <t>BRÄCKE</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24974-2024</t>
        </is>
      </c>
      <c r="B1700" s="1" t="n">
        <v>45461</v>
      </c>
      <c r="C1700" s="1" t="n">
        <v>46042</v>
      </c>
      <c r="D1700" t="inlineStr">
        <is>
          <t>JÄMTLANDS LÄN</t>
        </is>
      </c>
      <c r="E1700" t="inlineStr">
        <is>
          <t>BRÄCKE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48900-2023</t>
        </is>
      </c>
      <c r="B1701" s="1" t="n">
        <v>45209</v>
      </c>
      <c r="C1701" s="1" t="n">
        <v>46042</v>
      </c>
      <c r="D1701" t="inlineStr">
        <is>
          <t>JÄMTLANDS LÄN</t>
        </is>
      </c>
      <c r="E1701" t="inlineStr">
        <is>
          <t>BRÄCKE</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28738-2022</t>
        </is>
      </c>
      <c r="B1702" s="1" t="n">
        <v>44748.94701388889</v>
      </c>
      <c r="C1702" s="1" t="n">
        <v>46042</v>
      </c>
      <c r="D1702" t="inlineStr">
        <is>
          <t>JÄMTLANDS LÄN</t>
        </is>
      </c>
      <c r="E1702" t="inlineStr">
        <is>
          <t>BRÄCKE</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26437-2022</t>
        </is>
      </c>
      <c r="B1703" s="1" t="n">
        <v>44736.93912037037</v>
      </c>
      <c r="C1703" s="1" t="n">
        <v>46042</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1127-2025</t>
        </is>
      </c>
      <c r="B1704" s="1" t="n">
        <v>45666.67756944444</v>
      </c>
      <c r="C1704" s="1" t="n">
        <v>46042</v>
      </c>
      <c r="D1704" t="inlineStr">
        <is>
          <t>JÄMTLANDS LÄN</t>
        </is>
      </c>
      <c r="E1704" t="inlineStr">
        <is>
          <t>BRÄCKE</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14290-2025</t>
        </is>
      </c>
      <c r="B1705" s="1" t="n">
        <v>45740.67755787037</v>
      </c>
      <c r="C1705" s="1" t="n">
        <v>46042</v>
      </c>
      <c r="D1705" t="inlineStr">
        <is>
          <t>JÄMTLANDS LÄN</t>
        </is>
      </c>
      <c r="E1705" t="inlineStr">
        <is>
          <t>BRÄCKE</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5052-2024</t>
        </is>
      </c>
      <c r="B1706" s="1" t="n">
        <v>45329.93077546296</v>
      </c>
      <c r="C1706" s="1" t="n">
        <v>46042</v>
      </c>
      <c r="D1706" t="inlineStr">
        <is>
          <t>JÄMTLANDS LÄN</t>
        </is>
      </c>
      <c r="E1706" t="inlineStr">
        <is>
          <t>BRÄCKE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5053-2024</t>
        </is>
      </c>
      <c r="B1707" s="1" t="n">
        <v>45329.93084490741</v>
      </c>
      <c r="C1707" s="1" t="n">
        <v>46042</v>
      </c>
      <c r="D1707" t="inlineStr">
        <is>
          <t>JÄMTLANDS LÄN</t>
        </is>
      </c>
      <c r="E1707" t="inlineStr">
        <is>
          <t>BRÄCKE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16372-2023</t>
        </is>
      </c>
      <c r="B1708" s="1" t="n">
        <v>45028.94083333333</v>
      </c>
      <c r="C1708" s="1" t="n">
        <v>46042</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31692-2024</t>
        </is>
      </c>
      <c r="B1709" s="1" t="n">
        <v>45507.95684027778</v>
      </c>
      <c r="C1709" s="1" t="n">
        <v>46042</v>
      </c>
      <c r="D1709" t="inlineStr">
        <is>
          <t>JÄMTLANDS LÄN</t>
        </is>
      </c>
      <c r="E1709" t="inlineStr">
        <is>
          <t>BRÄCKE</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51270-2022</t>
        </is>
      </c>
      <c r="B1710" s="1" t="n">
        <v>44866</v>
      </c>
      <c r="C1710" s="1" t="n">
        <v>46042</v>
      </c>
      <c r="D1710" t="inlineStr">
        <is>
          <t>JÄMTLANDS LÄN</t>
        </is>
      </c>
      <c r="E1710" t="inlineStr">
        <is>
          <t>BRÄCKE</t>
        </is>
      </c>
      <c r="F1710" t="inlineStr">
        <is>
          <t>Kommuner</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26351-2023</t>
        </is>
      </c>
      <c r="B1711" s="1" t="n">
        <v>45091</v>
      </c>
      <c r="C1711" s="1" t="n">
        <v>46042</v>
      </c>
      <c r="D1711" t="inlineStr">
        <is>
          <t>JÄMTLANDS LÄN</t>
        </is>
      </c>
      <c r="E1711" t="inlineStr">
        <is>
          <t>BRÄCKE</t>
        </is>
      </c>
      <c r="F1711" t="inlineStr">
        <is>
          <t>SCA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51832-2023</t>
        </is>
      </c>
      <c r="B1712" s="1" t="n">
        <v>45222.96841435185</v>
      </c>
      <c r="C1712" s="1" t="n">
        <v>46042</v>
      </c>
      <c r="D1712" t="inlineStr">
        <is>
          <t>JÄMTLANDS LÄN</t>
        </is>
      </c>
      <c r="E1712" t="inlineStr">
        <is>
          <t>BRÄCKE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22978-2024</t>
        </is>
      </c>
      <c r="B1713" s="1" t="n">
        <v>45449</v>
      </c>
      <c r="C1713" s="1" t="n">
        <v>46042</v>
      </c>
      <c r="D1713" t="inlineStr">
        <is>
          <t>JÄMTLANDS LÄN</t>
        </is>
      </c>
      <c r="E1713" t="inlineStr">
        <is>
          <t>BRÄCKE</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12601-2022</t>
        </is>
      </c>
      <c r="B1714" s="1" t="n">
        <v>44638</v>
      </c>
      <c r="C1714" s="1" t="n">
        <v>46042</v>
      </c>
      <c r="D1714" t="inlineStr">
        <is>
          <t>JÄMTLANDS LÄN</t>
        </is>
      </c>
      <c r="E1714" t="inlineStr">
        <is>
          <t>BRÄCKE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35903-2024</t>
        </is>
      </c>
      <c r="B1715" s="1" t="n">
        <v>45533.40648148148</v>
      </c>
      <c r="C1715" s="1" t="n">
        <v>46042</v>
      </c>
      <c r="D1715" t="inlineStr">
        <is>
          <t>JÄMTLANDS LÄN</t>
        </is>
      </c>
      <c r="E1715" t="inlineStr">
        <is>
          <t>BRÄCKE</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45939-2024</t>
        </is>
      </c>
      <c r="B1716" s="1" t="n">
        <v>45580.53155092592</v>
      </c>
      <c r="C1716" s="1" t="n">
        <v>46042</v>
      </c>
      <c r="D1716" t="inlineStr">
        <is>
          <t>JÄMTLANDS LÄN</t>
        </is>
      </c>
      <c r="E1716" t="inlineStr">
        <is>
          <t>BRÄCKE</t>
        </is>
      </c>
      <c r="F1716" t="inlineStr">
        <is>
          <t>Naturvårdsverket</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25674-2023</t>
        </is>
      </c>
      <c r="B1717" s="1" t="n">
        <v>45089</v>
      </c>
      <c r="C1717" s="1" t="n">
        <v>46042</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25413-2024</t>
        </is>
      </c>
      <c r="B1718" s="1" t="n">
        <v>45462</v>
      </c>
      <c r="C1718" s="1" t="n">
        <v>46042</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18626-2024</t>
        </is>
      </c>
      <c r="B1719" s="1" t="n">
        <v>45425.96429398148</v>
      </c>
      <c r="C1719" s="1" t="n">
        <v>46042</v>
      </c>
      <c r="D1719" t="inlineStr">
        <is>
          <t>JÄMTLANDS LÄN</t>
        </is>
      </c>
      <c r="E1719" t="inlineStr">
        <is>
          <t>BRÄCKE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30592-2021</t>
        </is>
      </c>
      <c r="B1720" s="1" t="n">
        <v>44364.93850694445</v>
      </c>
      <c r="C1720" s="1" t="n">
        <v>46042</v>
      </c>
      <c r="D1720" t="inlineStr">
        <is>
          <t>JÄMTLANDS LÄN</t>
        </is>
      </c>
      <c r="E1720" t="inlineStr">
        <is>
          <t>BRÄCKE</t>
        </is>
      </c>
      <c r="F1720" t="inlineStr">
        <is>
          <t>SCA</t>
        </is>
      </c>
      <c r="G1720" t="n">
        <v>22.4</v>
      </c>
      <c r="H1720" t="n">
        <v>0</v>
      </c>
      <c r="I1720" t="n">
        <v>0</v>
      </c>
      <c r="J1720" t="n">
        <v>0</v>
      </c>
      <c r="K1720" t="n">
        <v>0</v>
      </c>
      <c r="L1720" t="n">
        <v>0</v>
      </c>
      <c r="M1720" t="n">
        <v>0</v>
      </c>
      <c r="N1720" t="n">
        <v>0</v>
      </c>
      <c r="O1720" t="n">
        <v>0</v>
      </c>
      <c r="P1720" t="n">
        <v>0</v>
      </c>
      <c r="Q1720" t="n">
        <v>0</v>
      </c>
      <c r="R1720" s="2" t="inlineStr"/>
    </row>
    <row r="1721" ht="15" customHeight="1">
      <c r="A1721" t="inlineStr">
        <is>
          <t>A 42959-2024</t>
        </is>
      </c>
      <c r="B1721" s="1" t="n">
        <v>45567.37144675926</v>
      </c>
      <c r="C1721" s="1" t="n">
        <v>46042</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31567-2024</t>
        </is>
      </c>
      <c r="B1722" s="1" t="n">
        <v>45505.96689814814</v>
      </c>
      <c r="C1722" s="1" t="n">
        <v>46042</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6345-2023</t>
        </is>
      </c>
      <c r="B1723" s="1" t="n">
        <v>44960</v>
      </c>
      <c r="C1723" s="1" t="n">
        <v>46042</v>
      </c>
      <c r="D1723" t="inlineStr">
        <is>
          <t>JÄMTLANDS LÄN</t>
        </is>
      </c>
      <c r="E1723" t="inlineStr">
        <is>
          <t>BRÄCKE</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59369-2022</t>
        </is>
      </c>
      <c r="B1724" s="1" t="n">
        <v>44904.94859953703</v>
      </c>
      <c r="C1724" s="1" t="n">
        <v>46042</v>
      </c>
      <c r="D1724" t="inlineStr">
        <is>
          <t>JÄMTLANDS LÄN</t>
        </is>
      </c>
      <c r="E1724" t="inlineStr">
        <is>
          <t>BRÄCKE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59846-2024</t>
        </is>
      </c>
      <c r="B1725" s="1" t="n">
        <v>45639.67769675926</v>
      </c>
      <c r="C1725" s="1" t="n">
        <v>46042</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29941-2023</t>
        </is>
      </c>
      <c r="B1726" s="1" t="n">
        <v>45107</v>
      </c>
      <c r="C1726" s="1" t="n">
        <v>46042</v>
      </c>
      <c r="D1726" t="inlineStr">
        <is>
          <t>JÄMTLANDS LÄN</t>
        </is>
      </c>
      <c r="E1726" t="inlineStr">
        <is>
          <t>BRÄCKE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48284-2021</t>
        </is>
      </c>
      <c r="B1727" s="1" t="n">
        <v>44449.75931712963</v>
      </c>
      <c r="C1727" s="1" t="n">
        <v>46042</v>
      </c>
      <c r="D1727" t="inlineStr">
        <is>
          <t>JÄMTLANDS LÄN</t>
        </is>
      </c>
      <c r="E1727" t="inlineStr">
        <is>
          <t>BRÄCKE</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4170-2024</t>
        </is>
      </c>
      <c r="B1728" s="1" t="n">
        <v>45323.94685185186</v>
      </c>
      <c r="C1728" s="1" t="n">
        <v>46042</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53046-2023</t>
        </is>
      </c>
      <c r="B1729" s="1" t="n">
        <v>45226.96388888889</v>
      </c>
      <c r="C1729" s="1" t="n">
        <v>46042</v>
      </c>
      <c r="D1729" t="inlineStr">
        <is>
          <t>JÄMTLANDS LÄN</t>
        </is>
      </c>
      <c r="E1729" t="inlineStr">
        <is>
          <t>BRÄCKE</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18640-2024</t>
        </is>
      </c>
      <c r="B1730" s="1" t="n">
        <v>45425.96644675926</v>
      </c>
      <c r="C1730" s="1" t="n">
        <v>46042</v>
      </c>
      <c r="D1730" t="inlineStr">
        <is>
          <t>JÄMTLANDS LÄN</t>
        </is>
      </c>
      <c r="E1730" t="inlineStr">
        <is>
          <t>BRÄCKE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41418-2024</t>
        </is>
      </c>
      <c r="B1731" s="1" t="n">
        <v>45560.34599537037</v>
      </c>
      <c r="C1731" s="1" t="n">
        <v>46042</v>
      </c>
      <c r="D1731" t="inlineStr">
        <is>
          <t>JÄMTLANDS LÄN</t>
        </is>
      </c>
      <c r="E1731" t="inlineStr">
        <is>
          <t>BRÄCKE</t>
        </is>
      </c>
      <c r="F1731" t="inlineStr">
        <is>
          <t>SCA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41419-2024</t>
        </is>
      </c>
      <c r="B1732" s="1" t="n">
        <v>45560</v>
      </c>
      <c r="C1732" s="1" t="n">
        <v>46042</v>
      </c>
      <c r="D1732" t="inlineStr">
        <is>
          <t>JÄMTLANDS LÄN</t>
        </is>
      </c>
      <c r="E1732" t="inlineStr">
        <is>
          <t>BRÄCKE</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16462-2024</t>
        </is>
      </c>
      <c r="B1733" s="1" t="n">
        <v>45408.05018518519</v>
      </c>
      <c r="C1733" s="1" t="n">
        <v>46042</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41450-2024</t>
        </is>
      </c>
      <c r="B1734" s="1" t="n">
        <v>45560.40653935185</v>
      </c>
      <c r="C1734" s="1" t="n">
        <v>46042</v>
      </c>
      <c r="D1734" t="inlineStr">
        <is>
          <t>JÄMTLANDS LÄN</t>
        </is>
      </c>
      <c r="E1734" t="inlineStr">
        <is>
          <t>BRÄCKE</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58547-2022</t>
        </is>
      </c>
      <c r="B1735" s="1" t="n">
        <v>44894</v>
      </c>
      <c r="C1735" s="1" t="n">
        <v>46042</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10769-2025</t>
        </is>
      </c>
      <c r="B1736" s="1" t="n">
        <v>45722.4690625</v>
      </c>
      <c r="C1736" s="1" t="n">
        <v>46042</v>
      </c>
      <c r="D1736" t="inlineStr">
        <is>
          <t>JÄMTLANDS LÄN</t>
        </is>
      </c>
      <c r="E1736" t="inlineStr">
        <is>
          <t>BRÄCKE</t>
        </is>
      </c>
      <c r="F1736" t="inlineStr">
        <is>
          <t>SCA</t>
        </is>
      </c>
      <c r="G1736" t="n">
        <v>18.7</v>
      </c>
      <c r="H1736" t="n">
        <v>0</v>
      </c>
      <c r="I1736" t="n">
        <v>0</v>
      </c>
      <c r="J1736" t="n">
        <v>0</v>
      </c>
      <c r="K1736" t="n">
        <v>0</v>
      </c>
      <c r="L1736" t="n">
        <v>0</v>
      </c>
      <c r="M1736" t="n">
        <v>0</v>
      </c>
      <c r="N1736" t="n">
        <v>0</v>
      </c>
      <c r="O1736" t="n">
        <v>0</v>
      </c>
      <c r="P1736" t="n">
        <v>0</v>
      </c>
      <c r="Q1736" t="n">
        <v>0</v>
      </c>
      <c r="R1736" s="2" t="inlineStr"/>
    </row>
    <row r="1737" ht="15" customHeight="1">
      <c r="A1737" t="inlineStr">
        <is>
          <t>A 13083-2025</t>
        </is>
      </c>
      <c r="B1737" s="1" t="n">
        <v>45734</v>
      </c>
      <c r="C1737" s="1" t="n">
        <v>46042</v>
      </c>
      <c r="D1737" t="inlineStr">
        <is>
          <t>JÄMTLANDS LÄN</t>
        </is>
      </c>
      <c r="E1737" t="inlineStr">
        <is>
          <t>BRÄCKE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8386-2025</t>
        </is>
      </c>
      <c r="B1738" s="1" t="n">
        <v>45709.35850694445</v>
      </c>
      <c r="C1738" s="1" t="n">
        <v>46042</v>
      </c>
      <c r="D1738" t="inlineStr">
        <is>
          <t>JÄMTLANDS LÄN</t>
        </is>
      </c>
      <c r="E1738" t="inlineStr">
        <is>
          <t>BRÄCKE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59910-2022</t>
        </is>
      </c>
      <c r="B1739" s="1" t="n">
        <v>44908</v>
      </c>
      <c r="C1739" s="1" t="n">
        <v>46042</v>
      </c>
      <c r="D1739" t="inlineStr">
        <is>
          <t>JÄMTLANDS LÄN</t>
        </is>
      </c>
      <c r="E1739" t="inlineStr">
        <is>
          <t>BRÄCKE</t>
        </is>
      </c>
      <c r="F1739" t="inlineStr">
        <is>
          <t>SCA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59915-2022</t>
        </is>
      </c>
      <c r="B1740" s="1" t="n">
        <v>44908.96019675926</v>
      </c>
      <c r="C1740" s="1" t="n">
        <v>46042</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20276-2023</t>
        </is>
      </c>
      <c r="B1741" s="1" t="n">
        <v>45055.94465277778</v>
      </c>
      <c r="C1741" s="1" t="n">
        <v>46042</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10857-2024</t>
        </is>
      </c>
      <c r="B1742" s="1" t="n">
        <v>45370.01916666667</v>
      </c>
      <c r="C1742" s="1" t="n">
        <v>46042</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17606-2025</t>
        </is>
      </c>
      <c r="B1743" s="1" t="n">
        <v>45757.73796296296</v>
      </c>
      <c r="C1743" s="1" t="n">
        <v>46042</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23534-2024</t>
        </is>
      </c>
      <c r="B1744" s="1" t="n">
        <v>45453.95170138889</v>
      </c>
      <c r="C1744" s="1" t="n">
        <v>46042</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13095-2025</t>
        </is>
      </c>
      <c r="B1745" s="1" t="n">
        <v>45734.65609953704</v>
      </c>
      <c r="C1745" s="1" t="n">
        <v>46042</v>
      </c>
      <c r="D1745" t="inlineStr">
        <is>
          <t>JÄMTLANDS LÄN</t>
        </is>
      </c>
      <c r="E1745" t="inlineStr">
        <is>
          <t>BRÄCKE</t>
        </is>
      </c>
      <c r="G1745" t="n">
        <v>7.9</v>
      </c>
      <c r="H1745" t="n">
        <v>0</v>
      </c>
      <c r="I1745" t="n">
        <v>0</v>
      </c>
      <c r="J1745" t="n">
        <v>0</v>
      </c>
      <c r="K1745" t="n">
        <v>0</v>
      </c>
      <c r="L1745" t="n">
        <v>0</v>
      </c>
      <c r="M1745" t="n">
        <v>0</v>
      </c>
      <c r="N1745" t="n">
        <v>0</v>
      </c>
      <c r="O1745" t="n">
        <v>0</v>
      </c>
      <c r="P1745" t="n">
        <v>0</v>
      </c>
      <c r="Q1745" t="n">
        <v>0</v>
      </c>
      <c r="R1745" s="2" t="inlineStr"/>
    </row>
    <row r="1746" ht="15" customHeight="1">
      <c r="A1746" t="inlineStr">
        <is>
          <t>A 56895-2021</t>
        </is>
      </c>
      <c r="B1746" s="1" t="n">
        <v>44481.92086805555</v>
      </c>
      <c r="C1746" s="1" t="n">
        <v>46042</v>
      </c>
      <c r="D1746" t="inlineStr">
        <is>
          <t>JÄMTLANDS LÄN</t>
        </is>
      </c>
      <c r="E1746" t="inlineStr">
        <is>
          <t>BRÄCKE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31517-2024</t>
        </is>
      </c>
      <c r="B1747" s="1" t="n">
        <v>45505</v>
      </c>
      <c r="C1747" s="1" t="n">
        <v>46042</v>
      </c>
      <c r="D1747" t="inlineStr">
        <is>
          <t>JÄMTLANDS LÄN</t>
        </is>
      </c>
      <c r="E1747" t="inlineStr">
        <is>
          <t>BRÄCKE</t>
        </is>
      </c>
      <c r="F1747" t="inlineStr">
        <is>
          <t>SCA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38280-2021</t>
        </is>
      </c>
      <c r="B1748" s="1" t="n">
        <v>44405</v>
      </c>
      <c r="C1748" s="1" t="n">
        <v>46042</v>
      </c>
      <c r="D1748" t="inlineStr">
        <is>
          <t>JÄMTLANDS LÄN</t>
        </is>
      </c>
      <c r="E1748" t="inlineStr">
        <is>
          <t>BRÄCKE</t>
        </is>
      </c>
      <c r="F1748" t="inlineStr">
        <is>
          <t>SCA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26923-2024</t>
        </is>
      </c>
      <c r="B1749" s="1" t="n">
        <v>45470.93094907407</v>
      </c>
      <c r="C1749" s="1" t="n">
        <v>46042</v>
      </c>
      <c r="D1749" t="inlineStr">
        <is>
          <t>JÄMTLANDS LÄN</t>
        </is>
      </c>
      <c r="E1749" t="inlineStr">
        <is>
          <t>BRÄCKE</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4861-2025</t>
        </is>
      </c>
      <c r="B1750" s="1" t="n">
        <v>45688.67481481482</v>
      </c>
      <c r="C1750" s="1" t="n">
        <v>46042</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37238-2023</t>
        </is>
      </c>
      <c r="B1751" s="1" t="n">
        <v>45155.95366898148</v>
      </c>
      <c r="C1751" s="1" t="n">
        <v>46042</v>
      </c>
      <c r="D1751" t="inlineStr">
        <is>
          <t>JÄMTLANDS LÄN</t>
        </is>
      </c>
      <c r="E1751" t="inlineStr">
        <is>
          <t>BRÄCKE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3031-2023</t>
        </is>
      </c>
      <c r="B1752" s="1" t="n">
        <v>44945</v>
      </c>
      <c r="C1752" s="1" t="n">
        <v>46042</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3033-2023</t>
        </is>
      </c>
      <c r="B1753" s="1" t="n">
        <v>44945</v>
      </c>
      <c r="C1753" s="1" t="n">
        <v>46042</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3036-2023</t>
        </is>
      </c>
      <c r="B1754" s="1" t="n">
        <v>44945.94201388889</v>
      </c>
      <c r="C1754" s="1" t="n">
        <v>46042</v>
      </c>
      <c r="D1754" t="inlineStr">
        <is>
          <t>JÄMTLANDS LÄN</t>
        </is>
      </c>
      <c r="E1754" t="inlineStr">
        <is>
          <t>BRÄCKE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20265-2023</t>
        </is>
      </c>
      <c r="B1755" s="1" t="n">
        <v>45055.94337962963</v>
      </c>
      <c r="C1755" s="1" t="n">
        <v>46042</v>
      </c>
      <c r="D1755" t="inlineStr">
        <is>
          <t>JÄMTLANDS LÄN</t>
        </is>
      </c>
      <c r="E1755" t="inlineStr">
        <is>
          <t>BRÄCKE</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13069-2025</t>
        </is>
      </c>
      <c r="B1756" s="1" t="n">
        <v>45734.61494212963</v>
      </c>
      <c r="C1756" s="1" t="n">
        <v>46042</v>
      </c>
      <c r="D1756" t="inlineStr">
        <is>
          <t>JÄMTLANDS LÄN</t>
        </is>
      </c>
      <c r="E1756" t="inlineStr">
        <is>
          <t>BRÄCKE</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13165-2025</t>
        </is>
      </c>
      <c r="B1757" s="1" t="n">
        <v>45735.36491898148</v>
      </c>
      <c r="C1757" s="1" t="n">
        <v>46042</v>
      </c>
      <c r="D1757" t="inlineStr">
        <is>
          <t>JÄMTLANDS LÄN</t>
        </is>
      </c>
      <c r="E1757" t="inlineStr">
        <is>
          <t>BRÄCKE</t>
        </is>
      </c>
      <c r="F1757" t="inlineStr">
        <is>
          <t>SCA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28077-2024</t>
        </is>
      </c>
      <c r="B1758" s="1" t="n">
        <v>45476.58508101852</v>
      </c>
      <c r="C1758" s="1" t="n">
        <v>46042</v>
      </c>
      <c r="D1758" t="inlineStr">
        <is>
          <t>JÄMTLANDS LÄN</t>
        </is>
      </c>
      <c r="E1758" t="inlineStr">
        <is>
          <t>BRÄCKE</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62074-2023</t>
        </is>
      </c>
      <c r="B1759" s="1" t="n">
        <v>45266</v>
      </c>
      <c r="C1759" s="1" t="n">
        <v>46042</v>
      </c>
      <c r="D1759" t="inlineStr">
        <is>
          <t>JÄMTLANDS LÄN</t>
        </is>
      </c>
      <c r="E1759" t="inlineStr">
        <is>
          <t>BRÄCKE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4381-2023</t>
        </is>
      </c>
      <c r="B1760" s="1" t="n">
        <v>44955</v>
      </c>
      <c r="C1760" s="1" t="n">
        <v>46042</v>
      </c>
      <c r="D1760" t="inlineStr">
        <is>
          <t>JÄMTLANDS LÄN</t>
        </is>
      </c>
      <c r="E1760" t="inlineStr">
        <is>
          <t>BRÄCKE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24874-2024</t>
        </is>
      </c>
      <c r="B1761" s="1" t="n">
        <v>45461.52280092592</v>
      </c>
      <c r="C1761" s="1" t="n">
        <v>46042</v>
      </c>
      <c r="D1761" t="inlineStr">
        <is>
          <t>JÄMTLANDS LÄN</t>
        </is>
      </c>
      <c r="E1761" t="inlineStr">
        <is>
          <t>BRÄCKE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24878-2024</t>
        </is>
      </c>
      <c r="B1762" s="1" t="n">
        <v>45461.55193287037</v>
      </c>
      <c r="C1762" s="1" t="n">
        <v>46042</v>
      </c>
      <c r="D1762" t="inlineStr">
        <is>
          <t>JÄMTLANDS LÄN</t>
        </is>
      </c>
      <c r="E1762" t="inlineStr">
        <is>
          <t>BRÄCKE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42290-2022</t>
        </is>
      </c>
      <c r="B1763" s="1" t="n">
        <v>44830</v>
      </c>
      <c r="C1763" s="1" t="n">
        <v>46042</v>
      </c>
      <c r="D1763" t="inlineStr">
        <is>
          <t>JÄMTLANDS LÄN</t>
        </is>
      </c>
      <c r="E1763" t="inlineStr">
        <is>
          <t>BRÄCKE</t>
        </is>
      </c>
      <c r="F1763" t="inlineStr">
        <is>
          <t>SCA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49707-2024</t>
        </is>
      </c>
      <c r="B1764" s="1" t="n">
        <v>45596.69832175926</v>
      </c>
      <c r="C1764" s="1" t="n">
        <v>46042</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58078-2023</t>
        </is>
      </c>
      <c r="B1765" s="1" t="n">
        <v>45247.965</v>
      </c>
      <c r="C1765" s="1" t="n">
        <v>46042</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18047-2025</t>
        </is>
      </c>
      <c r="B1766" s="1" t="n">
        <v>45761.46606481481</v>
      </c>
      <c r="C1766" s="1" t="n">
        <v>46042</v>
      </c>
      <c r="D1766" t="inlineStr">
        <is>
          <t>JÄMTLANDS LÄN</t>
        </is>
      </c>
      <c r="E1766" t="inlineStr">
        <is>
          <t>BRÄCKE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33112-2024</t>
        </is>
      </c>
      <c r="B1767" s="1" t="n">
        <v>45517.92994212963</v>
      </c>
      <c r="C1767" s="1" t="n">
        <v>46042</v>
      </c>
      <c r="D1767" t="inlineStr">
        <is>
          <t>JÄMTLANDS LÄN</t>
        </is>
      </c>
      <c r="E1767" t="inlineStr">
        <is>
          <t>BRÄCKE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17016-2024</t>
        </is>
      </c>
      <c r="B1768" s="1" t="n">
        <v>45411</v>
      </c>
      <c r="C1768" s="1" t="n">
        <v>46042</v>
      </c>
      <c r="D1768" t="inlineStr">
        <is>
          <t>JÄMTLANDS LÄN</t>
        </is>
      </c>
      <c r="E1768" t="inlineStr">
        <is>
          <t>BRÄCKE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17252-2025</t>
        </is>
      </c>
      <c r="B1769" s="1" t="n">
        <v>45756.5109837963</v>
      </c>
      <c r="C1769" s="1" t="n">
        <v>46042</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37960-2024</t>
        </is>
      </c>
      <c r="B1770" s="1" t="n">
        <v>45544.53925925926</v>
      </c>
      <c r="C1770" s="1" t="n">
        <v>46042</v>
      </c>
      <c r="D1770" t="inlineStr">
        <is>
          <t>JÄMTLANDS LÄN</t>
        </is>
      </c>
      <c r="E1770" t="inlineStr">
        <is>
          <t>BRÄCKE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43551-2023</t>
        </is>
      </c>
      <c r="B1771" s="1" t="n">
        <v>45181</v>
      </c>
      <c r="C1771" s="1" t="n">
        <v>46042</v>
      </c>
      <c r="D1771" t="inlineStr">
        <is>
          <t>JÄMTLANDS LÄN</t>
        </is>
      </c>
      <c r="E1771" t="inlineStr">
        <is>
          <t>BRÄCKE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49526-2024</t>
        </is>
      </c>
      <c r="B1772" s="1" t="n">
        <v>45596.40731481482</v>
      </c>
      <c r="C1772" s="1" t="n">
        <v>46042</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55976-2024</t>
        </is>
      </c>
      <c r="B1773" s="1" t="n">
        <v>45623.65659722222</v>
      </c>
      <c r="C1773" s="1" t="n">
        <v>46042</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47560-2021</t>
        </is>
      </c>
      <c r="B1774" s="1" t="n">
        <v>44447.94313657407</v>
      </c>
      <c r="C1774" s="1" t="n">
        <v>46042</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6213-2025</t>
        </is>
      </c>
      <c r="B1775" s="1" t="n">
        <v>45698.51072916666</v>
      </c>
      <c r="C1775" s="1" t="n">
        <v>46042</v>
      </c>
      <c r="D1775" t="inlineStr">
        <is>
          <t>JÄMTLANDS LÄN</t>
        </is>
      </c>
      <c r="E1775" t="inlineStr">
        <is>
          <t>BRÄCKE</t>
        </is>
      </c>
      <c r="F1775" t="inlineStr">
        <is>
          <t>SCA</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27354-2023</t>
        </is>
      </c>
      <c r="B1776" s="1" t="n">
        <v>45096</v>
      </c>
      <c r="C1776" s="1" t="n">
        <v>46042</v>
      </c>
      <c r="D1776" t="inlineStr">
        <is>
          <t>JÄMTLANDS LÄN</t>
        </is>
      </c>
      <c r="E1776" t="inlineStr">
        <is>
          <t>BRÄCKE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19485-2023</t>
        </is>
      </c>
      <c r="B1777" s="1" t="n">
        <v>45049</v>
      </c>
      <c r="C1777" s="1" t="n">
        <v>46042</v>
      </c>
      <c r="D1777" t="inlineStr">
        <is>
          <t>JÄMTLANDS LÄN</t>
        </is>
      </c>
      <c r="E1777" t="inlineStr">
        <is>
          <t>BRÄCKE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20798-2024</t>
        </is>
      </c>
      <c r="B1778" s="1" t="n">
        <v>45438.94798611111</v>
      </c>
      <c r="C1778" s="1" t="n">
        <v>46042</v>
      </c>
      <c r="D1778" t="inlineStr">
        <is>
          <t>JÄMTLANDS LÄN</t>
        </is>
      </c>
      <c r="E1778" t="inlineStr">
        <is>
          <t>BRÄCKE</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46601-2022</t>
        </is>
      </c>
      <c r="B1779" s="1" t="n">
        <v>44848</v>
      </c>
      <c r="C1779" s="1" t="n">
        <v>46042</v>
      </c>
      <c r="D1779" t="inlineStr">
        <is>
          <t>JÄMTLANDS LÄN</t>
        </is>
      </c>
      <c r="E1779" t="inlineStr">
        <is>
          <t>BRÄCKE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12732-2025</t>
        </is>
      </c>
      <c r="B1780" s="1" t="n">
        <v>45733.51090277778</v>
      </c>
      <c r="C1780" s="1" t="n">
        <v>46042</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11371-2025</t>
        </is>
      </c>
      <c r="B1781" s="1" t="n">
        <v>45726.55258101852</v>
      </c>
      <c r="C1781" s="1" t="n">
        <v>46042</v>
      </c>
      <c r="D1781" t="inlineStr">
        <is>
          <t>JÄMTLANDS LÄN</t>
        </is>
      </c>
      <c r="E1781" t="inlineStr">
        <is>
          <t>BRÄCKE</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41722-2023</t>
        </is>
      </c>
      <c r="B1782" s="1" t="n">
        <v>45176.4012037037</v>
      </c>
      <c r="C1782" s="1" t="n">
        <v>46042</v>
      </c>
      <c r="D1782" t="inlineStr">
        <is>
          <t>JÄMTLANDS LÄN</t>
        </is>
      </c>
      <c r="E1782" t="inlineStr">
        <is>
          <t>BRÄCKE</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30478-2022</t>
        </is>
      </c>
      <c r="B1783" s="1" t="n">
        <v>44761</v>
      </c>
      <c r="C1783" s="1" t="n">
        <v>46042</v>
      </c>
      <c r="D1783" t="inlineStr">
        <is>
          <t>JÄMTLANDS LÄN</t>
        </is>
      </c>
      <c r="E1783" t="inlineStr">
        <is>
          <t>BRÄCKE</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29572-2024</t>
        </is>
      </c>
      <c r="B1784" s="1" t="n">
        <v>45484.55929398148</v>
      </c>
      <c r="C1784" s="1" t="n">
        <v>46042</v>
      </c>
      <c r="D1784" t="inlineStr">
        <is>
          <t>JÄMTLANDS LÄN</t>
        </is>
      </c>
      <c r="E1784" t="inlineStr">
        <is>
          <t>BRÄCKE</t>
        </is>
      </c>
      <c r="F1784" t="inlineStr">
        <is>
          <t>Övriga Aktiebolag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52714-2022</t>
        </is>
      </c>
      <c r="B1785" s="1" t="n">
        <v>44874.95511574074</v>
      </c>
      <c r="C1785" s="1" t="n">
        <v>46042</v>
      </c>
      <c r="D1785" t="inlineStr">
        <is>
          <t>JÄMTLANDS LÄN</t>
        </is>
      </c>
      <c r="E1785" t="inlineStr">
        <is>
          <t>BRÄCKE</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37504-2023</t>
        </is>
      </c>
      <c r="B1786" s="1" t="n">
        <v>45157.59725694444</v>
      </c>
      <c r="C1786" s="1" t="n">
        <v>46042</v>
      </c>
      <c r="D1786" t="inlineStr">
        <is>
          <t>JÄMTLANDS LÄN</t>
        </is>
      </c>
      <c r="E1786" t="inlineStr">
        <is>
          <t>BRÄCKE</t>
        </is>
      </c>
      <c r="F1786" t="inlineStr">
        <is>
          <t>Sveaskog</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7123-2025</t>
        </is>
      </c>
      <c r="B1787" s="1" t="n">
        <v>45702.34427083333</v>
      </c>
      <c r="C1787" s="1" t="n">
        <v>46042</v>
      </c>
      <c r="D1787" t="inlineStr">
        <is>
          <t>JÄMTLANDS LÄN</t>
        </is>
      </c>
      <c r="E1787" t="inlineStr">
        <is>
          <t>BRÄCKE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48342-2024</t>
        </is>
      </c>
      <c r="B1788" s="1" t="n">
        <v>45590.55238425926</v>
      </c>
      <c r="C1788" s="1" t="n">
        <v>46042</v>
      </c>
      <c r="D1788" t="inlineStr">
        <is>
          <t>JÄMTLANDS LÄN</t>
        </is>
      </c>
      <c r="E1788" t="inlineStr">
        <is>
          <t>BRÄCKE</t>
        </is>
      </c>
      <c r="F1788" t="inlineStr">
        <is>
          <t>SCA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68763-2021</t>
        </is>
      </c>
      <c r="B1789" s="1" t="n">
        <v>44529</v>
      </c>
      <c r="C1789" s="1" t="n">
        <v>46042</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56047-2024</t>
        </is>
      </c>
      <c r="B1790" s="1" t="n">
        <v>45624.34450231482</v>
      </c>
      <c r="C1790" s="1" t="n">
        <v>46042</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24307-2024</t>
        </is>
      </c>
      <c r="B1791" s="1" t="n">
        <v>45457.49471064815</v>
      </c>
      <c r="C1791" s="1" t="n">
        <v>46042</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59586-2023</t>
        </is>
      </c>
      <c r="B1792" s="1" t="n">
        <v>45254.61172453704</v>
      </c>
      <c r="C1792" s="1" t="n">
        <v>46042</v>
      </c>
      <c r="D1792" t="inlineStr">
        <is>
          <t>JÄMTLANDS LÄN</t>
        </is>
      </c>
      <c r="E1792" t="inlineStr">
        <is>
          <t>BRÄCKE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58449-2024</t>
        </is>
      </c>
      <c r="B1793" s="1" t="n">
        <v>45635.34413194445</v>
      </c>
      <c r="C1793" s="1" t="n">
        <v>46042</v>
      </c>
      <c r="D1793" t="inlineStr">
        <is>
          <t>JÄMTLANDS LÄN</t>
        </is>
      </c>
      <c r="E1793" t="inlineStr">
        <is>
          <t>BRÄCKE</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4635-2022</t>
        </is>
      </c>
      <c r="B1794" s="1" t="n">
        <v>44592.41413194445</v>
      </c>
      <c r="C1794" s="1" t="n">
        <v>46042</v>
      </c>
      <c r="D1794" t="inlineStr">
        <is>
          <t>JÄMTLANDS LÄN</t>
        </is>
      </c>
      <c r="E1794" t="inlineStr">
        <is>
          <t>BRÄCKE</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58491-2024</t>
        </is>
      </c>
      <c r="B1795" s="1" t="n">
        <v>45635.40408564815</v>
      </c>
      <c r="C1795" s="1" t="n">
        <v>46042</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48419-2023</t>
        </is>
      </c>
      <c r="B1796" s="1" t="n">
        <v>45205</v>
      </c>
      <c r="C1796" s="1" t="n">
        <v>46042</v>
      </c>
      <c r="D1796" t="inlineStr">
        <is>
          <t>JÄMTLANDS LÄN</t>
        </is>
      </c>
      <c r="E1796" t="inlineStr">
        <is>
          <t>BRÄCKE</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73102-2021</t>
        </is>
      </c>
      <c r="B1797" s="1" t="n">
        <v>44550.45236111111</v>
      </c>
      <c r="C1797" s="1" t="n">
        <v>46042</v>
      </c>
      <c r="D1797" t="inlineStr">
        <is>
          <t>JÄMTLANDS LÄN</t>
        </is>
      </c>
      <c r="E1797" t="inlineStr">
        <is>
          <t>BRÄCKE</t>
        </is>
      </c>
      <c r="F1797" t="inlineStr">
        <is>
          <t>Sveaskog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16512-2024</t>
        </is>
      </c>
      <c r="B1798" s="1" t="n">
        <v>45408.39922453704</v>
      </c>
      <c r="C1798" s="1" t="n">
        <v>46042</v>
      </c>
      <c r="D1798" t="inlineStr">
        <is>
          <t>JÄMTLANDS LÄN</t>
        </is>
      </c>
      <c r="E1798" t="inlineStr">
        <is>
          <t>BRÄCKE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53696-2024</t>
        </is>
      </c>
      <c r="B1799" s="1" t="n">
        <v>45615.3857175926</v>
      </c>
      <c r="C1799" s="1" t="n">
        <v>46042</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18267-2025</t>
        </is>
      </c>
      <c r="B1800" s="1" t="n">
        <v>45762.36527777778</v>
      </c>
      <c r="C1800" s="1" t="n">
        <v>46042</v>
      </c>
      <c r="D1800" t="inlineStr">
        <is>
          <t>JÄMTLANDS LÄN</t>
        </is>
      </c>
      <c r="E1800" t="inlineStr">
        <is>
          <t>BRÄCKE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49330-2023</t>
        </is>
      </c>
      <c r="B1801" s="1" t="n">
        <v>45210.94927083333</v>
      </c>
      <c r="C1801" s="1" t="n">
        <v>46042</v>
      </c>
      <c r="D1801" t="inlineStr">
        <is>
          <t>JÄMTLANDS LÄN</t>
        </is>
      </c>
      <c r="E1801" t="inlineStr">
        <is>
          <t>BRÄCKE</t>
        </is>
      </c>
      <c r="F1801" t="inlineStr">
        <is>
          <t>SCA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19088-2021</t>
        </is>
      </c>
      <c r="B1802" s="1" t="n">
        <v>44308</v>
      </c>
      <c r="C1802" s="1" t="n">
        <v>46042</v>
      </c>
      <c r="D1802" t="inlineStr">
        <is>
          <t>JÄMTLANDS LÄN</t>
        </is>
      </c>
      <c r="E1802" t="inlineStr">
        <is>
          <t>BRÄCKE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22001-2024</t>
        </is>
      </c>
      <c r="B1803" s="1" t="n">
        <v>45443.56649305556</v>
      </c>
      <c r="C1803" s="1" t="n">
        <v>46042</v>
      </c>
      <c r="D1803" t="inlineStr">
        <is>
          <t>JÄMTLANDS LÄN</t>
        </is>
      </c>
      <c r="E1803" t="inlineStr">
        <is>
          <t>BRÄCKE</t>
        </is>
      </c>
      <c r="F1803" t="inlineStr">
        <is>
          <t>Övriga Aktiebolag</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3180-2024</t>
        </is>
      </c>
      <c r="B1804" s="1" t="n">
        <v>45316.64880787037</v>
      </c>
      <c r="C1804" s="1" t="n">
        <v>46042</v>
      </c>
      <c r="D1804" t="inlineStr">
        <is>
          <t>JÄMTLANDS LÄN</t>
        </is>
      </c>
      <c r="E1804" t="inlineStr">
        <is>
          <t>BRÄCKE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3182-2024</t>
        </is>
      </c>
      <c r="B1805" s="1" t="n">
        <v>45316.65004629629</v>
      </c>
      <c r="C1805" s="1" t="n">
        <v>46042</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10815-2022</t>
        </is>
      </c>
      <c r="B1806" s="1" t="n">
        <v>44627</v>
      </c>
      <c r="C1806" s="1" t="n">
        <v>46042</v>
      </c>
      <c r="D1806" t="inlineStr">
        <is>
          <t>JÄMTLANDS LÄN</t>
        </is>
      </c>
      <c r="E1806" t="inlineStr">
        <is>
          <t>BRÄCKE</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52723-2023</t>
        </is>
      </c>
      <c r="B1807" s="1" t="n">
        <v>45225</v>
      </c>
      <c r="C1807" s="1" t="n">
        <v>46042</v>
      </c>
      <c r="D1807" t="inlineStr">
        <is>
          <t>JÄMTLANDS LÄN</t>
        </is>
      </c>
      <c r="E1807" t="inlineStr">
        <is>
          <t>BRÄCKE</t>
        </is>
      </c>
      <c r="G1807" t="n">
        <v>9.699999999999999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34807-2024</t>
        </is>
      </c>
      <c r="B1808" s="1" t="n">
        <v>45526.69046296296</v>
      </c>
      <c r="C1808" s="1" t="n">
        <v>46042</v>
      </c>
      <c r="D1808" t="inlineStr">
        <is>
          <t>JÄMTLANDS LÄN</t>
        </is>
      </c>
      <c r="E1808" t="inlineStr">
        <is>
          <t>BRÄCKE</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17907-2025</t>
        </is>
      </c>
      <c r="B1809" s="1" t="n">
        <v>45758.73046296297</v>
      </c>
      <c r="C1809" s="1" t="n">
        <v>46042</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39326-2024</t>
        </is>
      </c>
      <c r="B1810" s="1" t="n">
        <v>45551.42741898148</v>
      </c>
      <c r="C1810" s="1" t="n">
        <v>46042</v>
      </c>
      <c r="D1810" t="inlineStr">
        <is>
          <t>JÄMTLANDS LÄN</t>
        </is>
      </c>
      <c r="E1810" t="inlineStr">
        <is>
          <t>BRÄCKE</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60666-2024</t>
        </is>
      </c>
      <c r="B1811" s="1" t="n">
        <v>45644.44833333333</v>
      </c>
      <c r="C1811" s="1" t="n">
        <v>46042</v>
      </c>
      <c r="D1811" t="inlineStr">
        <is>
          <t>JÄMTLANDS LÄN</t>
        </is>
      </c>
      <c r="E1811" t="inlineStr">
        <is>
          <t>BRÄCKE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46042</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20625-2023</t>
        </is>
      </c>
      <c r="B1813" s="1" t="n">
        <v>45057.94351851852</v>
      </c>
      <c r="C1813" s="1" t="n">
        <v>46042</v>
      </c>
      <c r="D1813" t="inlineStr">
        <is>
          <t>JÄMTLANDS LÄN</t>
        </is>
      </c>
      <c r="E1813" t="inlineStr">
        <is>
          <t>BRÄCKE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9996-2025</t>
        </is>
      </c>
      <c r="B1814" s="1" t="n">
        <v>45719.44133101852</v>
      </c>
      <c r="C1814" s="1" t="n">
        <v>46042</v>
      </c>
      <c r="D1814" t="inlineStr">
        <is>
          <t>JÄMTLANDS LÄN</t>
        </is>
      </c>
      <c r="E1814" t="inlineStr">
        <is>
          <t>BRÄCKE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51558-2022</t>
        </is>
      </c>
      <c r="B1815" s="1" t="n">
        <v>44869.9497337963</v>
      </c>
      <c r="C1815" s="1" t="n">
        <v>46042</v>
      </c>
      <c r="D1815" t="inlineStr">
        <is>
          <t>JÄMTLANDS LÄN</t>
        </is>
      </c>
      <c r="E1815" t="inlineStr">
        <is>
          <t>BRÄCKE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30685-2023</t>
        </is>
      </c>
      <c r="B1816" s="1" t="n">
        <v>45112.56471064815</v>
      </c>
      <c r="C1816" s="1" t="n">
        <v>46042</v>
      </c>
      <c r="D1816" t="inlineStr">
        <is>
          <t>JÄMTLANDS LÄN</t>
        </is>
      </c>
      <c r="E1816" t="inlineStr">
        <is>
          <t>BRÄCKE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36549-2024</t>
        </is>
      </c>
      <c r="B1817" s="1" t="n">
        <v>45537.46791666667</v>
      </c>
      <c r="C1817" s="1" t="n">
        <v>46042</v>
      </c>
      <c r="D1817" t="inlineStr">
        <is>
          <t>JÄMTLANDS LÄN</t>
        </is>
      </c>
      <c r="E1817" t="inlineStr">
        <is>
          <t>BRÄCKE</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39004-2023</t>
        </is>
      </c>
      <c r="B1818" s="1" t="n">
        <v>45162</v>
      </c>
      <c r="C1818" s="1" t="n">
        <v>46042</v>
      </c>
      <c r="D1818" t="inlineStr">
        <is>
          <t>JÄMTLANDS LÄN</t>
        </is>
      </c>
      <c r="E1818" t="inlineStr">
        <is>
          <t>BRÄCKE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14474-2025</t>
        </is>
      </c>
      <c r="B1819" s="1" t="n">
        <v>45741.57782407408</v>
      </c>
      <c r="C1819" s="1" t="n">
        <v>46042</v>
      </c>
      <c r="D1819" t="inlineStr">
        <is>
          <t>JÄMTLANDS LÄN</t>
        </is>
      </c>
      <c r="E1819" t="inlineStr">
        <is>
          <t>BRÄCKE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5167-2025</t>
        </is>
      </c>
      <c r="B1820" s="1" t="n">
        <v>45691.61539351852</v>
      </c>
      <c r="C1820" s="1" t="n">
        <v>46042</v>
      </c>
      <c r="D1820" t="inlineStr">
        <is>
          <t>JÄMTLANDS LÄN</t>
        </is>
      </c>
      <c r="E1820" t="inlineStr">
        <is>
          <t>BRÄCKE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56640-2021</t>
        </is>
      </c>
      <c r="B1821" s="1" t="n">
        <v>44480</v>
      </c>
      <c r="C1821" s="1" t="n">
        <v>46042</v>
      </c>
      <c r="D1821" t="inlineStr">
        <is>
          <t>JÄMTLANDS LÄN</t>
        </is>
      </c>
      <c r="E1821" t="inlineStr">
        <is>
          <t>BRÄCKE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33538-2021</t>
        </is>
      </c>
      <c r="B1822" s="1" t="n">
        <v>44377</v>
      </c>
      <c r="C1822" s="1" t="n">
        <v>46042</v>
      </c>
      <c r="D1822" t="inlineStr">
        <is>
          <t>JÄMTLANDS LÄN</t>
        </is>
      </c>
      <c r="E1822" t="inlineStr">
        <is>
          <t>BRÄCKE</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57420-2023</t>
        </is>
      </c>
      <c r="B1823" s="1" t="n">
        <v>45245.96990740741</v>
      </c>
      <c r="C1823" s="1" t="n">
        <v>46042</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59650-2024</t>
        </is>
      </c>
      <c r="B1824" s="1" t="n">
        <v>45639.34488425926</v>
      </c>
      <c r="C1824" s="1" t="n">
        <v>46042</v>
      </c>
      <c r="D1824" t="inlineStr">
        <is>
          <t>JÄMTLANDS LÄN</t>
        </is>
      </c>
      <c r="E1824" t="inlineStr">
        <is>
          <t>BRÄCKE</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46798-2023</t>
        </is>
      </c>
      <c r="B1825" s="1" t="n">
        <v>45198</v>
      </c>
      <c r="C1825" s="1" t="n">
        <v>46042</v>
      </c>
      <c r="D1825" t="inlineStr">
        <is>
          <t>JÄMTLANDS LÄN</t>
        </is>
      </c>
      <c r="E1825" t="inlineStr">
        <is>
          <t>BRÄCKE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2179-2025</t>
        </is>
      </c>
      <c r="B1826" s="1" t="n">
        <v>45673.34421296296</v>
      </c>
      <c r="C1826" s="1" t="n">
        <v>46042</v>
      </c>
      <c r="D1826" t="inlineStr">
        <is>
          <t>JÄMTLANDS LÄN</t>
        </is>
      </c>
      <c r="E1826" t="inlineStr">
        <is>
          <t>BRÄCKE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1080-2025</t>
        </is>
      </c>
      <c r="B1827" s="1" t="n">
        <v>45666.61513888889</v>
      </c>
      <c r="C1827" s="1" t="n">
        <v>46042</v>
      </c>
      <c r="D1827" t="inlineStr">
        <is>
          <t>JÄMTLANDS LÄN</t>
        </is>
      </c>
      <c r="E1827" t="inlineStr">
        <is>
          <t>BRÄCKE</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57096-2024</t>
        </is>
      </c>
      <c r="B1828" s="1" t="n">
        <v>45629.35810185185</v>
      </c>
      <c r="C1828" s="1" t="n">
        <v>46042</v>
      </c>
      <c r="D1828" t="inlineStr">
        <is>
          <t>JÄMTLANDS LÄN</t>
        </is>
      </c>
      <c r="E1828" t="inlineStr">
        <is>
          <t>BRÄCKE</t>
        </is>
      </c>
      <c r="F1828" t="inlineStr">
        <is>
          <t>SCA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57473-2024</t>
        </is>
      </c>
      <c r="B1829" s="1" t="n">
        <v>45630.34438657408</v>
      </c>
      <c r="C1829" s="1" t="n">
        <v>46042</v>
      </c>
      <c r="D1829" t="inlineStr">
        <is>
          <t>JÄMTLANDS LÄN</t>
        </is>
      </c>
      <c r="E1829" t="inlineStr">
        <is>
          <t>BRÄCKE</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18984-2022</t>
        </is>
      </c>
      <c r="B1830" s="1" t="n">
        <v>44690</v>
      </c>
      <c r="C1830" s="1" t="n">
        <v>46042</v>
      </c>
      <c r="D1830" t="inlineStr">
        <is>
          <t>JÄMTLANDS LÄN</t>
        </is>
      </c>
      <c r="E1830" t="inlineStr">
        <is>
          <t>BRÄCKE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28765-2024</t>
        </is>
      </c>
      <c r="B1831" s="1" t="n">
        <v>45478.59344907408</v>
      </c>
      <c r="C1831" s="1" t="n">
        <v>46042</v>
      </c>
      <c r="D1831" t="inlineStr">
        <is>
          <t>JÄMTLANDS LÄN</t>
        </is>
      </c>
      <c r="E1831" t="inlineStr">
        <is>
          <t>BRÄCKE</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20778-2025</t>
        </is>
      </c>
      <c r="B1832" s="1" t="n">
        <v>45776.59439814815</v>
      </c>
      <c r="C1832" s="1" t="n">
        <v>46042</v>
      </c>
      <c r="D1832" t="inlineStr">
        <is>
          <t>JÄMTLANDS LÄN</t>
        </is>
      </c>
      <c r="E1832" t="inlineStr">
        <is>
          <t>BRÄCKE</t>
        </is>
      </c>
      <c r="F1832" t="inlineStr">
        <is>
          <t>SCA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20870-2025</t>
        </is>
      </c>
      <c r="B1833" s="1" t="n">
        <v>45777.34517361111</v>
      </c>
      <c r="C1833" s="1" t="n">
        <v>46042</v>
      </c>
      <c r="D1833" t="inlineStr">
        <is>
          <t>JÄMTLANDS LÄN</t>
        </is>
      </c>
      <c r="E1833" t="inlineStr">
        <is>
          <t>BRÄCKE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20756-2025</t>
        </is>
      </c>
      <c r="B1834" s="1" t="n">
        <v>45776.57333333333</v>
      </c>
      <c r="C1834" s="1" t="n">
        <v>46042</v>
      </c>
      <c r="D1834" t="inlineStr">
        <is>
          <t>JÄMTLANDS LÄN</t>
        </is>
      </c>
      <c r="E1834" t="inlineStr">
        <is>
          <t>BRÄCKE</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20909-2025</t>
        </is>
      </c>
      <c r="B1835" s="1" t="n">
        <v>45777.40672453704</v>
      </c>
      <c r="C1835" s="1" t="n">
        <v>46042</v>
      </c>
      <c r="D1835" t="inlineStr">
        <is>
          <t>JÄMTLANDS LÄN</t>
        </is>
      </c>
      <c r="E1835" t="inlineStr">
        <is>
          <t>BRÄCKE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29409-2024</t>
        </is>
      </c>
      <c r="B1836" s="1" t="n">
        <v>45483.67341435186</v>
      </c>
      <c r="C1836" s="1" t="n">
        <v>46042</v>
      </c>
      <c r="D1836" t="inlineStr">
        <is>
          <t>JÄMTLANDS LÄN</t>
        </is>
      </c>
      <c r="E1836" t="inlineStr">
        <is>
          <t>BRÄCKE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63713-2023</t>
        </is>
      </c>
      <c r="B1837" s="1" t="n">
        <v>45275</v>
      </c>
      <c r="C1837" s="1" t="n">
        <v>46042</v>
      </c>
      <c r="D1837" t="inlineStr">
        <is>
          <t>JÄMTLANDS LÄN</t>
        </is>
      </c>
      <c r="E1837" t="inlineStr">
        <is>
          <t>BRÄCKE</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34646-2024</t>
        </is>
      </c>
      <c r="B1838" s="1" t="n">
        <v>45526.4784375</v>
      </c>
      <c r="C1838" s="1" t="n">
        <v>46042</v>
      </c>
      <c r="D1838" t="inlineStr">
        <is>
          <t>JÄMTLANDS LÄN</t>
        </is>
      </c>
      <c r="E1838" t="inlineStr">
        <is>
          <t>BRÄCKE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26919-2024</t>
        </is>
      </c>
      <c r="B1839" s="1" t="n">
        <v>45470.93050925926</v>
      </c>
      <c r="C1839" s="1" t="n">
        <v>46042</v>
      </c>
      <c r="D1839" t="inlineStr">
        <is>
          <t>JÄMTLANDS LÄN</t>
        </is>
      </c>
      <c r="E1839" t="inlineStr">
        <is>
          <t>BRÄCKE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9438-2025</t>
        </is>
      </c>
      <c r="B1840" s="1" t="n">
        <v>45715.41347222222</v>
      </c>
      <c r="C1840" s="1" t="n">
        <v>46042</v>
      </c>
      <c r="D1840" t="inlineStr">
        <is>
          <t>JÄMTLANDS LÄN</t>
        </is>
      </c>
      <c r="E1840" t="inlineStr">
        <is>
          <t>BRÄCKE</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21634-2025</t>
        </is>
      </c>
      <c r="B1841" s="1" t="n">
        <v>45783.42775462963</v>
      </c>
      <c r="C1841" s="1" t="n">
        <v>46042</v>
      </c>
      <c r="D1841" t="inlineStr">
        <is>
          <t>JÄMTLANDS LÄN</t>
        </is>
      </c>
      <c r="E1841" t="inlineStr">
        <is>
          <t>BRÄCKE</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21368-2025</t>
        </is>
      </c>
      <c r="B1842" s="1" t="n">
        <v>45782.44824074074</v>
      </c>
      <c r="C1842" s="1" t="n">
        <v>46042</v>
      </c>
      <c r="D1842" t="inlineStr">
        <is>
          <t>JÄMTLANDS LÄN</t>
        </is>
      </c>
      <c r="E1842" t="inlineStr">
        <is>
          <t>BRÄCKE</t>
        </is>
      </c>
      <c r="F1842" t="inlineStr">
        <is>
          <t>SCA</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21449-2025</t>
        </is>
      </c>
      <c r="B1843" s="1" t="n">
        <v>45782.55255787037</v>
      </c>
      <c r="C1843" s="1" t="n">
        <v>46042</v>
      </c>
      <c r="D1843" t="inlineStr">
        <is>
          <t>JÄMTLANDS LÄN</t>
        </is>
      </c>
      <c r="E1843" t="inlineStr">
        <is>
          <t>BRÄCKE</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21450-2025</t>
        </is>
      </c>
      <c r="B1844" s="1" t="n">
        <v>45782.55275462963</v>
      </c>
      <c r="C1844" s="1" t="n">
        <v>46042</v>
      </c>
      <c r="D1844" t="inlineStr">
        <is>
          <t>JÄMTLANDS LÄN</t>
        </is>
      </c>
      <c r="E1844" t="inlineStr">
        <is>
          <t>BRÄCKE</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21486-2025</t>
        </is>
      </c>
      <c r="B1845" s="1" t="n">
        <v>45782.59521990741</v>
      </c>
      <c r="C1845" s="1" t="n">
        <v>46042</v>
      </c>
      <c r="D1845" t="inlineStr">
        <is>
          <t>JÄMTLANDS LÄN</t>
        </is>
      </c>
      <c r="E1845" t="inlineStr">
        <is>
          <t>BRÄCKE</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32963-2022</t>
        </is>
      </c>
      <c r="B1846" s="1" t="n">
        <v>44784.92496527778</v>
      </c>
      <c r="C1846" s="1" t="n">
        <v>46042</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21551-2025</t>
        </is>
      </c>
      <c r="B1847" s="1" t="n">
        <v>45782.67771990741</v>
      </c>
      <c r="C1847" s="1" t="n">
        <v>46042</v>
      </c>
      <c r="D1847" t="inlineStr">
        <is>
          <t>JÄMTLANDS LÄN</t>
        </is>
      </c>
      <c r="E1847" t="inlineStr">
        <is>
          <t>BRÄCKE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21549-2025</t>
        </is>
      </c>
      <c r="B1848" s="1" t="n">
        <v>45782.67743055556</v>
      </c>
      <c r="C1848" s="1" t="n">
        <v>46042</v>
      </c>
      <c r="D1848" t="inlineStr">
        <is>
          <t>JÄMTLANDS LÄN</t>
        </is>
      </c>
      <c r="E1848" t="inlineStr">
        <is>
          <t>BRÄCKE</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34647-2024</t>
        </is>
      </c>
      <c r="B1849" s="1" t="n">
        <v>45526.47844907407</v>
      </c>
      <c r="C1849" s="1" t="n">
        <v>46042</v>
      </c>
      <c r="D1849" t="inlineStr">
        <is>
          <t>JÄMTLANDS LÄN</t>
        </is>
      </c>
      <c r="E1849" t="inlineStr">
        <is>
          <t>BRÄCKE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21305-2025</t>
        </is>
      </c>
      <c r="B1850" s="1" t="n">
        <v>45781.40665509259</v>
      </c>
      <c r="C1850" s="1" t="n">
        <v>46042</v>
      </c>
      <c r="D1850" t="inlineStr">
        <is>
          <t>JÄMTLANDS LÄN</t>
        </is>
      </c>
      <c r="E1850" t="inlineStr">
        <is>
          <t>BRÄCKE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22164-2025</t>
        </is>
      </c>
      <c r="B1851" s="1" t="n">
        <v>45785.59428240741</v>
      </c>
      <c r="C1851" s="1" t="n">
        <v>46042</v>
      </c>
      <c r="D1851" t="inlineStr">
        <is>
          <t>JÄMTLANDS LÄN</t>
        </is>
      </c>
      <c r="E1851" t="inlineStr">
        <is>
          <t>BRÄCKE</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21961-2025</t>
        </is>
      </c>
      <c r="B1852" s="1" t="n">
        <v>45784.61517361111</v>
      </c>
      <c r="C1852" s="1" t="n">
        <v>46042</v>
      </c>
      <c r="D1852" t="inlineStr">
        <is>
          <t>JÄMTLANDS LÄN</t>
        </is>
      </c>
      <c r="E1852" t="inlineStr">
        <is>
          <t>BRÄCKE</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22936-2024</t>
        </is>
      </c>
      <c r="B1853" s="1" t="n">
        <v>45448.94478009259</v>
      </c>
      <c r="C1853" s="1" t="n">
        <v>46042</v>
      </c>
      <c r="D1853" t="inlineStr">
        <is>
          <t>JÄMTLANDS LÄN</t>
        </is>
      </c>
      <c r="E1853" t="inlineStr">
        <is>
          <t>BRÄCKE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48482-2023</t>
        </is>
      </c>
      <c r="B1854" s="1" t="n">
        <v>45206.95846064815</v>
      </c>
      <c r="C1854" s="1" t="n">
        <v>46042</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22167-2025</t>
        </is>
      </c>
      <c r="B1855" s="1" t="n">
        <v>45785.59498842592</v>
      </c>
      <c r="C1855" s="1" t="n">
        <v>46042</v>
      </c>
      <c r="D1855" t="inlineStr">
        <is>
          <t>JÄMTLANDS LÄN</t>
        </is>
      </c>
      <c r="E1855" t="inlineStr">
        <is>
          <t>BRÄCKE</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22000-2025</t>
        </is>
      </c>
      <c r="B1856" s="1" t="n">
        <v>45784.69851851852</v>
      </c>
      <c r="C1856" s="1" t="n">
        <v>46042</v>
      </c>
      <c r="D1856" t="inlineStr">
        <is>
          <t>JÄMTLANDS LÄN</t>
        </is>
      </c>
      <c r="E1856" t="inlineStr">
        <is>
          <t>BRÄCKE</t>
        </is>
      </c>
      <c r="F1856" t="inlineStr">
        <is>
          <t>SCA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22652-2025</t>
        </is>
      </c>
      <c r="B1857" s="1" t="n">
        <v>45789.46920138889</v>
      </c>
      <c r="C1857" s="1" t="n">
        <v>46042</v>
      </c>
      <c r="D1857" t="inlineStr">
        <is>
          <t>JÄMTLANDS LÄN</t>
        </is>
      </c>
      <c r="E1857" t="inlineStr">
        <is>
          <t>BRÄCKE</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22772-2025</t>
        </is>
      </c>
      <c r="B1858" s="1" t="n">
        <v>45789.63618055556</v>
      </c>
      <c r="C1858" s="1" t="n">
        <v>46042</v>
      </c>
      <c r="D1858" t="inlineStr">
        <is>
          <t>JÄMTLANDS LÄN</t>
        </is>
      </c>
      <c r="E1858" t="inlineStr">
        <is>
          <t>BRÄCKE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50591-2024</t>
        </is>
      </c>
      <c r="B1859" s="1" t="n">
        <v>45601.6190625</v>
      </c>
      <c r="C1859" s="1" t="n">
        <v>46042</v>
      </c>
      <c r="D1859" t="inlineStr">
        <is>
          <t>JÄMTLANDS LÄN</t>
        </is>
      </c>
      <c r="E1859" t="inlineStr">
        <is>
          <t>BRÄCKE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22313-2025</t>
        </is>
      </c>
      <c r="B1860" s="1" t="n">
        <v>45786.38583333333</v>
      </c>
      <c r="C1860" s="1" t="n">
        <v>46042</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46042</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22792-2025</t>
        </is>
      </c>
      <c r="B1862" s="1" t="n">
        <v>45789.65681712963</v>
      </c>
      <c r="C1862" s="1" t="n">
        <v>46042</v>
      </c>
      <c r="D1862" t="inlineStr">
        <is>
          <t>JÄMTLANDS LÄN</t>
        </is>
      </c>
      <c r="E1862" t="inlineStr">
        <is>
          <t>BRÄCKE</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22816-2025</t>
        </is>
      </c>
      <c r="B1863" s="1" t="n">
        <v>45789.69841435185</v>
      </c>
      <c r="C1863" s="1" t="n">
        <v>46042</v>
      </c>
      <c r="D1863" t="inlineStr">
        <is>
          <t>JÄMTLANDS LÄN</t>
        </is>
      </c>
      <c r="E1863" t="inlineStr">
        <is>
          <t>BRÄCKE</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22670-2025</t>
        </is>
      </c>
      <c r="B1864" s="1" t="n">
        <v>45789.49024305555</v>
      </c>
      <c r="C1864" s="1" t="n">
        <v>46042</v>
      </c>
      <c r="D1864" t="inlineStr">
        <is>
          <t>JÄMTLANDS LÄN</t>
        </is>
      </c>
      <c r="E1864" t="inlineStr">
        <is>
          <t>BRÄCKE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23363-2025</t>
        </is>
      </c>
      <c r="B1865" s="1" t="n">
        <v>45791.67775462963</v>
      </c>
      <c r="C1865" s="1" t="n">
        <v>46042</v>
      </c>
      <c r="D1865" t="inlineStr">
        <is>
          <t>JÄMTLANDS LÄN</t>
        </is>
      </c>
      <c r="E1865" t="inlineStr">
        <is>
          <t>BRÄCKE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22940-2025</t>
        </is>
      </c>
      <c r="B1866" s="1" t="n">
        <v>45790.46918981482</v>
      </c>
      <c r="C1866" s="1" t="n">
        <v>46042</v>
      </c>
      <c r="D1866" t="inlineStr">
        <is>
          <t>JÄMTLANDS LÄN</t>
        </is>
      </c>
      <c r="E1866" t="inlineStr">
        <is>
          <t>BRÄCKE</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23211-2025</t>
        </is>
      </c>
      <c r="B1867" s="1" t="n">
        <v>45791.46956018519</v>
      </c>
      <c r="C1867" s="1" t="n">
        <v>46042</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22958-2025</t>
        </is>
      </c>
      <c r="B1868" s="1" t="n">
        <v>45790.53184027778</v>
      </c>
      <c r="C1868" s="1" t="n">
        <v>46042</v>
      </c>
      <c r="D1868" t="inlineStr">
        <is>
          <t>JÄMTLANDS LÄN</t>
        </is>
      </c>
      <c r="E1868" t="inlineStr">
        <is>
          <t>BRÄCKE</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22957-2025</t>
        </is>
      </c>
      <c r="B1869" s="1" t="n">
        <v>45790.53179398148</v>
      </c>
      <c r="C1869" s="1" t="n">
        <v>46042</v>
      </c>
      <c r="D1869" t="inlineStr">
        <is>
          <t>JÄMTLANDS LÄN</t>
        </is>
      </c>
      <c r="E1869" t="inlineStr">
        <is>
          <t>BRÄCKE</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23344-2025</t>
        </is>
      </c>
      <c r="B1870" s="1" t="n">
        <v>45791.65712962963</v>
      </c>
      <c r="C1870" s="1" t="n">
        <v>46042</v>
      </c>
      <c r="D1870" t="inlineStr">
        <is>
          <t>JÄMTLANDS LÄN</t>
        </is>
      </c>
      <c r="E1870" t="inlineStr">
        <is>
          <t>BRÄCKE</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52249-2023</t>
        </is>
      </c>
      <c r="B1871" s="1" t="n">
        <v>45217</v>
      </c>
      <c r="C1871" s="1" t="n">
        <v>46042</v>
      </c>
      <c r="D1871" t="inlineStr">
        <is>
          <t>JÄMTLANDS LÄN</t>
        </is>
      </c>
      <c r="E1871" t="inlineStr">
        <is>
          <t>BRÄCKE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23320-2025</t>
        </is>
      </c>
      <c r="B1872" s="1" t="n">
        <v>45791.61528935185</v>
      </c>
      <c r="C1872" s="1" t="n">
        <v>46042</v>
      </c>
      <c r="D1872" t="inlineStr">
        <is>
          <t>JÄMTLANDS LÄN</t>
        </is>
      </c>
      <c r="E1872" t="inlineStr">
        <is>
          <t>BRÄCKE</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23298-2025</t>
        </is>
      </c>
      <c r="B1873" s="1" t="n">
        <v>45791.59456018519</v>
      </c>
      <c r="C1873" s="1" t="n">
        <v>46042</v>
      </c>
      <c r="D1873" t="inlineStr">
        <is>
          <t>JÄMTLANDS LÄN</t>
        </is>
      </c>
      <c r="E1873" t="inlineStr">
        <is>
          <t>BRÄCKE</t>
        </is>
      </c>
      <c r="F1873" t="inlineStr">
        <is>
          <t>SCA</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11093-2022</t>
        </is>
      </c>
      <c r="B1874" s="1" t="n">
        <v>44628</v>
      </c>
      <c r="C1874" s="1" t="n">
        <v>46042</v>
      </c>
      <c r="D1874" t="inlineStr">
        <is>
          <t>JÄMTLANDS LÄN</t>
        </is>
      </c>
      <c r="E1874" t="inlineStr">
        <is>
          <t>BRÄCKE</t>
        </is>
      </c>
      <c r="G1874" t="n">
        <v>16.4</v>
      </c>
      <c r="H1874" t="n">
        <v>0</v>
      </c>
      <c r="I1874" t="n">
        <v>0</v>
      </c>
      <c r="J1874" t="n">
        <v>0</v>
      </c>
      <c r="K1874" t="n">
        <v>0</v>
      </c>
      <c r="L1874" t="n">
        <v>0</v>
      </c>
      <c r="M1874" t="n">
        <v>0</v>
      </c>
      <c r="N1874" t="n">
        <v>0</v>
      </c>
      <c r="O1874" t="n">
        <v>0</v>
      </c>
      <c r="P1874" t="n">
        <v>0</v>
      </c>
      <c r="Q1874" t="n">
        <v>0</v>
      </c>
      <c r="R1874" s="2" t="inlineStr"/>
    </row>
    <row r="1875" ht="15" customHeight="1">
      <c r="A1875" t="inlineStr">
        <is>
          <t>A 23583-2025</t>
        </is>
      </c>
      <c r="B1875" s="1" t="n">
        <v>45792.63043981481</v>
      </c>
      <c r="C1875" s="1" t="n">
        <v>46042</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23842-2025</t>
        </is>
      </c>
      <c r="B1876" s="1" t="n">
        <v>45793.61534722222</v>
      </c>
      <c r="C1876" s="1" t="n">
        <v>46042</v>
      </c>
      <c r="D1876" t="inlineStr">
        <is>
          <t>JÄMTLANDS LÄN</t>
        </is>
      </c>
      <c r="E1876" t="inlineStr">
        <is>
          <t>BRÄCKE</t>
        </is>
      </c>
      <c r="F1876" t="inlineStr">
        <is>
          <t>SCA</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23458-2025</t>
        </is>
      </c>
      <c r="B1877" s="1" t="n">
        <v>45792.42756944444</v>
      </c>
      <c r="C1877" s="1" t="n">
        <v>46042</v>
      </c>
      <c r="D1877" t="inlineStr">
        <is>
          <t>JÄMTLANDS LÄN</t>
        </is>
      </c>
      <c r="E1877" t="inlineStr">
        <is>
          <t>BRÄCKE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27460-2024</t>
        </is>
      </c>
      <c r="B1878" s="1" t="n">
        <v>45474.44785879629</v>
      </c>
      <c r="C1878" s="1" t="n">
        <v>46042</v>
      </c>
      <c r="D1878" t="inlineStr">
        <is>
          <t>JÄMTLANDS LÄN</t>
        </is>
      </c>
      <c r="E1878" t="inlineStr">
        <is>
          <t>BRÄCKE</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27455-2024</t>
        </is>
      </c>
      <c r="B1879" s="1" t="n">
        <v>45474.43834490741</v>
      </c>
      <c r="C1879" s="1" t="n">
        <v>46042</v>
      </c>
      <c r="D1879" t="inlineStr">
        <is>
          <t>JÄMTLANDS LÄN</t>
        </is>
      </c>
      <c r="E1879" t="inlineStr">
        <is>
          <t>BRÄCKE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32671-2024</t>
        </is>
      </c>
      <c r="B1880" s="1" t="n">
        <v>45514.59587962963</v>
      </c>
      <c r="C1880" s="1" t="n">
        <v>46042</v>
      </c>
      <c r="D1880" t="inlineStr">
        <is>
          <t>JÄMTLANDS LÄN</t>
        </is>
      </c>
      <c r="E1880" t="inlineStr">
        <is>
          <t>BRÄCKE</t>
        </is>
      </c>
      <c r="G1880" t="n">
        <v>1.6</v>
      </c>
      <c r="H1880" t="n">
        <v>0</v>
      </c>
      <c r="I1880" t="n">
        <v>0</v>
      </c>
      <c r="J1880" t="n">
        <v>0</v>
      </c>
      <c r="K1880" t="n">
        <v>0</v>
      </c>
      <c r="L1880" t="n">
        <v>0</v>
      </c>
      <c r="M1880" t="n">
        <v>0</v>
      </c>
      <c r="N1880" t="n">
        <v>0</v>
      </c>
      <c r="O1880" t="n">
        <v>0</v>
      </c>
      <c r="P1880" t="n">
        <v>0</v>
      </c>
      <c r="Q1880" t="n">
        <v>0</v>
      </c>
      <c r="R1880" s="2" t="inlineStr"/>
    </row>
    <row r="1881">
      <c r="A1881" t="inlineStr">
        <is>
          <t>A 13762-2024</t>
        </is>
      </c>
      <c r="B1881" s="1" t="n">
        <v>45390</v>
      </c>
      <c r="C1881" s="1" t="n">
        <v>46042</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2026-01-20T10:57:04Z</dcterms:created>
  <dcterms:modified xmlns:dcterms="http://purl.org/dc/terms/" xmlns:xsi="http://www.w3.org/2001/XMLSchema-instance" xsi:type="dcterms:W3CDTF">2026-01-20T10:57:06Z</dcterms:modified>
</cp:coreProperties>
</file>