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45704</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45704</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45704</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45704</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45704</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45704</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45704</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45704</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45704</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45704</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45704</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45704</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45704</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45704</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45704</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45704</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45704</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45704</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45704</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45704</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45704</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45704</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45704</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45704</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45704</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45704</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45704</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45704</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45704</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45704</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45704</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45704</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45704</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45704</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45704</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45704</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45704</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45704</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45704</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45704</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45704</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45704</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45704</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45704</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45704</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45704</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45704</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45704</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45704</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45704</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45704</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45704</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45704</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45704</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45704</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45704</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45704</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45704</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45704</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45704</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45704</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45704</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45704</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45704</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45704</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45704</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45704</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45704</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45704</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45704</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45704</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45704</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45704</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45704</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45704</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45704</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45704</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45704</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45704</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45704</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45704</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45704</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45704</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45704</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45704</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45704</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45704</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45704</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45704</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45704</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45704</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45704</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45704</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45704</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45704</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45704</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45704</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45704</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45704</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45704</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45704</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45704</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45704</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45704</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45704</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45704</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45704</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45704</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45704</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45704</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45704</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45704</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45704</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45704</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45704</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45704</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45704</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45704</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45704</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45704</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45704</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45704</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45704</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45704</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45704</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45704</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45704</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45704</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45704</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45704</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45704</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45704</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45704</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45704</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45704</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45704</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2298-2025</t>
        </is>
      </c>
      <c r="B178" s="1" t="n">
        <v>45673</v>
      </c>
      <c r="C178" s="1" t="n">
        <v>45704</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2300-2025</t>
        </is>
      </c>
      <c r="B179" s="1" t="n">
        <v>45673</v>
      </c>
      <c r="C179" s="1" t="n">
        <v>45704</v>
      </c>
      <c r="D179" t="inlineStr">
        <is>
          <t>JÄMTLANDS LÄN</t>
        </is>
      </c>
      <c r="E179" t="inlineStr">
        <is>
          <t>BRÄCKE</t>
        </is>
      </c>
      <c r="F179" t="inlineStr">
        <is>
          <t>SCA</t>
        </is>
      </c>
      <c r="G179" t="n">
        <v>2.2</v>
      </c>
      <c r="H179" t="n">
        <v>0</v>
      </c>
      <c r="I179" t="n">
        <v>0</v>
      </c>
      <c r="J179" t="n">
        <v>3</v>
      </c>
      <c r="K179" t="n">
        <v>0</v>
      </c>
      <c r="L179" t="n">
        <v>0</v>
      </c>
      <c r="M179" t="n">
        <v>0</v>
      </c>
      <c r="N179" t="n">
        <v>0</v>
      </c>
      <c r="O179" t="n">
        <v>3</v>
      </c>
      <c r="P179" t="n">
        <v>0</v>
      </c>
      <c r="Q179" t="n">
        <v>3</v>
      </c>
      <c r="R179" s="2" t="inlineStr">
        <is>
          <t>Gammelgransskål
Vedtrappmossa
Vitgrynig nållav</t>
        </is>
      </c>
      <c r="S179">
        <f>HYPERLINK("https://klasma.github.io/Logging_2305/artfynd/A 2300-2025 artfynd.xlsx", "A 2300-2025")</f>
        <v/>
      </c>
      <c r="T179">
        <f>HYPERLINK("https://klasma.github.io/Logging_2305/kartor/A 2300-2025 karta.png", "A 2300-2025")</f>
        <v/>
      </c>
      <c r="V179">
        <f>HYPERLINK("https://klasma.github.io/Logging_2305/klagomål/A 2300-2025 FSC-klagomål.docx", "A 2300-2025")</f>
        <v/>
      </c>
      <c r="W179">
        <f>HYPERLINK("https://klasma.github.io/Logging_2305/klagomålsmail/A 2300-2025 FSC-klagomål mail.docx", "A 2300-2025")</f>
        <v/>
      </c>
      <c r="X179">
        <f>HYPERLINK("https://klasma.github.io/Logging_2305/tillsyn/A 2300-2025 tillsynsbegäran.docx", "A 2300-2025")</f>
        <v/>
      </c>
      <c r="Y179">
        <f>HYPERLINK("https://klasma.github.io/Logging_2305/tillsynsmail/A 2300-2025 tillsynsbegäran mail.docx", "A 2300-2025")</f>
        <v/>
      </c>
    </row>
    <row r="180" ht="15" customHeight="1">
      <c r="A180" t="inlineStr">
        <is>
          <t>A 5014-2025</t>
        </is>
      </c>
      <c r="B180" s="1" t="n">
        <v>45691</v>
      </c>
      <c r="C180" s="1" t="n">
        <v>45704</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45704</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45704</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45704</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45704</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45704</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45704</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45704</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45704</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45704</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45704</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45704</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45704</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45704</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45704</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45704</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45704</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45704</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45704</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45704</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45704</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45704</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45704</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45704</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45704</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45704</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45704</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45704</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45704</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45704</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45704</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45704</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45704</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45704</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45704</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45704</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45704</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45704</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45704</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45704</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45704</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45704</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45704</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45704</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45704</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45704</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45704</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45704</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45704</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45704</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45704</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45704</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45704</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45704</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45704</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45704</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45704</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45704</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45704</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45704</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45704</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45704</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45704</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45704</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45704</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45704</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45704</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45704</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45704</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45704</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45704</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45704</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45704</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45704</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45704</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45704</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45704</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45704</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45704</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45704</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45704</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45704</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45704</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45704</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45704</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45704</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45704</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45704</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45704</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45704</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45704</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45704</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45704</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45704</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45704</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45704</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45704</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45704</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45704</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45704</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45704</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45704</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45704</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45704</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45704</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45704</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45704</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45704</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45704</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45704</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45704</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45704</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45704</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45704</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45704</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45704</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45704</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45704</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45704</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45704</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45704</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45704</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45704</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45704</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45704</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45704</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45704</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45704</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45704</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45704</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45704</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45704</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45704</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45704</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45704</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45704</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45704</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45704</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45704</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45704</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45704</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45704</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45704</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45704</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45704</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45704</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45704</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45704</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45704</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45704</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45704</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45704</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45704</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45704</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45704</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45704</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45704</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45704</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45704</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45704</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45704</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45704</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45704</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45704</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45704</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45704</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45704</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45704</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45704</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45704</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45704</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45704</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45704</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45704</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45704</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45704</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45704</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45704</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45704</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2467-2025</t>
        </is>
      </c>
      <c r="B359" s="1" t="n">
        <v>45674</v>
      </c>
      <c r="C359" s="1" t="n">
        <v>45704</v>
      </c>
      <c r="D359" t="inlineStr">
        <is>
          <t>JÄMTLANDS LÄN</t>
        </is>
      </c>
      <c r="E359" t="inlineStr">
        <is>
          <t>BRÄCKE</t>
        </is>
      </c>
      <c r="F359" t="inlineStr">
        <is>
          <t>SCA</t>
        </is>
      </c>
      <c r="G359" t="n">
        <v>5.6</v>
      </c>
      <c r="H359" t="n">
        <v>0</v>
      </c>
      <c r="I359" t="n">
        <v>0</v>
      </c>
      <c r="J359" t="n">
        <v>1</v>
      </c>
      <c r="K359" t="n">
        <v>0</v>
      </c>
      <c r="L359" t="n">
        <v>0</v>
      </c>
      <c r="M359" t="n">
        <v>0</v>
      </c>
      <c r="N359" t="n">
        <v>0</v>
      </c>
      <c r="O359" t="n">
        <v>1</v>
      </c>
      <c r="P359" t="n">
        <v>0</v>
      </c>
      <c r="Q359" t="n">
        <v>1</v>
      </c>
      <c r="R359" s="2" t="inlineStr">
        <is>
          <t>Lunglav</t>
        </is>
      </c>
      <c r="S359">
        <f>HYPERLINK("https://klasma.github.io/Logging_2305/artfynd/A 2467-2025 artfynd.xlsx", "A 2467-2025")</f>
        <v/>
      </c>
      <c r="T359">
        <f>HYPERLINK("https://klasma.github.io/Logging_2305/kartor/A 2467-2025 karta.png", "A 2467-2025")</f>
        <v/>
      </c>
      <c r="V359">
        <f>HYPERLINK("https://klasma.github.io/Logging_2305/klagomål/A 2467-2025 FSC-klagomål.docx", "A 2467-2025")</f>
        <v/>
      </c>
      <c r="W359">
        <f>HYPERLINK("https://klasma.github.io/Logging_2305/klagomålsmail/A 2467-2025 FSC-klagomål mail.docx", "A 2467-2025")</f>
        <v/>
      </c>
      <c r="X359">
        <f>HYPERLINK("https://klasma.github.io/Logging_2305/tillsyn/A 2467-2025 tillsynsbegäran.docx", "A 2467-2025")</f>
        <v/>
      </c>
      <c r="Y359">
        <f>HYPERLINK("https://klasma.github.io/Logging_2305/tillsynsmail/A 2467-2025 tillsynsbegäran mail.docx", "A 2467-2025")</f>
        <v/>
      </c>
    </row>
    <row r="360" ht="15" customHeight="1">
      <c r="A360" t="inlineStr">
        <is>
          <t>A 2466-2025</t>
        </is>
      </c>
      <c r="B360" s="1" t="n">
        <v>45674</v>
      </c>
      <c r="C360" s="1" t="n">
        <v>45704</v>
      </c>
      <c r="D360" t="inlineStr">
        <is>
          <t>JÄMTLANDS LÄN</t>
        </is>
      </c>
      <c r="E360" t="inlineStr">
        <is>
          <t>BRÄCKE</t>
        </is>
      </c>
      <c r="F360" t="inlineStr">
        <is>
          <t>SCA</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HYPERLINK("https://klasma.github.io/Logging_2305/artfynd/A 2466-2025 artfynd.xlsx", "A 2466-2025")</f>
        <v/>
      </c>
      <c r="T360">
        <f>HYPERLINK("https://klasma.github.io/Logging_2305/kartor/A 2466-2025 karta.png", "A 2466-2025")</f>
        <v/>
      </c>
      <c r="V360">
        <f>HYPERLINK("https://klasma.github.io/Logging_2305/klagomål/A 2466-2025 FSC-klagomål.docx", "A 2466-2025")</f>
        <v/>
      </c>
      <c r="W360">
        <f>HYPERLINK("https://klasma.github.io/Logging_2305/klagomålsmail/A 2466-2025 FSC-klagomål mail.docx", "A 2466-2025")</f>
        <v/>
      </c>
      <c r="X360">
        <f>HYPERLINK("https://klasma.github.io/Logging_2305/tillsyn/A 2466-2025 tillsynsbegäran.docx", "A 2466-2025")</f>
        <v/>
      </c>
      <c r="Y360">
        <f>HYPERLINK("https://klasma.github.io/Logging_2305/tillsynsmail/A 2466-2025 tillsynsbegäran mail.docx", "A 2466-2025")</f>
        <v/>
      </c>
    </row>
    <row r="361" ht="15" customHeight="1">
      <c r="A361" t="inlineStr">
        <is>
          <t>A 2463-2025</t>
        </is>
      </c>
      <c r="B361" s="1" t="n">
        <v>45674</v>
      </c>
      <c r="C361" s="1" t="n">
        <v>45704</v>
      </c>
      <c r="D361" t="inlineStr">
        <is>
          <t>JÄMTLANDS LÄN</t>
        </is>
      </c>
      <c r="E361" t="inlineStr">
        <is>
          <t>BRÄCKE</t>
        </is>
      </c>
      <c r="F361" t="inlineStr">
        <is>
          <t>SCA</t>
        </is>
      </c>
      <c r="G361" t="n">
        <v>3.9</v>
      </c>
      <c r="H361" t="n">
        <v>0</v>
      </c>
      <c r="I361" t="n">
        <v>1</v>
      </c>
      <c r="J361" t="n">
        <v>0</v>
      </c>
      <c r="K361" t="n">
        <v>0</v>
      </c>
      <c r="L361" t="n">
        <v>0</v>
      </c>
      <c r="M361" t="n">
        <v>0</v>
      </c>
      <c r="N361" t="n">
        <v>0</v>
      </c>
      <c r="O361" t="n">
        <v>0</v>
      </c>
      <c r="P361" t="n">
        <v>0</v>
      </c>
      <c r="Q361" t="n">
        <v>1</v>
      </c>
      <c r="R361" s="2" t="inlineStr">
        <is>
          <t>Vedticka</t>
        </is>
      </c>
      <c r="S361">
        <f>HYPERLINK("https://klasma.github.io/Logging_2305/artfynd/A 2463-2025 artfynd.xlsx", "A 2463-2025")</f>
        <v/>
      </c>
      <c r="T361">
        <f>HYPERLINK("https://klasma.github.io/Logging_2305/kartor/A 2463-2025 karta.png", "A 2463-2025")</f>
        <v/>
      </c>
      <c r="V361">
        <f>HYPERLINK("https://klasma.github.io/Logging_2305/klagomål/A 2463-2025 FSC-klagomål.docx", "A 2463-2025")</f>
        <v/>
      </c>
      <c r="W361">
        <f>HYPERLINK("https://klasma.github.io/Logging_2305/klagomålsmail/A 2463-2025 FSC-klagomål mail.docx", "A 2463-2025")</f>
        <v/>
      </c>
      <c r="X361">
        <f>HYPERLINK("https://klasma.github.io/Logging_2305/tillsyn/A 2463-2025 tillsynsbegäran.docx", "A 2463-2025")</f>
        <v/>
      </c>
      <c r="Y361">
        <f>HYPERLINK("https://klasma.github.io/Logging_2305/tillsynsmail/A 2463-2025 tillsynsbegäran mail.docx", "A 2463-2025")</f>
        <v/>
      </c>
    </row>
    <row r="362" ht="15" customHeight="1">
      <c r="A362" t="inlineStr">
        <is>
          <t>A 2882-2025</t>
        </is>
      </c>
      <c r="B362" s="1" t="n">
        <v>45677</v>
      </c>
      <c r="C362" s="1" t="n">
        <v>45704</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45704</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45704</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45704</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45704</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45704</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45704</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45704</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45704</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45704</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45704</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45704</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45704</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45704</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45704</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45704</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45704</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45704</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45704</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45704</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45704</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45704</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45704</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45704</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45704</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45704</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45704</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45704</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45704</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45704</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45704</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45704</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45704</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45704</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45704</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45704</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45704</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45704</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45704</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45704</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45704</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45704</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45704</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45704</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45704</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45704</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45704</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45704</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45704</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45704</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45704</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45704</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45704</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45704</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45704</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45704</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45704</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45704</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45704</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45704</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45704</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45704</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45704</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45704</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45704</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45704</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45704</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45704</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45704</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45704</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45704</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45704</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45704</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45704</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45704</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45704</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45704</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45704</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45704</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45704</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45704</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45704</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45704</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45704</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45704</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45704</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45704</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45704</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45704</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45704</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45704</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45704</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45704</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45704</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45704</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45704</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45704</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45704</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45704</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45704</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45704</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45704</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45704</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45704</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45704</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45704</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45704</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45704</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45704</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45704</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45704</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45704</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45704</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45704</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45704</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45704</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45704</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45704</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45704</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45704</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45704</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45704</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45704</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45704</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45704</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45704</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45704</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45704</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45704</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45704</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45704</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45704</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45704</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45704</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45704</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45704</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45704</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45704</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45704</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45704</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45704</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45704</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45704</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45704</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45704</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45704</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45704</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45704</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45704</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45704</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45704</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45704</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45704</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45704</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45704</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45704</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45704</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45704</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45704</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45704</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45704</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45704</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45704</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45704</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45704</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45704</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45704</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45704</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45704</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45704</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45704</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45704</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45704</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45704</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45704</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45704</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45704</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45704</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45704</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45704</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45704</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45704</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45704</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45704</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45704</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45704</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45704</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45704</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45704</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45704</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45704</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45704</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45704</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45704</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45704</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45704</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45704</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45704</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45704</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45704</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45704</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45704</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45704</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45704</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45704</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45704</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45704</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45704</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45704</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45704</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45704</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45704</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45704</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45704</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45704</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45704</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45704</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45704</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45704</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45704</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45704</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45704</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45704</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45704</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45704</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45704</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45704</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45704</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45704</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45704</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45704</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45704</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45704</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45704</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45704</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45704</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45704</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45704</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45704</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45704</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45704</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45704</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45704</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45704</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45704</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45704</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45704</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45704</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45704</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45704</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45704</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45704</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45704</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45704</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45704</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45704</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45704</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45704</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45704</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45704</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45704</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45704</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45704</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45704</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45704</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45704</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45704</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45704</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45704</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45704</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45704</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45704</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45704</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45704</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45704</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45704</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45704</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45704</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45704</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45704</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45704</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45704</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45704</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45704</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45704</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45704</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45704</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45704</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45704</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45704</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45704</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45704</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45704</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45704</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45704</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45704</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45704</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45704</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45704</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45704</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45704</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45704</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45704</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45704</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45704</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45704</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45704</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45704</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45704</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45704</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45704</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45704</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45704</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45704</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45704</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45704</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45704</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45704</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45704</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45704</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45704</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45704</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45704</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45704</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45704</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45704</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45704</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45704</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45704</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45704</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45704</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45704</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45704</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45704</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45704</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45704</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45704</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45704</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45704</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45704</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45704</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45704</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45704</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45704</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45704</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45704</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45704</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45704</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45704</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45704</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45704</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45704</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45704</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45704</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45704</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45704</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45704</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45704</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45704</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45704</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45704</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45704</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45704</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45704</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45704</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45704</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45704</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45704</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45704</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45704</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45704</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45704</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45704</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45704</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45704</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45704</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45704</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45704</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45704</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45704</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45704</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45704</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45704</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45704</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45704</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45704</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45704</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45704</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45704</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45704</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45704</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45704</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45704</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45704</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45704</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45704</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45704</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45704</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45704</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45704</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45704</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45704</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45704</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45704</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45704</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45704</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45704</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45704</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45704</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45704</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45704</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45704</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45704</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45704</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45704</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45704</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45704</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45704</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45704</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45704</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45704</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45704</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45704</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45704</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45704</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45704</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45704</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45704</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45704</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45704</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45704</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45704</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45704</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45704</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45704</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45704</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45704</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45704</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45704</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45704</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45704</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45704</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45704</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45704</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45704</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45704</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45704</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45704</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45704</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45704</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45704</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45704</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45704</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45704</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45704</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45704</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45704</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45704</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45704</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45704</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45704</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45704</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45704</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45704</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45704</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45704</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45704</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45704</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45704</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45704</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45704</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45704</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45704</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45704</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45704</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45704</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45704</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45704</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45704</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45704</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45704</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45704</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45704</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45704</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45704</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45704</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45704</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45704</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45704</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45704</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45704</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45704</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45704</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45704</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45704</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45704</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45704</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45704</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45704</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45704</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45704</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45704</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45704</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45704</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45704</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45704</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45704</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45704</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45704</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45704</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45704</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45704</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45704</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45704</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45704</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45704</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45704</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45704</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45704</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45704</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45704</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45704</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45704</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45704</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45704</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45704</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45704</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45704</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45704</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45704</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45704</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45704</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45704</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45704</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45704</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45704</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45704</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45704</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45704</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45704</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45704</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45704</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45704</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45704</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45704</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45704</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45704</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45704</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45704</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45704</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45704</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45704</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45704</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45704</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45704</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45704</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45704</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45704</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45704</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45704</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45704</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45704</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45704</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45704</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45704</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45704</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45704</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45704</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45704</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45704</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45704</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45704</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45704</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45704</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45704</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45704</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45704</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45704</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45704</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45704</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45704</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45704</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45704</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45704</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45704</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45704</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45704</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45704</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45704</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45704</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45704</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45704</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45704</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45704</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45704</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45704</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45704</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45704</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45704</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45704</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45704</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45704</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45704</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45704</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45704</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45704</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45704</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45704</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45704</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45704</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45704</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45704</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45704</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45704</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45704</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45704</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45704</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45704</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45704</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45704</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45704</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45704</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45704</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45704</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45704</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45704</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45704</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45704</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45704</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45704</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45704</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45704</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45704</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45704</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45704</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45704</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45704</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45704</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45704</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45704</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45704</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45704</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45704</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45704</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45704</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45704</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45704</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45704</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45704</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45704</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45704</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45704</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45704</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45704</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45704</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45704</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45704</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45704</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45704</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45704</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45704</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45704</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45704</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45704</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45704</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45704</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45704</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45704</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45704</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45704</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45704</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45704</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45704</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45704</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45704</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45704</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45704</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45704</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45704</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45704</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45704</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45704</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45704</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45704</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45704</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45704</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45704</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45704</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45704</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45704</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45704</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45704</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45704</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45704</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45704</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45704</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45704</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45704</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45704</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45704</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45704</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45704</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45704</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45704</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45704</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45704</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45704</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45704</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45704</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45704</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45704</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45704</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45704</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45704</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45704</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45704</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45704</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45704</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45704</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45704</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45704</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45704</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45704</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45704</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45704</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45704</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45704</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45704</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45704</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45704</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45704</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45704</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45704</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45704</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45704</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45704</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45704</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45704</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45704</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45704</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45704</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45704</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45704</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45704</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45704</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45704</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45704</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45704</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45704</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45704</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45704</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45704</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45704</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45704</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45704</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45704</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45704</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45704</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45704</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45704</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45704</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45704</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45704</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45704</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45704</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45704</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45704</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45704</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45704</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45704</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45704</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45704</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45704</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45704</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45704</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45704</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45704</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45704</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45704</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45704</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45704</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45704</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45704</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45704</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45704</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45704</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45704</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45704</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45704</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45704</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45704</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45704</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45704</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45704</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45704</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45704</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45704</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45704</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45704</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45704</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45704</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45704</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45704</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45704</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45704</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45704</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45704</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45704</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45704</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45704</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45704</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45704</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45704</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45704</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45704</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45704</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45704</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45704</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45704</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45704</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45704</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45704</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45704</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45704</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45704</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45704</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45704</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45704</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45704</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45704</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45704</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45704</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45704</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45704</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45704</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45704</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45704</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45704</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45704</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45704</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45704</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45704</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45704</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45704</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45704</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45704</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45704</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45704</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45704</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45704</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45704</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45704</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45704</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45704</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45704</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45704</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45704</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45704</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45704</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45704</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45704</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45704</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45704</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45704</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45704</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45704</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45704</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45704</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45704</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45704</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45704</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45704</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45704</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45704</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45704</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45704</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45704</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45704</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45704</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45704</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45704</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45704</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45704</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45704</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45704</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45704</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45704</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45704</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45704</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45704</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45704</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45704</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45704</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45704</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45704</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45704</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45704</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45704</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45704</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45704</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45704</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45704</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45704</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45704</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45704</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45704</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45704</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45704</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45704</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45704</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45704</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45704</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45704</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45704</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45704</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45704</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45704</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45704</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45704</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45704</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45704</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45704</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45704</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45704</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45704</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45704</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45704</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45704</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45704</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45704</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45704</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45704</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45704</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45704</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45704</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45704</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45704</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45704</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45704</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45704</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45704</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45704</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45704</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45704</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45704</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45704</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45704</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45704</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45704</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45704</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45704</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45704</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45704</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45704</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45704</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45704</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45704</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45704</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45704</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45704</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45704</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45704</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45704</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45704</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45704</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45704</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45704</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45704</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45704</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45704</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45704</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45704</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45704</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45704</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45704</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45704</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45704</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45704</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45704</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45704</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45704</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45704</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45704</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45704</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45704</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45704</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45704</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45704</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45704</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45704</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45704</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45704</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45704</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45704</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45704</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45704</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45704</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45704</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45704</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45704</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45704</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45704</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45704</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45704</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45704</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45704</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45704</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45704</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45704</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45704</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45704</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45704</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45704</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45704</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45704</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45704</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45704</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45704</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45704</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45704</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45704</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45704</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45704</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45704</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45704</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45704</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45704</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45704</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45704</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45704</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45704</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45704</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45704</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45704</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45704</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45704</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45704</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45704</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45704</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45704</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45704</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45704</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45704</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45704</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45704</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45704</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45704</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45704</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45704</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45704</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45704</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45704</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45704</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45704</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45704</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45704</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45704</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45704</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45704</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45704</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45704</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45704</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45704</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45704</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45704</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45704</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45704</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45704</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45704</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45704</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45704</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45704</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45704</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45704</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45704</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45704</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45704</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45704</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45704</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45704</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45704</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45704</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45704</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45704</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45704</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45704</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45704</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45704</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45704</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45704</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45704</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45704</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45704</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45704</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45704</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45704</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45704</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45704</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45704</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45704</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45704</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45704</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45704</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45704</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45704</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45704</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45704</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45704</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45704</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45704</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45704</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45704</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45704</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45704</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45704</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45704</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45704</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45704</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45704</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45704</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45704</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45704</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45704</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45704</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45704</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45704</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45704</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45704</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45704</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45704</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45704</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45704</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45704</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45704</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45704</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45704</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45704</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45704</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45704</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45704</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45704</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45704</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45704</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45704</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45704</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45704</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45704</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45704</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45704</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45704</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45704</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45704</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45704</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45704</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45704</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45704</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45704</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45704</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45704</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45704</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45704</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45704</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45704</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45704</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45704</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45704</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45704</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45704</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45704</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45704</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45704</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45704</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45704</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45704</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45704</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45704</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45704</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45704</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45704</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45704</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45704</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45704</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45704</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45704</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45704</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45704</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45704</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45704</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45704</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45704</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45704</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45704</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45704</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45704</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45704</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45704</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45704</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45704</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45704</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45704</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45704</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45704</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45704</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45704</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45704</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45704</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45704</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45704</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45704</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45704</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45704</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45704</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45704</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45704</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45704</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45704</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45704</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45704</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45704</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45704</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45704</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45704</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45704</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45704</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45704</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45704</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45704</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45704</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45704</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45704</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45704</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45704</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45704</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45704</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45704</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45704</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45704</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45704</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45704</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45704</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45704</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45704</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45704</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45704</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45704</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45704</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45704</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45704</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45704</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45704</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45704</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45704</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45704</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45704</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45704</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45704</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45704</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45704</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45704</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45704</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45704</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45704</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45704</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45704</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45704</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45704</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45704</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45704</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45704</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45704</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45704</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45704</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45704</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45704</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45704</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45704</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45704</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45704</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45704</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45704</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45704</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45704</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45704</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45704</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45704</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45704</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45704</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45704</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45704</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45704</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45704</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45704</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45704</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45704</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45704</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45704</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45704</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45704</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45704</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45704</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45704</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45704</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45704</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45704</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45704</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45704</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45704</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45704</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45704</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45704</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45704</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45704</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45704</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45704</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45704</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45704</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45704</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45704</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45704</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45704</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45704</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45704</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45704</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45704</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45704</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45704</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45704</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45704</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45704</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45704</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45704</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45704</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45704</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45704</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45704</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45704</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45704</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45704</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45704</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45704</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45704</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45704</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45704</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45704</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45704</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45704</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45704</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45704</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45704</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45704</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45704</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45704</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45704</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45704</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45704</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45704</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45704</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45704</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45704</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45704</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45704</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45704</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45704</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45704</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45704</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45704</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45704</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45704</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45704</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45704</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45704</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45704</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45704</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45704</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45704</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45704</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45704</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45704</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45704</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45704</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45704</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45704</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45704</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45704</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45704</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45704</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45704</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45704</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45704</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45704</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45704</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45704</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45704</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45704</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45704</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45704</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45704</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45704</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45704</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45704</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45704</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45704</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45704</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45704</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45704</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45704</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45704</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45704</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45704</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45704</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45704</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45704</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45704</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45704</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45704</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45704</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45704</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45704</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45704</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45704</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45704</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45704</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45704</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45704</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45704</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45704</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45704</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45704</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45704</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45704</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45704</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45704</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45704</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45704</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45704</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45704</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45704</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45704</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45704</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45704</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45704</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45704</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45704</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45704</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45704</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45704</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45704</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45704</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45704</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45704</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45704</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45704</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45704</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45704</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45704</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45704</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45704</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45704</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45704</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45704</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45704</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45704</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45704</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45704</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45704</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45704</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45704</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45704</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45704</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45704</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45704</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45704</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45704</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45704</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45704</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45704</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45704</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45704</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45704</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45704</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45704</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45704</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45704</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45704</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45704</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45704</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45704</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45704</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45704</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45704</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45704</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45704</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45704</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45704</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45704</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45704</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45704</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45704</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45704</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45704</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45704</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45704</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45704</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45704</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45704</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45704</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45704</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45704</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45704</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45704</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45704</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45704</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45704</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45704</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45704</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45704</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45704</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45704</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45704</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45704</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45704</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45704</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45704</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45704</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45704</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45704</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45704</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45704</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45704</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45704</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45704</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45704</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45704</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45704</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45704</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45704</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45704</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45704</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45704</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45704</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45704</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45704</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45704</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45704</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45704</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45704</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45704</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45704</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45704</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45704</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45704</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45704</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45704</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45704</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45704</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45704</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45704</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45704</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45704</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45704</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45704</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45704</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45704</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45704</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45704</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45704</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45704</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45704</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45704</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45704</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45704</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45704</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45704</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45704</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45704</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45704</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45704</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45704</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45704</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45704</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45704</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45704</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45704</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45704</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45704</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45704</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45704</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45704</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45704</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45704</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45704</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45704</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45704</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45704</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45704</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45704</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45704</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45704</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45704</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45704</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45704</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45704</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45704</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45704</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45704</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45704</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45704</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45704</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45704</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45704</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45704</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45704</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45704</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45704</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45704</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45704</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45704</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45704</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45704</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45704</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45704</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45704</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45704</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45704</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45704</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45704</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45704</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45704</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45704</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45704</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45704</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45704</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45704</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45704</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45704</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45704</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45704</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45704</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45704</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45704</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45704</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45704</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45704</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45704</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45704</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45704</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45704</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45704</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45704</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45704</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45704</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45704</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45704</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45704</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45704</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45704</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45704</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45704</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45704</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45704</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45704</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45704</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45704</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45704</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45704</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45704</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45704</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45704</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45704</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45704</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45704</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45704</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45704</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45704</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45704</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45704</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45704</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45704</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45704</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45704</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45704</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45704</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45704</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45704</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45704</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45704</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45704</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45704</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45704</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45704</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45704</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45704</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45704</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45704</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45704</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45704</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45704</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45704</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45704</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45704</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45704</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45704</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45704</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45704</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45704</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45704</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45704</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45704</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45704</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45704</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45704</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45704</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45704</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45704</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45704</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45704</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45704</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45704</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45704</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45704</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45704</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45704</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45704</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45704</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45704</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45704</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45704</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45704</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45704</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45704</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45704</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45704</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45704</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45704</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45704</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45704</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45704</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45704</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45704</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45704</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45704</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45704</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45704</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45704</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45704</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45704</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45704</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45704</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45704</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45704</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45704</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45704</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45704</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45704</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45704</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45704</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45704</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45704</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45704</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45704</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45704</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45704</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45704</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45704</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45704</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45704</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45704</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45704</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45704</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45704</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45704</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45704</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45704</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45704</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45704</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45704</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45704</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45704</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45704</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45704</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45704</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45704</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45704</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45704</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45704</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45704</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45704</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45704</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45704</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45704</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45704</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45704</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45704</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45704</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45704</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45704</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45704</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45704</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45704</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45704</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45704</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45704</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45704</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45704</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45704</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45704</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45704</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45704</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45704</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45704</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45704</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45704</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45704</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45704</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45704</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45704</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45704</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45704</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45704</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45704</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45704</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45704</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45704</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45704</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45704</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45704</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45704</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45704</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45704</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45704</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45704</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45704</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45704</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45704</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45704</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45704</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45704</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45704</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45704</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45704</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45704</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45704</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45704</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45704</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45704</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45704</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45704</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45704</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45704</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45704</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45704</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45704</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45704</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45704</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45704</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45704</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45704</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45704</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45704</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45704</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45704</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45704</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45704</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45704</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45704</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45704</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45704</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45704</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45704</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45704</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45704</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45704</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45704</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45704</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45704</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45704</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45704</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45704</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45704</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45704</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45704</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45704</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45704</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45704</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45704</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45704</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45704</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45704</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45704</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45704</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45704</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45704</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45704</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45704</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45704</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45704</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45704</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45704</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45704</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45704</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45704</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45704</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45704</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45704</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45704</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45704</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45704</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45704</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45704</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45704</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45704</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45704</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45704</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45704</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45704</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45704</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45704</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45704</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45704</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45704</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45704</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45704</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45704</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45704</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45704</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45704</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45704</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45704</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45704</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45704</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45704</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45704</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45704</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45704</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45704</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45704</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45704</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45704</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45704</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45704</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45704</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45704</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45704</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45704</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45704</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45704</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45704</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45704</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45704</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45704</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45704</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45704</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45704</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45704</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45704</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45704</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45704</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45704</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45704</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45704</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45704</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45704</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45704</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45704</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45704</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45704</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45704</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45704</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45704</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45704</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45704</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45704</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45704</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45704</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45704</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45704</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45704</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45704</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45704</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45704</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45704</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45704</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45704</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45704</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45704</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45704</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45704</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45704</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45704</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45704</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45704</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45704</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45704</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45704</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45704</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45704</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45704</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45704</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45704</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45704</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45704</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45704</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45704</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45704</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45704</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45704</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45704</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45704</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45704</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45704</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45704</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45704</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45704</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45704</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45704</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45704</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45704</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45704</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45704</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45704</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45704</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45704</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45704</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45704</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45704</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45704</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45704</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45704</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45704</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45704</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45704</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45704</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45704</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45704</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45704</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45704</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45704</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45704</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45704</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45704</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45704</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45704</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45704</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45704</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45704</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45704</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45704</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45704</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45704</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45704</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45704</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45704</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45704</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45704</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45704</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45704</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45704</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45704</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45704</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45704</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45704</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45704</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45704</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45704</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45704</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2511-2025</t>
        </is>
      </c>
      <c r="B2427" s="1" t="n">
        <v>45674</v>
      </c>
      <c r="C2427" s="1" t="n">
        <v>45704</v>
      </c>
      <c r="D2427" t="inlineStr">
        <is>
          <t>JÄMTLANDS LÄN</t>
        </is>
      </c>
      <c r="E2427" t="inlineStr">
        <is>
          <t>BRÄCKE</t>
        </is>
      </c>
      <c r="F2427" t="inlineStr">
        <is>
          <t>SCA</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2498-2025</t>
        </is>
      </c>
      <c r="B2428" s="1" t="n">
        <v>45674</v>
      </c>
      <c r="C2428" s="1" t="n">
        <v>45704</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2432-2025</t>
        </is>
      </c>
      <c r="B2429" s="1" t="n">
        <v>45674</v>
      </c>
      <c r="C2429" s="1" t="n">
        <v>45704</v>
      </c>
      <c r="D2429" t="inlineStr">
        <is>
          <t>JÄMTLANDS LÄN</t>
        </is>
      </c>
      <c r="E2429" t="inlineStr">
        <is>
          <t>BRÄCKE</t>
        </is>
      </c>
      <c r="F2429" t="inlineStr">
        <is>
          <t>SCA</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2581-2025</t>
        </is>
      </c>
      <c r="B2430" s="1" t="n">
        <v>45674</v>
      </c>
      <c r="C2430" s="1" t="n">
        <v>45704</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2540-2025</t>
        </is>
      </c>
      <c r="B2431" s="1" t="n">
        <v>45674</v>
      </c>
      <c r="C2431" s="1" t="n">
        <v>45704</v>
      </c>
      <c r="D2431" t="inlineStr">
        <is>
          <t>JÄMTLANDS LÄN</t>
        </is>
      </c>
      <c r="E2431" t="inlineStr">
        <is>
          <t>BRÄCKE</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2508-2025</t>
        </is>
      </c>
      <c r="B2432" s="1" t="n">
        <v>45674</v>
      </c>
      <c r="C2432" s="1" t="n">
        <v>45704</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2464-2025</t>
        </is>
      </c>
      <c r="B2433" s="1" t="n">
        <v>45674</v>
      </c>
      <c r="C2433" s="1" t="n">
        <v>45704</v>
      </c>
      <c r="D2433" t="inlineStr">
        <is>
          <t>JÄMTLANDS LÄN</t>
        </is>
      </c>
      <c r="E2433" t="inlineStr">
        <is>
          <t>BRÄCKE</t>
        </is>
      </c>
      <c r="F2433" t="inlineStr">
        <is>
          <t>SCA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45704</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45704</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45704</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3248-2025</t>
        </is>
      </c>
      <c r="B2437" s="1" t="n">
        <v>45679</v>
      </c>
      <c r="C2437" s="1" t="n">
        <v>45704</v>
      </c>
      <c r="D2437" t="inlineStr">
        <is>
          <t>JÄMTLANDS LÄN</t>
        </is>
      </c>
      <c r="E2437" t="inlineStr">
        <is>
          <t>BRÄCKE</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3254-2025</t>
        </is>
      </c>
      <c r="B2438" s="1" t="n">
        <v>45679</v>
      </c>
      <c r="C2438" s="1" t="n">
        <v>45704</v>
      </c>
      <c r="D2438" t="inlineStr">
        <is>
          <t>JÄMTLANDS LÄN</t>
        </is>
      </c>
      <c r="E2438" t="inlineStr">
        <is>
          <t>BRÄCKE</t>
        </is>
      </c>
      <c r="F2438" t="inlineStr">
        <is>
          <t>SCA</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3249-2025</t>
        </is>
      </c>
      <c r="B2439" s="1" t="n">
        <v>45679</v>
      </c>
      <c r="C2439" s="1" t="n">
        <v>45704</v>
      </c>
      <c r="D2439" t="inlineStr">
        <is>
          <t>JÄMTLANDS LÄN</t>
        </is>
      </c>
      <c r="E2439" t="inlineStr">
        <is>
          <t>BRÄCKE</t>
        </is>
      </c>
      <c r="F2439" t="inlineStr">
        <is>
          <t>SCA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45704</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3247-2025</t>
        </is>
      </c>
      <c r="B2441" s="1" t="n">
        <v>45679</v>
      </c>
      <c r="C2441" s="1" t="n">
        <v>45704</v>
      </c>
      <c r="D2441" t="inlineStr">
        <is>
          <t>JÄMTLANDS LÄN</t>
        </is>
      </c>
      <c r="E2441" t="inlineStr">
        <is>
          <t>BRÄCKE</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45704</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45704</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3603-2025</t>
        </is>
      </c>
      <c r="B2444" s="1" t="n">
        <v>45681</v>
      </c>
      <c r="C2444" s="1" t="n">
        <v>45704</v>
      </c>
      <c r="D2444" t="inlineStr">
        <is>
          <t>JÄMTLANDS LÄN</t>
        </is>
      </c>
      <c r="E2444" t="inlineStr">
        <is>
          <t>BRÄCKE</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3652-2025</t>
        </is>
      </c>
      <c r="B2445" s="1" t="n">
        <v>45681</v>
      </c>
      <c r="C2445" s="1" t="n">
        <v>45704</v>
      </c>
      <c r="D2445" t="inlineStr">
        <is>
          <t>JÄMTLANDS LÄN</t>
        </is>
      </c>
      <c r="E2445" t="inlineStr">
        <is>
          <t>BRÄCKE</t>
        </is>
      </c>
      <c r="F2445" t="inlineStr">
        <is>
          <t>SCA</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3697-2025</t>
        </is>
      </c>
      <c r="B2446" s="1" t="n">
        <v>45681</v>
      </c>
      <c r="C2446" s="1" t="n">
        <v>45704</v>
      </c>
      <c r="D2446" t="inlineStr">
        <is>
          <t>JÄMTLANDS LÄN</t>
        </is>
      </c>
      <c r="E2446" t="inlineStr">
        <is>
          <t>BRÄCKE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3604-2025</t>
        </is>
      </c>
      <c r="B2447" s="1" t="n">
        <v>45681</v>
      </c>
      <c r="C2447" s="1" t="n">
        <v>45704</v>
      </c>
      <c r="D2447" t="inlineStr">
        <is>
          <t>JÄMTLANDS LÄN</t>
        </is>
      </c>
      <c r="E2447" t="inlineStr">
        <is>
          <t>BRÄCKE</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3737-2025</t>
        </is>
      </c>
      <c r="B2448" s="1" t="n">
        <v>45681</v>
      </c>
      <c r="C2448" s="1" t="n">
        <v>45704</v>
      </c>
      <c r="D2448" t="inlineStr">
        <is>
          <t>JÄMTLANDS LÄN</t>
        </is>
      </c>
      <c r="E2448" t="inlineStr">
        <is>
          <t>BRÄCKE</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3741-2025</t>
        </is>
      </c>
      <c r="B2449" s="1" t="n">
        <v>45681</v>
      </c>
      <c r="C2449" s="1" t="n">
        <v>45704</v>
      </c>
      <c r="D2449" t="inlineStr">
        <is>
          <t>JÄMTLANDS LÄN</t>
        </is>
      </c>
      <c r="E2449" t="inlineStr">
        <is>
          <t>BRÄCKE</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3787-2025</t>
        </is>
      </c>
      <c r="B2450" s="1" t="n">
        <v>45681</v>
      </c>
      <c r="C2450" s="1" t="n">
        <v>45704</v>
      </c>
      <c r="D2450" t="inlineStr">
        <is>
          <t>JÄMTLANDS LÄN</t>
        </is>
      </c>
      <c r="E2450" t="inlineStr">
        <is>
          <t>BRÄCKE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3785-2025</t>
        </is>
      </c>
      <c r="B2451" s="1" t="n">
        <v>45681</v>
      </c>
      <c r="C2451" s="1" t="n">
        <v>45704</v>
      </c>
      <c r="D2451" t="inlineStr">
        <is>
          <t>JÄMTLANDS LÄN</t>
        </is>
      </c>
      <c r="E2451" t="inlineStr">
        <is>
          <t>BRÄCKE</t>
        </is>
      </c>
      <c r="F2451" t="inlineStr">
        <is>
          <t>SCA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3789-2025</t>
        </is>
      </c>
      <c r="B2452" s="1" t="n">
        <v>45681</v>
      </c>
      <c r="C2452" s="1" t="n">
        <v>45704</v>
      </c>
      <c r="D2452" t="inlineStr">
        <is>
          <t>JÄMTLANDS LÄN</t>
        </is>
      </c>
      <c r="E2452" t="inlineStr">
        <is>
          <t>BRÄCKE</t>
        </is>
      </c>
      <c r="F2452" t="inlineStr">
        <is>
          <t>SCA</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3824-2025</t>
        </is>
      </c>
      <c r="B2453" s="1" t="n">
        <v>45681</v>
      </c>
      <c r="C2453" s="1" t="n">
        <v>45704</v>
      </c>
      <c r="D2453" t="inlineStr">
        <is>
          <t>JÄMTLANDS LÄN</t>
        </is>
      </c>
      <c r="E2453" t="inlineStr">
        <is>
          <t>BRÄCKE</t>
        </is>
      </c>
      <c r="F2453" t="inlineStr">
        <is>
          <t>SCA</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3788-2025</t>
        </is>
      </c>
      <c r="B2454" s="1" t="n">
        <v>45681</v>
      </c>
      <c r="C2454" s="1" t="n">
        <v>45704</v>
      </c>
      <c r="D2454" t="inlineStr">
        <is>
          <t>JÄMTLANDS LÄN</t>
        </is>
      </c>
      <c r="E2454" t="inlineStr">
        <is>
          <t>BRÄCKE</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3823-2025</t>
        </is>
      </c>
      <c r="B2455" s="1" t="n">
        <v>45681</v>
      </c>
      <c r="C2455" s="1" t="n">
        <v>45704</v>
      </c>
      <c r="D2455" t="inlineStr">
        <is>
          <t>JÄMTLANDS LÄN</t>
        </is>
      </c>
      <c r="E2455" t="inlineStr">
        <is>
          <t>BRÄCKE</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45704</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3863-2025</t>
        </is>
      </c>
      <c r="B2457" s="1" t="n">
        <v>45684</v>
      </c>
      <c r="C2457" s="1" t="n">
        <v>45704</v>
      </c>
      <c r="D2457" t="inlineStr">
        <is>
          <t>JÄMTLANDS LÄN</t>
        </is>
      </c>
      <c r="E2457" t="inlineStr">
        <is>
          <t>BRÄCKE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3862-2025</t>
        </is>
      </c>
      <c r="B2458" s="1" t="n">
        <v>45684</v>
      </c>
      <c r="C2458" s="1" t="n">
        <v>45704</v>
      </c>
      <c r="D2458" t="inlineStr">
        <is>
          <t>JÄMTLANDS LÄN</t>
        </is>
      </c>
      <c r="E2458" t="inlineStr">
        <is>
          <t>BRÄCKE</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3866-2025</t>
        </is>
      </c>
      <c r="B2459" s="1" t="n">
        <v>45684</v>
      </c>
      <c r="C2459" s="1" t="n">
        <v>45704</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3865-2025</t>
        </is>
      </c>
      <c r="B2460" s="1" t="n">
        <v>45684</v>
      </c>
      <c r="C2460" s="1" t="n">
        <v>45704</v>
      </c>
      <c r="D2460" t="inlineStr">
        <is>
          <t>JÄMTLANDS LÄN</t>
        </is>
      </c>
      <c r="E2460" t="inlineStr">
        <is>
          <t>BRÄCKE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45704</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3955-2025</t>
        </is>
      </c>
      <c r="B2462" s="1" t="n">
        <v>45684</v>
      </c>
      <c r="C2462" s="1" t="n">
        <v>45704</v>
      </c>
      <c r="D2462" t="inlineStr">
        <is>
          <t>JÄMTLANDS LÄN</t>
        </is>
      </c>
      <c r="E2462" t="inlineStr">
        <is>
          <t>BRÄCKE</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3969-2025</t>
        </is>
      </c>
      <c r="B2463" s="1" t="n">
        <v>45684</v>
      </c>
      <c r="C2463" s="1" t="n">
        <v>45704</v>
      </c>
      <c r="D2463" t="inlineStr">
        <is>
          <t>JÄMTLANDS LÄN</t>
        </is>
      </c>
      <c r="E2463" t="inlineStr">
        <is>
          <t>BRÄCKE</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4123-2025</t>
        </is>
      </c>
      <c r="B2464" s="1" t="n">
        <v>45685</v>
      </c>
      <c r="C2464" s="1" t="n">
        <v>45704</v>
      </c>
      <c r="D2464" t="inlineStr">
        <is>
          <t>JÄMTLANDS LÄN</t>
        </is>
      </c>
      <c r="E2464" t="inlineStr">
        <is>
          <t>BRÄCKE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4132-2025</t>
        </is>
      </c>
      <c r="B2465" s="1" t="n">
        <v>45685</v>
      </c>
      <c r="C2465" s="1" t="n">
        <v>45704</v>
      </c>
      <c r="D2465" t="inlineStr">
        <is>
          <t>JÄMTLANDS LÄN</t>
        </is>
      </c>
      <c r="E2465" t="inlineStr">
        <is>
          <t>BRÄCKE</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4121-2025</t>
        </is>
      </c>
      <c r="B2466" s="1" t="n">
        <v>45685</v>
      </c>
      <c r="C2466" s="1" t="n">
        <v>45704</v>
      </c>
      <c r="D2466" t="inlineStr">
        <is>
          <t>JÄMTLANDS LÄN</t>
        </is>
      </c>
      <c r="E2466" t="inlineStr">
        <is>
          <t>BRÄCKE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4130-2025</t>
        </is>
      </c>
      <c r="B2467" s="1" t="n">
        <v>45685</v>
      </c>
      <c r="C2467" s="1" t="n">
        <v>45704</v>
      </c>
      <c r="D2467" t="inlineStr">
        <is>
          <t>JÄMTLANDS LÄN</t>
        </is>
      </c>
      <c r="E2467" t="inlineStr">
        <is>
          <t>BRÄCKE</t>
        </is>
      </c>
      <c r="F2467" t="inlineStr">
        <is>
          <t>SCA</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45704</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45704</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4841-2025</t>
        </is>
      </c>
      <c r="B2470" s="1" t="n">
        <v>45688</v>
      </c>
      <c r="C2470" s="1" t="n">
        <v>45704</v>
      </c>
      <c r="D2470" t="inlineStr">
        <is>
          <t>JÄMTLANDS LÄN</t>
        </is>
      </c>
      <c r="E2470" t="inlineStr">
        <is>
          <t>BRÄCKE</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4845-2025</t>
        </is>
      </c>
      <c r="B2471" s="1" t="n">
        <v>45688</v>
      </c>
      <c r="C2471" s="1" t="n">
        <v>45704</v>
      </c>
      <c r="D2471" t="inlineStr">
        <is>
          <t>JÄMTLANDS LÄN</t>
        </is>
      </c>
      <c r="E2471" t="inlineStr">
        <is>
          <t>BRÄCKE</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4848-2025</t>
        </is>
      </c>
      <c r="B2472" s="1" t="n">
        <v>45688</v>
      </c>
      <c r="C2472" s="1" t="n">
        <v>45704</v>
      </c>
      <c r="D2472" t="inlineStr">
        <is>
          <t>JÄMTLANDS LÄN</t>
        </is>
      </c>
      <c r="E2472" t="inlineStr">
        <is>
          <t>BRÄCKE</t>
        </is>
      </c>
      <c r="F2472" t="inlineStr">
        <is>
          <t>SCA</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4842-2025</t>
        </is>
      </c>
      <c r="B2473" s="1" t="n">
        <v>45688</v>
      </c>
      <c r="C2473" s="1" t="n">
        <v>45704</v>
      </c>
      <c r="D2473" t="inlineStr">
        <is>
          <t>JÄMTLANDS LÄN</t>
        </is>
      </c>
      <c r="E2473" t="inlineStr">
        <is>
          <t>BRÄCKE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4847-2025</t>
        </is>
      </c>
      <c r="B2474" s="1" t="n">
        <v>45688</v>
      </c>
      <c r="C2474" s="1" t="n">
        <v>45704</v>
      </c>
      <c r="D2474" t="inlineStr">
        <is>
          <t>JÄMTLANDS LÄN</t>
        </is>
      </c>
      <c r="E2474" t="inlineStr">
        <is>
          <t>BRÄCKE</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4867-2025</t>
        </is>
      </c>
      <c r="B2475" s="1" t="n">
        <v>45688</v>
      </c>
      <c r="C2475" s="1" t="n">
        <v>45704</v>
      </c>
      <c r="D2475" t="inlineStr">
        <is>
          <t>JÄMTLANDS LÄN</t>
        </is>
      </c>
      <c r="E2475" t="inlineStr">
        <is>
          <t>BRÄCKE</t>
        </is>
      </c>
      <c r="F2475" t="inlineStr">
        <is>
          <t>SCA</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4884-2025</t>
        </is>
      </c>
      <c r="B2476" s="1" t="n">
        <v>45688</v>
      </c>
      <c r="C2476" s="1" t="n">
        <v>45704</v>
      </c>
      <c r="D2476" t="inlineStr">
        <is>
          <t>JÄMTLANDS LÄN</t>
        </is>
      </c>
      <c r="E2476" t="inlineStr">
        <is>
          <t>BRÄCKE</t>
        </is>
      </c>
      <c r="F2476" t="inlineStr">
        <is>
          <t>SCA</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45704</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4877-2025</t>
        </is>
      </c>
      <c r="B2478" s="1" t="n">
        <v>45688</v>
      </c>
      <c r="C2478" s="1" t="n">
        <v>45704</v>
      </c>
      <c r="D2478" t="inlineStr">
        <is>
          <t>JÄMTLANDS LÄN</t>
        </is>
      </c>
      <c r="E2478" t="inlineStr">
        <is>
          <t>BRÄCKE</t>
        </is>
      </c>
      <c r="F2478" t="inlineStr">
        <is>
          <t>SCA</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4893-2025</t>
        </is>
      </c>
      <c r="B2479" s="1" t="n">
        <v>45688</v>
      </c>
      <c r="C2479" s="1" t="n">
        <v>45704</v>
      </c>
      <c r="D2479" t="inlineStr">
        <is>
          <t>JÄMTLANDS LÄN</t>
        </is>
      </c>
      <c r="E2479" t="inlineStr">
        <is>
          <t>BRÄCKE</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4887-2025</t>
        </is>
      </c>
      <c r="B2480" s="1" t="n">
        <v>45688</v>
      </c>
      <c r="C2480" s="1" t="n">
        <v>45704</v>
      </c>
      <c r="D2480" t="inlineStr">
        <is>
          <t>JÄMTLANDS LÄN</t>
        </is>
      </c>
      <c r="E2480" t="inlineStr">
        <is>
          <t>BRÄCKE</t>
        </is>
      </c>
      <c r="F2480" t="inlineStr">
        <is>
          <t>SCA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4911-2025</t>
        </is>
      </c>
      <c r="B2481" s="1" t="n">
        <v>45688</v>
      </c>
      <c r="C2481" s="1" t="n">
        <v>45704</v>
      </c>
      <c r="D2481" t="inlineStr">
        <is>
          <t>JÄMTLANDS LÄN</t>
        </is>
      </c>
      <c r="E2481" t="inlineStr">
        <is>
          <t>BRÄCKE</t>
        </is>
      </c>
      <c r="F2481" t="inlineStr">
        <is>
          <t>SCA</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4915-2025</t>
        </is>
      </c>
      <c r="B2482" s="1" t="n">
        <v>45688</v>
      </c>
      <c r="C2482" s="1" t="n">
        <v>45704</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45704</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4836-2025</t>
        </is>
      </c>
      <c r="B2484" s="1" t="n">
        <v>45688</v>
      </c>
      <c r="C2484" s="1" t="n">
        <v>45704</v>
      </c>
      <c r="D2484" t="inlineStr">
        <is>
          <t>JÄMTLANDS LÄN</t>
        </is>
      </c>
      <c r="E2484" t="inlineStr">
        <is>
          <t>BRÄCKE</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4844-2025</t>
        </is>
      </c>
      <c r="B2485" s="1" t="n">
        <v>45688</v>
      </c>
      <c r="C2485" s="1" t="n">
        <v>45704</v>
      </c>
      <c r="D2485" t="inlineStr">
        <is>
          <t>JÄMTLANDS LÄN</t>
        </is>
      </c>
      <c r="E2485" t="inlineStr">
        <is>
          <t>BRÄCKE</t>
        </is>
      </c>
      <c r="F2485" t="inlineStr">
        <is>
          <t>SCA</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45704</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45704</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45704</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4882-2025</t>
        </is>
      </c>
      <c r="B2489" s="1" t="n">
        <v>45688</v>
      </c>
      <c r="C2489" s="1" t="n">
        <v>45704</v>
      </c>
      <c r="D2489" t="inlineStr">
        <is>
          <t>JÄMTLANDS LÄN</t>
        </is>
      </c>
      <c r="E2489" t="inlineStr">
        <is>
          <t>BRÄCKE</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4902-2025</t>
        </is>
      </c>
      <c r="B2490" s="1" t="n">
        <v>45688</v>
      </c>
      <c r="C2490" s="1" t="n">
        <v>45704</v>
      </c>
      <c r="D2490" t="inlineStr">
        <is>
          <t>JÄMTLANDS LÄN</t>
        </is>
      </c>
      <c r="E2490" t="inlineStr">
        <is>
          <t>BRÄCKE</t>
        </is>
      </c>
      <c r="F2490" t="inlineStr">
        <is>
          <t>SCA</t>
        </is>
      </c>
      <c r="G2490" t="n">
        <v>17.1</v>
      </c>
      <c r="H2490" t="n">
        <v>0</v>
      </c>
      <c r="I2490" t="n">
        <v>0</v>
      </c>
      <c r="J2490" t="n">
        <v>0</v>
      </c>
      <c r="K2490" t="n">
        <v>0</v>
      </c>
      <c r="L2490" t="n">
        <v>0</v>
      </c>
      <c r="M2490" t="n">
        <v>0</v>
      </c>
      <c r="N2490" t="n">
        <v>0</v>
      </c>
      <c r="O2490" t="n">
        <v>0</v>
      </c>
      <c r="P2490" t="n">
        <v>0</v>
      </c>
      <c r="Q2490" t="n">
        <v>0</v>
      </c>
      <c r="R2490" s="2" t="inlineStr"/>
    </row>
    <row r="2491" ht="15" customHeight="1">
      <c r="A2491" t="inlineStr">
        <is>
          <t>A 4914-2025</t>
        </is>
      </c>
      <c r="B2491" s="1" t="n">
        <v>45688</v>
      </c>
      <c r="C2491" s="1" t="n">
        <v>45704</v>
      </c>
      <c r="D2491" t="inlineStr">
        <is>
          <t>JÄMTLANDS LÄN</t>
        </is>
      </c>
      <c r="E2491" t="inlineStr">
        <is>
          <t>BRÄCKE</t>
        </is>
      </c>
      <c r="F2491" t="inlineStr">
        <is>
          <t>SCA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45704</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45704</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5097-2025</t>
        </is>
      </c>
      <c r="B2494" s="1" t="n">
        <v>45691</v>
      </c>
      <c r="C2494" s="1" t="n">
        <v>45704</v>
      </c>
      <c r="D2494" t="inlineStr">
        <is>
          <t>JÄMTLANDS LÄN</t>
        </is>
      </c>
      <c r="E2494" t="inlineStr">
        <is>
          <t>BRÄCKE</t>
        </is>
      </c>
      <c r="F2494" t="inlineStr">
        <is>
          <t>SCA</t>
        </is>
      </c>
      <c r="G2494" t="n">
        <v>41.5</v>
      </c>
      <c r="H2494" t="n">
        <v>0</v>
      </c>
      <c r="I2494" t="n">
        <v>0</v>
      </c>
      <c r="J2494" t="n">
        <v>0</v>
      </c>
      <c r="K2494" t="n">
        <v>0</v>
      </c>
      <c r="L2494" t="n">
        <v>0</v>
      </c>
      <c r="M2494" t="n">
        <v>0</v>
      </c>
      <c r="N2494" t="n">
        <v>0</v>
      </c>
      <c r="O2494" t="n">
        <v>0</v>
      </c>
      <c r="P2494" t="n">
        <v>0</v>
      </c>
      <c r="Q2494" t="n">
        <v>0</v>
      </c>
      <c r="R2494" s="2" t="inlineStr"/>
    </row>
    <row r="2495" ht="15" customHeight="1">
      <c r="A2495" t="inlineStr">
        <is>
          <t>A 5169-2025</t>
        </is>
      </c>
      <c r="B2495" s="1" t="n">
        <v>45691</v>
      </c>
      <c r="C2495" s="1" t="n">
        <v>45704</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5096-2025</t>
        </is>
      </c>
      <c r="B2496" s="1" t="n">
        <v>45691</v>
      </c>
      <c r="C2496" s="1" t="n">
        <v>45704</v>
      </c>
      <c r="D2496" t="inlineStr">
        <is>
          <t>JÄMTLANDS LÄN</t>
        </is>
      </c>
      <c r="E2496" t="inlineStr">
        <is>
          <t>BRÄCKE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5167-2025</t>
        </is>
      </c>
      <c r="B2497" s="1" t="n">
        <v>45691</v>
      </c>
      <c r="C2497" s="1" t="n">
        <v>45704</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45704</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45704</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45704</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45704</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5525-2025</t>
        </is>
      </c>
      <c r="B2502" s="1" t="n">
        <v>45693</v>
      </c>
      <c r="C2502" s="1" t="n">
        <v>45704</v>
      </c>
      <c r="D2502" t="inlineStr">
        <is>
          <t>JÄMTLANDS LÄN</t>
        </is>
      </c>
      <c r="E2502" t="inlineStr">
        <is>
          <t>BRÄCKE</t>
        </is>
      </c>
      <c r="F2502" t="inlineStr">
        <is>
          <t>SCA</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5483-2025</t>
        </is>
      </c>
      <c r="B2503" s="1" t="n">
        <v>45693</v>
      </c>
      <c r="C2503" s="1" t="n">
        <v>45704</v>
      </c>
      <c r="D2503" t="inlineStr">
        <is>
          <t>JÄMTLANDS LÄN</t>
        </is>
      </c>
      <c r="E2503" t="inlineStr">
        <is>
          <t>BRÄCKE</t>
        </is>
      </c>
      <c r="F2503" t="inlineStr">
        <is>
          <t>SCA</t>
        </is>
      </c>
      <c r="G2503" t="n">
        <v>20.5</v>
      </c>
      <c r="H2503" t="n">
        <v>0</v>
      </c>
      <c r="I2503" t="n">
        <v>0</v>
      </c>
      <c r="J2503" t="n">
        <v>0</v>
      </c>
      <c r="K2503" t="n">
        <v>0</v>
      </c>
      <c r="L2503" t="n">
        <v>0</v>
      </c>
      <c r="M2503" t="n">
        <v>0</v>
      </c>
      <c r="N2503" t="n">
        <v>0</v>
      </c>
      <c r="O2503" t="n">
        <v>0</v>
      </c>
      <c r="P2503" t="n">
        <v>0</v>
      </c>
      <c r="Q2503" t="n">
        <v>0</v>
      </c>
      <c r="R2503" s="2" t="inlineStr"/>
    </row>
    <row r="2504" ht="15" customHeight="1">
      <c r="A2504" t="inlineStr">
        <is>
          <t>A 5527-2025</t>
        </is>
      </c>
      <c r="B2504" s="1" t="n">
        <v>45693</v>
      </c>
      <c r="C2504" s="1" t="n">
        <v>45704</v>
      </c>
      <c r="D2504" t="inlineStr">
        <is>
          <t>JÄMTLANDS LÄN</t>
        </is>
      </c>
      <c r="E2504" t="inlineStr">
        <is>
          <t>BRÄCKE</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5536-2025</t>
        </is>
      </c>
      <c r="B2505" s="1" t="n">
        <v>45693</v>
      </c>
      <c r="C2505" s="1" t="n">
        <v>45704</v>
      </c>
      <c r="D2505" t="inlineStr">
        <is>
          <t>JÄMTLANDS LÄN</t>
        </is>
      </c>
      <c r="E2505" t="inlineStr">
        <is>
          <t>BRÄCKE</t>
        </is>
      </c>
      <c r="F2505" t="inlineStr">
        <is>
          <t>SCA</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5621-2025</t>
        </is>
      </c>
      <c r="B2506" s="1" t="n">
        <v>45693</v>
      </c>
      <c r="C2506" s="1" t="n">
        <v>45704</v>
      </c>
      <c r="D2506" t="inlineStr">
        <is>
          <t>JÄMTLANDS LÄN</t>
        </is>
      </c>
      <c r="E2506" t="inlineStr">
        <is>
          <t>BRÄCKE</t>
        </is>
      </c>
      <c r="F2506" t="inlineStr">
        <is>
          <t>SCA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5618-2025</t>
        </is>
      </c>
      <c r="B2507" s="1" t="n">
        <v>45693</v>
      </c>
      <c r="C2507" s="1" t="n">
        <v>45704</v>
      </c>
      <c r="D2507" t="inlineStr">
        <is>
          <t>JÄMTLANDS LÄN</t>
        </is>
      </c>
      <c r="E2507" t="inlineStr">
        <is>
          <t>BRÄCKE</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5516-2025</t>
        </is>
      </c>
      <c r="B2508" s="1" t="n">
        <v>45693</v>
      </c>
      <c r="C2508" s="1" t="n">
        <v>45704</v>
      </c>
      <c r="D2508" t="inlineStr">
        <is>
          <t>JÄMTLANDS LÄN</t>
        </is>
      </c>
      <c r="E2508" t="inlineStr">
        <is>
          <t>BRÄCKE</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5537-2025</t>
        </is>
      </c>
      <c r="B2509" s="1" t="n">
        <v>45693</v>
      </c>
      <c r="C2509" s="1" t="n">
        <v>45704</v>
      </c>
      <c r="D2509" t="inlineStr">
        <is>
          <t>JÄMTLANDS LÄN</t>
        </is>
      </c>
      <c r="E2509" t="inlineStr">
        <is>
          <t>BRÄCKE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45704</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45704</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45704</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45704</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6291-2025</t>
        </is>
      </c>
      <c r="B2514" s="1" t="n">
        <v>45698</v>
      </c>
      <c r="C2514" s="1" t="n">
        <v>45704</v>
      </c>
      <c r="D2514" t="inlineStr">
        <is>
          <t>JÄMTLANDS LÄN</t>
        </is>
      </c>
      <c r="E2514" t="inlineStr">
        <is>
          <t>BRÄCKE</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6213-2025</t>
        </is>
      </c>
      <c r="B2515" s="1" t="n">
        <v>45698</v>
      </c>
      <c r="C2515" s="1" t="n">
        <v>45704</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6258-2025</t>
        </is>
      </c>
      <c r="B2516" s="1" t="n">
        <v>45698</v>
      </c>
      <c r="C2516" s="1" t="n">
        <v>45704</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6377-2025</t>
        </is>
      </c>
      <c r="B2517" s="1" t="n">
        <v>45699</v>
      </c>
      <c r="C2517" s="1" t="n">
        <v>45704</v>
      </c>
      <c r="D2517" t="inlineStr">
        <is>
          <t>JÄMTLANDS LÄN</t>
        </is>
      </c>
      <c r="E2517" t="inlineStr">
        <is>
          <t>BRÄCKE</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6378-2025</t>
        </is>
      </c>
      <c r="B2518" s="1" t="n">
        <v>45699</v>
      </c>
      <c r="C2518" s="1" t="n">
        <v>45704</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6416-2025</t>
        </is>
      </c>
      <c r="B2519" s="1" t="n">
        <v>45699</v>
      </c>
      <c r="C2519" s="1" t="n">
        <v>45704</v>
      </c>
      <c r="D2519" t="inlineStr">
        <is>
          <t>JÄMTLANDS LÄN</t>
        </is>
      </c>
      <c r="E2519" t="inlineStr">
        <is>
          <t>BRÄCKE</t>
        </is>
      </c>
      <c r="F2519" t="inlineStr">
        <is>
          <t>SCA</t>
        </is>
      </c>
      <c r="G2519" t="n">
        <v>12.6</v>
      </c>
      <c r="H2519" t="n">
        <v>0</v>
      </c>
      <c r="I2519" t="n">
        <v>0</v>
      </c>
      <c r="J2519" t="n">
        <v>0</v>
      </c>
      <c r="K2519" t="n">
        <v>0</v>
      </c>
      <c r="L2519" t="n">
        <v>0</v>
      </c>
      <c r="M2519" t="n">
        <v>0</v>
      </c>
      <c r="N2519" t="n">
        <v>0</v>
      </c>
      <c r="O2519" t="n">
        <v>0</v>
      </c>
      <c r="P2519" t="n">
        <v>0</v>
      </c>
      <c r="Q2519" t="n">
        <v>0</v>
      </c>
      <c r="R2519" s="2" t="inlineStr"/>
    </row>
    <row r="2520" ht="15" customHeight="1">
      <c r="A2520" t="inlineStr">
        <is>
          <t>A 6707-2025</t>
        </is>
      </c>
      <c r="B2520" s="1" t="n">
        <v>45700</v>
      </c>
      <c r="C2520" s="1" t="n">
        <v>45704</v>
      </c>
      <c r="D2520" t="inlineStr">
        <is>
          <t>JÄMTLANDS LÄN</t>
        </is>
      </c>
      <c r="E2520" t="inlineStr">
        <is>
          <t>BRÄCKE</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6788-2025</t>
        </is>
      </c>
      <c r="B2521" s="1" t="n">
        <v>45700</v>
      </c>
      <c r="C2521" s="1" t="n">
        <v>45704</v>
      </c>
      <c r="D2521" t="inlineStr">
        <is>
          <t>JÄMTLANDS LÄN</t>
        </is>
      </c>
      <c r="E2521" t="inlineStr">
        <is>
          <t>BRÄCKE</t>
        </is>
      </c>
      <c r="F2521" t="inlineStr">
        <is>
          <t>SCA</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6786-2025</t>
        </is>
      </c>
      <c r="B2522" s="1" t="n">
        <v>45700</v>
      </c>
      <c r="C2522" s="1" t="n">
        <v>45704</v>
      </c>
      <c r="D2522" t="inlineStr">
        <is>
          <t>JÄMTLANDS LÄN</t>
        </is>
      </c>
      <c r="E2522" t="inlineStr">
        <is>
          <t>BRÄCKE</t>
        </is>
      </c>
      <c r="F2522" t="inlineStr">
        <is>
          <t>SCA</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6626-2025</t>
        </is>
      </c>
      <c r="B2523" s="1" t="n">
        <v>45700</v>
      </c>
      <c r="C2523" s="1" t="n">
        <v>45704</v>
      </c>
      <c r="D2523" t="inlineStr">
        <is>
          <t>JÄMTLANDS LÄN</t>
        </is>
      </c>
      <c r="E2523" t="inlineStr">
        <is>
          <t>BRÄCKE</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6622-2025</t>
        </is>
      </c>
      <c r="B2524" s="1" t="n">
        <v>45700</v>
      </c>
      <c r="C2524" s="1" t="n">
        <v>45704</v>
      </c>
      <c r="D2524" t="inlineStr">
        <is>
          <t>JÄMTLANDS LÄN</t>
        </is>
      </c>
      <c r="E2524" t="inlineStr">
        <is>
          <t>BRÄCKE</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6813-2025</t>
        </is>
      </c>
      <c r="B2525" s="1" t="n">
        <v>45700</v>
      </c>
      <c r="C2525" s="1" t="n">
        <v>45704</v>
      </c>
      <c r="D2525" t="inlineStr">
        <is>
          <t>JÄMTLANDS LÄN</t>
        </is>
      </c>
      <c r="E2525" t="inlineStr">
        <is>
          <t>BRÄCKE</t>
        </is>
      </c>
      <c r="F2525" t="inlineStr">
        <is>
          <t>SCA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6878-2025</t>
        </is>
      </c>
      <c r="B2526" s="1" t="n">
        <v>45701</v>
      </c>
      <c r="C2526" s="1" t="n">
        <v>45704</v>
      </c>
      <c r="D2526" t="inlineStr">
        <is>
          <t>JÄMTLANDS LÄN</t>
        </is>
      </c>
      <c r="E2526" t="inlineStr">
        <is>
          <t>BRÄCKE</t>
        </is>
      </c>
      <c r="G2526" t="n">
        <v>16.2</v>
      </c>
      <c r="H2526" t="n">
        <v>0</v>
      </c>
      <c r="I2526" t="n">
        <v>0</v>
      </c>
      <c r="J2526" t="n">
        <v>0</v>
      </c>
      <c r="K2526" t="n">
        <v>0</v>
      </c>
      <c r="L2526" t="n">
        <v>0</v>
      </c>
      <c r="M2526" t="n">
        <v>0</v>
      </c>
      <c r="N2526" t="n">
        <v>0</v>
      </c>
      <c r="O2526" t="n">
        <v>0</v>
      </c>
      <c r="P2526" t="n">
        <v>0</v>
      </c>
      <c r="Q2526" t="n">
        <v>0</v>
      </c>
      <c r="R2526" s="2" t="inlineStr"/>
    </row>
    <row r="2527" ht="15" customHeight="1">
      <c r="A2527" t="inlineStr">
        <is>
          <t>A 7123-2025</t>
        </is>
      </c>
      <c r="B2527" s="1" t="n">
        <v>45702</v>
      </c>
      <c r="C2527" s="1" t="n">
        <v>45704</v>
      </c>
      <c r="D2527" t="inlineStr">
        <is>
          <t>JÄMTLANDS LÄN</t>
        </is>
      </c>
      <c r="E2527" t="inlineStr">
        <is>
          <t>BRÄCKE</t>
        </is>
      </c>
      <c r="F2527" t="inlineStr">
        <is>
          <t>SCA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7301-2025</t>
        </is>
      </c>
      <c r="B2528" s="1" t="n">
        <v>45702</v>
      </c>
      <c r="C2528" s="1" t="n">
        <v>45704</v>
      </c>
      <c r="D2528" t="inlineStr">
        <is>
          <t>JÄMTLANDS LÄN</t>
        </is>
      </c>
      <c r="E2528" t="inlineStr">
        <is>
          <t>BRÄCKE</t>
        </is>
      </c>
      <c r="F2528" t="inlineStr">
        <is>
          <t>SCA</t>
        </is>
      </c>
      <c r="G2528" t="n">
        <v>6.9</v>
      </c>
      <c r="H2528" t="n">
        <v>0</v>
      </c>
      <c r="I2528" t="n">
        <v>0</v>
      </c>
      <c r="J2528" t="n">
        <v>0</v>
      </c>
      <c r="K2528" t="n">
        <v>0</v>
      </c>
      <c r="L2528" t="n">
        <v>0</v>
      </c>
      <c r="M2528" t="n">
        <v>0</v>
      </c>
      <c r="N2528" t="n">
        <v>0</v>
      </c>
      <c r="O2528" t="n">
        <v>0</v>
      </c>
      <c r="P2528" t="n">
        <v>0</v>
      </c>
      <c r="Q2528" t="n">
        <v>0</v>
      </c>
      <c r="R2528" s="2" t="inlineStr"/>
    </row>
    <row r="2529">
      <c r="A2529" t="inlineStr">
        <is>
          <t>A 7230-2025</t>
        </is>
      </c>
      <c r="B2529" s="1" t="n">
        <v>45702</v>
      </c>
      <c r="C2529" s="1" t="n">
        <v>45704</v>
      </c>
      <c r="D2529" t="inlineStr">
        <is>
          <t>JÄMTLANDS LÄN</t>
        </is>
      </c>
      <c r="E2529" t="inlineStr">
        <is>
          <t>BRÄCKE</t>
        </is>
      </c>
      <c r="F2529" t="inlineStr">
        <is>
          <t>SCA</t>
        </is>
      </c>
      <c r="G2529" t="n">
        <v>5.5</v>
      </c>
      <c r="H2529" t="n">
        <v>0</v>
      </c>
      <c r="I2529" t="n">
        <v>0</v>
      </c>
      <c r="J2529" t="n">
        <v>0</v>
      </c>
      <c r="K2529" t="n">
        <v>0</v>
      </c>
      <c r="L2529" t="n">
        <v>0</v>
      </c>
      <c r="M2529" t="n">
        <v>0</v>
      </c>
      <c r="N2529" t="n">
        <v>0</v>
      </c>
      <c r="O2529" t="n">
        <v>0</v>
      </c>
      <c r="P2529" t="n">
        <v>0</v>
      </c>
      <c r="Q2529" t="n">
        <v>0</v>
      </c>
      <c r="R2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2025-02-16T16:00:35Z</dcterms:created>
  <dcterms:modified xmlns:dcterms="http://purl.org/dc/terms/" xmlns:xsi="http://www.w3.org/2001/XMLSchema-instance" xsi:type="dcterms:W3CDTF">2025-02-16T16:00:38Z</dcterms:modified>
</cp:coreProperties>
</file>